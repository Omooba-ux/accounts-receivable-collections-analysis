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b61075472430b6/Documents/Desktop/Data analysis/Account Receivables/"/>
    </mc:Choice>
  </mc:AlternateContent>
  <xr:revisionPtr revIDLastSave="6" documentId="8_{B2C0E1F5-8736-4AF7-858A-7FE2A111F4F2}" xr6:coauthVersionLast="47" xr6:coauthVersionMax="47" xr10:uidLastSave="{D57151ED-5B5A-418D-91A9-AB4C734CDBA5}"/>
  <bookViews>
    <workbookView xWindow="-108" yWindow="-108" windowWidth="23256" windowHeight="13896" activeTab="1" xr2:uid="{F7D8EEE9-0D6C-4559-B23C-D775FE5EF982}"/>
  </bookViews>
  <sheets>
    <sheet name="Customer cleaned" sheetId="6" r:id="rId1"/>
    <sheet name="Invoices cleaned" sheetId="7" r:id="rId2"/>
  </sheets>
  <definedNames>
    <definedName name="_xlnm._FilterDatabase" localSheetId="0" hidden="1">'Customer cleaned'!$A$1:$G$101</definedName>
    <definedName name="_xlnm._FilterDatabase" localSheetId="1" hidden="1">'Invoices cleaned'!$A$1:$O$4507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8" i="7" l="1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4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2051" i="7"/>
  <c r="H2052" i="7"/>
  <c r="H2053" i="7"/>
  <c r="H2054" i="7"/>
  <c r="H2055" i="7"/>
  <c r="H2056" i="7"/>
  <c r="H2057" i="7"/>
  <c r="H2058" i="7"/>
  <c r="H2059" i="7"/>
  <c r="H2060" i="7"/>
  <c r="H2061" i="7"/>
  <c r="H2062" i="7"/>
  <c r="H2063" i="7"/>
  <c r="H2064" i="7"/>
  <c r="H2065" i="7"/>
  <c r="H2066" i="7"/>
  <c r="H2067" i="7"/>
  <c r="H2068" i="7"/>
  <c r="H2069" i="7"/>
  <c r="H2070" i="7"/>
  <c r="H2071" i="7"/>
  <c r="H2072" i="7"/>
  <c r="H2073" i="7"/>
  <c r="H2074" i="7"/>
  <c r="H2075" i="7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90" i="7"/>
  <c r="H2091" i="7"/>
  <c r="H2092" i="7"/>
  <c r="H2093" i="7"/>
  <c r="H2094" i="7"/>
  <c r="H2095" i="7"/>
  <c r="H2096" i="7"/>
  <c r="H2097" i="7"/>
  <c r="H2098" i="7"/>
  <c r="H2099" i="7"/>
  <c r="H2100" i="7"/>
  <c r="H2101" i="7"/>
  <c r="H2102" i="7"/>
  <c r="H2103" i="7"/>
  <c r="H2104" i="7"/>
  <c r="H2105" i="7"/>
  <c r="H2106" i="7"/>
  <c r="H2107" i="7"/>
  <c r="H2108" i="7"/>
  <c r="H2109" i="7"/>
  <c r="H2110" i="7"/>
  <c r="H2111" i="7"/>
  <c r="H2112" i="7"/>
  <c r="H2113" i="7"/>
  <c r="H2114" i="7"/>
  <c r="H2115" i="7"/>
  <c r="H2116" i="7"/>
  <c r="H2117" i="7"/>
  <c r="H2118" i="7"/>
  <c r="H2119" i="7"/>
  <c r="H2120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35" i="7"/>
  <c r="H2136" i="7"/>
  <c r="H2137" i="7"/>
  <c r="H2138" i="7"/>
  <c r="H2139" i="7"/>
  <c r="H2140" i="7"/>
  <c r="H2141" i="7"/>
  <c r="H2142" i="7"/>
  <c r="H2143" i="7"/>
  <c r="H2144" i="7"/>
  <c r="H2145" i="7"/>
  <c r="H2146" i="7"/>
  <c r="H2147" i="7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0" i="7"/>
  <c r="H2181" i="7"/>
  <c r="H2182" i="7"/>
  <c r="H2183" i="7"/>
  <c r="H2184" i="7"/>
  <c r="H2185" i="7"/>
  <c r="H2186" i="7"/>
  <c r="H2187" i="7"/>
  <c r="H2188" i="7"/>
  <c r="H2189" i="7"/>
  <c r="H2190" i="7"/>
  <c r="H2191" i="7"/>
  <c r="H2192" i="7"/>
  <c r="H2193" i="7"/>
  <c r="H2194" i="7"/>
  <c r="H2195" i="7"/>
  <c r="H2196" i="7"/>
  <c r="H2197" i="7"/>
  <c r="H2198" i="7"/>
  <c r="H2199" i="7"/>
  <c r="H2200" i="7"/>
  <c r="H2201" i="7"/>
  <c r="H2202" i="7"/>
  <c r="H2203" i="7"/>
  <c r="H2204" i="7"/>
  <c r="H2205" i="7"/>
  <c r="H2206" i="7"/>
  <c r="H2207" i="7"/>
  <c r="H2208" i="7"/>
  <c r="H2209" i="7"/>
  <c r="H2210" i="7"/>
  <c r="H2211" i="7"/>
  <c r="H2212" i="7"/>
  <c r="H2213" i="7"/>
  <c r="H2214" i="7"/>
  <c r="H2215" i="7"/>
  <c r="H2216" i="7"/>
  <c r="H2217" i="7"/>
  <c r="H2218" i="7"/>
  <c r="H2219" i="7"/>
  <c r="H2220" i="7"/>
  <c r="H2221" i="7"/>
  <c r="H2222" i="7"/>
  <c r="H2223" i="7"/>
  <c r="H2224" i="7"/>
  <c r="H2225" i="7"/>
  <c r="H2226" i="7"/>
  <c r="H2227" i="7"/>
  <c r="H2228" i="7"/>
  <c r="H2229" i="7"/>
  <c r="H2230" i="7"/>
  <c r="H2231" i="7"/>
  <c r="H2232" i="7"/>
  <c r="H2233" i="7"/>
  <c r="H2234" i="7"/>
  <c r="H2235" i="7"/>
  <c r="H2236" i="7"/>
  <c r="H2237" i="7"/>
  <c r="H2238" i="7"/>
  <c r="H2239" i="7"/>
  <c r="H2240" i="7"/>
  <c r="H2241" i="7"/>
  <c r="H2242" i="7"/>
  <c r="H2243" i="7"/>
  <c r="H2244" i="7"/>
  <c r="H2245" i="7"/>
  <c r="H2246" i="7"/>
  <c r="H2247" i="7"/>
  <c r="H2248" i="7"/>
  <c r="H2249" i="7"/>
  <c r="H2250" i="7"/>
  <c r="H2251" i="7"/>
  <c r="H2252" i="7"/>
  <c r="H2253" i="7"/>
  <c r="H2254" i="7"/>
  <c r="H2255" i="7"/>
  <c r="H2256" i="7"/>
  <c r="H2257" i="7"/>
  <c r="H2258" i="7"/>
  <c r="H2259" i="7"/>
  <c r="H2260" i="7"/>
  <c r="H2261" i="7"/>
  <c r="H2262" i="7"/>
  <c r="H2263" i="7"/>
  <c r="H2264" i="7"/>
  <c r="H2265" i="7"/>
  <c r="H2266" i="7"/>
  <c r="H2267" i="7"/>
  <c r="H2268" i="7"/>
  <c r="H2269" i="7"/>
  <c r="H2270" i="7"/>
  <c r="H2271" i="7"/>
  <c r="H2272" i="7"/>
  <c r="H2273" i="7"/>
  <c r="H2274" i="7"/>
  <c r="H2275" i="7"/>
  <c r="H2276" i="7"/>
  <c r="H2277" i="7"/>
  <c r="H2278" i="7"/>
  <c r="H2279" i="7"/>
  <c r="H2280" i="7"/>
  <c r="H2281" i="7"/>
  <c r="H2282" i="7"/>
  <c r="H2283" i="7"/>
  <c r="H2284" i="7"/>
  <c r="H2285" i="7"/>
  <c r="H2286" i="7"/>
  <c r="H2287" i="7"/>
  <c r="H2288" i="7"/>
  <c r="H2289" i="7"/>
  <c r="H2290" i="7"/>
  <c r="H2291" i="7"/>
  <c r="H2292" i="7"/>
  <c r="H2293" i="7"/>
  <c r="H2294" i="7"/>
  <c r="H2295" i="7"/>
  <c r="H2296" i="7"/>
  <c r="H2297" i="7"/>
  <c r="H2298" i="7"/>
  <c r="H2299" i="7"/>
  <c r="H2300" i="7"/>
  <c r="H2301" i="7"/>
  <c r="H2302" i="7"/>
  <c r="H2303" i="7"/>
  <c r="H2304" i="7"/>
  <c r="H2305" i="7"/>
  <c r="H2306" i="7"/>
  <c r="H2307" i="7"/>
  <c r="H2308" i="7"/>
  <c r="H2309" i="7"/>
  <c r="H2310" i="7"/>
  <c r="H2311" i="7"/>
  <c r="H2312" i="7"/>
  <c r="H2313" i="7"/>
  <c r="H2314" i="7"/>
  <c r="H2315" i="7"/>
  <c r="H2316" i="7"/>
  <c r="H2317" i="7"/>
  <c r="H2318" i="7"/>
  <c r="H2319" i="7"/>
  <c r="H2320" i="7"/>
  <c r="H2321" i="7"/>
  <c r="H2322" i="7"/>
  <c r="H2323" i="7"/>
  <c r="H2324" i="7"/>
  <c r="H2325" i="7"/>
  <c r="H2326" i="7"/>
  <c r="H2327" i="7"/>
  <c r="H2328" i="7"/>
  <c r="H2329" i="7"/>
  <c r="H2330" i="7"/>
  <c r="H2331" i="7"/>
  <c r="H2332" i="7"/>
  <c r="H2333" i="7"/>
  <c r="H2334" i="7"/>
  <c r="H2335" i="7"/>
  <c r="H2336" i="7"/>
  <c r="H2337" i="7"/>
  <c r="H2338" i="7"/>
  <c r="H2339" i="7"/>
  <c r="H2340" i="7"/>
  <c r="H2341" i="7"/>
  <c r="H2342" i="7"/>
  <c r="H2343" i="7"/>
  <c r="H2344" i="7"/>
  <c r="H2345" i="7"/>
  <c r="H2346" i="7"/>
  <c r="H2347" i="7"/>
  <c r="H2348" i="7"/>
  <c r="H2349" i="7"/>
  <c r="H2350" i="7"/>
  <c r="H2351" i="7"/>
  <c r="H2352" i="7"/>
  <c r="H2353" i="7"/>
  <c r="H2354" i="7"/>
  <c r="H2355" i="7"/>
  <c r="H2356" i="7"/>
  <c r="H2357" i="7"/>
  <c r="H2358" i="7"/>
  <c r="H2359" i="7"/>
  <c r="H2360" i="7"/>
  <c r="H2361" i="7"/>
  <c r="H2362" i="7"/>
  <c r="H2363" i="7"/>
  <c r="H2364" i="7"/>
  <c r="H2365" i="7"/>
  <c r="H2366" i="7"/>
  <c r="H2367" i="7"/>
  <c r="H2368" i="7"/>
  <c r="H2369" i="7"/>
  <c r="H2370" i="7"/>
  <c r="H2371" i="7"/>
  <c r="H2372" i="7"/>
  <c r="H2373" i="7"/>
  <c r="H2374" i="7"/>
  <c r="H2375" i="7"/>
  <c r="H2376" i="7"/>
  <c r="H2377" i="7"/>
  <c r="H2378" i="7"/>
  <c r="H2379" i="7"/>
  <c r="H2380" i="7"/>
  <c r="H2381" i="7"/>
  <c r="H2382" i="7"/>
  <c r="H2383" i="7"/>
  <c r="H2384" i="7"/>
  <c r="H2385" i="7"/>
  <c r="H2386" i="7"/>
  <c r="H2387" i="7"/>
  <c r="H2388" i="7"/>
  <c r="H2389" i="7"/>
  <c r="H2390" i="7"/>
  <c r="H2391" i="7"/>
  <c r="H2392" i="7"/>
  <c r="H2393" i="7"/>
  <c r="H2394" i="7"/>
  <c r="H2395" i="7"/>
  <c r="H2396" i="7"/>
  <c r="H2397" i="7"/>
  <c r="H2398" i="7"/>
  <c r="H2399" i="7"/>
  <c r="H2400" i="7"/>
  <c r="H2401" i="7"/>
  <c r="H2402" i="7"/>
  <c r="H2403" i="7"/>
  <c r="H2404" i="7"/>
  <c r="H2405" i="7"/>
  <c r="H2406" i="7"/>
  <c r="H2407" i="7"/>
  <c r="H2408" i="7"/>
  <c r="H2409" i="7"/>
  <c r="H2410" i="7"/>
  <c r="H2411" i="7"/>
  <c r="H2412" i="7"/>
  <c r="H2413" i="7"/>
  <c r="H2414" i="7"/>
  <c r="H2415" i="7"/>
  <c r="H2416" i="7"/>
  <c r="H2417" i="7"/>
  <c r="H2418" i="7"/>
  <c r="H2419" i="7"/>
  <c r="H2420" i="7"/>
  <c r="H2421" i="7"/>
  <c r="H2422" i="7"/>
  <c r="H2423" i="7"/>
  <c r="H2424" i="7"/>
  <c r="H2425" i="7"/>
  <c r="H2426" i="7"/>
  <c r="H2427" i="7"/>
  <c r="H2428" i="7"/>
  <c r="H2429" i="7"/>
  <c r="H2430" i="7"/>
  <c r="H2431" i="7"/>
  <c r="H2432" i="7"/>
  <c r="H2433" i="7"/>
  <c r="H2434" i="7"/>
  <c r="H2435" i="7"/>
  <c r="H2436" i="7"/>
  <c r="H2437" i="7"/>
  <c r="H2438" i="7"/>
  <c r="H2439" i="7"/>
  <c r="H2440" i="7"/>
  <c r="H2441" i="7"/>
  <c r="H2442" i="7"/>
  <c r="H2443" i="7"/>
  <c r="H2444" i="7"/>
  <c r="H2445" i="7"/>
  <c r="H2446" i="7"/>
  <c r="H2447" i="7"/>
  <c r="H2448" i="7"/>
  <c r="H2449" i="7"/>
  <c r="H2450" i="7"/>
  <c r="H2451" i="7"/>
  <c r="H2452" i="7"/>
  <c r="H2453" i="7"/>
  <c r="H2454" i="7"/>
  <c r="H2455" i="7"/>
  <c r="H2456" i="7"/>
  <c r="H2457" i="7"/>
  <c r="H2458" i="7"/>
  <c r="H2459" i="7"/>
  <c r="H2460" i="7"/>
  <c r="H2461" i="7"/>
  <c r="H2462" i="7"/>
  <c r="H2463" i="7"/>
  <c r="H2464" i="7"/>
  <c r="H2465" i="7"/>
  <c r="H2466" i="7"/>
  <c r="H2467" i="7"/>
  <c r="H2468" i="7"/>
  <c r="H2469" i="7"/>
  <c r="H2470" i="7"/>
  <c r="H2471" i="7"/>
  <c r="H2472" i="7"/>
  <c r="H2473" i="7"/>
  <c r="H2474" i="7"/>
  <c r="H2475" i="7"/>
  <c r="H2476" i="7"/>
  <c r="H2477" i="7"/>
  <c r="H2478" i="7"/>
  <c r="H2479" i="7"/>
  <c r="H2480" i="7"/>
  <c r="H2481" i="7"/>
  <c r="H2482" i="7"/>
  <c r="H2483" i="7"/>
  <c r="H2484" i="7"/>
  <c r="H2485" i="7"/>
  <c r="H2486" i="7"/>
  <c r="H2487" i="7"/>
  <c r="H2488" i="7"/>
  <c r="H2489" i="7"/>
  <c r="H2490" i="7"/>
  <c r="H2491" i="7"/>
  <c r="H2492" i="7"/>
  <c r="H2493" i="7"/>
  <c r="H2494" i="7"/>
  <c r="H2495" i="7"/>
  <c r="H2496" i="7"/>
  <c r="H2497" i="7"/>
  <c r="H2498" i="7"/>
  <c r="H2499" i="7"/>
  <c r="H2500" i="7"/>
  <c r="H2501" i="7"/>
  <c r="H2502" i="7"/>
  <c r="H2503" i="7"/>
  <c r="H2504" i="7"/>
  <c r="H2505" i="7"/>
  <c r="H2506" i="7"/>
  <c r="H2507" i="7"/>
  <c r="H2508" i="7"/>
  <c r="H2509" i="7"/>
  <c r="H2510" i="7"/>
  <c r="H2511" i="7"/>
  <c r="H2512" i="7"/>
  <c r="H2513" i="7"/>
  <c r="H2514" i="7"/>
  <c r="H2515" i="7"/>
  <c r="H2516" i="7"/>
  <c r="H2517" i="7"/>
  <c r="H2518" i="7"/>
  <c r="H2519" i="7"/>
  <c r="H2520" i="7"/>
  <c r="H2521" i="7"/>
  <c r="H2522" i="7"/>
  <c r="H2523" i="7"/>
  <c r="H2524" i="7"/>
  <c r="H2525" i="7"/>
  <c r="H2526" i="7"/>
  <c r="H2527" i="7"/>
  <c r="H2528" i="7"/>
  <c r="H2529" i="7"/>
  <c r="H2530" i="7"/>
  <c r="H2531" i="7"/>
  <c r="H2532" i="7"/>
  <c r="H2533" i="7"/>
  <c r="H2534" i="7"/>
  <c r="H2535" i="7"/>
  <c r="H2536" i="7"/>
  <c r="H2537" i="7"/>
  <c r="H2538" i="7"/>
  <c r="H2539" i="7"/>
  <c r="H2540" i="7"/>
  <c r="H2541" i="7"/>
  <c r="H2542" i="7"/>
  <c r="H2543" i="7"/>
  <c r="H2544" i="7"/>
  <c r="H2545" i="7"/>
  <c r="H2546" i="7"/>
  <c r="H2547" i="7"/>
  <c r="H2548" i="7"/>
  <c r="H2549" i="7"/>
  <c r="H2550" i="7"/>
  <c r="H2551" i="7"/>
  <c r="H2552" i="7"/>
  <c r="H2553" i="7"/>
  <c r="H2554" i="7"/>
  <c r="H2555" i="7"/>
  <c r="H2556" i="7"/>
  <c r="H2557" i="7"/>
  <c r="H2558" i="7"/>
  <c r="H2559" i="7"/>
  <c r="H2560" i="7"/>
  <c r="H2561" i="7"/>
  <c r="H2562" i="7"/>
  <c r="H2563" i="7"/>
  <c r="H2564" i="7"/>
  <c r="H2565" i="7"/>
  <c r="H2566" i="7"/>
  <c r="H2567" i="7"/>
  <c r="H2568" i="7"/>
  <c r="H2569" i="7"/>
  <c r="H2570" i="7"/>
  <c r="H2571" i="7"/>
  <c r="H2572" i="7"/>
  <c r="H2573" i="7"/>
  <c r="H2574" i="7"/>
  <c r="H2575" i="7"/>
  <c r="H2576" i="7"/>
  <c r="H2577" i="7"/>
  <c r="H2578" i="7"/>
  <c r="H2579" i="7"/>
  <c r="H2580" i="7"/>
  <c r="H2581" i="7"/>
  <c r="H2582" i="7"/>
  <c r="H2583" i="7"/>
  <c r="H2584" i="7"/>
  <c r="H2585" i="7"/>
  <c r="H2586" i="7"/>
  <c r="H2587" i="7"/>
  <c r="H2588" i="7"/>
  <c r="H2589" i="7"/>
  <c r="H2590" i="7"/>
  <c r="H2591" i="7"/>
  <c r="H2592" i="7"/>
  <c r="H2593" i="7"/>
  <c r="H2594" i="7"/>
  <c r="H2595" i="7"/>
  <c r="H2596" i="7"/>
  <c r="H2597" i="7"/>
  <c r="H2598" i="7"/>
  <c r="H2599" i="7"/>
  <c r="H2600" i="7"/>
  <c r="H2601" i="7"/>
  <c r="H2602" i="7"/>
  <c r="H2603" i="7"/>
  <c r="H2604" i="7"/>
  <c r="H2605" i="7"/>
  <c r="H2606" i="7"/>
  <c r="H2607" i="7"/>
  <c r="H2608" i="7"/>
  <c r="H2609" i="7"/>
  <c r="H2610" i="7"/>
  <c r="H2611" i="7"/>
  <c r="H2612" i="7"/>
  <c r="H2613" i="7"/>
  <c r="H2614" i="7"/>
  <c r="H2615" i="7"/>
  <c r="H2616" i="7"/>
  <c r="H2617" i="7"/>
  <c r="H2618" i="7"/>
  <c r="H2619" i="7"/>
  <c r="H2620" i="7"/>
  <c r="H2621" i="7"/>
  <c r="H2622" i="7"/>
  <c r="H2623" i="7"/>
  <c r="H2624" i="7"/>
  <c r="H2625" i="7"/>
  <c r="H2626" i="7"/>
  <c r="H2627" i="7"/>
  <c r="H2628" i="7"/>
  <c r="H2629" i="7"/>
  <c r="H2630" i="7"/>
  <c r="H2631" i="7"/>
  <c r="H2632" i="7"/>
  <c r="H2633" i="7"/>
  <c r="H2634" i="7"/>
  <c r="H2635" i="7"/>
  <c r="H2636" i="7"/>
  <c r="H2637" i="7"/>
  <c r="H2638" i="7"/>
  <c r="H2639" i="7"/>
  <c r="H2640" i="7"/>
  <c r="H2641" i="7"/>
  <c r="H2642" i="7"/>
  <c r="H2643" i="7"/>
  <c r="H2644" i="7"/>
  <c r="H2645" i="7"/>
  <c r="H2646" i="7"/>
  <c r="H2647" i="7"/>
  <c r="H2648" i="7"/>
  <c r="H2649" i="7"/>
  <c r="H2650" i="7"/>
  <c r="H2651" i="7"/>
  <c r="H2652" i="7"/>
  <c r="H2653" i="7"/>
  <c r="H2654" i="7"/>
  <c r="H2655" i="7"/>
  <c r="H2656" i="7"/>
  <c r="H2657" i="7"/>
  <c r="H2658" i="7"/>
  <c r="H2659" i="7"/>
  <c r="H2660" i="7"/>
  <c r="H2661" i="7"/>
  <c r="H2662" i="7"/>
  <c r="H2663" i="7"/>
  <c r="H2664" i="7"/>
  <c r="H2665" i="7"/>
  <c r="H2666" i="7"/>
  <c r="H2667" i="7"/>
  <c r="H2668" i="7"/>
  <c r="H2669" i="7"/>
  <c r="H2670" i="7"/>
  <c r="H2671" i="7"/>
  <c r="H2672" i="7"/>
  <c r="H2673" i="7"/>
  <c r="H2674" i="7"/>
  <c r="H2675" i="7"/>
  <c r="H2676" i="7"/>
  <c r="H2677" i="7"/>
  <c r="H2678" i="7"/>
  <c r="H2679" i="7"/>
  <c r="H2680" i="7"/>
  <c r="H2681" i="7"/>
  <c r="H2682" i="7"/>
  <c r="H2683" i="7"/>
  <c r="H2684" i="7"/>
  <c r="H2685" i="7"/>
  <c r="H2686" i="7"/>
  <c r="H2687" i="7"/>
  <c r="H2688" i="7"/>
  <c r="H2689" i="7"/>
  <c r="H2690" i="7"/>
  <c r="H2691" i="7"/>
  <c r="H2692" i="7"/>
  <c r="H2693" i="7"/>
  <c r="H2694" i="7"/>
  <c r="H2695" i="7"/>
  <c r="H2696" i="7"/>
  <c r="H2697" i="7"/>
  <c r="H2698" i="7"/>
  <c r="H2699" i="7"/>
  <c r="H2700" i="7"/>
  <c r="H2701" i="7"/>
  <c r="H2702" i="7"/>
  <c r="H2703" i="7"/>
  <c r="H2704" i="7"/>
  <c r="H2705" i="7"/>
  <c r="H2706" i="7"/>
  <c r="H2707" i="7"/>
  <c r="H2708" i="7"/>
  <c r="H2709" i="7"/>
  <c r="H2710" i="7"/>
  <c r="H2711" i="7"/>
  <c r="H2712" i="7"/>
  <c r="H2713" i="7"/>
  <c r="H2714" i="7"/>
  <c r="H2715" i="7"/>
  <c r="H2716" i="7"/>
  <c r="H2717" i="7"/>
  <c r="H2718" i="7"/>
  <c r="H2719" i="7"/>
  <c r="H2720" i="7"/>
  <c r="H2721" i="7"/>
  <c r="H2722" i="7"/>
  <c r="H2723" i="7"/>
  <c r="H2724" i="7"/>
  <c r="H2725" i="7"/>
  <c r="H2726" i="7"/>
  <c r="H2727" i="7"/>
  <c r="H2728" i="7"/>
  <c r="H2729" i="7"/>
  <c r="H2730" i="7"/>
  <c r="H2731" i="7"/>
  <c r="H2732" i="7"/>
  <c r="H2733" i="7"/>
  <c r="H2734" i="7"/>
  <c r="H2735" i="7"/>
  <c r="H2736" i="7"/>
  <c r="H2737" i="7"/>
  <c r="H2738" i="7"/>
  <c r="H2739" i="7"/>
  <c r="H2740" i="7"/>
  <c r="H2741" i="7"/>
  <c r="H2742" i="7"/>
  <c r="H2743" i="7"/>
  <c r="H2744" i="7"/>
  <c r="H2745" i="7"/>
  <c r="H2746" i="7"/>
  <c r="H2747" i="7"/>
  <c r="H2748" i="7"/>
  <c r="H2749" i="7"/>
  <c r="H2750" i="7"/>
  <c r="H2751" i="7"/>
  <c r="H2752" i="7"/>
  <c r="H2753" i="7"/>
  <c r="H2754" i="7"/>
  <c r="H2755" i="7"/>
  <c r="H2756" i="7"/>
  <c r="H2757" i="7"/>
  <c r="H2758" i="7"/>
  <c r="H2759" i="7"/>
  <c r="H2760" i="7"/>
  <c r="H2761" i="7"/>
  <c r="H2762" i="7"/>
  <c r="H2763" i="7"/>
  <c r="H2764" i="7"/>
  <c r="H2765" i="7"/>
  <c r="H2766" i="7"/>
  <c r="H2767" i="7"/>
  <c r="H2768" i="7"/>
  <c r="H2769" i="7"/>
  <c r="H2770" i="7"/>
  <c r="H2771" i="7"/>
  <c r="H2772" i="7"/>
  <c r="H2773" i="7"/>
  <c r="H2774" i="7"/>
  <c r="H2775" i="7"/>
  <c r="H2776" i="7"/>
  <c r="H2777" i="7"/>
  <c r="H2778" i="7"/>
  <c r="H2779" i="7"/>
  <c r="H2780" i="7"/>
  <c r="H2781" i="7"/>
  <c r="H2782" i="7"/>
  <c r="H2783" i="7"/>
  <c r="H2784" i="7"/>
  <c r="H2785" i="7"/>
  <c r="H2786" i="7"/>
  <c r="H2787" i="7"/>
  <c r="H2788" i="7"/>
  <c r="H2789" i="7"/>
  <c r="H2790" i="7"/>
  <c r="H2791" i="7"/>
  <c r="H2792" i="7"/>
  <c r="H2793" i="7"/>
  <c r="H2794" i="7"/>
  <c r="H2795" i="7"/>
  <c r="H2796" i="7"/>
  <c r="H2797" i="7"/>
  <c r="H2798" i="7"/>
  <c r="H2799" i="7"/>
  <c r="H2800" i="7"/>
  <c r="H2801" i="7"/>
  <c r="H2802" i="7"/>
  <c r="H2803" i="7"/>
  <c r="H2804" i="7"/>
  <c r="H2805" i="7"/>
  <c r="H2806" i="7"/>
  <c r="H2807" i="7"/>
  <c r="H2808" i="7"/>
  <c r="H2809" i="7"/>
  <c r="H2810" i="7"/>
  <c r="H2811" i="7"/>
  <c r="H2812" i="7"/>
  <c r="H2813" i="7"/>
  <c r="H2814" i="7"/>
  <c r="H2815" i="7"/>
  <c r="H2816" i="7"/>
  <c r="H2817" i="7"/>
  <c r="H2818" i="7"/>
  <c r="H2819" i="7"/>
  <c r="H2820" i="7"/>
  <c r="H2821" i="7"/>
  <c r="H2822" i="7"/>
  <c r="H2823" i="7"/>
  <c r="H2824" i="7"/>
  <c r="H2825" i="7"/>
  <c r="H2826" i="7"/>
  <c r="H2827" i="7"/>
  <c r="H2828" i="7"/>
  <c r="H2829" i="7"/>
  <c r="H2830" i="7"/>
  <c r="H2831" i="7"/>
  <c r="H2832" i="7"/>
  <c r="H2833" i="7"/>
  <c r="H2834" i="7"/>
  <c r="H2835" i="7"/>
  <c r="H2836" i="7"/>
  <c r="H2837" i="7"/>
  <c r="H2838" i="7"/>
  <c r="H2839" i="7"/>
  <c r="H2840" i="7"/>
  <c r="H2841" i="7"/>
  <c r="H2842" i="7"/>
  <c r="H2843" i="7"/>
  <c r="H2844" i="7"/>
  <c r="H2845" i="7"/>
  <c r="H2846" i="7"/>
  <c r="H2847" i="7"/>
  <c r="H2848" i="7"/>
  <c r="H2849" i="7"/>
  <c r="H2850" i="7"/>
  <c r="H2851" i="7"/>
  <c r="H2852" i="7"/>
  <c r="H2853" i="7"/>
  <c r="H2854" i="7"/>
  <c r="H2855" i="7"/>
  <c r="H2856" i="7"/>
  <c r="H2857" i="7"/>
  <c r="H2858" i="7"/>
  <c r="H2859" i="7"/>
  <c r="H2860" i="7"/>
  <c r="H2861" i="7"/>
  <c r="H2862" i="7"/>
  <c r="H2863" i="7"/>
  <c r="H2864" i="7"/>
  <c r="H2865" i="7"/>
  <c r="H2866" i="7"/>
  <c r="H2867" i="7"/>
  <c r="H2868" i="7"/>
  <c r="H2869" i="7"/>
  <c r="H2870" i="7"/>
  <c r="H2871" i="7"/>
  <c r="H2872" i="7"/>
  <c r="H2873" i="7"/>
  <c r="H2874" i="7"/>
  <c r="H2875" i="7"/>
  <c r="H2876" i="7"/>
  <c r="H2877" i="7"/>
  <c r="H2878" i="7"/>
  <c r="H2879" i="7"/>
  <c r="H2880" i="7"/>
  <c r="H2881" i="7"/>
  <c r="H2882" i="7"/>
  <c r="H2883" i="7"/>
  <c r="H2884" i="7"/>
  <c r="H2885" i="7"/>
  <c r="H2886" i="7"/>
  <c r="H2887" i="7"/>
  <c r="H2888" i="7"/>
  <c r="H2889" i="7"/>
  <c r="H2890" i="7"/>
  <c r="H2891" i="7"/>
  <c r="H2892" i="7"/>
  <c r="H2893" i="7"/>
  <c r="H2894" i="7"/>
  <c r="H2895" i="7"/>
  <c r="H2896" i="7"/>
  <c r="H2897" i="7"/>
  <c r="H2898" i="7"/>
  <c r="H2899" i="7"/>
  <c r="H2900" i="7"/>
  <c r="H2901" i="7"/>
  <c r="H2902" i="7"/>
  <c r="H2903" i="7"/>
  <c r="H2904" i="7"/>
  <c r="H2905" i="7"/>
  <c r="H2906" i="7"/>
  <c r="H2907" i="7"/>
  <c r="H2908" i="7"/>
  <c r="H2909" i="7"/>
  <c r="H2910" i="7"/>
  <c r="H2911" i="7"/>
  <c r="H2912" i="7"/>
  <c r="H2913" i="7"/>
  <c r="H2914" i="7"/>
  <c r="H2915" i="7"/>
  <c r="H2916" i="7"/>
  <c r="H2917" i="7"/>
  <c r="H2918" i="7"/>
  <c r="H2919" i="7"/>
  <c r="H2920" i="7"/>
  <c r="H2921" i="7"/>
  <c r="H2922" i="7"/>
  <c r="H2923" i="7"/>
  <c r="H2924" i="7"/>
  <c r="H2925" i="7"/>
  <c r="H2926" i="7"/>
  <c r="H2927" i="7"/>
  <c r="H2928" i="7"/>
  <c r="H2929" i="7"/>
  <c r="H2930" i="7"/>
  <c r="H2931" i="7"/>
  <c r="H2932" i="7"/>
  <c r="H2933" i="7"/>
  <c r="H2934" i="7"/>
  <c r="H2935" i="7"/>
  <c r="H2936" i="7"/>
  <c r="H2937" i="7"/>
  <c r="H2938" i="7"/>
  <c r="H2939" i="7"/>
  <c r="H2940" i="7"/>
  <c r="H2941" i="7"/>
  <c r="H2942" i="7"/>
  <c r="H2943" i="7"/>
  <c r="H2944" i="7"/>
  <c r="H2945" i="7"/>
  <c r="H2946" i="7"/>
  <c r="H2947" i="7"/>
  <c r="H2948" i="7"/>
  <c r="H2949" i="7"/>
  <c r="H2950" i="7"/>
  <c r="H2951" i="7"/>
  <c r="H2952" i="7"/>
  <c r="H2953" i="7"/>
  <c r="H2954" i="7"/>
  <c r="H2955" i="7"/>
  <c r="H2956" i="7"/>
  <c r="H2957" i="7"/>
  <c r="H2958" i="7"/>
  <c r="H2959" i="7"/>
  <c r="H2960" i="7"/>
  <c r="H2961" i="7"/>
  <c r="H2962" i="7"/>
  <c r="H2963" i="7"/>
  <c r="H2964" i="7"/>
  <c r="H2965" i="7"/>
  <c r="H2966" i="7"/>
  <c r="H2967" i="7"/>
  <c r="H2968" i="7"/>
  <c r="H2969" i="7"/>
  <c r="H2970" i="7"/>
  <c r="H2971" i="7"/>
  <c r="H2972" i="7"/>
  <c r="H2973" i="7"/>
  <c r="H2974" i="7"/>
  <c r="H2975" i="7"/>
  <c r="H2976" i="7"/>
  <c r="H2977" i="7"/>
  <c r="H2978" i="7"/>
  <c r="H2979" i="7"/>
  <c r="H2980" i="7"/>
  <c r="H2981" i="7"/>
  <c r="H2982" i="7"/>
  <c r="H2983" i="7"/>
  <c r="H2984" i="7"/>
  <c r="H2985" i="7"/>
  <c r="H2986" i="7"/>
  <c r="H2987" i="7"/>
  <c r="H2988" i="7"/>
  <c r="H2989" i="7"/>
  <c r="H2990" i="7"/>
  <c r="H2991" i="7"/>
  <c r="H2992" i="7"/>
  <c r="H2993" i="7"/>
  <c r="H2994" i="7"/>
  <c r="H2995" i="7"/>
  <c r="H2996" i="7"/>
  <c r="H2997" i="7"/>
  <c r="H2998" i="7"/>
  <c r="H2999" i="7"/>
  <c r="H3000" i="7"/>
  <c r="H3001" i="7"/>
  <c r="H3002" i="7"/>
  <c r="H3003" i="7"/>
  <c r="H3004" i="7"/>
  <c r="H3005" i="7"/>
  <c r="H3006" i="7"/>
  <c r="H3007" i="7"/>
  <c r="H3008" i="7"/>
  <c r="H3009" i="7"/>
  <c r="H3010" i="7"/>
  <c r="H3011" i="7"/>
  <c r="H3012" i="7"/>
  <c r="H3013" i="7"/>
  <c r="H3014" i="7"/>
  <c r="H3015" i="7"/>
  <c r="H3016" i="7"/>
  <c r="H3017" i="7"/>
  <c r="H3018" i="7"/>
  <c r="H3019" i="7"/>
  <c r="H3020" i="7"/>
  <c r="H3021" i="7"/>
  <c r="H3022" i="7"/>
  <c r="H3023" i="7"/>
  <c r="H3024" i="7"/>
  <c r="H3025" i="7"/>
  <c r="H3026" i="7"/>
  <c r="H3027" i="7"/>
  <c r="H3028" i="7"/>
  <c r="H3029" i="7"/>
  <c r="H3030" i="7"/>
  <c r="H3031" i="7"/>
  <c r="H3032" i="7"/>
  <c r="H3033" i="7"/>
  <c r="H3034" i="7"/>
  <c r="H3035" i="7"/>
  <c r="H3036" i="7"/>
  <c r="H3037" i="7"/>
  <c r="H3038" i="7"/>
  <c r="H3039" i="7"/>
  <c r="H3040" i="7"/>
  <c r="H3041" i="7"/>
  <c r="H3042" i="7"/>
  <c r="H3043" i="7"/>
  <c r="H3044" i="7"/>
  <c r="H3045" i="7"/>
  <c r="H3046" i="7"/>
  <c r="H3047" i="7"/>
  <c r="H3048" i="7"/>
  <c r="H3049" i="7"/>
  <c r="H3050" i="7"/>
  <c r="H3051" i="7"/>
  <c r="H3052" i="7"/>
  <c r="H3053" i="7"/>
  <c r="H3054" i="7"/>
  <c r="H3055" i="7"/>
  <c r="H3056" i="7"/>
  <c r="H3057" i="7"/>
  <c r="H3058" i="7"/>
  <c r="H3059" i="7"/>
  <c r="H3060" i="7"/>
  <c r="H3061" i="7"/>
  <c r="H3062" i="7"/>
  <c r="H3063" i="7"/>
  <c r="H3064" i="7"/>
  <c r="H3065" i="7"/>
  <c r="H3066" i="7"/>
  <c r="H3067" i="7"/>
  <c r="H3068" i="7"/>
  <c r="H3069" i="7"/>
  <c r="H3070" i="7"/>
  <c r="H3071" i="7"/>
  <c r="H3072" i="7"/>
  <c r="H3073" i="7"/>
  <c r="H3074" i="7"/>
  <c r="H3075" i="7"/>
  <c r="H3076" i="7"/>
  <c r="H3077" i="7"/>
  <c r="H3078" i="7"/>
  <c r="H3079" i="7"/>
  <c r="H3080" i="7"/>
  <c r="H3081" i="7"/>
  <c r="H3082" i="7"/>
  <c r="H3083" i="7"/>
  <c r="H3084" i="7"/>
  <c r="H3085" i="7"/>
  <c r="H3086" i="7"/>
  <c r="H3087" i="7"/>
  <c r="H3088" i="7"/>
  <c r="H3089" i="7"/>
  <c r="H3090" i="7"/>
  <c r="H3091" i="7"/>
  <c r="H3092" i="7"/>
  <c r="H3093" i="7"/>
  <c r="H3094" i="7"/>
  <c r="H3095" i="7"/>
  <c r="H3096" i="7"/>
  <c r="H3097" i="7"/>
  <c r="H3098" i="7"/>
  <c r="H3099" i="7"/>
  <c r="H3100" i="7"/>
  <c r="H3101" i="7"/>
  <c r="H3102" i="7"/>
  <c r="H3103" i="7"/>
  <c r="H3104" i="7"/>
  <c r="H3105" i="7"/>
  <c r="H3106" i="7"/>
  <c r="H3107" i="7"/>
  <c r="H3108" i="7"/>
  <c r="H3109" i="7"/>
  <c r="H3110" i="7"/>
  <c r="H3111" i="7"/>
  <c r="H3112" i="7"/>
  <c r="H3113" i="7"/>
  <c r="H3114" i="7"/>
  <c r="H3115" i="7"/>
  <c r="H3116" i="7"/>
  <c r="H3117" i="7"/>
  <c r="H3118" i="7"/>
  <c r="H3119" i="7"/>
  <c r="H3120" i="7"/>
  <c r="H3121" i="7"/>
  <c r="H3122" i="7"/>
  <c r="H3123" i="7"/>
  <c r="H3124" i="7"/>
  <c r="H3125" i="7"/>
  <c r="H3126" i="7"/>
  <c r="H3127" i="7"/>
  <c r="H3128" i="7"/>
  <c r="H3129" i="7"/>
  <c r="H3130" i="7"/>
  <c r="H3131" i="7"/>
  <c r="H3132" i="7"/>
  <c r="H3133" i="7"/>
  <c r="H3134" i="7"/>
  <c r="H3135" i="7"/>
  <c r="H3136" i="7"/>
  <c r="H3137" i="7"/>
  <c r="H3138" i="7"/>
  <c r="H3139" i="7"/>
  <c r="H3140" i="7"/>
  <c r="H3141" i="7"/>
  <c r="H3142" i="7"/>
  <c r="H3143" i="7"/>
  <c r="H3144" i="7"/>
  <c r="H3145" i="7"/>
  <c r="H3146" i="7"/>
  <c r="H3147" i="7"/>
  <c r="H3148" i="7"/>
  <c r="H3149" i="7"/>
  <c r="H3150" i="7"/>
  <c r="H3151" i="7"/>
  <c r="H3152" i="7"/>
  <c r="H3153" i="7"/>
  <c r="H3154" i="7"/>
  <c r="H3155" i="7"/>
  <c r="H3156" i="7"/>
  <c r="H3157" i="7"/>
  <c r="H3158" i="7"/>
  <c r="H3159" i="7"/>
  <c r="H3160" i="7"/>
  <c r="H3161" i="7"/>
  <c r="H3162" i="7"/>
  <c r="H3163" i="7"/>
  <c r="H3164" i="7"/>
  <c r="H3165" i="7"/>
  <c r="H3166" i="7"/>
  <c r="H3167" i="7"/>
  <c r="H3168" i="7"/>
  <c r="H3169" i="7"/>
  <c r="H3170" i="7"/>
  <c r="H3171" i="7"/>
  <c r="H3172" i="7"/>
  <c r="H3173" i="7"/>
  <c r="H3174" i="7"/>
  <c r="H3175" i="7"/>
  <c r="H3176" i="7"/>
  <c r="H3177" i="7"/>
  <c r="H3178" i="7"/>
  <c r="H3179" i="7"/>
  <c r="H3180" i="7"/>
  <c r="H3181" i="7"/>
  <c r="H3182" i="7"/>
  <c r="H3183" i="7"/>
  <c r="H3184" i="7"/>
  <c r="H3185" i="7"/>
  <c r="H3186" i="7"/>
  <c r="H3187" i="7"/>
  <c r="H3188" i="7"/>
  <c r="H3189" i="7"/>
  <c r="H3190" i="7"/>
  <c r="H3191" i="7"/>
  <c r="H3192" i="7"/>
  <c r="H3193" i="7"/>
  <c r="H3194" i="7"/>
  <c r="H3195" i="7"/>
  <c r="H3196" i="7"/>
  <c r="H3197" i="7"/>
  <c r="H3198" i="7"/>
  <c r="H3199" i="7"/>
  <c r="H3200" i="7"/>
  <c r="H3201" i="7"/>
  <c r="H3202" i="7"/>
  <c r="H3203" i="7"/>
  <c r="H3204" i="7"/>
  <c r="H3205" i="7"/>
  <c r="H3206" i="7"/>
  <c r="H3207" i="7"/>
  <c r="H3208" i="7"/>
  <c r="H3209" i="7"/>
  <c r="H3210" i="7"/>
  <c r="H3211" i="7"/>
  <c r="H3212" i="7"/>
  <c r="H3213" i="7"/>
  <c r="H3214" i="7"/>
  <c r="H3215" i="7"/>
  <c r="H3216" i="7"/>
  <c r="H3217" i="7"/>
  <c r="H3218" i="7"/>
  <c r="H3219" i="7"/>
  <c r="H3220" i="7"/>
  <c r="H3221" i="7"/>
  <c r="H3222" i="7"/>
  <c r="H3223" i="7"/>
  <c r="H3224" i="7"/>
  <c r="H3225" i="7"/>
  <c r="H3226" i="7"/>
  <c r="H3227" i="7"/>
  <c r="H3228" i="7"/>
  <c r="H3229" i="7"/>
  <c r="H3230" i="7"/>
  <c r="H3231" i="7"/>
  <c r="H3232" i="7"/>
  <c r="H3233" i="7"/>
  <c r="H3234" i="7"/>
  <c r="H3235" i="7"/>
  <c r="H3236" i="7"/>
  <c r="H3237" i="7"/>
  <c r="H3238" i="7"/>
  <c r="H3239" i="7"/>
  <c r="H3240" i="7"/>
  <c r="H3241" i="7"/>
  <c r="H3242" i="7"/>
  <c r="H3243" i="7"/>
  <c r="H3244" i="7"/>
  <c r="H3245" i="7"/>
  <c r="H3246" i="7"/>
  <c r="H3247" i="7"/>
  <c r="H3248" i="7"/>
  <c r="H3249" i="7"/>
  <c r="H3250" i="7"/>
  <c r="H3251" i="7"/>
  <c r="H3252" i="7"/>
  <c r="H3253" i="7"/>
  <c r="H3254" i="7"/>
  <c r="H3255" i="7"/>
  <c r="H3256" i="7"/>
  <c r="H3257" i="7"/>
  <c r="H3258" i="7"/>
  <c r="H3259" i="7"/>
  <c r="H3260" i="7"/>
  <c r="H3261" i="7"/>
  <c r="H3262" i="7"/>
  <c r="H3263" i="7"/>
  <c r="H3264" i="7"/>
  <c r="H3265" i="7"/>
  <c r="H3266" i="7"/>
  <c r="H3267" i="7"/>
  <c r="H3268" i="7"/>
  <c r="H3269" i="7"/>
  <c r="H3270" i="7"/>
  <c r="H3271" i="7"/>
  <c r="H3272" i="7"/>
  <c r="H3273" i="7"/>
  <c r="H3274" i="7"/>
  <c r="H3275" i="7"/>
  <c r="H3276" i="7"/>
  <c r="H3277" i="7"/>
  <c r="H3278" i="7"/>
  <c r="H3279" i="7"/>
  <c r="H3280" i="7"/>
  <c r="H3281" i="7"/>
  <c r="H3282" i="7"/>
  <c r="H3283" i="7"/>
  <c r="H3284" i="7"/>
  <c r="H3285" i="7"/>
  <c r="H3286" i="7"/>
  <c r="H3287" i="7"/>
  <c r="H3288" i="7"/>
  <c r="H3289" i="7"/>
  <c r="H3290" i="7"/>
  <c r="H3291" i="7"/>
  <c r="H3292" i="7"/>
  <c r="H3293" i="7"/>
  <c r="H3294" i="7"/>
  <c r="H3295" i="7"/>
  <c r="H3296" i="7"/>
  <c r="H3297" i="7"/>
  <c r="H3298" i="7"/>
  <c r="H3299" i="7"/>
  <c r="H3300" i="7"/>
  <c r="H3301" i="7"/>
  <c r="H3302" i="7"/>
  <c r="H3303" i="7"/>
  <c r="H3304" i="7"/>
  <c r="H3305" i="7"/>
  <c r="H3306" i="7"/>
  <c r="H3307" i="7"/>
  <c r="H3308" i="7"/>
  <c r="H3309" i="7"/>
  <c r="H3310" i="7"/>
  <c r="H3311" i="7"/>
  <c r="H3312" i="7"/>
  <c r="H3313" i="7"/>
  <c r="H3314" i="7"/>
  <c r="H3315" i="7"/>
  <c r="H3316" i="7"/>
  <c r="H3317" i="7"/>
  <c r="H3318" i="7"/>
  <c r="H3319" i="7"/>
  <c r="H3320" i="7"/>
  <c r="H3321" i="7"/>
  <c r="H3322" i="7"/>
  <c r="H3323" i="7"/>
  <c r="H3324" i="7"/>
  <c r="H3325" i="7"/>
  <c r="H3326" i="7"/>
  <c r="H3327" i="7"/>
  <c r="H3328" i="7"/>
  <c r="H3329" i="7"/>
  <c r="H3330" i="7"/>
  <c r="H3331" i="7"/>
  <c r="H3332" i="7"/>
  <c r="H3333" i="7"/>
  <c r="H3334" i="7"/>
  <c r="H3335" i="7"/>
  <c r="H3336" i="7"/>
  <c r="H3337" i="7"/>
  <c r="H3338" i="7"/>
  <c r="H3339" i="7"/>
  <c r="H3340" i="7"/>
  <c r="H3341" i="7"/>
  <c r="H3342" i="7"/>
  <c r="H3343" i="7"/>
  <c r="H3344" i="7"/>
  <c r="H3345" i="7"/>
  <c r="H3346" i="7"/>
  <c r="H3347" i="7"/>
  <c r="H3348" i="7"/>
  <c r="H3349" i="7"/>
  <c r="H3350" i="7"/>
  <c r="H3351" i="7"/>
  <c r="H3352" i="7"/>
  <c r="H3353" i="7"/>
  <c r="H3354" i="7"/>
  <c r="H3355" i="7"/>
  <c r="H3356" i="7"/>
  <c r="H3357" i="7"/>
  <c r="H3358" i="7"/>
  <c r="H3359" i="7"/>
  <c r="H3360" i="7"/>
  <c r="H3361" i="7"/>
  <c r="H3362" i="7"/>
  <c r="H3363" i="7"/>
  <c r="H3364" i="7"/>
  <c r="H3365" i="7"/>
  <c r="H3366" i="7"/>
  <c r="H3367" i="7"/>
  <c r="H3368" i="7"/>
  <c r="H3369" i="7"/>
  <c r="H3370" i="7"/>
  <c r="H3371" i="7"/>
  <c r="H3372" i="7"/>
  <c r="H3373" i="7"/>
  <c r="H3374" i="7"/>
  <c r="H3375" i="7"/>
  <c r="H3376" i="7"/>
  <c r="H3377" i="7"/>
  <c r="H3378" i="7"/>
  <c r="H3379" i="7"/>
  <c r="H3380" i="7"/>
  <c r="H3381" i="7"/>
  <c r="H3382" i="7"/>
  <c r="H3383" i="7"/>
  <c r="H3384" i="7"/>
  <c r="H3385" i="7"/>
  <c r="H3386" i="7"/>
  <c r="H3387" i="7"/>
  <c r="H3388" i="7"/>
  <c r="H3389" i="7"/>
  <c r="H3390" i="7"/>
  <c r="H3391" i="7"/>
  <c r="H3392" i="7"/>
  <c r="H3393" i="7"/>
  <c r="H3394" i="7"/>
  <c r="H3395" i="7"/>
  <c r="H3396" i="7"/>
  <c r="H3397" i="7"/>
  <c r="H3398" i="7"/>
  <c r="H3399" i="7"/>
  <c r="H3400" i="7"/>
  <c r="H3401" i="7"/>
  <c r="H3402" i="7"/>
  <c r="H3403" i="7"/>
  <c r="H3404" i="7"/>
  <c r="H3405" i="7"/>
  <c r="H3406" i="7"/>
  <c r="H3407" i="7"/>
  <c r="H3408" i="7"/>
  <c r="H3409" i="7"/>
  <c r="H3410" i="7"/>
  <c r="H3411" i="7"/>
  <c r="H3412" i="7"/>
  <c r="H3413" i="7"/>
  <c r="H3414" i="7"/>
  <c r="H3415" i="7"/>
  <c r="H3416" i="7"/>
  <c r="H3417" i="7"/>
  <c r="H3418" i="7"/>
  <c r="H3419" i="7"/>
  <c r="H3420" i="7"/>
  <c r="H3421" i="7"/>
  <c r="H3422" i="7"/>
  <c r="H3423" i="7"/>
  <c r="H3424" i="7"/>
  <c r="H3425" i="7"/>
  <c r="H3426" i="7"/>
  <c r="H3427" i="7"/>
  <c r="H3428" i="7"/>
  <c r="H3429" i="7"/>
  <c r="H3430" i="7"/>
  <c r="H3431" i="7"/>
  <c r="H3432" i="7"/>
  <c r="H3433" i="7"/>
  <c r="H3434" i="7"/>
  <c r="H3435" i="7"/>
  <c r="H3436" i="7"/>
  <c r="H3437" i="7"/>
  <c r="H3438" i="7"/>
  <c r="H3439" i="7"/>
  <c r="H3440" i="7"/>
  <c r="H3441" i="7"/>
  <c r="H3442" i="7"/>
  <c r="H3443" i="7"/>
  <c r="H3444" i="7"/>
  <c r="H3445" i="7"/>
  <c r="H3446" i="7"/>
  <c r="H3447" i="7"/>
  <c r="H3448" i="7"/>
  <c r="H3449" i="7"/>
  <c r="H3450" i="7"/>
  <c r="H3451" i="7"/>
  <c r="H3452" i="7"/>
  <c r="H3453" i="7"/>
  <c r="H3454" i="7"/>
  <c r="H3455" i="7"/>
  <c r="H3456" i="7"/>
  <c r="H3457" i="7"/>
  <c r="H3458" i="7"/>
  <c r="H3459" i="7"/>
  <c r="H3460" i="7"/>
  <c r="H3461" i="7"/>
  <c r="H3462" i="7"/>
  <c r="H3463" i="7"/>
  <c r="H3464" i="7"/>
  <c r="H3465" i="7"/>
  <c r="H3466" i="7"/>
  <c r="H3467" i="7"/>
  <c r="H3468" i="7"/>
  <c r="H3469" i="7"/>
  <c r="H3470" i="7"/>
  <c r="H3471" i="7"/>
  <c r="H3472" i="7"/>
  <c r="H3473" i="7"/>
  <c r="H3474" i="7"/>
  <c r="H3475" i="7"/>
  <c r="H3476" i="7"/>
  <c r="H3477" i="7"/>
  <c r="H3478" i="7"/>
  <c r="H3479" i="7"/>
  <c r="H3480" i="7"/>
  <c r="H3481" i="7"/>
  <c r="H3482" i="7"/>
  <c r="H3483" i="7"/>
  <c r="H3484" i="7"/>
  <c r="H3485" i="7"/>
  <c r="H3486" i="7"/>
  <c r="H3487" i="7"/>
  <c r="H3488" i="7"/>
  <c r="H3489" i="7"/>
  <c r="H3490" i="7"/>
  <c r="H3491" i="7"/>
  <c r="H3492" i="7"/>
  <c r="H3493" i="7"/>
  <c r="H3494" i="7"/>
  <c r="H3495" i="7"/>
  <c r="H3496" i="7"/>
  <c r="H3497" i="7"/>
  <c r="H3498" i="7"/>
  <c r="H3499" i="7"/>
  <c r="H3500" i="7"/>
  <c r="H3501" i="7"/>
  <c r="H3502" i="7"/>
  <c r="H3503" i="7"/>
  <c r="H3504" i="7"/>
  <c r="H3505" i="7"/>
  <c r="H3506" i="7"/>
  <c r="H3507" i="7"/>
  <c r="H3508" i="7"/>
  <c r="H3509" i="7"/>
  <c r="H3510" i="7"/>
  <c r="H3511" i="7"/>
  <c r="H3512" i="7"/>
  <c r="H3513" i="7"/>
  <c r="H3514" i="7"/>
  <c r="H3515" i="7"/>
  <c r="H3516" i="7"/>
  <c r="H3517" i="7"/>
  <c r="H3518" i="7"/>
  <c r="H3519" i="7"/>
  <c r="H3520" i="7"/>
  <c r="H3521" i="7"/>
  <c r="H3522" i="7"/>
  <c r="H3523" i="7"/>
  <c r="H3524" i="7"/>
  <c r="H3525" i="7"/>
  <c r="H3526" i="7"/>
  <c r="H3527" i="7"/>
  <c r="H3528" i="7"/>
  <c r="H3529" i="7"/>
  <c r="H3530" i="7"/>
  <c r="H3531" i="7"/>
  <c r="H3532" i="7"/>
  <c r="H3533" i="7"/>
  <c r="H3534" i="7"/>
  <c r="H3535" i="7"/>
  <c r="H3536" i="7"/>
  <c r="H3537" i="7"/>
  <c r="H3538" i="7"/>
  <c r="H3539" i="7"/>
  <c r="H3540" i="7"/>
  <c r="H3541" i="7"/>
  <c r="H3542" i="7"/>
  <c r="H3543" i="7"/>
  <c r="H3544" i="7"/>
  <c r="H3545" i="7"/>
  <c r="H3546" i="7"/>
  <c r="H3547" i="7"/>
  <c r="H3548" i="7"/>
  <c r="H3549" i="7"/>
  <c r="H3550" i="7"/>
  <c r="H3551" i="7"/>
  <c r="H3552" i="7"/>
  <c r="H3553" i="7"/>
  <c r="H3554" i="7"/>
  <c r="H3555" i="7"/>
  <c r="H3556" i="7"/>
  <c r="H3557" i="7"/>
  <c r="H3558" i="7"/>
  <c r="H3559" i="7"/>
  <c r="H3560" i="7"/>
  <c r="H3561" i="7"/>
  <c r="H3562" i="7"/>
  <c r="H3563" i="7"/>
  <c r="H3564" i="7"/>
  <c r="H3565" i="7"/>
  <c r="H3566" i="7"/>
  <c r="H3567" i="7"/>
  <c r="H3568" i="7"/>
  <c r="H3569" i="7"/>
  <c r="H3570" i="7"/>
  <c r="H3571" i="7"/>
  <c r="H3572" i="7"/>
  <c r="H3573" i="7"/>
  <c r="H3574" i="7"/>
  <c r="H3575" i="7"/>
  <c r="H3576" i="7"/>
  <c r="H3577" i="7"/>
  <c r="H3578" i="7"/>
  <c r="H3579" i="7"/>
  <c r="H3580" i="7"/>
  <c r="H3581" i="7"/>
  <c r="H3582" i="7"/>
  <c r="H3583" i="7"/>
  <c r="H3584" i="7"/>
  <c r="H3585" i="7"/>
  <c r="H3586" i="7"/>
  <c r="H3587" i="7"/>
  <c r="H3588" i="7"/>
  <c r="H3589" i="7"/>
  <c r="H3590" i="7"/>
  <c r="H3591" i="7"/>
  <c r="H3592" i="7"/>
  <c r="H3593" i="7"/>
  <c r="H3594" i="7"/>
  <c r="H3595" i="7"/>
  <c r="H3596" i="7"/>
  <c r="H3597" i="7"/>
  <c r="H3598" i="7"/>
  <c r="H3599" i="7"/>
  <c r="H3600" i="7"/>
  <c r="H3601" i="7"/>
  <c r="H3602" i="7"/>
  <c r="H3603" i="7"/>
  <c r="H3604" i="7"/>
  <c r="H3605" i="7"/>
  <c r="H3606" i="7"/>
  <c r="H3607" i="7"/>
  <c r="H3608" i="7"/>
  <c r="H3609" i="7"/>
  <c r="H3610" i="7"/>
  <c r="H3611" i="7"/>
  <c r="H3612" i="7"/>
  <c r="H3613" i="7"/>
  <c r="H3614" i="7"/>
  <c r="H3615" i="7"/>
  <c r="H3616" i="7"/>
  <c r="H3617" i="7"/>
  <c r="H3618" i="7"/>
  <c r="H3619" i="7"/>
  <c r="H3620" i="7"/>
  <c r="H3621" i="7"/>
  <c r="H3622" i="7"/>
  <c r="H3623" i="7"/>
  <c r="H3624" i="7"/>
  <c r="H3625" i="7"/>
  <c r="H3626" i="7"/>
  <c r="H3627" i="7"/>
  <c r="H3628" i="7"/>
  <c r="H3629" i="7"/>
  <c r="H3630" i="7"/>
  <c r="H3631" i="7"/>
  <c r="H3632" i="7"/>
  <c r="H3633" i="7"/>
  <c r="H3634" i="7"/>
  <c r="H3635" i="7"/>
  <c r="H3636" i="7"/>
  <c r="H3637" i="7"/>
  <c r="H3638" i="7"/>
  <c r="H3639" i="7"/>
  <c r="H3640" i="7"/>
  <c r="H3641" i="7"/>
  <c r="H3642" i="7"/>
  <c r="H3643" i="7"/>
  <c r="H3644" i="7"/>
  <c r="H3645" i="7"/>
  <c r="H3646" i="7"/>
  <c r="H3647" i="7"/>
  <c r="H3648" i="7"/>
  <c r="H3649" i="7"/>
  <c r="H3650" i="7"/>
  <c r="H3651" i="7"/>
  <c r="H3652" i="7"/>
  <c r="H3653" i="7"/>
  <c r="H3654" i="7"/>
  <c r="H3655" i="7"/>
  <c r="H3656" i="7"/>
  <c r="H3657" i="7"/>
  <c r="H3658" i="7"/>
  <c r="H3659" i="7"/>
  <c r="H3660" i="7"/>
  <c r="H3661" i="7"/>
  <c r="H3662" i="7"/>
  <c r="H3663" i="7"/>
  <c r="H3664" i="7"/>
  <c r="H3665" i="7"/>
  <c r="H3666" i="7"/>
  <c r="H3667" i="7"/>
  <c r="H3668" i="7"/>
  <c r="H3669" i="7"/>
  <c r="H3670" i="7"/>
  <c r="H3671" i="7"/>
  <c r="H3672" i="7"/>
  <c r="H3673" i="7"/>
  <c r="H3674" i="7"/>
  <c r="H3675" i="7"/>
  <c r="H3676" i="7"/>
  <c r="H3677" i="7"/>
  <c r="H3678" i="7"/>
  <c r="H3679" i="7"/>
  <c r="H3680" i="7"/>
  <c r="H3681" i="7"/>
  <c r="H3682" i="7"/>
  <c r="H3683" i="7"/>
  <c r="H3684" i="7"/>
  <c r="H3685" i="7"/>
  <c r="H3686" i="7"/>
  <c r="H3687" i="7"/>
  <c r="H3688" i="7"/>
  <c r="H3689" i="7"/>
  <c r="H3690" i="7"/>
  <c r="H3691" i="7"/>
  <c r="H3692" i="7"/>
  <c r="H3693" i="7"/>
  <c r="H3694" i="7"/>
  <c r="H3695" i="7"/>
  <c r="H3696" i="7"/>
  <c r="H3697" i="7"/>
  <c r="H3698" i="7"/>
  <c r="H3699" i="7"/>
  <c r="H3700" i="7"/>
  <c r="H3701" i="7"/>
  <c r="H3702" i="7"/>
  <c r="H3703" i="7"/>
  <c r="H3704" i="7"/>
  <c r="H3705" i="7"/>
  <c r="H3706" i="7"/>
  <c r="H3707" i="7"/>
  <c r="H3708" i="7"/>
  <c r="H3709" i="7"/>
  <c r="H3710" i="7"/>
  <c r="H3711" i="7"/>
  <c r="H3712" i="7"/>
  <c r="H3713" i="7"/>
  <c r="H3714" i="7"/>
  <c r="H3715" i="7"/>
  <c r="H3716" i="7"/>
  <c r="H3717" i="7"/>
  <c r="H3718" i="7"/>
  <c r="H3719" i="7"/>
  <c r="H3720" i="7"/>
  <c r="H3721" i="7"/>
  <c r="H3722" i="7"/>
  <c r="H3723" i="7"/>
  <c r="H3724" i="7"/>
  <c r="H3725" i="7"/>
  <c r="H3726" i="7"/>
  <c r="H3727" i="7"/>
  <c r="H3728" i="7"/>
  <c r="H3729" i="7"/>
  <c r="H3730" i="7"/>
  <c r="H3731" i="7"/>
  <c r="H3732" i="7"/>
  <c r="H3733" i="7"/>
  <c r="H3734" i="7"/>
  <c r="H3735" i="7"/>
  <c r="H3736" i="7"/>
  <c r="H3737" i="7"/>
  <c r="H3738" i="7"/>
  <c r="H3739" i="7"/>
  <c r="H3740" i="7"/>
  <c r="H3741" i="7"/>
  <c r="H3742" i="7"/>
  <c r="H3743" i="7"/>
  <c r="H3744" i="7"/>
  <c r="H3745" i="7"/>
  <c r="H3746" i="7"/>
  <c r="H3747" i="7"/>
  <c r="H3748" i="7"/>
  <c r="H3749" i="7"/>
  <c r="H3750" i="7"/>
  <c r="H3751" i="7"/>
  <c r="H3752" i="7"/>
  <c r="H3753" i="7"/>
  <c r="H3754" i="7"/>
  <c r="H3755" i="7"/>
  <c r="H3756" i="7"/>
  <c r="H3757" i="7"/>
  <c r="H3758" i="7"/>
  <c r="H3759" i="7"/>
  <c r="H3760" i="7"/>
  <c r="H3761" i="7"/>
  <c r="H3762" i="7"/>
  <c r="H3763" i="7"/>
  <c r="H3764" i="7"/>
  <c r="H3765" i="7"/>
  <c r="H3766" i="7"/>
  <c r="H3767" i="7"/>
  <c r="H3768" i="7"/>
  <c r="H3769" i="7"/>
  <c r="H3770" i="7"/>
  <c r="H3771" i="7"/>
  <c r="H3772" i="7"/>
  <c r="H3773" i="7"/>
  <c r="H3774" i="7"/>
  <c r="H3775" i="7"/>
  <c r="H3776" i="7"/>
  <c r="H3777" i="7"/>
  <c r="H3778" i="7"/>
  <c r="H3779" i="7"/>
  <c r="H3780" i="7"/>
  <c r="H3781" i="7"/>
  <c r="H3782" i="7"/>
  <c r="H3783" i="7"/>
  <c r="H3784" i="7"/>
  <c r="H3785" i="7"/>
  <c r="H3786" i="7"/>
  <c r="H3787" i="7"/>
  <c r="H3788" i="7"/>
  <c r="H3789" i="7"/>
  <c r="H3790" i="7"/>
  <c r="H3791" i="7"/>
  <c r="H3792" i="7"/>
  <c r="H3793" i="7"/>
  <c r="H3794" i="7"/>
  <c r="H3795" i="7"/>
  <c r="H3796" i="7"/>
  <c r="H3797" i="7"/>
  <c r="H3798" i="7"/>
  <c r="H3799" i="7"/>
  <c r="H3800" i="7"/>
  <c r="H3801" i="7"/>
  <c r="H3802" i="7"/>
  <c r="H3803" i="7"/>
  <c r="H3804" i="7"/>
  <c r="H3805" i="7"/>
  <c r="H3806" i="7"/>
  <c r="H3807" i="7"/>
  <c r="H3808" i="7"/>
  <c r="H3809" i="7"/>
  <c r="H3810" i="7"/>
  <c r="H3811" i="7"/>
  <c r="H3812" i="7"/>
  <c r="H3813" i="7"/>
  <c r="H3814" i="7"/>
  <c r="H3815" i="7"/>
  <c r="H3816" i="7"/>
  <c r="H3817" i="7"/>
  <c r="H3818" i="7"/>
  <c r="H3819" i="7"/>
  <c r="H3820" i="7"/>
  <c r="H3821" i="7"/>
  <c r="H3822" i="7"/>
  <c r="H3823" i="7"/>
  <c r="H3824" i="7"/>
  <c r="H3825" i="7"/>
  <c r="H3826" i="7"/>
  <c r="H3827" i="7"/>
  <c r="H3828" i="7"/>
  <c r="H3829" i="7"/>
  <c r="H3830" i="7"/>
  <c r="H3831" i="7"/>
  <c r="H3832" i="7"/>
  <c r="H3833" i="7"/>
  <c r="H3834" i="7"/>
  <c r="H3835" i="7"/>
  <c r="H3836" i="7"/>
  <c r="H3837" i="7"/>
  <c r="H3838" i="7"/>
  <c r="H3839" i="7"/>
  <c r="H3840" i="7"/>
  <c r="H3841" i="7"/>
  <c r="H3842" i="7"/>
  <c r="H3843" i="7"/>
  <c r="H3844" i="7"/>
  <c r="H3845" i="7"/>
  <c r="H3846" i="7"/>
  <c r="H3847" i="7"/>
  <c r="H3848" i="7"/>
  <c r="H3849" i="7"/>
  <c r="H3850" i="7"/>
  <c r="H3851" i="7"/>
  <c r="H3852" i="7"/>
  <c r="H3853" i="7"/>
  <c r="H3854" i="7"/>
  <c r="H3855" i="7"/>
  <c r="H3856" i="7"/>
  <c r="H3857" i="7"/>
  <c r="H3858" i="7"/>
  <c r="H3859" i="7"/>
  <c r="H3860" i="7"/>
  <c r="H3861" i="7"/>
  <c r="H3862" i="7"/>
  <c r="H3863" i="7"/>
  <c r="H3864" i="7"/>
  <c r="H3865" i="7"/>
  <c r="H3866" i="7"/>
  <c r="H3867" i="7"/>
  <c r="H3868" i="7"/>
  <c r="H3869" i="7"/>
  <c r="H3870" i="7"/>
  <c r="H3871" i="7"/>
  <c r="H3872" i="7"/>
  <c r="H3873" i="7"/>
  <c r="H3874" i="7"/>
  <c r="H3875" i="7"/>
  <c r="H3876" i="7"/>
  <c r="H3877" i="7"/>
  <c r="H3878" i="7"/>
  <c r="H3879" i="7"/>
  <c r="H3880" i="7"/>
  <c r="H3881" i="7"/>
  <c r="H3882" i="7"/>
  <c r="H3883" i="7"/>
  <c r="H3884" i="7"/>
  <c r="H3885" i="7"/>
  <c r="H3886" i="7"/>
  <c r="H3887" i="7"/>
  <c r="H3888" i="7"/>
  <c r="H3889" i="7"/>
  <c r="H3890" i="7"/>
  <c r="H3891" i="7"/>
  <c r="H3892" i="7"/>
  <c r="H3893" i="7"/>
  <c r="H3894" i="7"/>
  <c r="H3895" i="7"/>
  <c r="H3896" i="7"/>
  <c r="H3897" i="7"/>
  <c r="H3898" i="7"/>
  <c r="H3899" i="7"/>
  <c r="H3900" i="7"/>
  <c r="H3901" i="7"/>
  <c r="H3902" i="7"/>
  <c r="H3903" i="7"/>
  <c r="H3904" i="7"/>
  <c r="H3905" i="7"/>
  <c r="H3906" i="7"/>
  <c r="H3907" i="7"/>
  <c r="H3908" i="7"/>
  <c r="H3909" i="7"/>
  <c r="H3910" i="7"/>
  <c r="H3911" i="7"/>
  <c r="H3912" i="7"/>
  <c r="H3913" i="7"/>
  <c r="H3914" i="7"/>
  <c r="H3915" i="7"/>
  <c r="H3916" i="7"/>
  <c r="H3917" i="7"/>
  <c r="H3918" i="7"/>
  <c r="H3919" i="7"/>
  <c r="H3920" i="7"/>
  <c r="H3921" i="7"/>
  <c r="H3922" i="7"/>
  <c r="H3923" i="7"/>
  <c r="H3924" i="7"/>
  <c r="H3925" i="7"/>
  <c r="H3926" i="7"/>
  <c r="H3927" i="7"/>
  <c r="H3928" i="7"/>
  <c r="H3929" i="7"/>
  <c r="H3930" i="7"/>
  <c r="H3931" i="7"/>
  <c r="H3932" i="7"/>
  <c r="H3933" i="7"/>
  <c r="H3934" i="7"/>
  <c r="H3935" i="7"/>
  <c r="H3936" i="7"/>
  <c r="H3937" i="7"/>
  <c r="H3938" i="7"/>
  <c r="H3939" i="7"/>
  <c r="H3940" i="7"/>
  <c r="H3941" i="7"/>
  <c r="H3942" i="7"/>
  <c r="H3943" i="7"/>
  <c r="H3944" i="7"/>
  <c r="H3945" i="7"/>
  <c r="H3946" i="7"/>
  <c r="H3947" i="7"/>
  <c r="H3948" i="7"/>
  <c r="H3949" i="7"/>
  <c r="H3950" i="7"/>
  <c r="H3951" i="7"/>
  <c r="H3952" i="7"/>
  <c r="H3953" i="7"/>
  <c r="H3954" i="7"/>
  <c r="H3955" i="7"/>
  <c r="H3956" i="7"/>
  <c r="H3957" i="7"/>
  <c r="H3958" i="7"/>
  <c r="H3959" i="7"/>
  <c r="H3960" i="7"/>
  <c r="H3961" i="7"/>
  <c r="H3962" i="7"/>
  <c r="H3963" i="7"/>
  <c r="H3964" i="7"/>
  <c r="H3965" i="7"/>
  <c r="H3966" i="7"/>
  <c r="H3967" i="7"/>
  <c r="H3968" i="7"/>
  <c r="H3969" i="7"/>
  <c r="H3970" i="7"/>
  <c r="H3971" i="7"/>
  <c r="H3972" i="7"/>
  <c r="H3973" i="7"/>
  <c r="H3974" i="7"/>
  <c r="H3975" i="7"/>
  <c r="H3976" i="7"/>
  <c r="H3977" i="7"/>
  <c r="H3978" i="7"/>
  <c r="H3979" i="7"/>
  <c r="H3980" i="7"/>
  <c r="H3981" i="7"/>
  <c r="H3982" i="7"/>
  <c r="H3983" i="7"/>
  <c r="H3984" i="7"/>
  <c r="H3985" i="7"/>
  <c r="H3986" i="7"/>
  <c r="H3987" i="7"/>
  <c r="H3988" i="7"/>
  <c r="H3989" i="7"/>
  <c r="H3990" i="7"/>
  <c r="H3991" i="7"/>
  <c r="H3992" i="7"/>
  <c r="H3993" i="7"/>
  <c r="H3994" i="7"/>
  <c r="H3995" i="7"/>
  <c r="H3996" i="7"/>
  <c r="H3997" i="7"/>
  <c r="H3998" i="7"/>
  <c r="H3999" i="7"/>
  <c r="H4000" i="7"/>
  <c r="H4001" i="7"/>
  <c r="H4002" i="7"/>
  <c r="H4003" i="7"/>
  <c r="H4004" i="7"/>
  <c r="H4005" i="7"/>
  <c r="H4006" i="7"/>
  <c r="H4007" i="7"/>
  <c r="H4008" i="7"/>
  <c r="H4009" i="7"/>
  <c r="H4010" i="7"/>
  <c r="H4011" i="7"/>
  <c r="H4012" i="7"/>
  <c r="H4013" i="7"/>
  <c r="H4014" i="7"/>
  <c r="H4015" i="7"/>
  <c r="H4016" i="7"/>
  <c r="H4017" i="7"/>
  <c r="H4018" i="7"/>
  <c r="H4019" i="7"/>
  <c r="H4020" i="7"/>
  <c r="H4021" i="7"/>
  <c r="H4022" i="7"/>
  <c r="H4023" i="7"/>
  <c r="H4024" i="7"/>
  <c r="H4025" i="7"/>
  <c r="H4026" i="7"/>
  <c r="H4027" i="7"/>
  <c r="H4028" i="7"/>
  <c r="H4029" i="7"/>
  <c r="H4030" i="7"/>
  <c r="H4031" i="7"/>
  <c r="H4032" i="7"/>
  <c r="H4033" i="7"/>
  <c r="H4034" i="7"/>
  <c r="H4035" i="7"/>
  <c r="H4036" i="7"/>
  <c r="H4037" i="7"/>
  <c r="H4038" i="7"/>
  <c r="H4039" i="7"/>
  <c r="H4040" i="7"/>
  <c r="H4041" i="7"/>
  <c r="H4042" i="7"/>
  <c r="H4043" i="7"/>
  <c r="H4044" i="7"/>
  <c r="H4045" i="7"/>
  <c r="H4046" i="7"/>
  <c r="H4047" i="7"/>
  <c r="H4048" i="7"/>
  <c r="H4049" i="7"/>
  <c r="H4050" i="7"/>
  <c r="H4051" i="7"/>
  <c r="H4052" i="7"/>
  <c r="H4053" i="7"/>
  <c r="H4054" i="7"/>
  <c r="H4055" i="7"/>
  <c r="H4056" i="7"/>
  <c r="H4057" i="7"/>
  <c r="H4058" i="7"/>
  <c r="H4059" i="7"/>
  <c r="H4060" i="7"/>
  <c r="H4061" i="7"/>
  <c r="H4062" i="7"/>
  <c r="H4063" i="7"/>
  <c r="H4064" i="7"/>
  <c r="H4065" i="7"/>
  <c r="H4066" i="7"/>
  <c r="H4067" i="7"/>
  <c r="H4068" i="7"/>
  <c r="H4069" i="7"/>
  <c r="H4070" i="7"/>
  <c r="H4071" i="7"/>
  <c r="H4072" i="7"/>
  <c r="H4073" i="7"/>
  <c r="H4074" i="7"/>
  <c r="H4075" i="7"/>
  <c r="H4076" i="7"/>
  <c r="H4077" i="7"/>
  <c r="H4078" i="7"/>
  <c r="H4079" i="7"/>
  <c r="H4080" i="7"/>
  <c r="H4081" i="7"/>
  <c r="H4082" i="7"/>
  <c r="H4083" i="7"/>
  <c r="H4084" i="7"/>
  <c r="H4085" i="7"/>
  <c r="H4086" i="7"/>
  <c r="H4087" i="7"/>
  <c r="H4088" i="7"/>
  <c r="H4089" i="7"/>
  <c r="H4090" i="7"/>
  <c r="H4091" i="7"/>
  <c r="H4092" i="7"/>
  <c r="H4093" i="7"/>
  <c r="H4094" i="7"/>
  <c r="H4095" i="7"/>
  <c r="H4096" i="7"/>
  <c r="H4097" i="7"/>
  <c r="H4098" i="7"/>
  <c r="H4099" i="7"/>
  <c r="H4100" i="7"/>
  <c r="H4101" i="7"/>
  <c r="H4102" i="7"/>
  <c r="H4103" i="7"/>
  <c r="H4104" i="7"/>
  <c r="H4105" i="7"/>
  <c r="H4106" i="7"/>
  <c r="H4107" i="7"/>
  <c r="H4108" i="7"/>
  <c r="H4109" i="7"/>
  <c r="H4110" i="7"/>
  <c r="H4111" i="7"/>
  <c r="H4112" i="7"/>
  <c r="H4113" i="7"/>
  <c r="H4114" i="7"/>
  <c r="H4115" i="7"/>
  <c r="H4116" i="7"/>
  <c r="H4117" i="7"/>
  <c r="H4118" i="7"/>
  <c r="H4119" i="7"/>
  <c r="H4120" i="7"/>
  <c r="H4121" i="7"/>
  <c r="H4122" i="7"/>
  <c r="H4123" i="7"/>
  <c r="H4124" i="7"/>
  <c r="H4125" i="7"/>
  <c r="H4126" i="7"/>
  <c r="H4127" i="7"/>
  <c r="H4128" i="7"/>
  <c r="H4129" i="7"/>
  <c r="H4130" i="7"/>
  <c r="H4131" i="7"/>
  <c r="H4132" i="7"/>
  <c r="H4133" i="7"/>
  <c r="H4134" i="7"/>
  <c r="H4135" i="7"/>
  <c r="H4136" i="7"/>
  <c r="H4137" i="7"/>
  <c r="H4138" i="7"/>
  <c r="H4139" i="7"/>
  <c r="H4140" i="7"/>
  <c r="H4141" i="7"/>
  <c r="H4142" i="7"/>
  <c r="H4143" i="7"/>
  <c r="H4144" i="7"/>
  <c r="H4145" i="7"/>
  <c r="H4146" i="7"/>
  <c r="H4147" i="7"/>
  <c r="H4148" i="7"/>
  <c r="H4149" i="7"/>
  <c r="H4150" i="7"/>
  <c r="H4151" i="7"/>
  <c r="H4152" i="7"/>
  <c r="H4153" i="7"/>
  <c r="H4154" i="7"/>
  <c r="H4155" i="7"/>
  <c r="H4156" i="7"/>
  <c r="H4157" i="7"/>
  <c r="H4158" i="7"/>
  <c r="H4159" i="7"/>
  <c r="H4160" i="7"/>
  <c r="H4161" i="7"/>
  <c r="H4162" i="7"/>
  <c r="H4163" i="7"/>
  <c r="H4164" i="7"/>
  <c r="H4165" i="7"/>
  <c r="H4166" i="7"/>
  <c r="H4167" i="7"/>
  <c r="H4168" i="7"/>
  <c r="H4169" i="7"/>
  <c r="H4170" i="7"/>
  <c r="H4171" i="7"/>
  <c r="H4172" i="7"/>
  <c r="H4173" i="7"/>
  <c r="H4174" i="7"/>
  <c r="H4175" i="7"/>
  <c r="H4176" i="7"/>
  <c r="H4177" i="7"/>
  <c r="H4178" i="7"/>
  <c r="H4179" i="7"/>
  <c r="H4180" i="7"/>
  <c r="H4181" i="7"/>
  <c r="H4182" i="7"/>
  <c r="H4183" i="7"/>
  <c r="H4184" i="7"/>
  <c r="H4185" i="7"/>
  <c r="H4186" i="7"/>
  <c r="H4187" i="7"/>
  <c r="H4188" i="7"/>
  <c r="H4189" i="7"/>
  <c r="H4190" i="7"/>
  <c r="H4191" i="7"/>
  <c r="H4192" i="7"/>
  <c r="H4193" i="7"/>
  <c r="H4194" i="7"/>
  <c r="H4195" i="7"/>
  <c r="H4196" i="7"/>
  <c r="H4197" i="7"/>
  <c r="H4198" i="7"/>
  <c r="H4199" i="7"/>
  <c r="H4200" i="7"/>
  <c r="H4201" i="7"/>
  <c r="H4202" i="7"/>
  <c r="H4203" i="7"/>
  <c r="H4204" i="7"/>
  <c r="H4205" i="7"/>
  <c r="H4206" i="7"/>
  <c r="H4207" i="7"/>
  <c r="H4208" i="7"/>
  <c r="H4209" i="7"/>
  <c r="H4210" i="7"/>
  <c r="H4211" i="7"/>
  <c r="H4212" i="7"/>
  <c r="H4213" i="7"/>
  <c r="H4214" i="7"/>
  <c r="H4215" i="7"/>
  <c r="H4216" i="7"/>
  <c r="H4217" i="7"/>
  <c r="H4218" i="7"/>
  <c r="H4219" i="7"/>
  <c r="H4220" i="7"/>
  <c r="H4221" i="7"/>
  <c r="H4222" i="7"/>
  <c r="H4223" i="7"/>
  <c r="H4224" i="7"/>
  <c r="H4225" i="7"/>
  <c r="H4226" i="7"/>
  <c r="H4227" i="7"/>
  <c r="H4228" i="7"/>
  <c r="H4229" i="7"/>
  <c r="H4230" i="7"/>
  <c r="H4231" i="7"/>
  <c r="H4232" i="7"/>
  <c r="H4233" i="7"/>
  <c r="H4234" i="7"/>
  <c r="H4235" i="7"/>
  <c r="H4236" i="7"/>
  <c r="H4237" i="7"/>
  <c r="H4238" i="7"/>
  <c r="H4239" i="7"/>
  <c r="H4240" i="7"/>
  <c r="H4241" i="7"/>
  <c r="H4242" i="7"/>
  <c r="H4243" i="7"/>
  <c r="H4244" i="7"/>
  <c r="H4245" i="7"/>
  <c r="H4246" i="7"/>
  <c r="H4247" i="7"/>
  <c r="H4248" i="7"/>
  <c r="H4249" i="7"/>
  <c r="H4250" i="7"/>
  <c r="H4251" i="7"/>
  <c r="H4252" i="7"/>
  <c r="H4253" i="7"/>
  <c r="H4254" i="7"/>
  <c r="H4255" i="7"/>
  <c r="H4256" i="7"/>
  <c r="H4257" i="7"/>
  <c r="H4258" i="7"/>
  <c r="H4259" i="7"/>
  <c r="H4260" i="7"/>
  <c r="H4261" i="7"/>
  <c r="H4262" i="7"/>
  <c r="H4263" i="7"/>
  <c r="H4264" i="7"/>
  <c r="H4265" i="7"/>
  <c r="H4266" i="7"/>
  <c r="H4267" i="7"/>
  <c r="H4268" i="7"/>
  <c r="H4269" i="7"/>
  <c r="H4270" i="7"/>
  <c r="H4271" i="7"/>
  <c r="H4272" i="7"/>
  <c r="H4273" i="7"/>
  <c r="H4274" i="7"/>
  <c r="H4275" i="7"/>
  <c r="H4276" i="7"/>
  <c r="H4277" i="7"/>
  <c r="H4278" i="7"/>
  <c r="H4279" i="7"/>
  <c r="H4280" i="7"/>
  <c r="H4281" i="7"/>
  <c r="H4282" i="7"/>
  <c r="H4283" i="7"/>
  <c r="H4284" i="7"/>
  <c r="H4285" i="7"/>
  <c r="H4286" i="7"/>
  <c r="H4287" i="7"/>
  <c r="H4288" i="7"/>
  <c r="H4289" i="7"/>
  <c r="H4290" i="7"/>
  <c r="H4291" i="7"/>
  <c r="H4292" i="7"/>
  <c r="H4293" i="7"/>
  <c r="H4294" i="7"/>
  <c r="H4295" i="7"/>
  <c r="H4296" i="7"/>
  <c r="H4297" i="7"/>
  <c r="H4298" i="7"/>
  <c r="H4299" i="7"/>
  <c r="H4300" i="7"/>
  <c r="H4301" i="7"/>
  <c r="H4302" i="7"/>
  <c r="H4303" i="7"/>
  <c r="H4304" i="7"/>
  <c r="H4305" i="7"/>
  <c r="H4306" i="7"/>
  <c r="H4307" i="7"/>
  <c r="H4308" i="7"/>
  <c r="H4309" i="7"/>
  <c r="H4310" i="7"/>
  <c r="H4311" i="7"/>
  <c r="H4312" i="7"/>
  <c r="H4313" i="7"/>
  <c r="H4314" i="7"/>
  <c r="H4315" i="7"/>
  <c r="H4316" i="7"/>
  <c r="H4317" i="7"/>
  <c r="H4318" i="7"/>
  <c r="H4319" i="7"/>
  <c r="H4320" i="7"/>
  <c r="H4321" i="7"/>
  <c r="H4322" i="7"/>
  <c r="H4323" i="7"/>
  <c r="H4324" i="7"/>
  <c r="H4325" i="7"/>
  <c r="H4326" i="7"/>
  <c r="H4327" i="7"/>
  <c r="H4328" i="7"/>
  <c r="H4329" i="7"/>
  <c r="H4330" i="7"/>
  <c r="H4331" i="7"/>
  <c r="H4332" i="7"/>
  <c r="H4333" i="7"/>
  <c r="H4334" i="7"/>
  <c r="H4335" i="7"/>
  <c r="H4336" i="7"/>
  <c r="H4337" i="7"/>
  <c r="H4338" i="7"/>
  <c r="H4339" i="7"/>
  <c r="H4340" i="7"/>
  <c r="H4341" i="7"/>
  <c r="H4342" i="7"/>
  <c r="H4343" i="7"/>
  <c r="H4344" i="7"/>
  <c r="H4345" i="7"/>
  <c r="H4346" i="7"/>
  <c r="H4347" i="7"/>
  <c r="H4348" i="7"/>
  <c r="H4349" i="7"/>
  <c r="H4350" i="7"/>
  <c r="H4351" i="7"/>
  <c r="H4352" i="7"/>
  <c r="H4353" i="7"/>
  <c r="H4354" i="7"/>
  <c r="H4355" i="7"/>
  <c r="H4356" i="7"/>
  <c r="H4357" i="7"/>
  <c r="H4358" i="7"/>
  <c r="H4359" i="7"/>
  <c r="H4360" i="7"/>
  <c r="H4361" i="7"/>
  <c r="H4362" i="7"/>
  <c r="H4363" i="7"/>
  <c r="H4364" i="7"/>
  <c r="H4365" i="7"/>
  <c r="H4366" i="7"/>
  <c r="H4367" i="7"/>
  <c r="H4368" i="7"/>
  <c r="H4369" i="7"/>
  <c r="H4370" i="7"/>
  <c r="H4371" i="7"/>
  <c r="H4372" i="7"/>
  <c r="H4373" i="7"/>
  <c r="H4374" i="7"/>
  <c r="H4375" i="7"/>
  <c r="H4376" i="7"/>
  <c r="H4377" i="7"/>
  <c r="H4378" i="7"/>
  <c r="H4379" i="7"/>
  <c r="H4380" i="7"/>
  <c r="H4381" i="7"/>
  <c r="H4382" i="7"/>
  <c r="H4383" i="7"/>
  <c r="H4384" i="7"/>
  <c r="H4385" i="7"/>
  <c r="H4386" i="7"/>
  <c r="H4387" i="7"/>
  <c r="H4388" i="7"/>
  <c r="H4389" i="7"/>
  <c r="H4390" i="7"/>
  <c r="H4391" i="7"/>
  <c r="H4392" i="7"/>
  <c r="H4393" i="7"/>
  <c r="H4394" i="7"/>
  <c r="H4395" i="7"/>
  <c r="H4396" i="7"/>
  <c r="H4397" i="7"/>
  <c r="H4398" i="7"/>
  <c r="H4399" i="7"/>
  <c r="H4400" i="7"/>
  <c r="H4401" i="7"/>
  <c r="H4402" i="7"/>
  <c r="H4403" i="7"/>
  <c r="H4404" i="7"/>
  <c r="H4405" i="7"/>
  <c r="H4406" i="7"/>
  <c r="H4407" i="7"/>
  <c r="H4408" i="7"/>
  <c r="H4409" i="7"/>
  <c r="H4410" i="7"/>
  <c r="H4411" i="7"/>
  <c r="H4412" i="7"/>
  <c r="H4413" i="7"/>
  <c r="H4414" i="7"/>
  <c r="H4415" i="7"/>
  <c r="H4416" i="7"/>
  <c r="H4417" i="7"/>
  <c r="H4418" i="7"/>
  <c r="H4419" i="7"/>
  <c r="H4420" i="7"/>
  <c r="H4421" i="7"/>
  <c r="H4422" i="7"/>
  <c r="H4423" i="7"/>
  <c r="H4424" i="7"/>
  <c r="H4425" i="7"/>
  <c r="H4426" i="7"/>
  <c r="H4427" i="7"/>
  <c r="H4428" i="7"/>
  <c r="H4429" i="7"/>
  <c r="H4430" i="7"/>
  <c r="H4431" i="7"/>
  <c r="H4432" i="7"/>
  <c r="H4433" i="7"/>
  <c r="H4434" i="7"/>
  <c r="H4435" i="7"/>
  <c r="H4436" i="7"/>
  <c r="H4437" i="7"/>
  <c r="H4438" i="7"/>
  <c r="H4439" i="7"/>
  <c r="H4440" i="7"/>
  <c r="H4441" i="7"/>
  <c r="H4442" i="7"/>
  <c r="H4443" i="7"/>
  <c r="H4444" i="7"/>
  <c r="H4445" i="7"/>
  <c r="H4446" i="7"/>
  <c r="H4447" i="7"/>
  <c r="H4448" i="7"/>
  <c r="H4449" i="7"/>
  <c r="H4450" i="7"/>
  <c r="H4451" i="7"/>
  <c r="H4452" i="7"/>
  <c r="H4453" i="7"/>
  <c r="H4454" i="7"/>
  <c r="H4455" i="7"/>
  <c r="H4456" i="7"/>
  <c r="H4457" i="7"/>
  <c r="H4458" i="7"/>
  <c r="H4459" i="7"/>
  <c r="H4460" i="7"/>
  <c r="H4461" i="7"/>
  <c r="H4462" i="7"/>
  <c r="H4463" i="7"/>
  <c r="H4464" i="7"/>
  <c r="H4465" i="7"/>
  <c r="H4466" i="7"/>
  <c r="H4467" i="7"/>
  <c r="H4468" i="7"/>
  <c r="H4469" i="7"/>
  <c r="H4470" i="7"/>
  <c r="H4471" i="7"/>
  <c r="H4472" i="7"/>
  <c r="H4473" i="7"/>
  <c r="H4474" i="7"/>
  <c r="H4475" i="7"/>
  <c r="H4476" i="7"/>
  <c r="H4477" i="7"/>
  <c r="H4478" i="7"/>
  <c r="H4479" i="7"/>
  <c r="H4480" i="7"/>
  <c r="H4481" i="7"/>
  <c r="H4482" i="7"/>
  <c r="H4483" i="7"/>
  <c r="H4484" i="7"/>
  <c r="H4485" i="7"/>
  <c r="H4486" i="7"/>
  <c r="H4487" i="7"/>
  <c r="H4488" i="7"/>
  <c r="H4489" i="7"/>
  <c r="H37" i="7"/>
  <c r="O4493" i="7"/>
  <c r="O17" i="7"/>
  <c r="N17" i="7"/>
  <c r="D17" i="7"/>
  <c r="O16" i="7"/>
  <c r="N16" i="7"/>
  <c r="D16" i="7"/>
  <c r="O15" i="7"/>
  <c r="N15" i="7"/>
  <c r="D15" i="7"/>
  <c r="O14" i="7"/>
  <c r="N14" i="7"/>
  <c r="D14" i="7"/>
  <c r="O13" i="7"/>
  <c r="N13" i="7"/>
  <c r="D13" i="7"/>
  <c r="O12" i="7"/>
  <c r="N12" i="7"/>
  <c r="D12" i="7"/>
  <c r="O11" i="7"/>
  <c r="N11" i="7"/>
  <c r="D11" i="7"/>
  <c r="O10" i="7"/>
  <c r="N10" i="7"/>
  <c r="D10" i="7"/>
  <c r="O9" i="7"/>
  <c r="N9" i="7"/>
  <c r="D9" i="7"/>
  <c r="O8" i="7"/>
  <c r="N8" i="7"/>
  <c r="D8" i="7"/>
  <c r="O7" i="7"/>
  <c r="N7" i="7"/>
  <c r="D7" i="7"/>
  <c r="O6" i="7"/>
  <c r="N6" i="7"/>
  <c r="D6" i="7"/>
  <c r="O5" i="7"/>
  <c r="N5" i="7"/>
  <c r="D5" i="7"/>
  <c r="O4" i="7"/>
  <c r="N4" i="7"/>
  <c r="D4" i="7"/>
  <c r="O3" i="7"/>
  <c r="N3" i="7"/>
  <c r="D3" i="7"/>
  <c r="O2" i="7"/>
  <c r="N2" i="7"/>
  <c r="D2" i="7"/>
  <c r="O36" i="7"/>
  <c r="N36" i="7"/>
  <c r="D36" i="7"/>
  <c r="O35" i="7"/>
  <c r="N35" i="7"/>
  <c r="D35" i="7"/>
  <c r="O34" i="7"/>
  <c r="N34" i="7"/>
  <c r="D34" i="7"/>
  <c r="O33" i="7"/>
  <c r="N33" i="7"/>
  <c r="D33" i="7"/>
  <c r="O32" i="7"/>
  <c r="N32" i="7"/>
  <c r="D32" i="7"/>
  <c r="O31" i="7"/>
  <c r="N31" i="7"/>
  <c r="D31" i="7"/>
  <c r="O30" i="7"/>
  <c r="N30" i="7"/>
  <c r="D30" i="7"/>
  <c r="O29" i="7"/>
  <c r="N29" i="7"/>
  <c r="D29" i="7"/>
  <c r="O28" i="7"/>
  <c r="N28" i="7"/>
  <c r="D28" i="7"/>
  <c r="O27" i="7"/>
  <c r="N27" i="7"/>
  <c r="D27" i="7"/>
  <c r="O26" i="7"/>
  <c r="N26" i="7"/>
  <c r="D26" i="7"/>
  <c r="O25" i="7"/>
  <c r="N25" i="7"/>
  <c r="D25" i="7"/>
  <c r="O24" i="7"/>
  <c r="N24" i="7"/>
  <c r="D24" i="7"/>
  <c r="O23" i="7"/>
  <c r="N23" i="7"/>
  <c r="D23" i="7"/>
  <c r="O22" i="7"/>
  <c r="N22" i="7"/>
  <c r="D22" i="7"/>
  <c r="O21" i="7"/>
  <c r="N21" i="7"/>
  <c r="D21" i="7"/>
  <c r="O20" i="7"/>
  <c r="N20" i="7"/>
  <c r="D20" i="7"/>
  <c r="O19" i="7"/>
  <c r="N19" i="7"/>
  <c r="D19" i="7"/>
  <c r="O18" i="7"/>
  <c r="N18" i="7"/>
  <c r="D18" i="7"/>
  <c r="O54" i="7"/>
  <c r="N54" i="7"/>
  <c r="D54" i="7"/>
  <c r="O53" i="7"/>
  <c r="N53" i="7"/>
  <c r="D53" i="7"/>
  <c r="O52" i="7"/>
  <c r="N52" i="7"/>
  <c r="D52" i="7"/>
  <c r="O51" i="7"/>
  <c r="N51" i="7"/>
  <c r="D51" i="7"/>
  <c r="O50" i="7"/>
  <c r="N50" i="7"/>
  <c r="D50" i="7"/>
  <c r="O49" i="7"/>
  <c r="N49" i="7"/>
  <c r="D49" i="7"/>
  <c r="O48" i="7"/>
  <c r="N48" i="7"/>
  <c r="D48" i="7"/>
  <c r="O47" i="7"/>
  <c r="N47" i="7"/>
  <c r="D47" i="7"/>
  <c r="O46" i="7"/>
  <c r="N46" i="7"/>
  <c r="D46" i="7"/>
  <c r="O45" i="7"/>
  <c r="N45" i="7"/>
  <c r="D45" i="7"/>
  <c r="O44" i="7"/>
  <c r="N44" i="7"/>
  <c r="D44" i="7"/>
  <c r="O43" i="7"/>
  <c r="N43" i="7"/>
  <c r="D43" i="7"/>
  <c r="O42" i="7"/>
  <c r="N42" i="7"/>
  <c r="D42" i="7"/>
  <c r="O41" i="7"/>
  <c r="N41" i="7"/>
  <c r="D41" i="7"/>
  <c r="O40" i="7"/>
  <c r="N40" i="7"/>
  <c r="D40" i="7"/>
  <c r="O39" i="7"/>
  <c r="N39" i="7"/>
  <c r="D39" i="7"/>
  <c r="O38" i="7"/>
  <c r="N38" i="7"/>
  <c r="D38" i="7"/>
  <c r="O37" i="7"/>
  <c r="N37" i="7"/>
  <c r="D37" i="7"/>
  <c r="O73" i="7"/>
  <c r="N73" i="7"/>
  <c r="D73" i="7"/>
  <c r="O72" i="7"/>
  <c r="N72" i="7"/>
  <c r="D72" i="7"/>
  <c r="O71" i="7"/>
  <c r="N71" i="7"/>
  <c r="D71" i="7"/>
  <c r="O70" i="7"/>
  <c r="N70" i="7"/>
  <c r="D70" i="7"/>
  <c r="O69" i="7"/>
  <c r="N69" i="7"/>
  <c r="D69" i="7"/>
  <c r="O68" i="7"/>
  <c r="N68" i="7"/>
  <c r="D68" i="7"/>
  <c r="O67" i="7"/>
  <c r="N67" i="7"/>
  <c r="D67" i="7"/>
  <c r="O66" i="7"/>
  <c r="N66" i="7"/>
  <c r="D66" i="7"/>
  <c r="O65" i="7"/>
  <c r="N65" i="7"/>
  <c r="D65" i="7"/>
  <c r="O64" i="7"/>
  <c r="N64" i="7"/>
  <c r="D64" i="7"/>
  <c r="O63" i="7"/>
  <c r="N63" i="7"/>
  <c r="D63" i="7"/>
  <c r="O62" i="7"/>
  <c r="N62" i="7"/>
  <c r="D62" i="7"/>
  <c r="O61" i="7"/>
  <c r="N61" i="7"/>
  <c r="D61" i="7"/>
  <c r="O60" i="7"/>
  <c r="N60" i="7"/>
  <c r="D60" i="7"/>
  <c r="O59" i="7"/>
  <c r="N59" i="7"/>
  <c r="D59" i="7"/>
  <c r="O58" i="7"/>
  <c r="N58" i="7"/>
  <c r="D58" i="7"/>
  <c r="O57" i="7"/>
  <c r="N57" i="7"/>
  <c r="D57" i="7"/>
  <c r="O56" i="7"/>
  <c r="N56" i="7"/>
  <c r="D56" i="7"/>
  <c r="O55" i="7"/>
  <c r="N55" i="7"/>
  <c r="D55" i="7"/>
  <c r="O93" i="7"/>
  <c r="N93" i="7"/>
  <c r="D93" i="7"/>
  <c r="O92" i="7"/>
  <c r="N92" i="7"/>
  <c r="D92" i="7"/>
  <c r="O91" i="7"/>
  <c r="N91" i="7"/>
  <c r="D91" i="7"/>
  <c r="O90" i="7"/>
  <c r="N90" i="7"/>
  <c r="D90" i="7"/>
  <c r="O89" i="7"/>
  <c r="N89" i="7"/>
  <c r="D89" i="7"/>
  <c r="O88" i="7"/>
  <c r="N88" i="7"/>
  <c r="D88" i="7"/>
  <c r="O87" i="7"/>
  <c r="N87" i="7"/>
  <c r="D87" i="7"/>
  <c r="O86" i="7"/>
  <c r="N86" i="7"/>
  <c r="D86" i="7"/>
  <c r="O85" i="7"/>
  <c r="N85" i="7"/>
  <c r="D85" i="7"/>
  <c r="O84" i="7"/>
  <c r="N84" i="7"/>
  <c r="D84" i="7"/>
  <c r="O83" i="7"/>
  <c r="N83" i="7"/>
  <c r="D83" i="7"/>
  <c r="O82" i="7"/>
  <c r="N82" i="7"/>
  <c r="D82" i="7"/>
  <c r="O81" i="7"/>
  <c r="N81" i="7"/>
  <c r="D81" i="7"/>
  <c r="O80" i="7"/>
  <c r="N80" i="7"/>
  <c r="D80" i="7"/>
  <c r="O79" i="7"/>
  <c r="N79" i="7"/>
  <c r="D79" i="7"/>
  <c r="O78" i="7"/>
  <c r="N78" i="7"/>
  <c r="D78" i="7"/>
  <c r="O77" i="7"/>
  <c r="N77" i="7"/>
  <c r="D77" i="7"/>
  <c r="O76" i="7"/>
  <c r="N76" i="7"/>
  <c r="D76" i="7"/>
  <c r="O75" i="7"/>
  <c r="N75" i="7"/>
  <c r="D75" i="7"/>
  <c r="O74" i="7"/>
  <c r="N74" i="7"/>
  <c r="D74" i="7"/>
  <c r="O108" i="7"/>
  <c r="N108" i="7"/>
  <c r="D108" i="7"/>
  <c r="O107" i="7"/>
  <c r="N107" i="7"/>
  <c r="D107" i="7"/>
  <c r="O106" i="7"/>
  <c r="N106" i="7"/>
  <c r="D106" i="7"/>
  <c r="O105" i="7"/>
  <c r="N105" i="7"/>
  <c r="D105" i="7"/>
  <c r="O104" i="7"/>
  <c r="N104" i="7"/>
  <c r="D104" i="7"/>
  <c r="O103" i="7"/>
  <c r="N103" i="7"/>
  <c r="D103" i="7"/>
  <c r="O102" i="7"/>
  <c r="N102" i="7"/>
  <c r="D102" i="7"/>
  <c r="O101" i="7"/>
  <c r="N101" i="7"/>
  <c r="D101" i="7"/>
  <c r="O100" i="7"/>
  <c r="N100" i="7"/>
  <c r="D100" i="7"/>
  <c r="O99" i="7"/>
  <c r="N99" i="7"/>
  <c r="D99" i="7"/>
  <c r="O98" i="7"/>
  <c r="N98" i="7"/>
  <c r="D98" i="7"/>
  <c r="O97" i="7"/>
  <c r="N97" i="7"/>
  <c r="D97" i="7"/>
  <c r="O96" i="7"/>
  <c r="N96" i="7"/>
  <c r="D96" i="7"/>
  <c r="O95" i="7"/>
  <c r="N95" i="7"/>
  <c r="D95" i="7"/>
  <c r="O94" i="7"/>
  <c r="N94" i="7"/>
  <c r="D94" i="7"/>
  <c r="O128" i="7"/>
  <c r="N128" i="7"/>
  <c r="D128" i="7"/>
  <c r="O127" i="7"/>
  <c r="N127" i="7"/>
  <c r="D127" i="7"/>
  <c r="O126" i="7"/>
  <c r="N126" i="7"/>
  <c r="D126" i="7"/>
  <c r="O125" i="7"/>
  <c r="N125" i="7"/>
  <c r="D125" i="7"/>
  <c r="O124" i="7"/>
  <c r="N124" i="7"/>
  <c r="D124" i="7"/>
  <c r="O123" i="7"/>
  <c r="N123" i="7"/>
  <c r="D123" i="7"/>
  <c r="O122" i="7"/>
  <c r="N122" i="7"/>
  <c r="D122" i="7"/>
  <c r="O121" i="7"/>
  <c r="N121" i="7"/>
  <c r="D121" i="7"/>
  <c r="O120" i="7"/>
  <c r="N120" i="7"/>
  <c r="D120" i="7"/>
  <c r="O119" i="7"/>
  <c r="N119" i="7"/>
  <c r="D119" i="7"/>
  <c r="O118" i="7"/>
  <c r="N118" i="7"/>
  <c r="D118" i="7"/>
  <c r="O117" i="7"/>
  <c r="N117" i="7"/>
  <c r="D117" i="7"/>
  <c r="O116" i="7"/>
  <c r="N116" i="7"/>
  <c r="D116" i="7"/>
  <c r="O115" i="7"/>
  <c r="N115" i="7"/>
  <c r="D115" i="7"/>
  <c r="O114" i="7"/>
  <c r="N114" i="7"/>
  <c r="D114" i="7"/>
  <c r="O113" i="7"/>
  <c r="N113" i="7"/>
  <c r="D113" i="7"/>
  <c r="O112" i="7"/>
  <c r="N112" i="7"/>
  <c r="D112" i="7"/>
  <c r="O111" i="7"/>
  <c r="N111" i="7"/>
  <c r="D111" i="7"/>
  <c r="O110" i="7"/>
  <c r="N110" i="7"/>
  <c r="D110" i="7"/>
  <c r="O109" i="7"/>
  <c r="N109" i="7"/>
  <c r="D109" i="7"/>
  <c r="O148" i="7"/>
  <c r="N148" i="7"/>
  <c r="D148" i="7"/>
  <c r="O147" i="7"/>
  <c r="N147" i="7"/>
  <c r="D147" i="7"/>
  <c r="O146" i="7"/>
  <c r="N146" i="7"/>
  <c r="D146" i="7"/>
  <c r="O145" i="7"/>
  <c r="N145" i="7"/>
  <c r="D145" i="7"/>
  <c r="O144" i="7"/>
  <c r="N144" i="7"/>
  <c r="D144" i="7"/>
  <c r="O143" i="7"/>
  <c r="N143" i="7"/>
  <c r="D143" i="7"/>
  <c r="O142" i="7"/>
  <c r="N142" i="7"/>
  <c r="D142" i="7"/>
  <c r="O141" i="7"/>
  <c r="N141" i="7"/>
  <c r="D141" i="7"/>
  <c r="O140" i="7"/>
  <c r="N140" i="7"/>
  <c r="D140" i="7"/>
  <c r="O139" i="7"/>
  <c r="N139" i="7"/>
  <c r="D139" i="7"/>
  <c r="O138" i="7"/>
  <c r="N138" i="7"/>
  <c r="D138" i="7"/>
  <c r="O137" i="7"/>
  <c r="N137" i="7"/>
  <c r="D137" i="7"/>
  <c r="O136" i="7"/>
  <c r="N136" i="7"/>
  <c r="D136" i="7"/>
  <c r="O135" i="7"/>
  <c r="N135" i="7"/>
  <c r="D135" i="7"/>
  <c r="O134" i="7"/>
  <c r="N134" i="7"/>
  <c r="D134" i="7"/>
  <c r="O133" i="7"/>
  <c r="N133" i="7"/>
  <c r="D133" i="7"/>
  <c r="O132" i="7"/>
  <c r="N132" i="7"/>
  <c r="D132" i="7"/>
  <c r="O131" i="7"/>
  <c r="N131" i="7"/>
  <c r="D131" i="7"/>
  <c r="O130" i="7"/>
  <c r="N130" i="7"/>
  <c r="D130" i="7"/>
  <c r="O129" i="7"/>
  <c r="N129" i="7"/>
  <c r="D129" i="7"/>
  <c r="O165" i="7"/>
  <c r="N165" i="7"/>
  <c r="D165" i="7"/>
  <c r="O164" i="7"/>
  <c r="N164" i="7"/>
  <c r="D164" i="7"/>
  <c r="O163" i="7"/>
  <c r="N163" i="7"/>
  <c r="D163" i="7"/>
  <c r="O162" i="7"/>
  <c r="N162" i="7"/>
  <c r="D162" i="7"/>
  <c r="O161" i="7"/>
  <c r="N161" i="7"/>
  <c r="D161" i="7"/>
  <c r="O160" i="7"/>
  <c r="N160" i="7"/>
  <c r="D160" i="7"/>
  <c r="O159" i="7"/>
  <c r="N159" i="7"/>
  <c r="D159" i="7"/>
  <c r="O158" i="7"/>
  <c r="N158" i="7"/>
  <c r="D158" i="7"/>
  <c r="O157" i="7"/>
  <c r="N157" i="7"/>
  <c r="D157" i="7"/>
  <c r="O156" i="7"/>
  <c r="N156" i="7"/>
  <c r="D156" i="7"/>
  <c r="O155" i="7"/>
  <c r="N155" i="7"/>
  <c r="D155" i="7"/>
  <c r="O154" i="7"/>
  <c r="N154" i="7"/>
  <c r="D154" i="7"/>
  <c r="O153" i="7"/>
  <c r="N153" i="7"/>
  <c r="D153" i="7"/>
  <c r="O152" i="7"/>
  <c r="N152" i="7"/>
  <c r="D152" i="7"/>
  <c r="O151" i="7"/>
  <c r="N151" i="7"/>
  <c r="D151" i="7"/>
  <c r="O150" i="7"/>
  <c r="N150" i="7"/>
  <c r="D150" i="7"/>
  <c r="O149" i="7"/>
  <c r="N149" i="7"/>
  <c r="D149" i="7"/>
  <c r="O182" i="7"/>
  <c r="N182" i="7"/>
  <c r="D182" i="7"/>
  <c r="O181" i="7"/>
  <c r="N181" i="7"/>
  <c r="D181" i="7"/>
  <c r="O180" i="7"/>
  <c r="N180" i="7"/>
  <c r="D180" i="7"/>
  <c r="O179" i="7"/>
  <c r="N179" i="7"/>
  <c r="D179" i="7"/>
  <c r="O178" i="7"/>
  <c r="N178" i="7"/>
  <c r="D178" i="7"/>
  <c r="O177" i="7"/>
  <c r="N177" i="7"/>
  <c r="D177" i="7"/>
  <c r="O176" i="7"/>
  <c r="N176" i="7"/>
  <c r="D176" i="7"/>
  <c r="O175" i="7"/>
  <c r="N175" i="7"/>
  <c r="D175" i="7"/>
  <c r="O174" i="7"/>
  <c r="N174" i="7"/>
  <c r="D174" i="7"/>
  <c r="O173" i="7"/>
  <c r="N173" i="7"/>
  <c r="D173" i="7"/>
  <c r="O172" i="7"/>
  <c r="N172" i="7"/>
  <c r="D172" i="7"/>
  <c r="O171" i="7"/>
  <c r="N171" i="7"/>
  <c r="D171" i="7"/>
  <c r="O170" i="7"/>
  <c r="N170" i="7"/>
  <c r="D170" i="7"/>
  <c r="O169" i="7"/>
  <c r="N169" i="7"/>
  <c r="D169" i="7"/>
  <c r="O168" i="7"/>
  <c r="N168" i="7"/>
  <c r="D168" i="7"/>
  <c r="O167" i="7"/>
  <c r="N167" i="7"/>
  <c r="D167" i="7"/>
  <c r="O166" i="7"/>
  <c r="N166" i="7"/>
  <c r="D166" i="7"/>
  <c r="O196" i="7"/>
  <c r="N196" i="7"/>
  <c r="D196" i="7"/>
  <c r="O195" i="7"/>
  <c r="N195" i="7"/>
  <c r="D195" i="7"/>
  <c r="O194" i="7"/>
  <c r="N194" i="7"/>
  <c r="D194" i="7"/>
  <c r="O193" i="7"/>
  <c r="N193" i="7"/>
  <c r="D193" i="7"/>
  <c r="O192" i="7"/>
  <c r="N192" i="7"/>
  <c r="D192" i="7"/>
  <c r="O191" i="7"/>
  <c r="N191" i="7"/>
  <c r="D191" i="7"/>
  <c r="O190" i="7"/>
  <c r="N190" i="7"/>
  <c r="D190" i="7"/>
  <c r="O189" i="7"/>
  <c r="N189" i="7"/>
  <c r="D189" i="7"/>
  <c r="O188" i="7"/>
  <c r="N188" i="7"/>
  <c r="D188" i="7"/>
  <c r="O187" i="7"/>
  <c r="N187" i="7"/>
  <c r="D187" i="7"/>
  <c r="O186" i="7"/>
  <c r="N186" i="7"/>
  <c r="D186" i="7"/>
  <c r="O185" i="7"/>
  <c r="N185" i="7"/>
  <c r="D185" i="7"/>
  <c r="O184" i="7"/>
  <c r="N184" i="7"/>
  <c r="D184" i="7"/>
  <c r="O183" i="7"/>
  <c r="N183" i="7"/>
  <c r="D183" i="7"/>
  <c r="O211" i="7"/>
  <c r="N211" i="7"/>
  <c r="D211" i="7"/>
  <c r="O210" i="7"/>
  <c r="N210" i="7"/>
  <c r="D210" i="7"/>
  <c r="O209" i="7"/>
  <c r="N209" i="7"/>
  <c r="D209" i="7"/>
  <c r="O208" i="7"/>
  <c r="N208" i="7"/>
  <c r="D208" i="7"/>
  <c r="O207" i="7"/>
  <c r="N207" i="7"/>
  <c r="D207" i="7"/>
  <c r="O206" i="7"/>
  <c r="N206" i="7"/>
  <c r="D206" i="7"/>
  <c r="O205" i="7"/>
  <c r="N205" i="7"/>
  <c r="D205" i="7"/>
  <c r="O204" i="7"/>
  <c r="N204" i="7"/>
  <c r="D204" i="7"/>
  <c r="O203" i="7"/>
  <c r="N203" i="7"/>
  <c r="D203" i="7"/>
  <c r="O202" i="7"/>
  <c r="N202" i="7"/>
  <c r="D202" i="7"/>
  <c r="O201" i="7"/>
  <c r="N201" i="7"/>
  <c r="D201" i="7"/>
  <c r="O200" i="7"/>
  <c r="N200" i="7"/>
  <c r="D200" i="7"/>
  <c r="O199" i="7"/>
  <c r="N199" i="7"/>
  <c r="D199" i="7"/>
  <c r="O198" i="7"/>
  <c r="N198" i="7"/>
  <c r="D198" i="7"/>
  <c r="O197" i="7"/>
  <c r="N197" i="7"/>
  <c r="D197" i="7"/>
  <c r="O231" i="7"/>
  <c r="N231" i="7"/>
  <c r="D231" i="7"/>
  <c r="O230" i="7"/>
  <c r="N230" i="7"/>
  <c r="D230" i="7"/>
  <c r="O229" i="7"/>
  <c r="N229" i="7"/>
  <c r="D229" i="7"/>
  <c r="O228" i="7"/>
  <c r="N228" i="7"/>
  <c r="D228" i="7"/>
  <c r="O227" i="7"/>
  <c r="N227" i="7"/>
  <c r="D227" i="7"/>
  <c r="O226" i="7"/>
  <c r="N226" i="7"/>
  <c r="D226" i="7"/>
  <c r="O225" i="7"/>
  <c r="N225" i="7"/>
  <c r="D225" i="7"/>
  <c r="O224" i="7"/>
  <c r="N224" i="7"/>
  <c r="D224" i="7"/>
  <c r="O223" i="7"/>
  <c r="N223" i="7"/>
  <c r="D223" i="7"/>
  <c r="O222" i="7"/>
  <c r="N222" i="7"/>
  <c r="D222" i="7"/>
  <c r="O221" i="7"/>
  <c r="N221" i="7"/>
  <c r="D221" i="7"/>
  <c r="O220" i="7"/>
  <c r="N220" i="7"/>
  <c r="D220" i="7"/>
  <c r="O219" i="7"/>
  <c r="N219" i="7"/>
  <c r="D219" i="7"/>
  <c r="O218" i="7"/>
  <c r="N218" i="7"/>
  <c r="D218" i="7"/>
  <c r="O217" i="7"/>
  <c r="N217" i="7"/>
  <c r="D217" i="7"/>
  <c r="O216" i="7"/>
  <c r="N216" i="7"/>
  <c r="D216" i="7"/>
  <c r="O215" i="7"/>
  <c r="N215" i="7"/>
  <c r="D215" i="7"/>
  <c r="O214" i="7"/>
  <c r="N214" i="7"/>
  <c r="D214" i="7"/>
  <c r="O213" i="7"/>
  <c r="N213" i="7"/>
  <c r="D213" i="7"/>
  <c r="O212" i="7"/>
  <c r="N212" i="7"/>
  <c r="D212" i="7"/>
  <c r="O251" i="7"/>
  <c r="N251" i="7"/>
  <c r="D251" i="7"/>
  <c r="O250" i="7"/>
  <c r="N250" i="7"/>
  <c r="D250" i="7"/>
  <c r="O249" i="7"/>
  <c r="N249" i="7"/>
  <c r="D249" i="7"/>
  <c r="O248" i="7"/>
  <c r="N248" i="7"/>
  <c r="D248" i="7"/>
  <c r="O247" i="7"/>
  <c r="N247" i="7"/>
  <c r="D247" i="7"/>
  <c r="O246" i="7"/>
  <c r="N246" i="7"/>
  <c r="D246" i="7"/>
  <c r="O245" i="7"/>
  <c r="N245" i="7"/>
  <c r="D245" i="7"/>
  <c r="O244" i="7"/>
  <c r="N244" i="7"/>
  <c r="D244" i="7"/>
  <c r="O243" i="7"/>
  <c r="N243" i="7"/>
  <c r="D243" i="7"/>
  <c r="O242" i="7"/>
  <c r="N242" i="7"/>
  <c r="D242" i="7"/>
  <c r="O241" i="7"/>
  <c r="N241" i="7"/>
  <c r="D241" i="7"/>
  <c r="O240" i="7"/>
  <c r="N240" i="7"/>
  <c r="D240" i="7"/>
  <c r="O239" i="7"/>
  <c r="N239" i="7"/>
  <c r="D239" i="7"/>
  <c r="O238" i="7"/>
  <c r="N238" i="7"/>
  <c r="D238" i="7"/>
  <c r="O237" i="7"/>
  <c r="N237" i="7"/>
  <c r="D237" i="7"/>
  <c r="O236" i="7"/>
  <c r="N236" i="7"/>
  <c r="D236" i="7"/>
  <c r="O235" i="7"/>
  <c r="N235" i="7"/>
  <c r="D235" i="7"/>
  <c r="O234" i="7"/>
  <c r="N234" i="7"/>
  <c r="D234" i="7"/>
  <c r="O233" i="7"/>
  <c r="N233" i="7"/>
  <c r="D233" i="7"/>
  <c r="O232" i="7"/>
  <c r="N232" i="7"/>
  <c r="D232" i="7"/>
  <c r="O271" i="7"/>
  <c r="N271" i="7"/>
  <c r="D271" i="7"/>
  <c r="O270" i="7"/>
  <c r="N270" i="7"/>
  <c r="D270" i="7"/>
  <c r="O269" i="7"/>
  <c r="N269" i="7"/>
  <c r="D269" i="7"/>
  <c r="O268" i="7"/>
  <c r="N268" i="7"/>
  <c r="D268" i="7"/>
  <c r="O267" i="7"/>
  <c r="N267" i="7"/>
  <c r="D267" i="7"/>
  <c r="O266" i="7"/>
  <c r="N266" i="7"/>
  <c r="D266" i="7"/>
  <c r="O265" i="7"/>
  <c r="N265" i="7"/>
  <c r="D265" i="7"/>
  <c r="O264" i="7"/>
  <c r="N264" i="7"/>
  <c r="D264" i="7"/>
  <c r="O263" i="7"/>
  <c r="N263" i="7"/>
  <c r="D263" i="7"/>
  <c r="O262" i="7"/>
  <c r="N262" i="7"/>
  <c r="D262" i="7"/>
  <c r="O261" i="7"/>
  <c r="N261" i="7"/>
  <c r="D261" i="7"/>
  <c r="O260" i="7"/>
  <c r="N260" i="7"/>
  <c r="D260" i="7"/>
  <c r="O259" i="7"/>
  <c r="N259" i="7"/>
  <c r="D259" i="7"/>
  <c r="O258" i="7"/>
  <c r="N258" i="7"/>
  <c r="D258" i="7"/>
  <c r="O257" i="7"/>
  <c r="N257" i="7"/>
  <c r="D257" i="7"/>
  <c r="O256" i="7"/>
  <c r="N256" i="7"/>
  <c r="D256" i="7"/>
  <c r="O255" i="7"/>
  <c r="N255" i="7"/>
  <c r="D255" i="7"/>
  <c r="O254" i="7"/>
  <c r="N254" i="7"/>
  <c r="D254" i="7"/>
  <c r="O253" i="7"/>
  <c r="N253" i="7"/>
  <c r="D253" i="7"/>
  <c r="O252" i="7"/>
  <c r="N252" i="7"/>
  <c r="D252" i="7"/>
  <c r="O293" i="7"/>
  <c r="N293" i="7"/>
  <c r="D293" i="7"/>
  <c r="O292" i="7"/>
  <c r="N292" i="7"/>
  <c r="D292" i="7"/>
  <c r="O291" i="7"/>
  <c r="N291" i="7"/>
  <c r="D291" i="7"/>
  <c r="O290" i="7"/>
  <c r="N290" i="7"/>
  <c r="D290" i="7"/>
  <c r="O289" i="7"/>
  <c r="N289" i="7"/>
  <c r="D289" i="7"/>
  <c r="O288" i="7"/>
  <c r="N288" i="7"/>
  <c r="D288" i="7"/>
  <c r="O287" i="7"/>
  <c r="N287" i="7"/>
  <c r="D287" i="7"/>
  <c r="O286" i="7"/>
  <c r="N286" i="7"/>
  <c r="D286" i="7"/>
  <c r="O285" i="7"/>
  <c r="N285" i="7"/>
  <c r="D285" i="7"/>
  <c r="O284" i="7"/>
  <c r="N284" i="7"/>
  <c r="D284" i="7"/>
  <c r="O283" i="7"/>
  <c r="N283" i="7"/>
  <c r="D283" i="7"/>
  <c r="O282" i="7"/>
  <c r="N282" i="7"/>
  <c r="D282" i="7"/>
  <c r="O281" i="7"/>
  <c r="N281" i="7"/>
  <c r="D281" i="7"/>
  <c r="O280" i="7"/>
  <c r="N280" i="7"/>
  <c r="D280" i="7"/>
  <c r="O279" i="7"/>
  <c r="N279" i="7"/>
  <c r="D279" i="7"/>
  <c r="O278" i="7"/>
  <c r="N278" i="7"/>
  <c r="D278" i="7"/>
  <c r="O277" i="7"/>
  <c r="N277" i="7"/>
  <c r="D277" i="7"/>
  <c r="O276" i="7"/>
  <c r="N276" i="7"/>
  <c r="D276" i="7"/>
  <c r="O275" i="7"/>
  <c r="N275" i="7"/>
  <c r="D275" i="7"/>
  <c r="O274" i="7"/>
  <c r="N274" i="7"/>
  <c r="D274" i="7"/>
  <c r="O273" i="7"/>
  <c r="N273" i="7"/>
  <c r="D273" i="7"/>
  <c r="O272" i="7"/>
  <c r="N272" i="7"/>
  <c r="D272" i="7"/>
  <c r="O314" i="7"/>
  <c r="N314" i="7"/>
  <c r="D314" i="7"/>
  <c r="O313" i="7"/>
  <c r="N313" i="7"/>
  <c r="D313" i="7"/>
  <c r="O312" i="7"/>
  <c r="N312" i="7"/>
  <c r="D312" i="7"/>
  <c r="O311" i="7"/>
  <c r="N311" i="7"/>
  <c r="D311" i="7"/>
  <c r="O310" i="7"/>
  <c r="N310" i="7"/>
  <c r="D310" i="7"/>
  <c r="O309" i="7"/>
  <c r="N309" i="7"/>
  <c r="D309" i="7"/>
  <c r="O308" i="7"/>
  <c r="N308" i="7"/>
  <c r="D308" i="7"/>
  <c r="O307" i="7"/>
  <c r="N307" i="7"/>
  <c r="D307" i="7"/>
  <c r="O306" i="7"/>
  <c r="N306" i="7"/>
  <c r="D306" i="7"/>
  <c r="O305" i="7"/>
  <c r="N305" i="7"/>
  <c r="D305" i="7"/>
  <c r="O304" i="7"/>
  <c r="N304" i="7"/>
  <c r="D304" i="7"/>
  <c r="O303" i="7"/>
  <c r="N303" i="7"/>
  <c r="D303" i="7"/>
  <c r="O302" i="7"/>
  <c r="N302" i="7"/>
  <c r="D302" i="7"/>
  <c r="O301" i="7"/>
  <c r="N301" i="7"/>
  <c r="D301" i="7"/>
  <c r="O300" i="7"/>
  <c r="N300" i="7"/>
  <c r="D300" i="7"/>
  <c r="O299" i="7"/>
  <c r="N299" i="7"/>
  <c r="D299" i="7"/>
  <c r="O298" i="7"/>
  <c r="N298" i="7"/>
  <c r="D298" i="7"/>
  <c r="O297" i="7"/>
  <c r="N297" i="7"/>
  <c r="D297" i="7"/>
  <c r="O296" i="7"/>
  <c r="N296" i="7"/>
  <c r="D296" i="7"/>
  <c r="O295" i="7"/>
  <c r="N295" i="7"/>
  <c r="D295" i="7"/>
  <c r="O294" i="7"/>
  <c r="N294" i="7"/>
  <c r="D294" i="7"/>
  <c r="O338" i="7"/>
  <c r="N338" i="7"/>
  <c r="D338" i="7"/>
  <c r="O337" i="7"/>
  <c r="N337" i="7"/>
  <c r="D337" i="7"/>
  <c r="O336" i="7"/>
  <c r="N336" i="7"/>
  <c r="D336" i="7"/>
  <c r="O335" i="7"/>
  <c r="N335" i="7"/>
  <c r="D335" i="7"/>
  <c r="O334" i="7"/>
  <c r="N334" i="7"/>
  <c r="D334" i="7"/>
  <c r="O333" i="7"/>
  <c r="N333" i="7"/>
  <c r="D333" i="7"/>
  <c r="O332" i="7"/>
  <c r="N332" i="7"/>
  <c r="D332" i="7"/>
  <c r="O331" i="7"/>
  <c r="N331" i="7"/>
  <c r="D331" i="7"/>
  <c r="O330" i="7"/>
  <c r="N330" i="7"/>
  <c r="D330" i="7"/>
  <c r="O329" i="7"/>
  <c r="N329" i="7"/>
  <c r="D329" i="7"/>
  <c r="O328" i="7"/>
  <c r="N328" i="7"/>
  <c r="D328" i="7"/>
  <c r="O327" i="7"/>
  <c r="N327" i="7"/>
  <c r="D327" i="7"/>
  <c r="O326" i="7"/>
  <c r="N326" i="7"/>
  <c r="D326" i="7"/>
  <c r="O325" i="7"/>
  <c r="N325" i="7"/>
  <c r="D325" i="7"/>
  <c r="O324" i="7"/>
  <c r="N324" i="7"/>
  <c r="D324" i="7"/>
  <c r="O323" i="7"/>
  <c r="N323" i="7"/>
  <c r="D323" i="7"/>
  <c r="O322" i="7"/>
  <c r="N322" i="7"/>
  <c r="D322" i="7"/>
  <c r="O321" i="7"/>
  <c r="N321" i="7"/>
  <c r="D321" i="7"/>
  <c r="O320" i="7"/>
  <c r="N320" i="7"/>
  <c r="D320" i="7"/>
  <c r="O319" i="7"/>
  <c r="N319" i="7"/>
  <c r="D319" i="7"/>
  <c r="O318" i="7"/>
  <c r="N318" i="7"/>
  <c r="D318" i="7"/>
  <c r="O317" i="7"/>
  <c r="N317" i="7"/>
  <c r="D317" i="7"/>
  <c r="O316" i="7"/>
  <c r="N316" i="7"/>
  <c r="D316" i="7"/>
  <c r="O315" i="7"/>
  <c r="N315" i="7"/>
  <c r="D315" i="7"/>
  <c r="O358" i="7"/>
  <c r="N358" i="7"/>
  <c r="D358" i="7"/>
  <c r="O357" i="7"/>
  <c r="N357" i="7"/>
  <c r="D357" i="7"/>
  <c r="O356" i="7"/>
  <c r="N356" i="7"/>
  <c r="D356" i="7"/>
  <c r="O355" i="7"/>
  <c r="N355" i="7"/>
  <c r="D355" i="7"/>
  <c r="O354" i="7"/>
  <c r="N354" i="7"/>
  <c r="D354" i="7"/>
  <c r="O353" i="7"/>
  <c r="N353" i="7"/>
  <c r="D353" i="7"/>
  <c r="O352" i="7"/>
  <c r="N352" i="7"/>
  <c r="D352" i="7"/>
  <c r="O351" i="7"/>
  <c r="N351" i="7"/>
  <c r="D351" i="7"/>
  <c r="O350" i="7"/>
  <c r="N350" i="7"/>
  <c r="D350" i="7"/>
  <c r="O349" i="7"/>
  <c r="N349" i="7"/>
  <c r="D349" i="7"/>
  <c r="O348" i="7"/>
  <c r="N348" i="7"/>
  <c r="D348" i="7"/>
  <c r="O347" i="7"/>
  <c r="N347" i="7"/>
  <c r="D347" i="7"/>
  <c r="O346" i="7"/>
  <c r="N346" i="7"/>
  <c r="D346" i="7"/>
  <c r="O345" i="7"/>
  <c r="N345" i="7"/>
  <c r="D345" i="7"/>
  <c r="O344" i="7"/>
  <c r="N344" i="7"/>
  <c r="D344" i="7"/>
  <c r="O343" i="7"/>
  <c r="N343" i="7"/>
  <c r="D343" i="7"/>
  <c r="O342" i="7"/>
  <c r="N342" i="7"/>
  <c r="D342" i="7"/>
  <c r="O341" i="7"/>
  <c r="N341" i="7"/>
  <c r="D341" i="7"/>
  <c r="O340" i="7"/>
  <c r="N340" i="7"/>
  <c r="D340" i="7"/>
  <c r="O339" i="7"/>
  <c r="N339" i="7"/>
  <c r="D339" i="7"/>
  <c r="O377" i="7"/>
  <c r="N377" i="7"/>
  <c r="D377" i="7"/>
  <c r="O376" i="7"/>
  <c r="N376" i="7"/>
  <c r="D376" i="7"/>
  <c r="O375" i="7"/>
  <c r="N375" i="7"/>
  <c r="D375" i="7"/>
  <c r="O374" i="7"/>
  <c r="N374" i="7"/>
  <c r="D374" i="7"/>
  <c r="O373" i="7"/>
  <c r="N373" i="7"/>
  <c r="D373" i="7"/>
  <c r="O372" i="7"/>
  <c r="N372" i="7"/>
  <c r="D372" i="7"/>
  <c r="O371" i="7"/>
  <c r="N371" i="7"/>
  <c r="D371" i="7"/>
  <c r="O370" i="7"/>
  <c r="N370" i="7"/>
  <c r="D370" i="7"/>
  <c r="O369" i="7"/>
  <c r="N369" i="7"/>
  <c r="D369" i="7"/>
  <c r="O368" i="7"/>
  <c r="N368" i="7"/>
  <c r="D368" i="7"/>
  <c r="O367" i="7"/>
  <c r="N367" i="7"/>
  <c r="D367" i="7"/>
  <c r="O366" i="7"/>
  <c r="N366" i="7"/>
  <c r="D366" i="7"/>
  <c r="O365" i="7"/>
  <c r="N365" i="7"/>
  <c r="D365" i="7"/>
  <c r="O364" i="7"/>
  <c r="N364" i="7"/>
  <c r="D364" i="7"/>
  <c r="O363" i="7"/>
  <c r="N363" i="7"/>
  <c r="D363" i="7"/>
  <c r="O362" i="7"/>
  <c r="N362" i="7"/>
  <c r="D362" i="7"/>
  <c r="O361" i="7"/>
  <c r="N361" i="7"/>
  <c r="D361" i="7"/>
  <c r="O360" i="7"/>
  <c r="N360" i="7"/>
  <c r="D360" i="7"/>
  <c r="O359" i="7"/>
  <c r="N359" i="7"/>
  <c r="D359" i="7"/>
  <c r="O395" i="7"/>
  <c r="N395" i="7"/>
  <c r="D395" i="7"/>
  <c r="O394" i="7"/>
  <c r="N394" i="7"/>
  <c r="D394" i="7"/>
  <c r="O393" i="7"/>
  <c r="N393" i="7"/>
  <c r="D393" i="7"/>
  <c r="O392" i="7"/>
  <c r="N392" i="7"/>
  <c r="D392" i="7"/>
  <c r="O391" i="7"/>
  <c r="N391" i="7"/>
  <c r="D391" i="7"/>
  <c r="O390" i="7"/>
  <c r="N390" i="7"/>
  <c r="D390" i="7"/>
  <c r="O389" i="7"/>
  <c r="N389" i="7"/>
  <c r="D389" i="7"/>
  <c r="O388" i="7"/>
  <c r="N388" i="7"/>
  <c r="D388" i="7"/>
  <c r="O387" i="7"/>
  <c r="N387" i="7"/>
  <c r="D387" i="7"/>
  <c r="O386" i="7"/>
  <c r="N386" i="7"/>
  <c r="D386" i="7"/>
  <c r="O385" i="7"/>
  <c r="N385" i="7"/>
  <c r="D385" i="7"/>
  <c r="O384" i="7"/>
  <c r="N384" i="7"/>
  <c r="D384" i="7"/>
  <c r="O383" i="7"/>
  <c r="N383" i="7"/>
  <c r="D383" i="7"/>
  <c r="O382" i="7"/>
  <c r="N382" i="7"/>
  <c r="D382" i="7"/>
  <c r="O381" i="7"/>
  <c r="N381" i="7"/>
  <c r="D381" i="7"/>
  <c r="O380" i="7"/>
  <c r="N380" i="7"/>
  <c r="D380" i="7"/>
  <c r="O379" i="7"/>
  <c r="N379" i="7"/>
  <c r="D379" i="7"/>
  <c r="O378" i="7"/>
  <c r="N378" i="7"/>
  <c r="D378" i="7"/>
  <c r="O414" i="7"/>
  <c r="N414" i="7"/>
  <c r="D414" i="7"/>
  <c r="O413" i="7"/>
  <c r="N413" i="7"/>
  <c r="D413" i="7"/>
  <c r="O412" i="7"/>
  <c r="N412" i="7"/>
  <c r="D412" i="7"/>
  <c r="O411" i="7"/>
  <c r="N411" i="7"/>
  <c r="D411" i="7"/>
  <c r="O410" i="7"/>
  <c r="N410" i="7"/>
  <c r="D410" i="7"/>
  <c r="O409" i="7"/>
  <c r="N409" i="7"/>
  <c r="D409" i="7"/>
  <c r="O408" i="7"/>
  <c r="N408" i="7"/>
  <c r="D408" i="7"/>
  <c r="O407" i="7"/>
  <c r="N407" i="7"/>
  <c r="D407" i="7"/>
  <c r="O406" i="7"/>
  <c r="N406" i="7"/>
  <c r="D406" i="7"/>
  <c r="O405" i="7"/>
  <c r="N405" i="7"/>
  <c r="D405" i="7"/>
  <c r="O404" i="7"/>
  <c r="N404" i="7"/>
  <c r="D404" i="7"/>
  <c r="O403" i="7"/>
  <c r="N403" i="7"/>
  <c r="D403" i="7"/>
  <c r="O402" i="7"/>
  <c r="N402" i="7"/>
  <c r="D402" i="7"/>
  <c r="O401" i="7"/>
  <c r="N401" i="7"/>
  <c r="D401" i="7"/>
  <c r="O400" i="7"/>
  <c r="N400" i="7"/>
  <c r="D400" i="7"/>
  <c r="O399" i="7"/>
  <c r="N399" i="7"/>
  <c r="D399" i="7"/>
  <c r="O398" i="7"/>
  <c r="N398" i="7"/>
  <c r="D398" i="7"/>
  <c r="O397" i="7"/>
  <c r="N397" i="7"/>
  <c r="D397" i="7"/>
  <c r="O396" i="7"/>
  <c r="N396" i="7"/>
  <c r="D396" i="7"/>
  <c r="O436" i="7"/>
  <c r="N436" i="7"/>
  <c r="D436" i="7"/>
  <c r="O435" i="7"/>
  <c r="N435" i="7"/>
  <c r="D435" i="7"/>
  <c r="O434" i="7"/>
  <c r="N434" i="7"/>
  <c r="D434" i="7"/>
  <c r="O433" i="7"/>
  <c r="N433" i="7"/>
  <c r="D433" i="7"/>
  <c r="O432" i="7"/>
  <c r="N432" i="7"/>
  <c r="D432" i="7"/>
  <c r="O431" i="7"/>
  <c r="N431" i="7"/>
  <c r="D431" i="7"/>
  <c r="O430" i="7"/>
  <c r="N430" i="7"/>
  <c r="D430" i="7"/>
  <c r="O429" i="7"/>
  <c r="N429" i="7"/>
  <c r="D429" i="7"/>
  <c r="O428" i="7"/>
  <c r="N428" i="7"/>
  <c r="D428" i="7"/>
  <c r="O427" i="7"/>
  <c r="N427" i="7"/>
  <c r="D427" i="7"/>
  <c r="O426" i="7"/>
  <c r="N426" i="7"/>
  <c r="D426" i="7"/>
  <c r="O425" i="7"/>
  <c r="N425" i="7"/>
  <c r="D425" i="7"/>
  <c r="O424" i="7"/>
  <c r="N424" i="7"/>
  <c r="D424" i="7"/>
  <c r="O423" i="7"/>
  <c r="N423" i="7"/>
  <c r="D423" i="7"/>
  <c r="O422" i="7"/>
  <c r="N422" i="7"/>
  <c r="D422" i="7"/>
  <c r="O421" i="7"/>
  <c r="N421" i="7"/>
  <c r="D421" i="7"/>
  <c r="O420" i="7"/>
  <c r="N420" i="7"/>
  <c r="D420" i="7"/>
  <c r="O419" i="7"/>
  <c r="N419" i="7"/>
  <c r="D419" i="7"/>
  <c r="O418" i="7"/>
  <c r="N418" i="7"/>
  <c r="D418" i="7"/>
  <c r="O417" i="7"/>
  <c r="N417" i="7"/>
  <c r="D417" i="7"/>
  <c r="O416" i="7"/>
  <c r="N416" i="7"/>
  <c r="D416" i="7"/>
  <c r="O415" i="7"/>
  <c r="N415" i="7"/>
  <c r="D415" i="7"/>
  <c r="O454" i="7"/>
  <c r="N454" i="7"/>
  <c r="D454" i="7"/>
  <c r="O453" i="7"/>
  <c r="N453" i="7"/>
  <c r="D453" i="7"/>
  <c r="O452" i="7"/>
  <c r="N452" i="7"/>
  <c r="D452" i="7"/>
  <c r="O451" i="7"/>
  <c r="N451" i="7"/>
  <c r="D451" i="7"/>
  <c r="O450" i="7"/>
  <c r="N450" i="7"/>
  <c r="D450" i="7"/>
  <c r="O449" i="7"/>
  <c r="N449" i="7"/>
  <c r="D449" i="7"/>
  <c r="O448" i="7"/>
  <c r="N448" i="7"/>
  <c r="D448" i="7"/>
  <c r="O447" i="7"/>
  <c r="N447" i="7"/>
  <c r="D447" i="7"/>
  <c r="O446" i="7"/>
  <c r="N446" i="7"/>
  <c r="D446" i="7"/>
  <c r="O445" i="7"/>
  <c r="N445" i="7"/>
  <c r="D445" i="7"/>
  <c r="O444" i="7"/>
  <c r="N444" i="7"/>
  <c r="D444" i="7"/>
  <c r="O443" i="7"/>
  <c r="N443" i="7"/>
  <c r="D443" i="7"/>
  <c r="O442" i="7"/>
  <c r="N442" i="7"/>
  <c r="D442" i="7"/>
  <c r="O441" i="7"/>
  <c r="N441" i="7"/>
  <c r="D441" i="7"/>
  <c r="O440" i="7"/>
  <c r="N440" i="7"/>
  <c r="D440" i="7"/>
  <c r="O439" i="7"/>
  <c r="N439" i="7"/>
  <c r="D439" i="7"/>
  <c r="O438" i="7"/>
  <c r="N438" i="7"/>
  <c r="D438" i="7"/>
  <c r="O437" i="7"/>
  <c r="N437" i="7"/>
  <c r="D437" i="7"/>
  <c r="O474" i="7"/>
  <c r="N474" i="7"/>
  <c r="D474" i="7"/>
  <c r="O473" i="7"/>
  <c r="N473" i="7"/>
  <c r="D473" i="7"/>
  <c r="O472" i="7"/>
  <c r="N472" i="7"/>
  <c r="D472" i="7"/>
  <c r="O471" i="7"/>
  <c r="N471" i="7"/>
  <c r="D471" i="7"/>
  <c r="O470" i="7"/>
  <c r="N470" i="7"/>
  <c r="D470" i="7"/>
  <c r="O469" i="7"/>
  <c r="N469" i="7"/>
  <c r="D469" i="7"/>
  <c r="O468" i="7"/>
  <c r="N468" i="7"/>
  <c r="D468" i="7"/>
  <c r="O467" i="7"/>
  <c r="N467" i="7"/>
  <c r="D467" i="7"/>
  <c r="O466" i="7"/>
  <c r="N466" i="7"/>
  <c r="D466" i="7"/>
  <c r="O465" i="7"/>
  <c r="N465" i="7"/>
  <c r="D465" i="7"/>
  <c r="O464" i="7"/>
  <c r="N464" i="7"/>
  <c r="D464" i="7"/>
  <c r="O463" i="7"/>
  <c r="N463" i="7"/>
  <c r="D463" i="7"/>
  <c r="O462" i="7"/>
  <c r="N462" i="7"/>
  <c r="D462" i="7"/>
  <c r="O461" i="7"/>
  <c r="N461" i="7"/>
  <c r="D461" i="7"/>
  <c r="O460" i="7"/>
  <c r="N460" i="7"/>
  <c r="D460" i="7"/>
  <c r="O459" i="7"/>
  <c r="N459" i="7"/>
  <c r="D459" i="7"/>
  <c r="O458" i="7"/>
  <c r="N458" i="7"/>
  <c r="D458" i="7"/>
  <c r="O457" i="7"/>
  <c r="N457" i="7"/>
  <c r="D457" i="7"/>
  <c r="O456" i="7"/>
  <c r="N456" i="7"/>
  <c r="D456" i="7"/>
  <c r="O455" i="7"/>
  <c r="N455" i="7"/>
  <c r="D455" i="7"/>
  <c r="O492" i="7"/>
  <c r="N492" i="7"/>
  <c r="D492" i="7"/>
  <c r="O491" i="7"/>
  <c r="N491" i="7"/>
  <c r="D491" i="7"/>
  <c r="O490" i="7"/>
  <c r="N490" i="7"/>
  <c r="D490" i="7"/>
  <c r="O489" i="7"/>
  <c r="N489" i="7"/>
  <c r="D489" i="7"/>
  <c r="O488" i="7"/>
  <c r="N488" i="7"/>
  <c r="D488" i="7"/>
  <c r="O487" i="7"/>
  <c r="N487" i="7"/>
  <c r="D487" i="7"/>
  <c r="O486" i="7"/>
  <c r="N486" i="7"/>
  <c r="D486" i="7"/>
  <c r="O485" i="7"/>
  <c r="N485" i="7"/>
  <c r="D485" i="7"/>
  <c r="O484" i="7"/>
  <c r="N484" i="7"/>
  <c r="D484" i="7"/>
  <c r="O483" i="7"/>
  <c r="N483" i="7"/>
  <c r="D483" i="7"/>
  <c r="O482" i="7"/>
  <c r="N482" i="7"/>
  <c r="D482" i="7"/>
  <c r="O481" i="7"/>
  <c r="N481" i="7"/>
  <c r="D481" i="7"/>
  <c r="O480" i="7"/>
  <c r="N480" i="7"/>
  <c r="D480" i="7"/>
  <c r="O479" i="7"/>
  <c r="N479" i="7"/>
  <c r="D479" i="7"/>
  <c r="O478" i="7"/>
  <c r="N478" i="7"/>
  <c r="D478" i="7"/>
  <c r="O477" i="7"/>
  <c r="N477" i="7"/>
  <c r="D477" i="7"/>
  <c r="O476" i="7"/>
  <c r="N476" i="7"/>
  <c r="D476" i="7"/>
  <c r="O475" i="7"/>
  <c r="N475" i="7"/>
  <c r="D475" i="7"/>
  <c r="O512" i="7"/>
  <c r="N512" i="7"/>
  <c r="D512" i="7"/>
  <c r="O511" i="7"/>
  <c r="N511" i="7"/>
  <c r="D511" i="7"/>
  <c r="O510" i="7"/>
  <c r="N510" i="7"/>
  <c r="D510" i="7"/>
  <c r="O509" i="7"/>
  <c r="N509" i="7"/>
  <c r="D509" i="7"/>
  <c r="O508" i="7"/>
  <c r="N508" i="7"/>
  <c r="D508" i="7"/>
  <c r="O507" i="7"/>
  <c r="N507" i="7"/>
  <c r="D507" i="7"/>
  <c r="O506" i="7"/>
  <c r="N506" i="7"/>
  <c r="D506" i="7"/>
  <c r="O505" i="7"/>
  <c r="N505" i="7"/>
  <c r="D505" i="7"/>
  <c r="O504" i="7"/>
  <c r="N504" i="7"/>
  <c r="D504" i="7"/>
  <c r="O503" i="7"/>
  <c r="N503" i="7"/>
  <c r="D503" i="7"/>
  <c r="O502" i="7"/>
  <c r="N502" i="7"/>
  <c r="D502" i="7"/>
  <c r="O501" i="7"/>
  <c r="N501" i="7"/>
  <c r="D501" i="7"/>
  <c r="O500" i="7"/>
  <c r="N500" i="7"/>
  <c r="D500" i="7"/>
  <c r="O499" i="7"/>
  <c r="N499" i="7"/>
  <c r="D499" i="7"/>
  <c r="O498" i="7"/>
  <c r="N498" i="7"/>
  <c r="D498" i="7"/>
  <c r="O497" i="7"/>
  <c r="N497" i="7"/>
  <c r="D497" i="7"/>
  <c r="O496" i="7"/>
  <c r="N496" i="7"/>
  <c r="D496" i="7"/>
  <c r="O495" i="7"/>
  <c r="N495" i="7"/>
  <c r="D495" i="7"/>
  <c r="O494" i="7"/>
  <c r="N494" i="7"/>
  <c r="D494" i="7"/>
  <c r="O493" i="7"/>
  <c r="N493" i="7"/>
  <c r="D493" i="7"/>
  <c r="O531" i="7"/>
  <c r="N531" i="7"/>
  <c r="D531" i="7"/>
  <c r="O530" i="7"/>
  <c r="N530" i="7"/>
  <c r="D530" i="7"/>
  <c r="O529" i="7"/>
  <c r="N529" i="7"/>
  <c r="D529" i="7"/>
  <c r="O528" i="7"/>
  <c r="N528" i="7"/>
  <c r="D528" i="7"/>
  <c r="O527" i="7"/>
  <c r="N527" i="7"/>
  <c r="D527" i="7"/>
  <c r="O526" i="7"/>
  <c r="N526" i="7"/>
  <c r="D526" i="7"/>
  <c r="O525" i="7"/>
  <c r="N525" i="7"/>
  <c r="D525" i="7"/>
  <c r="O524" i="7"/>
  <c r="N524" i="7"/>
  <c r="D524" i="7"/>
  <c r="O523" i="7"/>
  <c r="N523" i="7"/>
  <c r="D523" i="7"/>
  <c r="O522" i="7"/>
  <c r="N522" i="7"/>
  <c r="D522" i="7"/>
  <c r="O521" i="7"/>
  <c r="N521" i="7"/>
  <c r="D521" i="7"/>
  <c r="O520" i="7"/>
  <c r="N520" i="7"/>
  <c r="D520" i="7"/>
  <c r="O519" i="7"/>
  <c r="N519" i="7"/>
  <c r="D519" i="7"/>
  <c r="O518" i="7"/>
  <c r="N518" i="7"/>
  <c r="D518" i="7"/>
  <c r="O517" i="7"/>
  <c r="N517" i="7"/>
  <c r="D517" i="7"/>
  <c r="O516" i="7"/>
  <c r="N516" i="7"/>
  <c r="D516" i="7"/>
  <c r="O515" i="7"/>
  <c r="N515" i="7"/>
  <c r="D515" i="7"/>
  <c r="O514" i="7"/>
  <c r="N514" i="7"/>
  <c r="D514" i="7"/>
  <c r="O513" i="7"/>
  <c r="N513" i="7"/>
  <c r="D513" i="7"/>
  <c r="O551" i="7"/>
  <c r="N551" i="7"/>
  <c r="D551" i="7"/>
  <c r="O550" i="7"/>
  <c r="N550" i="7"/>
  <c r="D550" i="7"/>
  <c r="O549" i="7"/>
  <c r="N549" i="7"/>
  <c r="D549" i="7"/>
  <c r="O548" i="7"/>
  <c r="N548" i="7"/>
  <c r="D548" i="7"/>
  <c r="O547" i="7"/>
  <c r="N547" i="7"/>
  <c r="D547" i="7"/>
  <c r="O546" i="7"/>
  <c r="N546" i="7"/>
  <c r="D546" i="7"/>
  <c r="O545" i="7"/>
  <c r="N545" i="7"/>
  <c r="D545" i="7"/>
  <c r="O544" i="7"/>
  <c r="N544" i="7"/>
  <c r="D544" i="7"/>
  <c r="O543" i="7"/>
  <c r="N543" i="7"/>
  <c r="D543" i="7"/>
  <c r="O542" i="7"/>
  <c r="N542" i="7"/>
  <c r="D542" i="7"/>
  <c r="O541" i="7"/>
  <c r="N541" i="7"/>
  <c r="D541" i="7"/>
  <c r="O540" i="7"/>
  <c r="N540" i="7"/>
  <c r="D540" i="7"/>
  <c r="O539" i="7"/>
  <c r="N539" i="7"/>
  <c r="D539" i="7"/>
  <c r="O538" i="7"/>
  <c r="N538" i="7"/>
  <c r="D538" i="7"/>
  <c r="O537" i="7"/>
  <c r="N537" i="7"/>
  <c r="D537" i="7"/>
  <c r="O536" i="7"/>
  <c r="N536" i="7"/>
  <c r="D536" i="7"/>
  <c r="O535" i="7"/>
  <c r="N535" i="7"/>
  <c r="D535" i="7"/>
  <c r="O534" i="7"/>
  <c r="N534" i="7"/>
  <c r="D534" i="7"/>
  <c r="O533" i="7"/>
  <c r="N533" i="7"/>
  <c r="D533" i="7"/>
  <c r="O532" i="7"/>
  <c r="N532" i="7"/>
  <c r="D532" i="7"/>
  <c r="O569" i="7"/>
  <c r="N569" i="7"/>
  <c r="D569" i="7"/>
  <c r="O568" i="7"/>
  <c r="N568" i="7"/>
  <c r="D568" i="7"/>
  <c r="O567" i="7"/>
  <c r="N567" i="7"/>
  <c r="D567" i="7"/>
  <c r="O566" i="7"/>
  <c r="N566" i="7"/>
  <c r="D566" i="7"/>
  <c r="O565" i="7"/>
  <c r="N565" i="7"/>
  <c r="D565" i="7"/>
  <c r="O564" i="7"/>
  <c r="N564" i="7"/>
  <c r="D564" i="7"/>
  <c r="O563" i="7"/>
  <c r="N563" i="7"/>
  <c r="D563" i="7"/>
  <c r="O562" i="7"/>
  <c r="N562" i="7"/>
  <c r="D562" i="7"/>
  <c r="O561" i="7"/>
  <c r="N561" i="7"/>
  <c r="D561" i="7"/>
  <c r="O560" i="7"/>
  <c r="N560" i="7"/>
  <c r="D560" i="7"/>
  <c r="O559" i="7"/>
  <c r="N559" i="7"/>
  <c r="D559" i="7"/>
  <c r="O558" i="7"/>
  <c r="N558" i="7"/>
  <c r="D558" i="7"/>
  <c r="O557" i="7"/>
  <c r="N557" i="7"/>
  <c r="D557" i="7"/>
  <c r="O556" i="7"/>
  <c r="N556" i="7"/>
  <c r="D556" i="7"/>
  <c r="O555" i="7"/>
  <c r="N555" i="7"/>
  <c r="D555" i="7"/>
  <c r="O554" i="7"/>
  <c r="N554" i="7"/>
  <c r="D554" i="7"/>
  <c r="O553" i="7"/>
  <c r="N553" i="7"/>
  <c r="D553" i="7"/>
  <c r="O552" i="7"/>
  <c r="N552" i="7"/>
  <c r="D552" i="7"/>
  <c r="O587" i="7"/>
  <c r="N587" i="7"/>
  <c r="D587" i="7"/>
  <c r="O586" i="7"/>
  <c r="N586" i="7"/>
  <c r="D586" i="7"/>
  <c r="O585" i="7"/>
  <c r="N585" i="7"/>
  <c r="D585" i="7"/>
  <c r="O584" i="7"/>
  <c r="N584" i="7"/>
  <c r="D584" i="7"/>
  <c r="O583" i="7"/>
  <c r="N583" i="7"/>
  <c r="D583" i="7"/>
  <c r="O582" i="7"/>
  <c r="N582" i="7"/>
  <c r="D582" i="7"/>
  <c r="O581" i="7"/>
  <c r="N581" i="7"/>
  <c r="D581" i="7"/>
  <c r="O580" i="7"/>
  <c r="N580" i="7"/>
  <c r="D580" i="7"/>
  <c r="O579" i="7"/>
  <c r="N579" i="7"/>
  <c r="D579" i="7"/>
  <c r="O578" i="7"/>
  <c r="N578" i="7"/>
  <c r="D578" i="7"/>
  <c r="O577" i="7"/>
  <c r="N577" i="7"/>
  <c r="D577" i="7"/>
  <c r="O576" i="7"/>
  <c r="N576" i="7"/>
  <c r="D576" i="7"/>
  <c r="O575" i="7"/>
  <c r="N575" i="7"/>
  <c r="D575" i="7"/>
  <c r="O574" i="7"/>
  <c r="N574" i="7"/>
  <c r="D574" i="7"/>
  <c r="O573" i="7"/>
  <c r="N573" i="7"/>
  <c r="D573" i="7"/>
  <c r="O572" i="7"/>
  <c r="N572" i="7"/>
  <c r="D572" i="7"/>
  <c r="O571" i="7"/>
  <c r="N571" i="7"/>
  <c r="D571" i="7"/>
  <c r="O570" i="7"/>
  <c r="N570" i="7"/>
  <c r="D570" i="7"/>
  <c r="O603" i="7"/>
  <c r="N603" i="7"/>
  <c r="D603" i="7"/>
  <c r="O602" i="7"/>
  <c r="N602" i="7"/>
  <c r="D602" i="7"/>
  <c r="O601" i="7"/>
  <c r="N601" i="7"/>
  <c r="D601" i="7"/>
  <c r="O600" i="7"/>
  <c r="N600" i="7"/>
  <c r="D600" i="7"/>
  <c r="O599" i="7"/>
  <c r="N599" i="7"/>
  <c r="D599" i="7"/>
  <c r="O598" i="7"/>
  <c r="N598" i="7"/>
  <c r="D598" i="7"/>
  <c r="O597" i="7"/>
  <c r="N597" i="7"/>
  <c r="D597" i="7"/>
  <c r="O596" i="7"/>
  <c r="N596" i="7"/>
  <c r="D596" i="7"/>
  <c r="O595" i="7"/>
  <c r="N595" i="7"/>
  <c r="D595" i="7"/>
  <c r="O594" i="7"/>
  <c r="N594" i="7"/>
  <c r="D594" i="7"/>
  <c r="O593" i="7"/>
  <c r="N593" i="7"/>
  <c r="D593" i="7"/>
  <c r="O592" i="7"/>
  <c r="N592" i="7"/>
  <c r="D592" i="7"/>
  <c r="O591" i="7"/>
  <c r="N591" i="7"/>
  <c r="D591" i="7"/>
  <c r="O590" i="7"/>
  <c r="N590" i="7"/>
  <c r="D590" i="7"/>
  <c r="O589" i="7"/>
  <c r="N589" i="7"/>
  <c r="D589" i="7"/>
  <c r="O588" i="7"/>
  <c r="N588" i="7"/>
  <c r="D588" i="7"/>
  <c r="O623" i="7"/>
  <c r="N623" i="7"/>
  <c r="D623" i="7"/>
  <c r="O622" i="7"/>
  <c r="N622" i="7"/>
  <c r="D622" i="7"/>
  <c r="O621" i="7"/>
  <c r="N621" i="7"/>
  <c r="D621" i="7"/>
  <c r="O620" i="7"/>
  <c r="N620" i="7"/>
  <c r="D620" i="7"/>
  <c r="O619" i="7"/>
  <c r="N619" i="7"/>
  <c r="D619" i="7"/>
  <c r="O618" i="7"/>
  <c r="N618" i="7"/>
  <c r="D618" i="7"/>
  <c r="O617" i="7"/>
  <c r="N617" i="7"/>
  <c r="D617" i="7"/>
  <c r="O616" i="7"/>
  <c r="N616" i="7"/>
  <c r="D616" i="7"/>
  <c r="O615" i="7"/>
  <c r="N615" i="7"/>
  <c r="D615" i="7"/>
  <c r="O614" i="7"/>
  <c r="N614" i="7"/>
  <c r="D614" i="7"/>
  <c r="O613" i="7"/>
  <c r="N613" i="7"/>
  <c r="D613" i="7"/>
  <c r="O612" i="7"/>
  <c r="N612" i="7"/>
  <c r="D612" i="7"/>
  <c r="O611" i="7"/>
  <c r="N611" i="7"/>
  <c r="D611" i="7"/>
  <c r="O610" i="7"/>
  <c r="N610" i="7"/>
  <c r="D610" i="7"/>
  <c r="O609" i="7"/>
  <c r="N609" i="7"/>
  <c r="D609" i="7"/>
  <c r="O608" i="7"/>
  <c r="N608" i="7"/>
  <c r="D608" i="7"/>
  <c r="O607" i="7"/>
  <c r="N607" i="7"/>
  <c r="D607" i="7"/>
  <c r="O606" i="7"/>
  <c r="N606" i="7"/>
  <c r="D606" i="7"/>
  <c r="O605" i="7"/>
  <c r="N605" i="7"/>
  <c r="D605" i="7"/>
  <c r="O604" i="7"/>
  <c r="N604" i="7"/>
  <c r="D604" i="7"/>
  <c r="O644" i="7"/>
  <c r="N644" i="7"/>
  <c r="D644" i="7"/>
  <c r="O643" i="7"/>
  <c r="N643" i="7"/>
  <c r="D643" i="7"/>
  <c r="O642" i="7"/>
  <c r="N642" i="7"/>
  <c r="D642" i="7"/>
  <c r="O641" i="7"/>
  <c r="N641" i="7"/>
  <c r="D641" i="7"/>
  <c r="O640" i="7"/>
  <c r="N640" i="7"/>
  <c r="D640" i="7"/>
  <c r="O639" i="7"/>
  <c r="N639" i="7"/>
  <c r="D639" i="7"/>
  <c r="O638" i="7"/>
  <c r="N638" i="7"/>
  <c r="D638" i="7"/>
  <c r="O637" i="7"/>
  <c r="N637" i="7"/>
  <c r="D637" i="7"/>
  <c r="O636" i="7"/>
  <c r="N636" i="7"/>
  <c r="D636" i="7"/>
  <c r="O635" i="7"/>
  <c r="N635" i="7"/>
  <c r="D635" i="7"/>
  <c r="O634" i="7"/>
  <c r="N634" i="7"/>
  <c r="D634" i="7"/>
  <c r="O633" i="7"/>
  <c r="N633" i="7"/>
  <c r="D633" i="7"/>
  <c r="O632" i="7"/>
  <c r="N632" i="7"/>
  <c r="D632" i="7"/>
  <c r="O631" i="7"/>
  <c r="N631" i="7"/>
  <c r="D631" i="7"/>
  <c r="O630" i="7"/>
  <c r="N630" i="7"/>
  <c r="D630" i="7"/>
  <c r="O629" i="7"/>
  <c r="N629" i="7"/>
  <c r="D629" i="7"/>
  <c r="O628" i="7"/>
  <c r="N628" i="7"/>
  <c r="D628" i="7"/>
  <c r="O627" i="7"/>
  <c r="N627" i="7"/>
  <c r="D627" i="7"/>
  <c r="O626" i="7"/>
  <c r="N626" i="7"/>
  <c r="D626" i="7"/>
  <c r="O625" i="7"/>
  <c r="N625" i="7"/>
  <c r="D625" i="7"/>
  <c r="O624" i="7"/>
  <c r="N624" i="7"/>
  <c r="D624" i="7"/>
  <c r="O668" i="7"/>
  <c r="N668" i="7"/>
  <c r="D668" i="7"/>
  <c r="O667" i="7"/>
  <c r="N667" i="7"/>
  <c r="D667" i="7"/>
  <c r="O666" i="7"/>
  <c r="N666" i="7"/>
  <c r="D666" i="7"/>
  <c r="O665" i="7"/>
  <c r="N665" i="7"/>
  <c r="D665" i="7"/>
  <c r="O664" i="7"/>
  <c r="N664" i="7"/>
  <c r="D664" i="7"/>
  <c r="O663" i="7"/>
  <c r="N663" i="7"/>
  <c r="D663" i="7"/>
  <c r="O662" i="7"/>
  <c r="N662" i="7"/>
  <c r="D662" i="7"/>
  <c r="O661" i="7"/>
  <c r="N661" i="7"/>
  <c r="D661" i="7"/>
  <c r="O660" i="7"/>
  <c r="N660" i="7"/>
  <c r="D660" i="7"/>
  <c r="O659" i="7"/>
  <c r="N659" i="7"/>
  <c r="D659" i="7"/>
  <c r="O658" i="7"/>
  <c r="N658" i="7"/>
  <c r="D658" i="7"/>
  <c r="O657" i="7"/>
  <c r="N657" i="7"/>
  <c r="D657" i="7"/>
  <c r="O656" i="7"/>
  <c r="N656" i="7"/>
  <c r="D656" i="7"/>
  <c r="O655" i="7"/>
  <c r="N655" i="7"/>
  <c r="D655" i="7"/>
  <c r="O654" i="7"/>
  <c r="N654" i="7"/>
  <c r="D654" i="7"/>
  <c r="O653" i="7"/>
  <c r="N653" i="7"/>
  <c r="D653" i="7"/>
  <c r="O652" i="7"/>
  <c r="N652" i="7"/>
  <c r="D652" i="7"/>
  <c r="O651" i="7"/>
  <c r="N651" i="7"/>
  <c r="D651" i="7"/>
  <c r="O650" i="7"/>
  <c r="N650" i="7"/>
  <c r="D650" i="7"/>
  <c r="O649" i="7"/>
  <c r="N649" i="7"/>
  <c r="D649" i="7"/>
  <c r="O648" i="7"/>
  <c r="N648" i="7"/>
  <c r="D648" i="7"/>
  <c r="O647" i="7"/>
  <c r="N647" i="7"/>
  <c r="D647" i="7"/>
  <c r="O646" i="7"/>
  <c r="N646" i="7"/>
  <c r="D646" i="7"/>
  <c r="O645" i="7"/>
  <c r="N645" i="7"/>
  <c r="D645" i="7"/>
  <c r="O688" i="7"/>
  <c r="N688" i="7"/>
  <c r="D688" i="7"/>
  <c r="O687" i="7"/>
  <c r="N687" i="7"/>
  <c r="D687" i="7"/>
  <c r="O686" i="7"/>
  <c r="N686" i="7"/>
  <c r="D686" i="7"/>
  <c r="O685" i="7"/>
  <c r="N685" i="7"/>
  <c r="D685" i="7"/>
  <c r="O684" i="7"/>
  <c r="N684" i="7"/>
  <c r="D684" i="7"/>
  <c r="O683" i="7"/>
  <c r="N683" i="7"/>
  <c r="D683" i="7"/>
  <c r="O682" i="7"/>
  <c r="N682" i="7"/>
  <c r="D682" i="7"/>
  <c r="O681" i="7"/>
  <c r="N681" i="7"/>
  <c r="D681" i="7"/>
  <c r="O680" i="7"/>
  <c r="N680" i="7"/>
  <c r="D680" i="7"/>
  <c r="O679" i="7"/>
  <c r="N679" i="7"/>
  <c r="D679" i="7"/>
  <c r="O678" i="7"/>
  <c r="N678" i="7"/>
  <c r="D678" i="7"/>
  <c r="O677" i="7"/>
  <c r="N677" i="7"/>
  <c r="D677" i="7"/>
  <c r="O676" i="7"/>
  <c r="N676" i="7"/>
  <c r="D676" i="7"/>
  <c r="O675" i="7"/>
  <c r="N675" i="7"/>
  <c r="D675" i="7"/>
  <c r="O674" i="7"/>
  <c r="N674" i="7"/>
  <c r="D674" i="7"/>
  <c r="O673" i="7"/>
  <c r="N673" i="7"/>
  <c r="D673" i="7"/>
  <c r="O672" i="7"/>
  <c r="N672" i="7"/>
  <c r="D672" i="7"/>
  <c r="O671" i="7"/>
  <c r="N671" i="7"/>
  <c r="D671" i="7"/>
  <c r="O670" i="7"/>
  <c r="N670" i="7"/>
  <c r="D670" i="7"/>
  <c r="O669" i="7"/>
  <c r="N669" i="7"/>
  <c r="D669" i="7"/>
  <c r="O708" i="7"/>
  <c r="N708" i="7"/>
  <c r="D708" i="7"/>
  <c r="O707" i="7"/>
  <c r="N707" i="7"/>
  <c r="D707" i="7"/>
  <c r="O706" i="7"/>
  <c r="N706" i="7"/>
  <c r="D706" i="7"/>
  <c r="O705" i="7"/>
  <c r="N705" i="7"/>
  <c r="D705" i="7"/>
  <c r="O704" i="7"/>
  <c r="N704" i="7"/>
  <c r="D704" i="7"/>
  <c r="O703" i="7"/>
  <c r="N703" i="7"/>
  <c r="D703" i="7"/>
  <c r="O702" i="7"/>
  <c r="N702" i="7"/>
  <c r="D702" i="7"/>
  <c r="O701" i="7"/>
  <c r="N701" i="7"/>
  <c r="D701" i="7"/>
  <c r="O700" i="7"/>
  <c r="N700" i="7"/>
  <c r="D700" i="7"/>
  <c r="O699" i="7"/>
  <c r="N699" i="7"/>
  <c r="D699" i="7"/>
  <c r="O698" i="7"/>
  <c r="N698" i="7"/>
  <c r="D698" i="7"/>
  <c r="O697" i="7"/>
  <c r="N697" i="7"/>
  <c r="D697" i="7"/>
  <c r="O696" i="7"/>
  <c r="N696" i="7"/>
  <c r="D696" i="7"/>
  <c r="O695" i="7"/>
  <c r="N695" i="7"/>
  <c r="D695" i="7"/>
  <c r="O694" i="7"/>
  <c r="N694" i="7"/>
  <c r="D694" i="7"/>
  <c r="O693" i="7"/>
  <c r="N693" i="7"/>
  <c r="D693" i="7"/>
  <c r="O692" i="7"/>
  <c r="N692" i="7"/>
  <c r="D692" i="7"/>
  <c r="O691" i="7"/>
  <c r="N691" i="7"/>
  <c r="D691" i="7"/>
  <c r="O690" i="7"/>
  <c r="N690" i="7"/>
  <c r="D690" i="7"/>
  <c r="O689" i="7"/>
  <c r="N689" i="7"/>
  <c r="D689" i="7"/>
  <c r="O729" i="7"/>
  <c r="N729" i="7"/>
  <c r="D729" i="7"/>
  <c r="O728" i="7"/>
  <c r="N728" i="7"/>
  <c r="D728" i="7"/>
  <c r="O727" i="7"/>
  <c r="N727" i="7"/>
  <c r="D727" i="7"/>
  <c r="O726" i="7"/>
  <c r="N726" i="7"/>
  <c r="D726" i="7"/>
  <c r="O725" i="7"/>
  <c r="N725" i="7"/>
  <c r="D725" i="7"/>
  <c r="O724" i="7"/>
  <c r="N724" i="7"/>
  <c r="D724" i="7"/>
  <c r="O723" i="7"/>
  <c r="N723" i="7"/>
  <c r="D723" i="7"/>
  <c r="O722" i="7"/>
  <c r="N722" i="7"/>
  <c r="D722" i="7"/>
  <c r="O721" i="7"/>
  <c r="N721" i="7"/>
  <c r="D721" i="7"/>
  <c r="O720" i="7"/>
  <c r="N720" i="7"/>
  <c r="D720" i="7"/>
  <c r="O719" i="7"/>
  <c r="N719" i="7"/>
  <c r="D719" i="7"/>
  <c r="O718" i="7"/>
  <c r="N718" i="7"/>
  <c r="D718" i="7"/>
  <c r="O717" i="7"/>
  <c r="N717" i="7"/>
  <c r="D717" i="7"/>
  <c r="O716" i="7"/>
  <c r="N716" i="7"/>
  <c r="D716" i="7"/>
  <c r="O715" i="7"/>
  <c r="N715" i="7"/>
  <c r="D715" i="7"/>
  <c r="O714" i="7"/>
  <c r="N714" i="7"/>
  <c r="D714" i="7"/>
  <c r="O713" i="7"/>
  <c r="N713" i="7"/>
  <c r="D713" i="7"/>
  <c r="O712" i="7"/>
  <c r="N712" i="7"/>
  <c r="D712" i="7"/>
  <c r="O711" i="7"/>
  <c r="N711" i="7"/>
  <c r="D711" i="7"/>
  <c r="O710" i="7"/>
  <c r="N710" i="7"/>
  <c r="D710" i="7"/>
  <c r="O709" i="7"/>
  <c r="N709" i="7"/>
  <c r="D709" i="7"/>
  <c r="O749" i="7"/>
  <c r="N749" i="7"/>
  <c r="D749" i="7"/>
  <c r="O748" i="7"/>
  <c r="N748" i="7"/>
  <c r="D748" i="7"/>
  <c r="O747" i="7"/>
  <c r="N747" i="7"/>
  <c r="D747" i="7"/>
  <c r="O746" i="7"/>
  <c r="N746" i="7"/>
  <c r="D746" i="7"/>
  <c r="O745" i="7"/>
  <c r="N745" i="7"/>
  <c r="D745" i="7"/>
  <c r="O744" i="7"/>
  <c r="N744" i="7"/>
  <c r="D744" i="7"/>
  <c r="O743" i="7"/>
  <c r="N743" i="7"/>
  <c r="D743" i="7"/>
  <c r="O742" i="7"/>
  <c r="N742" i="7"/>
  <c r="D742" i="7"/>
  <c r="O741" i="7"/>
  <c r="N741" i="7"/>
  <c r="D741" i="7"/>
  <c r="O740" i="7"/>
  <c r="N740" i="7"/>
  <c r="D740" i="7"/>
  <c r="O739" i="7"/>
  <c r="N739" i="7"/>
  <c r="D739" i="7"/>
  <c r="O738" i="7"/>
  <c r="N738" i="7"/>
  <c r="D738" i="7"/>
  <c r="O737" i="7"/>
  <c r="N737" i="7"/>
  <c r="D737" i="7"/>
  <c r="O736" i="7"/>
  <c r="N736" i="7"/>
  <c r="D736" i="7"/>
  <c r="O735" i="7"/>
  <c r="N735" i="7"/>
  <c r="D735" i="7"/>
  <c r="O734" i="7"/>
  <c r="N734" i="7"/>
  <c r="D734" i="7"/>
  <c r="O733" i="7"/>
  <c r="N733" i="7"/>
  <c r="D733" i="7"/>
  <c r="O732" i="7"/>
  <c r="N732" i="7"/>
  <c r="D732" i="7"/>
  <c r="O731" i="7"/>
  <c r="N731" i="7"/>
  <c r="D731" i="7"/>
  <c r="O730" i="7"/>
  <c r="N730" i="7"/>
  <c r="D730" i="7"/>
  <c r="O768" i="7"/>
  <c r="N768" i="7"/>
  <c r="D768" i="7"/>
  <c r="O767" i="7"/>
  <c r="N767" i="7"/>
  <c r="D767" i="7"/>
  <c r="O766" i="7"/>
  <c r="N766" i="7"/>
  <c r="D766" i="7"/>
  <c r="O765" i="7"/>
  <c r="N765" i="7"/>
  <c r="D765" i="7"/>
  <c r="O764" i="7"/>
  <c r="N764" i="7"/>
  <c r="D764" i="7"/>
  <c r="O763" i="7"/>
  <c r="N763" i="7"/>
  <c r="D763" i="7"/>
  <c r="O762" i="7"/>
  <c r="N762" i="7"/>
  <c r="D762" i="7"/>
  <c r="O761" i="7"/>
  <c r="N761" i="7"/>
  <c r="D761" i="7"/>
  <c r="O760" i="7"/>
  <c r="N760" i="7"/>
  <c r="D760" i="7"/>
  <c r="O759" i="7"/>
  <c r="N759" i="7"/>
  <c r="D759" i="7"/>
  <c r="O758" i="7"/>
  <c r="N758" i="7"/>
  <c r="D758" i="7"/>
  <c r="O757" i="7"/>
  <c r="N757" i="7"/>
  <c r="D757" i="7"/>
  <c r="O756" i="7"/>
  <c r="N756" i="7"/>
  <c r="D756" i="7"/>
  <c r="O755" i="7"/>
  <c r="N755" i="7"/>
  <c r="D755" i="7"/>
  <c r="O754" i="7"/>
  <c r="N754" i="7"/>
  <c r="D754" i="7"/>
  <c r="O753" i="7"/>
  <c r="N753" i="7"/>
  <c r="D753" i="7"/>
  <c r="O752" i="7"/>
  <c r="N752" i="7"/>
  <c r="D752" i="7"/>
  <c r="O751" i="7"/>
  <c r="N751" i="7"/>
  <c r="D751" i="7"/>
  <c r="O750" i="7"/>
  <c r="N750" i="7"/>
  <c r="D750" i="7"/>
  <c r="O783" i="7"/>
  <c r="N783" i="7"/>
  <c r="D783" i="7"/>
  <c r="O782" i="7"/>
  <c r="N782" i="7"/>
  <c r="D782" i="7"/>
  <c r="O781" i="7"/>
  <c r="N781" i="7"/>
  <c r="D781" i="7"/>
  <c r="O780" i="7"/>
  <c r="N780" i="7"/>
  <c r="D780" i="7"/>
  <c r="O779" i="7"/>
  <c r="N779" i="7"/>
  <c r="D779" i="7"/>
  <c r="O778" i="7"/>
  <c r="N778" i="7"/>
  <c r="D778" i="7"/>
  <c r="O777" i="7"/>
  <c r="N777" i="7"/>
  <c r="D777" i="7"/>
  <c r="O776" i="7"/>
  <c r="N776" i="7"/>
  <c r="D776" i="7"/>
  <c r="O775" i="7"/>
  <c r="N775" i="7"/>
  <c r="D775" i="7"/>
  <c r="O774" i="7"/>
  <c r="N774" i="7"/>
  <c r="D774" i="7"/>
  <c r="O773" i="7"/>
  <c r="N773" i="7"/>
  <c r="D773" i="7"/>
  <c r="O772" i="7"/>
  <c r="N772" i="7"/>
  <c r="D772" i="7"/>
  <c r="O771" i="7"/>
  <c r="N771" i="7"/>
  <c r="D771" i="7"/>
  <c r="O770" i="7"/>
  <c r="N770" i="7"/>
  <c r="D770" i="7"/>
  <c r="O769" i="7"/>
  <c r="N769" i="7"/>
  <c r="D769" i="7"/>
  <c r="O801" i="7"/>
  <c r="N801" i="7"/>
  <c r="D801" i="7"/>
  <c r="O800" i="7"/>
  <c r="N800" i="7"/>
  <c r="D800" i="7"/>
  <c r="O799" i="7"/>
  <c r="N799" i="7"/>
  <c r="D799" i="7"/>
  <c r="O798" i="7"/>
  <c r="N798" i="7"/>
  <c r="D798" i="7"/>
  <c r="O797" i="7"/>
  <c r="N797" i="7"/>
  <c r="D797" i="7"/>
  <c r="O796" i="7"/>
  <c r="N796" i="7"/>
  <c r="D796" i="7"/>
  <c r="O795" i="7"/>
  <c r="N795" i="7"/>
  <c r="D795" i="7"/>
  <c r="O794" i="7"/>
  <c r="N794" i="7"/>
  <c r="D794" i="7"/>
  <c r="O793" i="7"/>
  <c r="N793" i="7"/>
  <c r="D793" i="7"/>
  <c r="O792" i="7"/>
  <c r="N792" i="7"/>
  <c r="D792" i="7"/>
  <c r="O791" i="7"/>
  <c r="N791" i="7"/>
  <c r="D791" i="7"/>
  <c r="O790" i="7"/>
  <c r="N790" i="7"/>
  <c r="D790" i="7"/>
  <c r="O789" i="7"/>
  <c r="N789" i="7"/>
  <c r="D789" i="7"/>
  <c r="O788" i="7"/>
  <c r="N788" i="7"/>
  <c r="D788" i="7"/>
  <c r="O787" i="7"/>
  <c r="N787" i="7"/>
  <c r="D787" i="7"/>
  <c r="O786" i="7"/>
  <c r="N786" i="7"/>
  <c r="D786" i="7"/>
  <c r="O785" i="7"/>
  <c r="N785" i="7"/>
  <c r="D785" i="7"/>
  <c r="O784" i="7"/>
  <c r="N784" i="7"/>
  <c r="D784" i="7"/>
  <c r="O819" i="7"/>
  <c r="N819" i="7"/>
  <c r="D819" i="7"/>
  <c r="O818" i="7"/>
  <c r="N818" i="7"/>
  <c r="D818" i="7"/>
  <c r="O817" i="7"/>
  <c r="N817" i="7"/>
  <c r="D817" i="7"/>
  <c r="O816" i="7"/>
  <c r="N816" i="7"/>
  <c r="D816" i="7"/>
  <c r="O815" i="7"/>
  <c r="N815" i="7"/>
  <c r="D815" i="7"/>
  <c r="O814" i="7"/>
  <c r="N814" i="7"/>
  <c r="D814" i="7"/>
  <c r="O813" i="7"/>
  <c r="N813" i="7"/>
  <c r="D813" i="7"/>
  <c r="O812" i="7"/>
  <c r="N812" i="7"/>
  <c r="D812" i="7"/>
  <c r="O811" i="7"/>
  <c r="N811" i="7"/>
  <c r="D811" i="7"/>
  <c r="O810" i="7"/>
  <c r="N810" i="7"/>
  <c r="D810" i="7"/>
  <c r="O809" i="7"/>
  <c r="N809" i="7"/>
  <c r="D809" i="7"/>
  <c r="O808" i="7"/>
  <c r="N808" i="7"/>
  <c r="D808" i="7"/>
  <c r="O807" i="7"/>
  <c r="N807" i="7"/>
  <c r="D807" i="7"/>
  <c r="O806" i="7"/>
  <c r="N806" i="7"/>
  <c r="D806" i="7"/>
  <c r="O805" i="7"/>
  <c r="N805" i="7"/>
  <c r="D805" i="7"/>
  <c r="O804" i="7"/>
  <c r="N804" i="7"/>
  <c r="D804" i="7"/>
  <c r="O803" i="7"/>
  <c r="N803" i="7"/>
  <c r="D803" i="7"/>
  <c r="O802" i="7"/>
  <c r="N802" i="7"/>
  <c r="D802" i="7"/>
  <c r="O841" i="7"/>
  <c r="N841" i="7"/>
  <c r="D841" i="7"/>
  <c r="O840" i="7"/>
  <c r="N840" i="7"/>
  <c r="D840" i="7"/>
  <c r="O839" i="7"/>
  <c r="N839" i="7"/>
  <c r="D839" i="7"/>
  <c r="O838" i="7"/>
  <c r="N838" i="7"/>
  <c r="D838" i="7"/>
  <c r="O837" i="7"/>
  <c r="N837" i="7"/>
  <c r="D837" i="7"/>
  <c r="O836" i="7"/>
  <c r="N836" i="7"/>
  <c r="D836" i="7"/>
  <c r="O835" i="7"/>
  <c r="N835" i="7"/>
  <c r="D835" i="7"/>
  <c r="O834" i="7"/>
  <c r="N834" i="7"/>
  <c r="D834" i="7"/>
  <c r="O833" i="7"/>
  <c r="N833" i="7"/>
  <c r="D833" i="7"/>
  <c r="O832" i="7"/>
  <c r="N832" i="7"/>
  <c r="D832" i="7"/>
  <c r="O831" i="7"/>
  <c r="N831" i="7"/>
  <c r="D831" i="7"/>
  <c r="O830" i="7"/>
  <c r="N830" i="7"/>
  <c r="D830" i="7"/>
  <c r="O829" i="7"/>
  <c r="N829" i="7"/>
  <c r="D829" i="7"/>
  <c r="O828" i="7"/>
  <c r="N828" i="7"/>
  <c r="D828" i="7"/>
  <c r="O827" i="7"/>
  <c r="N827" i="7"/>
  <c r="D827" i="7"/>
  <c r="O826" i="7"/>
  <c r="N826" i="7"/>
  <c r="D826" i="7"/>
  <c r="O825" i="7"/>
  <c r="N825" i="7"/>
  <c r="D825" i="7"/>
  <c r="O824" i="7"/>
  <c r="N824" i="7"/>
  <c r="D824" i="7"/>
  <c r="O823" i="7"/>
  <c r="N823" i="7"/>
  <c r="D823" i="7"/>
  <c r="O822" i="7"/>
  <c r="N822" i="7"/>
  <c r="D822" i="7"/>
  <c r="O821" i="7"/>
  <c r="N821" i="7"/>
  <c r="D821" i="7"/>
  <c r="O820" i="7"/>
  <c r="N820" i="7"/>
  <c r="D820" i="7"/>
  <c r="O860" i="7"/>
  <c r="N860" i="7"/>
  <c r="D860" i="7"/>
  <c r="O859" i="7"/>
  <c r="N859" i="7"/>
  <c r="D859" i="7"/>
  <c r="O858" i="7"/>
  <c r="N858" i="7"/>
  <c r="D858" i="7"/>
  <c r="O857" i="7"/>
  <c r="N857" i="7"/>
  <c r="D857" i="7"/>
  <c r="O856" i="7"/>
  <c r="N856" i="7"/>
  <c r="D856" i="7"/>
  <c r="O855" i="7"/>
  <c r="N855" i="7"/>
  <c r="D855" i="7"/>
  <c r="O854" i="7"/>
  <c r="N854" i="7"/>
  <c r="D854" i="7"/>
  <c r="O853" i="7"/>
  <c r="N853" i="7"/>
  <c r="D853" i="7"/>
  <c r="O852" i="7"/>
  <c r="N852" i="7"/>
  <c r="D852" i="7"/>
  <c r="O851" i="7"/>
  <c r="N851" i="7"/>
  <c r="D851" i="7"/>
  <c r="O850" i="7"/>
  <c r="N850" i="7"/>
  <c r="D850" i="7"/>
  <c r="O849" i="7"/>
  <c r="N849" i="7"/>
  <c r="D849" i="7"/>
  <c r="O848" i="7"/>
  <c r="N848" i="7"/>
  <c r="D848" i="7"/>
  <c r="O847" i="7"/>
  <c r="N847" i="7"/>
  <c r="D847" i="7"/>
  <c r="O846" i="7"/>
  <c r="N846" i="7"/>
  <c r="D846" i="7"/>
  <c r="O845" i="7"/>
  <c r="N845" i="7"/>
  <c r="D845" i="7"/>
  <c r="O844" i="7"/>
  <c r="N844" i="7"/>
  <c r="D844" i="7"/>
  <c r="O843" i="7"/>
  <c r="N843" i="7"/>
  <c r="D843" i="7"/>
  <c r="O842" i="7"/>
  <c r="N842" i="7"/>
  <c r="D842" i="7"/>
  <c r="O878" i="7"/>
  <c r="N878" i="7"/>
  <c r="D878" i="7"/>
  <c r="O877" i="7"/>
  <c r="N877" i="7"/>
  <c r="D877" i="7"/>
  <c r="O876" i="7"/>
  <c r="N876" i="7"/>
  <c r="D876" i="7"/>
  <c r="O875" i="7"/>
  <c r="N875" i="7"/>
  <c r="D875" i="7"/>
  <c r="O874" i="7"/>
  <c r="N874" i="7"/>
  <c r="D874" i="7"/>
  <c r="O873" i="7"/>
  <c r="N873" i="7"/>
  <c r="D873" i="7"/>
  <c r="O872" i="7"/>
  <c r="N872" i="7"/>
  <c r="D872" i="7"/>
  <c r="O871" i="7"/>
  <c r="N871" i="7"/>
  <c r="D871" i="7"/>
  <c r="O870" i="7"/>
  <c r="N870" i="7"/>
  <c r="D870" i="7"/>
  <c r="O869" i="7"/>
  <c r="N869" i="7"/>
  <c r="D869" i="7"/>
  <c r="O868" i="7"/>
  <c r="N868" i="7"/>
  <c r="D868" i="7"/>
  <c r="O867" i="7"/>
  <c r="N867" i="7"/>
  <c r="D867" i="7"/>
  <c r="O866" i="7"/>
  <c r="N866" i="7"/>
  <c r="D866" i="7"/>
  <c r="O865" i="7"/>
  <c r="N865" i="7"/>
  <c r="D865" i="7"/>
  <c r="O864" i="7"/>
  <c r="N864" i="7"/>
  <c r="D864" i="7"/>
  <c r="O863" i="7"/>
  <c r="N863" i="7"/>
  <c r="D863" i="7"/>
  <c r="O862" i="7"/>
  <c r="N862" i="7"/>
  <c r="D862" i="7"/>
  <c r="O861" i="7"/>
  <c r="N861" i="7"/>
  <c r="D861" i="7"/>
  <c r="O902" i="7"/>
  <c r="N902" i="7"/>
  <c r="D902" i="7"/>
  <c r="O901" i="7"/>
  <c r="N901" i="7"/>
  <c r="D901" i="7"/>
  <c r="O900" i="7"/>
  <c r="N900" i="7"/>
  <c r="D900" i="7"/>
  <c r="O899" i="7"/>
  <c r="N899" i="7"/>
  <c r="D899" i="7"/>
  <c r="O898" i="7"/>
  <c r="N898" i="7"/>
  <c r="D898" i="7"/>
  <c r="O897" i="7"/>
  <c r="N897" i="7"/>
  <c r="D897" i="7"/>
  <c r="O896" i="7"/>
  <c r="N896" i="7"/>
  <c r="D896" i="7"/>
  <c r="O895" i="7"/>
  <c r="N895" i="7"/>
  <c r="D895" i="7"/>
  <c r="O894" i="7"/>
  <c r="N894" i="7"/>
  <c r="D894" i="7"/>
  <c r="O893" i="7"/>
  <c r="N893" i="7"/>
  <c r="D893" i="7"/>
  <c r="O892" i="7"/>
  <c r="N892" i="7"/>
  <c r="D892" i="7"/>
  <c r="O891" i="7"/>
  <c r="N891" i="7"/>
  <c r="D891" i="7"/>
  <c r="O890" i="7"/>
  <c r="N890" i="7"/>
  <c r="D890" i="7"/>
  <c r="O889" i="7"/>
  <c r="N889" i="7"/>
  <c r="D889" i="7"/>
  <c r="O888" i="7"/>
  <c r="N888" i="7"/>
  <c r="D888" i="7"/>
  <c r="O887" i="7"/>
  <c r="N887" i="7"/>
  <c r="D887" i="7"/>
  <c r="O886" i="7"/>
  <c r="N886" i="7"/>
  <c r="D886" i="7"/>
  <c r="O885" i="7"/>
  <c r="N885" i="7"/>
  <c r="D885" i="7"/>
  <c r="O884" i="7"/>
  <c r="N884" i="7"/>
  <c r="D884" i="7"/>
  <c r="O883" i="7"/>
  <c r="N883" i="7"/>
  <c r="D883" i="7"/>
  <c r="O882" i="7"/>
  <c r="N882" i="7"/>
  <c r="D882" i="7"/>
  <c r="O881" i="7"/>
  <c r="N881" i="7"/>
  <c r="D881" i="7"/>
  <c r="O880" i="7"/>
  <c r="N880" i="7"/>
  <c r="D880" i="7"/>
  <c r="O879" i="7"/>
  <c r="N879" i="7"/>
  <c r="D879" i="7"/>
  <c r="O926" i="7"/>
  <c r="N926" i="7"/>
  <c r="D926" i="7"/>
  <c r="O925" i="7"/>
  <c r="N925" i="7"/>
  <c r="D925" i="7"/>
  <c r="O924" i="7"/>
  <c r="N924" i="7"/>
  <c r="D924" i="7"/>
  <c r="O923" i="7"/>
  <c r="N923" i="7"/>
  <c r="D923" i="7"/>
  <c r="O922" i="7"/>
  <c r="N922" i="7"/>
  <c r="D922" i="7"/>
  <c r="O921" i="7"/>
  <c r="N921" i="7"/>
  <c r="D921" i="7"/>
  <c r="O920" i="7"/>
  <c r="N920" i="7"/>
  <c r="D920" i="7"/>
  <c r="O919" i="7"/>
  <c r="N919" i="7"/>
  <c r="D919" i="7"/>
  <c r="O918" i="7"/>
  <c r="N918" i="7"/>
  <c r="D918" i="7"/>
  <c r="O917" i="7"/>
  <c r="N917" i="7"/>
  <c r="D917" i="7"/>
  <c r="O916" i="7"/>
  <c r="N916" i="7"/>
  <c r="D916" i="7"/>
  <c r="O915" i="7"/>
  <c r="N915" i="7"/>
  <c r="D915" i="7"/>
  <c r="O914" i="7"/>
  <c r="N914" i="7"/>
  <c r="D914" i="7"/>
  <c r="O913" i="7"/>
  <c r="N913" i="7"/>
  <c r="D913" i="7"/>
  <c r="O912" i="7"/>
  <c r="N912" i="7"/>
  <c r="D912" i="7"/>
  <c r="O911" i="7"/>
  <c r="N911" i="7"/>
  <c r="D911" i="7"/>
  <c r="O910" i="7"/>
  <c r="N910" i="7"/>
  <c r="D910" i="7"/>
  <c r="O909" i="7"/>
  <c r="N909" i="7"/>
  <c r="D909" i="7"/>
  <c r="O908" i="7"/>
  <c r="N908" i="7"/>
  <c r="D908" i="7"/>
  <c r="O907" i="7"/>
  <c r="N907" i="7"/>
  <c r="D907" i="7"/>
  <c r="O906" i="7"/>
  <c r="N906" i="7"/>
  <c r="D906" i="7"/>
  <c r="O905" i="7"/>
  <c r="N905" i="7"/>
  <c r="D905" i="7"/>
  <c r="O904" i="7"/>
  <c r="N904" i="7"/>
  <c r="D904" i="7"/>
  <c r="O903" i="7"/>
  <c r="N903" i="7"/>
  <c r="D903" i="7"/>
  <c r="O946" i="7"/>
  <c r="N946" i="7"/>
  <c r="D946" i="7"/>
  <c r="O945" i="7"/>
  <c r="N945" i="7"/>
  <c r="D945" i="7"/>
  <c r="O944" i="7"/>
  <c r="N944" i="7"/>
  <c r="D944" i="7"/>
  <c r="O943" i="7"/>
  <c r="N943" i="7"/>
  <c r="D943" i="7"/>
  <c r="O942" i="7"/>
  <c r="N942" i="7"/>
  <c r="D942" i="7"/>
  <c r="O941" i="7"/>
  <c r="N941" i="7"/>
  <c r="D941" i="7"/>
  <c r="O940" i="7"/>
  <c r="N940" i="7"/>
  <c r="D940" i="7"/>
  <c r="O939" i="7"/>
  <c r="N939" i="7"/>
  <c r="D939" i="7"/>
  <c r="O938" i="7"/>
  <c r="N938" i="7"/>
  <c r="D938" i="7"/>
  <c r="O937" i="7"/>
  <c r="N937" i="7"/>
  <c r="D937" i="7"/>
  <c r="O936" i="7"/>
  <c r="N936" i="7"/>
  <c r="D936" i="7"/>
  <c r="O935" i="7"/>
  <c r="N935" i="7"/>
  <c r="D935" i="7"/>
  <c r="O934" i="7"/>
  <c r="N934" i="7"/>
  <c r="D934" i="7"/>
  <c r="O933" i="7"/>
  <c r="N933" i="7"/>
  <c r="D933" i="7"/>
  <c r="O932" i="7"/>
  <c r="N932" i="7"/>
  <c r="D932" i="7"/>
  <c r="O931" i="7"/>
  <c r="N931" i="7"/>
  <c r="D931" i="7"/>
  <c r="O930" i="7"/>
  <c r="N930" i="7"/>
  <c r="D930" i="7"/>
  <c r="O929" i="7"/>
  <c r="N929" i="7"/>
  <c r="D929" i="7"/>
  <c r="O928" i="7"/>
  <c r="N928" i="7"/>
  <c r="D928" i="7"/>
  <c r="O927" i="7"/>
  <c r="N927" i="7"/>
  <c r="D927" i="7"/>
  <c r="O966" i="7"/>
  <c r="N966" i="7"/>
  <c r="D966" i="7"/>
  <c r="O965" i="7"/>
  <c r="N965" i="7"/>
  <c r="D965" i="7"/>
  <c r="O964" i="7"/>
  <c r="N964" i="7"/>
  <c r="D964" i="7"/>
  <c r="O963" i="7"/>
  <c r="N963" i="7"/>
  <c r="D963" i="7"/>
  <c r="O962" i="7"/>
  <c r="N962" i="7"/>
  <c r="D962" i="7"/>
  <c r="O961" i="7"/>
  <c r="N961" i="7"/>
  <c r="D961" i="7"/>
  <c r="O960" i="7"/>
  <c r="N960" i="7"/>
  <c r="D960" i="7"/>
  <c r="O959" i="7"/>
  <c r="N959" i="7"/>
  <c r="D959" i="7"/>
  <c r="O958" i="7"/>
  <c r="N958" i="7"/>
  <c r="D958" i="7"/>
  <c r="O957" i="7"/>
  <c r="N957" i="7"/>
  <c r="D957" i="7"/>
  <c r="O956" i="7"/>
  <c r="N956" i="7"/>
  <c r="D956" i="7"/>
  <c r="O955" i="7"/>
  <c r="N955" i="7"/>
  <c r="D955" i="7"/>
  <c r="O954" i="7"/>
  <c r="N954" i="7"/>
  <c r="D954" i="7"/>
  <c r="O953" i="7"/>
  <c r="N953" i="7"/>
  <c r="D953" i="7"/>
  <c r="O952" i="7"/>
  <c r="N952" i="7"/>
  <c r="D952" i="7"/>
  <c r="O951" i="7"/>
  <c r="N951" i="7"/>
  <c r="D951" i="7"/>
  <c r="O950" i="7"/>
  <c r="N950" i="7"/>
  <c r="D950" i="7"/>
  <c r="O949" i="7"/>
  <c r="N949" i="7"/>
  <c r="D949" i="7"/>
  <c r="O948" i="7"/>
  <c r="N948" i="7"/>
  <c r="D948" i="7"/>
  <c r="O947" i="7"/>
  <c r="N947" i="7"/>
  <c r="D947" i="7"/>
  <c r="O983" i="7"/>
  <c r="N983" i="7"/>
  <c r="D983" i="7"/>
  <c r="O982" i="7"/>
  <c r="N982" i="7"/>
  <c r="D982" i="7"/>
  <c r="O981" i="7"/>
  <c r="N981" i="7"/>
  <c r="D981" i="7"/>
  <c r="O980" i="7"/>
  <c r="N980" i="7"/>
  <c r="D980" i="7"/>
  <c r="O979" i="7"/>
  <c r="N979" i="7"/>
  <c r="D979" i="7"/>
  <c r="O978" i="7"/>
  <c r="N978" i="7"/>
  <c r="D978" i="7"/>
  <c r="O977" i="7"/>
  <c r="N977" i="7"/>
  <c r="D977" i="7"/>
  <c r="O976" i="7"/>
  <c r="N976" i="7"/>
  <c r="D976" i="7"/>
  <c r="O975" i="7"/>
  <c r="N975" i="7"/>
  <c r="D975" i="7"/>
  <c r="O974" i="7"/>
  <c r="N974" i="7"/>
  <c r="D974" i="7"/>
  <c r="O973" i="7"/>
  <c r="N973" i="7"/>
  <c r="D973" i="7"/>
  <c r="O972" i="7"/>
  <c r="N972" i="7"/>
  <c r="D972" i="7"/>
  <c r="O971" i="7"/>
  <c r="N971" i="7"/>
  <c r="D971" i="7"/>
  <c r="O970" i="7"/>
  <c r="N970" i="7"/>
  <c r="D970" i="7"/>
  <c r="O969" i="7"/>
  <c r="N969" i="7"/>
  <c r="D969" i="7"/>
  <c r="O968" i="7"/>
  <c r="N968" i="7"/>
  <c r="D968" i="7"/>
  <c r="O967" i="7"/>
  <c r="N967" i="7"/>
  <c r="D967" i="7"/>
  <c r="O999" i="7"/>
  <c r="N999" i="7"/>
  <c r="D999" i="7"/>
  <c r="O998" i="7"/>
  <c r="N998" i="7"/>
  <c r="D998" i="7"/>
  <c r="O997" i="7"/>
  <c r="N997" i="7"/>
  <c r="D997" i="7"/>
  <c r="O996" i="7"/>
  <c r="N996" i="7"/>
  <c r="D996" i="7"/>
  <c r="O995" i="7"/>
  <c r="N995" i="7"/>
  <c r="D995" i="7"/>
  <c r="O994" i="7"/>
  <c r="N994" i="7"/>
  <c r="D994" i="7"/>
  <c r="O993" i="7"/>
  <c r="N993" i="7"/>
  <c r="D993" i="7"/>
  <c r="O992" i="7"/>
  <c r="N992" i="7"/>
  <c r="D992" i="7"/>
  <c r="O991" i="7"/>
  <c r="N991" i="7"/>
  <c r="D991" i="7"/>
  <c r="O990" i="7"/>
  <c r="N990" i="7"/>
  <c r="D990" i="7"/>
  <c r="O989" i="7"/>
  <c r="N989" i="7"/>
  <c r="D989" i="7"/>
  <c r="O988" i="7"/>
  <c r="N988" i="7"/>
  <c r="D988" i="7"/>
  <c r="O987" i="7"/>
  <c r="N987" i="7"/>
  <c r="D987" i="7"/>
  <c r="O986" i="7"/>
  <c r="N986" i="7"/>
  <c r="D986" i="7"/>
  <c r="O985" i="7"/>
  <c r="N985" i="7"/>
  <c r="D985" i="7"/>
  <c r="O984" i="7"/>
  <c r="N984" i="7"/>
  <c r="D984" i="7"/>
  <c r="O1015" i="7"/>
  <c r="N1015" i="7"/>
  <c r="D1015" i="7"/>
  <c r="O1014" i="7"/>
  <c r="N1014" i="7"/>
  <c r="D1014" i="7"/>
  <c r="O1013" i="7"/>
  <c r="N1013" i="7"/>
  <c r="D1013" i="7"/>
  <c r="O1012" i="7"/>
  <c r="N1012" i="7"/>
  <c r="D1012" i="7"/>
  <c r="O1011" i="7"/>
  <c r="N1011" i="7"/>
  <c r="D1011" i="7"/>
  <c r="O1010" i="7"/>
  <c r="N1010" i="7"/>
  <c r="D1010" i="7"/>
  <c r="O1009" i="7"/>
  <c r="N1009" i="7"/>
  <c r="D1009" i="7"/>
  <c r="O1008" i="7"/>
  <c r="N1008" i="7"/>
  <c r="D1008" i="7"/>
  <c r="O1007" i="7"/>
  <c r="N1007" i="7"/>
  <c r="D1007" i="7"/>
  <c r="O1006" i="7"/>
  <c r="N1006" i="7"/>
  <c r="D1006" i="7"/>
  <c r="O1005" i="7"/>
  <c r="N1005" i="7"/>
  <c r="D1005" i="7"/>
  <c r="O1004" i="7"/>
  <c r="N1004" i="7"/>
  <c r="D1004" i="7"/>
  <c r="O1003" i="7"/>
  <c r="N1003" i="7"/>
  <c r="D1003" i="7"/>
  <c r="O1002" i="7"/>
  <c r="N1002" i="7"/>
  <c r="D1002" i="7"/>
  <c r="O1001" i="7"/>
  <c r="N1001" i="7"/>
  <c r="D1001" i="7"/>
  <c r="O1000" i="7"/>
  <c r="N1000" i="7"/>
  <c r="D1000" i="7"/>
  <c r="O1030" i="7"/>
  <c r="N1030" i="7"/>
  <c r="D1030" i="7"/>
  <c r="O1029" i="7"/>
  <c r="N1029" i="7"/>
  <c r="D1029" i="7"/>
  <c r="O1028" i="7"/>
  <c r="N1028" i="7"/>
  <c r="D1028" i="7"/>
  <c r="O1027" i="7"/>
  <c r="N1027" i="7"/>
  <c r="D1027" i="7"/>
  <c r="O1026" i="7"/>
  <c r="N1026" i="7"/>
  <c r="D1026" i="7"/>
  <c r="O1025" i="7"/>
  <c r="N1025" i="7"/>
  <c r="D1025" i="7"/>
  <c r="O1024" i="7"/>
  <c r="N1024" i="7"/>
  <c r="D1024" i="7"/>
  <c r="O1023" i="7"/>
  <c r="N1023" i="7"/>
  <c r="D1023" i="7"/>
  <c r="O1022" i="7"/>
  <c r="N1022" i="7"/>
  <c r="D1022" i="7"/>
  <c r="O1021" i="7"/>
  <c r="N1021" i="7"/>
  <c r="D1021" i="7"/>
  <c r="O1020" i="7"/>
  <c r="N1020" i="7"/>
  <c r="D1020" i="7"/>
  <c r="O1019" i="7"/>
  <c r="N1019" i="7"/>
  <c r="D1019" i="7"/>
  <c r="O1018" i="7"/>
  <c r="N1018" i="7"/>
  <c r="D1018" i="7"/>
  <c r="O1017" i="7"/>
  <c r="N1017" i="7"/>
  <c r="D1017" i="7"/>
  <c r="O1016" i="7"/>
  <c r="N1016" i="7"/>
  <c r="D1016" i="7"/>
  <c r="O1043" i="7"/>
  <c r="N1043" i="7"/>
  <c r="D1043" i="7"/>
  <c r="O1042" i="7"/>
  <c r="N1042" i="7"/>
  <c r="D1042" i="7"/>
  <c r="O1041" i="7"/>
  <c r="N1041" i="7"/>
  <c r="D1041" i="7"/>
  <c r="O1040" i="7"/>
  <c r="N1040" i="7"/>
  <c r="D1040" i="7"/>
  <c r="O1039" i="7"/>
  <c r="N1039" i="7"/>
  <c r="D1039" i="7"/>
  <c r="O1038" i="7"/>
  <c r="N1038" i="7"/>
  <c r="D1038" i="7"/>
  <c r="O1037" i="7"/>
  <c r="N1037" i="7"/>
  <c r="D1037" i="7"/>
  <c r="O1036" i="7"/>
  <c r="N1036" i="7"/>
  <c r="D1036" i="7"/>
  <c r="O1035" i="7"/>
  <c r="N1035" i="7"/>
  <c r="D1035" i="7"/>
  <c r="O1034" i="7"/>
  <c r="N1034" i="7"/>
  <c r="D1034" i="7"/>
  <c r="O1033" i="7"/>
  <c r="N1033" i="7"/>
  <c r="D1033" i="7"/>
  <c r="O1032" i="7"/>
  <c r="N1032" i="7"/>
  <c r="D1032" i="7"/>
  <c r="O1031" i="7"/>
  <c r="N1031" i="7"/>
  <c r="D1031" i="7"/>
  <c r="O1053" i="7"/>
  <c r="N1053" i="7"/>
  <c r="D1053" i="7"/>
  <c r="O1052" i="7"/>
  <c r="N1052" i="7"/>
  <c r="D1052" i="7"/>
  <c r="O1051" i="7"/>
  <c r="N1051" i="7"/>
  <c r="D1051" i="7"/>
  <c r="O1050" i="7"/>
  <c r="N1050" i="7"/>
  <c r="D1050" i="7"/>
  <c r="O1049" i="7"/>
  <c r="N1049" i="7"/>
  <c r="D1049" i="7"/>
  <c r="O1048" i="7"/>
  <c r="N1048" i="7"/>
  <c r="D1048" i="7"/>
  <c r="O1047" i="7"/>
  <c r="N1047" i="7"/>
  <c r="D1047" i="7"/>
  <c r="O1046" i="7"/>
  <c r="N1046" i="7"/>
  <c r="D1046" i="7"/>
  <c r="O1045" i="7"/>
  <c r="N1045" i="7"/>
  <c r="D1045" i="7"/>
  <c r="O1044" i="7"/>
  <c r="N1044" i="7"/>
  <c r="D1044" i="7"/>
  <c r="O1062" i="7"/>
  <c r="N1062" i="7"/>
  <c r="D1062" i="7"/>
  <c r="O1061" i="7"/>
  <c r="N1061" i="7"/>
  <c r="D1061" i="7"/>
  <c r="O1060" i="7"/>
  <c r="N1060" i="7"/>
  <c r="D1060" i="7"/>
  <c r="O1059" i="7"/>
  <c r="N1059" i="7"/>
  <c r="D1059" i="7"/>
  <c r="O1058" i="7"/>
  <c r="N1058" i="7"/>
  <c r="D1058" i="7"/>
  <c r="O1057" i="7"/>
  <c r="N1057" i="7"/>
  <c r="D1057" i="7"/>
  <c r="O1056" i="7"/>
  <c r="N1056" i="7"/>
  <c r="D1056" i="7"/>
  <c r="O1055" i="7"/>
  <c r="N1055" i="7"/>
  <c r="D1055" i="7"/>
  <c r="O1054" i="7"/>
  <c r="N1054" i="7"/>
  <c r="D1054" i="7"/>
  <c r="O1072" i="7"/>
  <c r="N1072" i="7"/>
  <c r="D1072" i="7"/>
  <c r="O1071" i="7"/>
  <c r="N1071" i="7"/>
  <c r="D1071" i="7"/>
  <c r="O1070" i="7"/>
  <c r="N1070" i="7"/>
  <c r="D1070" i="7"/>
  <c r="O1069" i="7"/>
  <c r="N1069" i="7"/>
  <c r="D1069" i="7"/>
  <c r="O1068" i="7"/>
  <c r="N1068" i="7"/>
  <c r="D1068" i="7"/>
  <c r="O1067" i="7"/>
  <c r="N1067" i="7"/>
  <c r="D1067" i="7"/>
  <c r="O1066" i="7"/>
  <c r="N1066" i="7"/>
  <c r="D1066" i="7"/>
  <c r="O1065" i="7"/>
  <c r="N1065" i="7"/>
  <c r="D1065" i="7"/>
  <c r="O1064" i="7"/>
  <c r="N1064" i="7"/>
  <c r="D1064" i="7"/>
  <c r="O1063" i="7"/>
  <c r="N1063" i="7"/>
  <c r="D1063" i="7"/>
  <c r="O1082" i="7"/>
  <c r="N1082" i="7"/>
  <c r="D1082" i="7"/>
  <c r="O1081" i="7"/>
  <c r="N1081" i="7"/>
  <c r="D1081" i="7"/>
  <c r="O1080" i="7"/>
  <c r="N1080" i="7"/>
  <c r="D1080" i="7"/>
  <c r="O1079" i="7"/>
  <c r="N1079" i="7"/>
  <c r="D1079" i="7"/>
  <c r="O1078" i="7"/>
  <c r="N1078" i="7"/>
  <c r="D1078" i="7"/>
  <c r="O1077" i="7"/>
  <c r="N1077" i="7"/>
  <c r="D1077" i="7"/>
  <c r="O1076" i="7"/>
  <c r="N1076" i="7"/>
  <c r="D1076" i="7"/>
  <c r="O1075" i="7"/>
  <c r="N1075" i="7"/>
  <c r="D1075" i="7"/>
  <c r="O1074" i="7"/>
  <c r="N1074" i="7"/>
  <c r="D1074" i="7"/>
  <c r="O1073" i="7"/>
  <c r="N1073" i="7"/>
  <c r="D1073" i="7"/>
  <c r="O1093" i="7"/>
  <c r="N1093" i="7"/>
  <c r="D1093" i="7"/>
  <c r="O1092" i="7"/>
  <c r="N1092" i="7"/>
  <c r="D1092" i="7"/>
  <c r="O1091" i="7"/>
  <c r="N1091" i="7"/>
  <c r="D1091" i="7"/>
  <c r="O1090" i="7"/>
  <c r="N1090" i="7"/>
  <c r="D1090" i="7"/>
  <c r="O1089" i="7"/>
  <c r="N1089" i="7"/>
  <c r="D1089" i="7"/>
  <c r="O1088" i="7"/>
  <c r="N1088" i="7"/>
  <c r="D1088" i="7"/>
  <c r="O1087" i="7"/>
  <c r="N1087" i="7"/>
  <c r="D1087" i="7"/>
  <c r="O1086" i="7"/>
  <c r="N1086" i="7"/>
  <c r="D1086" i="7"/>
  <c r="O1085" i="7"/>
  <c r="N1085" i="7"/>
  <c r="D1085" i="7"/>
  <c r="O1084" i="7"/>
  <c r="N1084" i="7"/>
  <c r="D1084" i="7"/>
  <c r="O1083" i="7"/>
  <c r="N1083" i="7"/>
  <c r="D1083" i="7"/>
  <c r="O1103" i="7"/>
  <c r="N1103" i="7"/>
  <c r="D1103" i="7"/>
  <c r="O1102" i="7"/>
  <c r="N1102" i="7"/>
  <c r="D1102" i="7"/>
  <c r="O1101" i="7"/>
  <c r="N1101" i="7"/>
  <c r="D1101" i="7"/>
  <c r="O1100" i="7"/>
  <c r="N1100" i="7"/>
  <c r="D1100" i="7"/>
  <c r="O1099" i="7"/>
  <c r="N1099" i="7"/>
  <c r="D1099" i="7"/>
  <c r="O1098" i="7"/>
  <c r="N1098" i="7"/>
  <c r="D1098" i="7"/>
  <c r="O1097" i="7"/>
  <c r="N1097" i="7"/>
  <c r="D1097" i="7"/>
  <c r="O1096" i="7"/>
  <c r="N1096" i="7"/>
  <c r="D1096" i="7"/>
  <c r="O1095" i="7"/>
  <c r="N1095" i="7"/>
  <c r="D1095" i="7"/>
  <c r="O1094" i="7"/>
  <c r="N1094" i="7"/>
  <c r="D1094" i="7"/>
  <c r="O1115" i="7"/>
  <c r="N1115" i="7"/>
  <c r="D1115" i="7"/>
  <c r="O1114" i="7"/>
  <c r="N1114" i="7"/>
  <c r="D1114" i="7"/>
  <c r="O1113" i="7"/>
  <c r="N1113" i="7"/>
  <c r="D1113" i="7"/>
  <c r="O1112" i="7"/>
  <c r="N1112" i="7"/>
  <c r="D1112" i="7"/>
  <c r="O1111" i="7"/>
  <c r="N1111" i="7"/>
  <c r="D1111" i="7"/>
  <c r="O1110" i="7"/>
  <c r="N1110" i="7"/>
  <c r="D1110" i="7"/>
  <c r="O1109" i="7"/>
  <c r="N1109" i="7"/>
  <c r="D1109" i="7"/>
  <c r="O1108" i="7"/>
  <c r="N1108" i="7"/>
  <c r="D1108" i="7"/>
  <c r="O1107" i="7"/>
  <c r="N1107" i="7"/>
  <c r="D1107" i="7"/>
  <c r="O1106" i="7"/>
  <c r="N1106" i="7"/>
  <c r="D1106" i="7"/>
  <c r="O1105" i="7"/>
  <c r="N1105" i="7"/>
  <c r="D1105" i="7"/>
  <c r="O1104" i="7"/>
  <c r="N1104" i="7"/>
  <c r="D1104" i="7"/>
  <c r="O1126" i="7"/>
  <c r="N1126" i="7"/>
  <c r="D1126" i="7"/>
  <c r="O1125" i="7"/>
  <c r="N1125" i="7"/>
  <c r="D1125" i="7"/>
  <c r="O1124" i="7"/>
  <c r="N1124" i="7"/>
  <c r="D1124" i="7"/>
  <c r="O1123" i="7"/>
  <c r="N1123" i="7"/>
  <c r="D1123" i="7"/>
  <c r="O1122" i="7"/>
  <c r="N1122" i="7"/>
  <c r="D1122" i="7"/>
  <c r="O1121" i="7"/>
  <c r="N1121" i="7"/>
  <c r="D1121" i="7"/>
  <c r="O1120" i="7"/>
  <c r="N1120" i="7"/>
  <c r="D1120" i="7"/>
  <c r="O1119" i="7"/>
  <c r="N1119" i="7"/>
  <c r="D1119" i="7"/>
  <c r="O1118" i="7"/>
  <c r="N1118" i="7"/>
  <c r="D1118" i="7"/>
  <c r="O1117" i="7"/>
  <c r="N1117" i="7"/>
  <c r="D1117" i="7"/>
  <c r="O1116" i="7"/>
  <c r="N1116" i="7"/>
  <c r="D1116" i="7"/>
  <c r="O1137" i="7"/>
  <c r="N1137" i="7"/>
  <c r="D1137" i="7"/>
  <c r="O1136" i="7"/>
  <c r="N1136" i="7"/>
  <c r="D1136" i="7"/>
  <c r="O1135" i="7"/>
  <c r="N1135" i="7"/>
  <c r="D1135" i="7"/>
  <c r="O1134" i="7"/>
  <c r="N1134" i="7"/>
  <c r="D1134" i="7"/>
  <c r="O1133" i="7"/>
  <c r="N1133" i="7"/>
  <c r="D1133" i="7"/>
  <c r="O1132" i="7"/>
  <c r="N1132" i="7"/>
  <c r="D1132" i="7"/>
  <c r="O1131" i="7"/>
  <c r="N1131" i="7"/>
  <c r="D1131" i="7"/>
  <c r="O1130" i="7"/>
  <c r="N1130" i="7"/>
  <c r="D1130" i="7"/>
  <c r="O1129" i="7"/>
  <c r="N1129" i="7"/>
  <c r="D1129" i="7"/>
  <c r="O1128" i="7"/>
  <c r="N1128" i="7"/>
  <c r="D1128" i="7"/>
  <c r="O1127" i="7"/>
  <c r="N1127" i="7"/>
  <c r="D1127" i="7"/>
  <c r="O1146" i="7"/>
  <c r="N1146" i="7"/>
  <c r="D1146" i="7"/>
  <c r="O1145" i="7"/>
  <c r="N1145" i="7"/>
  <c r="D1145" i="7"/>
  <c r="O1144" i="7"/>
  <c r="N1144" i="7"/>
  <c r="D1144" i="7"/>
  <c r="O1143" i="7"/>
  <c r="N1143" i="7"/>
  <c r="D1143" i="7"/>
  <c r="O1142" i="7"/>
  <c r="N1142" i="7"/>
  <c r="D1142" i="7"/>
  <c r="O1141" i="7"/>
  <c r="N1141" i="7"/>
  <c r="D1141" i="7"/>
  <c r="O1140" i="7"/>
  <c r="N1140" i="7"/>
  <c r="D1140" i="7"/>
  <c r="O1139" i="7"/>
  <c r="N1139" i="7"/>
  <c r="D1139" i="7"/>
  <c r="O1138" i="7"/>
  <c r="N1138" i="7"/>
  <c r="D1138" i="7"/>
  <c r="O1156" i="7"/>
  <c r="N1156" i="7"/>
  <c r="D1156" i="7"/>
  <c r="O1155" i="7"/>
  <c r="N1155" i="7"/>
  <c r="D1155" i="7"/>
  <c r="O1154" i="7"/>
  <c r="N1154" i="7"/>
  <c r="D1154" i="7"/>
  <c r="O1153" i="7"/>
  <c r="N1153" i="7"/>
  <c r="D1153" i="7"/>
  <c r="O1152" i="7"/>
  <c r="N1152" i="7"/>
  <c r="D1152" i="7"/>
  <c r="O1151" i="7"/>
  <c r="N1151" i="7"/>
  <c r="D1151" i="7"/>
  <c r="O1150" i="7"/>
  <c r="N1150" i="7"/>
  <c r="D1150" i="7"/>
  <c r="O1149" i="7"/>
  <c r="N1149" i="7"/>
  <c r="D1149" i="7"/>
  <c r="O1148" i="7"/>
  <c r="N1148" i="7"/>
  <c r="D1148" i="7"/>
  <c r="O1147" i="7"/>
  <c r="N1147" i="7"/>
  <c r="D1147" i="7"/>
  <c r="O1167" i="7"/>
  <c r="N1167" i="7"/>
  <c r="D1167" i="7"/>
  <c r="O1166" i="7"/>
  <c r="N1166" i="7"/>
  <c r="D1166" i="7"/>
  <c r="O1165" i="7"/>
  <c r="N1165" i="7"/>
  <c r="D1165" i="7"/>
  <c r="O1164" i="7"/>
  <c r="N1164" i="7"/>
  <c r="D1164" i="7"/>
  <c r="O1163" i="7"/>
  <c r="N1163" i="7"/>
  <c r="D1163" i="7"/>
  <c r="O1162" i="7"/>
  <c r="N1162" i="7"/>
  <c r="D1162" i="7"/>
  <c r="O1161" i="7"/>
  <c r="N1161" i="7"/>
  <c r="D1161" i="7"/>
  <c r="O1160" i="7"/>
  <c r="N1160" i="7"/>
  <c r="D1160" i="7"/>
  <c r="O1159" i="7"/>
  <c r="N1159" i="7"/>
  <c r="D1159" i="7"/>
  <c r="O1158" i="7"/>
  <c r="N1158" i="7"/>
  <c r="D1158" i="7"/>
  <c r="O1157" i="7"/>
  <c r="N1157" i="7"/>
  <c r="D1157" i="7"/>
  <c r="O1172" i="7"/>
  <c r="N1172" i="7"/>
  <c r="D1172" i="7"/>
  <c r="O1171" i="7"/>
  <c r="N1171" i="7"/>
  <c r="D1171" i="7"/>
  <c r="O1170" i="7"/>
  <c r="N1170" i="7"/>
  <c r="D1170" i="7"/>
  <c r="O1169" i="7"/>
  <c r="N1169" i="7"/>
  <c r="D1169" i="7"/>
  <c r="O1168" i="7"/>
  <c r="N1168" i="7"/>
  <c r="D1168" i="7"/>
  <c r="O1177" i="7"/>
  <c r="N1177" i="7"/>
  <c r="D1177" i="7"/>
  <c r="O1176" i="7"/>
  <c r="N1176" i="7"/>
  <c r="D1176" i="7"/>
  <c r="O1175" i="7"/>
  <c r="N1175" i="7"/>
  <c r="D1175" i="7"/>
  <c r="O1174" i="7"/>
  <c r="N1174" i="7"/>
  <c r="D1174" i="7"/>
  <c r="O1173" i="7"/>
  <c r="N1173" i="7"/>
  <c r="D1173" i="7"/>
  <c r="O1182" i="7"/>
  <c r="N1182" i="7"/>
  <c r="D1182" i="7"/>
  <c r="O1181" i="7"/>
  <c r="N1181" i="7"/>
  <c r="D1181" i="7"/>
  <c r="O1180" i="7"/>
  <c r="N1180" i="7"/>
  <c r="D1180" i="7"/>
  <c r="O1179" i="7"/>
  <c r="N1179" i="7"/>
  <c r="D1179" i="7"/>
  <c r="O1178" i="7"/>
  <c r="N1178" i="7"/>
  <c r="D1178" i="7"/>
  <c r="O1186" i="7"/>
  <c r="N1186" i="7"/>
  <c r="D1186" i="7"/>
  <c r="O1185" i="7"/>
  <c r="N1185" i="7"/>
  <c r="D1185" i="7"/>
  <c r="O1184" i="7"/>
  <c r="N1184" i="7"/>
  <c r="D1184" i="7"/>
  <c r="O1183" i="7"/>
  <c r="N1183" i="7"/>
  <c r="D1183" i="7"/>
  <c r="O1192" i="7"/>
  <c r="N1192" i="7"/>
  <c r="D1192" i="7"/>
  <c r="O1191" i="7"/>
  <c r="N1191" i="7"/>
  <c r="D1191" i="7"/>
  <c r="O1190" i="7"/>
  <c r="N1190" i="7"/>
  <c r="D1190" i="7"/>
  <c r="O1189" i="7"/>
  <c r="N1189" i="7"/>
  <c r="D1189" i="7"/>
  <c r="O1188" i="7"/>
  <c r="N1188" i="7"/>
  <c r="D1188" i="7"/>
  <c r="O1187" i="7"/>
  <c r="N1187" i="7"/>
  <c r="D1187" i="7"/>
  <c r="O1206" i="7"/>
  <c r="N1206" i="7"/>
  <c r="D1206" i="7"/>
  <c r="O1205" i="7"/>
  <c r="N1205" i="7"/>
  <c r="D1205" i="7"/>
  <c r="O1204" i="7"/>
  <c r="N1204" i="7"/>
  <c r="D1204" i="7"/>
  <c r="O1203" i="7"/>
  <c r="N1203" i="7"/>
  <c r="D1203" i="7"/>
  <c r="O1202" i="7"/>
  <c r="N1202" i="7"/>
  <c r="D1202" i="7"/>
  <c r="O1201" i="7"/>
  <c r="N1201" i="7"/>
  <c r="D1201" i="7"/>
  <c r="O1200" i="7"/>
  <c r="N1200" i="7"/>
  <c r="D1200" i="7"/>
  <c r="O1199" i="7"/>
  <c r="N1199" i="7"/>
  <c r="D1199" i="7"/>
  <c r="O1198" i="7"/>
  <c r="N1198" i="7"/>
  <c r="D1198" i="7"/>
  <c r="O1197" i="7"/>
  <c r="N1197" i="7"/>
  <c r="D1197" i="7"/>
  <c r="O1196" i="7"/>
  <c r="N1196" i="7"/>
  <c r="D1196" i="7"/>
  <c r="O1195" i="7"/>
  <c r="N1195" i="7"/>
  <c r="D1195" i="7"/>
  <c r="O1194" i="7"/>
  <c r="N1194" i="7"/>
  <c r="D1194" i="7"/>
  <c r="O1193" i="7"/>
  <c r="N1193" i="7"/>
  <c r="D1193" i="7"/>
  <c r="O1220" i="7"/>
  <c r="N1220" i="7"/>
  <c r="D1220" i="7"/>
  <c r="O1219" i="7"/>
  <c r="N1219" i="7"/>
  <c r="D1219" i="7"/>
  <c r="O1218" i="7"/>
  <c r="N1218" i="7"/>
  <c r="D1218" i="7"/>
  <c r="O1217" i="7"/>
  <c r="N1217" i="7"/>
  <c r="D1217" i="7"/>
  <c r="O1216" i="7"/>
  <c r="N1216" i="7"/>
  <c r="D1216" i="7"/>
  <c r="O1215" i="7"/>
  <c r="N1215" i="7"/>
  <c r="D1215" i="7"/>
  <c r="O1214" i="7"/>
  <c r="N1214" i="7"/>
  <c r="D1214" i="7"/>
  <c r="O1213" i="7"/>
  <c r="N1213" i="7"/>
  <c r="D1213" i="7"/>
  <c r="O1212" i="7"/>
  <c r="N1212" i="7"/>
  <c r="D1212" i="7"/>
  <c r="O1211" i="7"/>
  <c r="N1211" i="7"/>
  <c r="D1211" i="7"/>
  <c r="O1210" i="7"/>
  <c r="N1210" i="7"/>
  <c r="D1210" i="7"/>
  <c r="O1209" i="7"/>
  <c r="N1209" i="7"/>
  <c r="D1209" i="7"/>
  <c r="O1208" i="7"/>
  <c r="N1208" i="7"/>
  <c r="D1208" i="7"/>
  <c r="O1207" i="7"/>
  <c r="N1207" i="7"/>
  <c r="D1207" i="7"/>
  <c r="O1249" i="7"/>
  <c r="N1249" i="7"/>
  <c r="D1249" i="7"/>
  <c r="O1248" i="7"/>
  <c r="N1248" i="7"/>
  <c r="D1248" i="7"/>
  <c r="O1247" i="7"/>
  <c r="N1247" i="7"/>
  <c r="D1247" i="7"/>
  <c r="O1246" i="7"/>
  <c r="N1246" i="7"/>
  <c r="D1246" i="7"/>
  <c r="O1245" i="7"/>
  <c r="N1245" i="7"/>
  <c r="D1245" i="7"/>
  <c r="O1244" i="7"/>
  <c r="N1244" i="7"/>
  <c r="D1244" i="7"/>
  <c r="O1243" i="7"/>
  <c r="N1243" i="7"/>
  <c r="D1243" i="7"/>
  <c r="O1242" i="7"/>
  <c r="N1242" i="7"/>
  <c r="D1242" i="7"/>
  <c r="O1241" i="7"/>
  <c r="N1241" i="7"/>
  <c r="D1241" i="7"/>
  <c r="O1240" i="7"/>
  <c r="N1240" i="7"/>
  <c r="D1240" i="7"/>
  <c r="O1239" i="7"/>
  <c r="N1239" i="7"/>
  <c r="D1239" i="7"/>
  <c r="O1238" i="7"/>
  <c r="N1238" i="7"/>
  <c r="D1238" i="7"/>
  <c r="O1237" i="7"/>
  <c r="N1237" i="7"/>
  <c r="D1237" i="7"/>
  <c r="O1236" i="7"/>
  <c r="N1236" i="7"/>
  <c r="D1236" i="7"/>
  <c r="O1235" i="7"/>
  <c r="N1235" i="7"/>
  <c r="D1235" i="7"/>
  <c r="O1234" i="7"/>
  <c r="N1234" i="7"/>
  <c r="D1234" i="7"/>
  <c r="O1233" i="7"/>
  <c r="N1233" i="7"/>
  <c r="D1233" i="7"/>
  <c r="O1232" i="7"/>
  <c r="N1232" i="7"/>
  <c r="D1232" i="7"/>
  <c r="O1231" i="7"/>
  <c r="N1231" i="7"/>
  <c r="D1231" i="7"/>
  <c r="O1230" i="7"/>
  <c r="N1230" i="7"/>
  <c r="D1230" i="7"/>
  <c r="O1229" i="7"/>
  <c r="N1229" i="7"/>
  <c r="D1229" i="7"/>
  <c r="O1228" i="7"/>
  <c r="N1228" i="7"/>
  <c r="D1228" i="7"/>
  <c r="O1227" i="7"/>
  <c r="N1227" i="7"/>
  <c r="D1227" i="7"/>
  <c r="O1226" i="7"/>
  <c r="N1226" i="7"/>
  <c r="D1226" i="7"/>
  <c r="O1225" i="7"/>
  <c r="N1225" i="7"/>
  <c r="D1225" i="7"/>
  <c r="O1224" i="7"/>
  <c r="N1224" i="7"/>
  <c r="D1224" i="7"/>
  <c r="O1223" i="7"/>
  <c r="N1223" i="7"/>
  <c r="D1223" i="7"/>
  <c r="O1222" i="7"/>
  <c r="N1222" i="7"/>
  <c r="D1222" i="7"/>
  <c r="O1221" i="7"/>
  <c r="N1221" i="7"/>
  <c r="D1221" i="7"/>
  <c r="O1279" i="7"/>
  <c r="N1279" i="7"/>
  <c r="D1279" i="7"/>
  <c r="O1278" i="7"/>
  <c r="N1278" i="7"/>
  <c r="D1278" i="7"/>
  <c r="O1277" i="7"/>
  <c r="N1277" i="7"/>
  <c r="D1277" i="7"/>
  <c r="O1276" i="7"/>
  <c r="N1276" i="7"/>
  <c r="D1276" i="7"/>
  <c r="O1275" i="7"/>
  <c r="N1275" i="7"/>
  <c r="D1275" i="7"/>
  <c r="O1274" i="7"/>
  <c r="N1274" i="7"/>
  <c r="D1274" i="7"/>
  <c r="O1273" i="7"/>
  <c r="N1273" i="7"/>
  <c r="D1273" i="7"/>
  <c r="O1272" i="7"/>
  <c r="N1272" i="7"/>
  <c r="D1272" i="7"/>
  <c r="O1271" i="7"/>
  <c r="N1271" i="7"/>
  <c r="D1271" i="7"/>
  <c r="O1270" i="7"/>
  <c r="N1270" i="7"/>
  <c r="D1270" i="7"/>
  <c r="O1269" i="7"/>
  <c r="N1269" i="7"/>
  <c r="D1269" i="7"/>
  <c r="O1268" i="7"/>
  <c r="N1268" i="7"/>
  <c r="D1268" i="7"/>
  <c r="O1267" i="7"/>
  <c r="N1267" i="7"/>
  <c r="D1267" i="7"/>
  <c r="O1266" i="7"/>
  <c r="N1266" i="7"/>
  <c r="D1266" i="7"/>
  <c r="O1265" i="7"/>
  <c r="N1265" i="7"/>
  <c r="D1265" i="7"/>
  <c r="O1264" i="7"/>
  <c r="N1264" i="7"/>
  <c r="D1264" i="7"/>
  <c r="O1263" i="7"/>
  <c r="N1263" i="7"/>
  <c r="D1263" i="7"/>
  <c r="O1262" i="7"/>
  <c r="N1262" i="7"/>
  <c r="D1262" i="7"/>
  <c r="O1261" i="7"/>
  <c r="N1261" i="7"/>
  <c r="D1261" i="7"/>
  <c r="O1260" i="7"/>
  <c r="N1260" i="7"/>
  <c r="D1260" i="7"/>
  <c r="O1259" i="7"/>
  <c r="N1259" i="7"/>
  <c r="D1259" i="7"/>
  <c r="O1258" i="7"/>
  <c r="N1258" i="7"/>
  <c r="D1258" i="7"/>
  <c r="O1257" i="7"/>
  <c r="N1257" i="7"/>
  <c r="D1257" i="7"/>
  <c r="O1256" i="7"/>
  <c r="N1256" i="7"/>
  <c r="D1256" i="7"/>
  <c r="O1255" i="7"/>
  <c r="N1255" i="7"/>
  <c r="D1255" i="7"/>
  <c r="O1254" i="7"/>
  <c r="N1254" i="7"/>
  <c r="D1254" i="7"/>
  <c r="O1253" i="7"/>
  <c r="N1253" i="7"/>
  <c r="D1253" i="7"/>
  <c r="O1252" i="7"/>
  <c r="N1252" i="7"/>
  <c r="D1252" i="7"/>
  <c r="O1251" i="7"/>
  <c r="N1251" i="7"/>
  <c r="D1251" i="7"/>
  <c r="O1250" i="7"/>
  <c r="N1250" i="7"/>
  <c r="D1250" i="7"/>
  <c r="O1308" i="7"/>
  <c r="N1308" i="7"/>
  <c r="D1308" i="7"/>
  <c r="O1307" i="7"/>
  <c r="N1307" i="7"/>
  <c r="D1307" i="7"/>
  <c r="O1306" i="7"/>
  <c r="N1306" i="7"/>
  <c r="D1306" i="7"/>
  <c r="O1305" i="7"/>
  <c r="N1305" i="7"/>
  <c r="D1305" i="7"/>
  <c r="O1304" i="7"/>
  <c r="N1304" i="7"/>
  <c r="D1304" i="7"/>
  <c r="O1303" i="7"/>
  <c r="N1303" i="7"/>
  <c r="D1303" i="7"/>
  <c r="O1302" i="7"/>
  <c r="N1302" i="7"/>
  <c r="D1302" i="7"/>
  <c r="O1301" i="7"/>
  <c r="N1301" i="7"/>
  <c r="D1301" i="7"/>
  <c r="O1300" i="7"/>
  <c r="N1300" i="7"/>
  <c r="D1300" i="7"/>
  <c r="O1299" i="7"/>
  <c r="N1299" i="7"/>
  <c r="D1299" i="7"/>
  <c r="O1298" i="7"/>
  <c r="N1298" i="7"/>
  <c r="D1298" i="7"/>
  <c r="O1297" i="7"/>
  <c r="N1297" i="7"/>
  <c r="D1297" i="7"/>
  <c r="O1296" i="7"/>
  <c r="N1296" i="7"/>
  <c r="D1296" i="7"/>
  <c r="O1295" i="7"/>
  <c r="N1295" i="7"/>
  <c r="D1295" i="7"/>
  <c r="O1294" i="7"/>
  <c r="N1294" i="7"/>
  <c r="D1294" i="7"/>
  <c r="O1293" i="7"/>
  <c r="N1293" i="7"/>
  <c r="D1293" i="7"/>
  <c r="O1292" i="7"/>
  <c r="N1292" i="7"/>
  <c r="D1292" i="7"/>
  <c r="O1291" i="7"/>
  <c r="N1291" i="7"/>
  <c r="D1291" i="7"/>
  <c r="O1290" i="7"/>
  <c r="N1290" i="7"/>
  <c r="D1290" i="7"/>
  <c r="O1289" i="7"/>
  <c r="N1289" i="7"/>
  <c r="D1289" i="7"/>
  <c r="O1288" i="7"/>
  <c r="N1288" i="7"/>
  <c r="D1288" i="7"/>
  <c r="O1287" i="7"/>
  <c r="N1287" i="7"/>
  <c r="D1287" i="7"/>
  <c r="O1286" i="7"/>
  <c r="N1286" i="7"/>
  <c r="D1286" i="7"/>
  <c r="O1285" i="7"/>
  <c r="N1285" i="7"/>
  <c r="D1285" i="7"/>
  <c r="O1284" i="7"/>
  <c r="N1284" i="7"/>
  <c r="D1284" i="7"/>
  <c r="O1283" i="7"/>
  <c r="N1283" i="7"/>
  <c r="D1283" i="7"/>
  <c r="O1282" i="7"/>
  <c r="N1282" i="7"/>
  <c r="D1282" i="7"/>
  <c r="O1281" i="7"/>
  <c r="N1281" i="7"/>
  <c r="D1281" i="7"/>
  <c r="O1280" i="7"/>
  <c r="N1280" i="7"/>
  <c r="D1280" i="7"/>
  <c r="O1333" i="7"/>
  <c r="N1333" i="7"/>
  <c r="D1333" i="7"/>
  <c r="O1332" i="7"/>
  <c r="N1332" i="7"/>
  <c r="D1332" i="7"/>
  <c r="O1331" i="7"/>
  <c r="N1331" i="7"/>
  <c r="D1331" i="7"/>
  <c r="O1330" i="7"/>
  <c r="N1330" i="7"/>
  <c r="D1330" i="7"/>
  <c r="O1329" i="7"/>
  <c r="N1329" i="7"/>
  <c r="D1329" i="7"/>
  <c r="O1328" i="7"/>
  <c r="N1328" i="7"/>
  <c r="D1328" i="7"/>
  <c r="O1327" i="7"/>
  <c r="N1327" i="7"/>
  <c r="D1327" i="7"/>
  <c r="O1326" i="7"/>
  <c r="N1326" i="7"/>
  <c r="D1326" i="7"/>
  <c r="O1325" i="7"/>
  <c r="N1325" i="7"/>
  <c r="D1325" i="7"/>
  <c r="O1324" i="7"/>
  <c r="N1324" i="7"/>
  <c r="D1324" i="7"/>
  <c r="O1323" i="7"/>
  <c r="N1323" i="7"/>
  <c r="D1323" i="7"/>
  <c r="O1322" i="7"/>
  <c r="N1322" i="7"/>
  <c r="D1322" i="7"/>
  <c r="O1321" i="7"/>
  <c r="N1321" i="7"/>
  <c r="D1321" i="7"/>
  <c r="O1320" i="7"/>
  <c r="N1320" i="7"/>
  <c r="D1320" i="7"/>
  <c r="O1319" i="7"/>
  <c r="N1319" i="7"/>
  <c r="D1319" i="7"/>
  <c r="O1318" i="7"/>
  <c r="N1318" i="7"/>
  <c r="D1318" i="7"/>
  <c r="O1317" i="7"/>
  <c r="N1317" i="7"/>
  <c r="D1317" i="7"/>
  <c r="O1316" i="7"/>
  <c r="N1316" i="7"/>
  <c r="D1316" i="7"/>
  <c r="O1315" i="7"/>
  <c r="N1315" i="7"/>
  <c r="D1315" i="7"/>
  <c r="O1314" i="7"/>
  <c r="N1314" i="7"/>
  <c r="D1314" i="7"/>
  <c r="O1313" i="7"/>
  <c r="N1313" i="7"/>
  <c r="D1313" i="7"/>
  <c r="O1312" i="7"/>
  <c r="N1312" i="7"/>
  <c r="D1312" i="7"/>
  <c r="O1311" i="7"/>
  <c r="N1311" i="7"/>
  <c r="D1311" i="7"/>
  <c r="O1310" i="7"/>
  <c r="N1310" i="7"/>
  <c r="D1310" i="7"/>
  <c r="O1309" i="7"/>
  <c r="N1309" i="7"/>
  <c r="D1309" i="7"/>
  <c r="O1364" i="7"/>
  <c r="N1364" i="7"/>
  <c r="D1364" i="7"/>
  <c r="O1363" i="7"/>
  <c r="N1363" i="7"/>
  <c r="D1363" i="7"/>
  <c r="O1362" i="7"/>
  <c r="N1362" i="7"/>
  <c r="D1362" i="7"/>
  <c r="O1361" i="7"/>
  <c r="N1361" i="7"/>
  <c r="D1361" i="7"/>
  <c r="O1360" i="7"/>
  <c r="N1360" i="7"/>
  <c r="D1360" i="7"/>
  <c r="O1359" i="7"/>
  <c r="N1359" i="7"/>
  <c r="D1359" i="7"/>
  <c r="O1358" i="7"/>
  <c r="N1358" i="7"/>
  <c r="D1358" i="7"/>
  <c r="O1357" i="7"/>
  <c r="N1357" i="7"/>
  <c r="D1357" i="7"/>
  <c r="O1356" i="7"/>
  <c r="N1356" i="7"/>
  <c r="D1356" i="7"/>
  <c r="O1355" i="7"/>
  <c r="N1355" i="7"/>
  <c r="D1355" i="7"/>
  <c r="O1354" i="7"/>
  <c r="N1354" i="7"/>
  <c r="D1354" i="7"/>
  <c r="O1353" i="7"/>
  <c r="N1353" i="7"/>
  <c r="D1353" i="7"/>
  <c r="O1352" i="7"/>
  <c r="N1352" i="7"/>
  <c r="D1352" i="7"/>
  <c r="O1351" i="7"/>
  <c r="N1351" i="7"/>
  <c r="D1351" i="7"/>
  <c r="O1350" i="7"/>
  <c r="N1350" i="7"/>
  <c r="D1350" i="7"/>
  <c r="O1349" i="7"/>
  <c r="N1349" i="7"/>
  <c r="D1349" i="7"/>
  <c r="O1348" i="7"/>
  <c r="N1348" i="7"/>
  <c r="D1348" i="7"/>
  <c r="O1347" i="7"/>
  <c r="N1347" i="7"/>
  <c r="D1347" i="7"/>
  <c r="O1346" i="7"/>
  <c r="N1346" i="7"/>
  <c r="D1346" i="7"/>
  <c r="O1345" i="7"/>
  <c r="N1345" i="7"/>
  <c r="D1345" i="7"/>
  <c r="O1344" i="7"/>
  <c r="N1344" i="7"/>
  <c r="D1344" i="7"/>
  <c r="O1343" i="7"/>
  <c r="N1343" i="7"/>
  <c r="D1343" i="7"/>
  <c r="O1342" i="7"/>
  <c r="N1342" i="7"/>
  <c r="D1342" i="7"/>
  <c r="O1341" i="7"/>
  <c r="N1341" i="7"/>
  <c r="D1341" i="7"/>
  <c r="O1340" i="7"/>
  <c r="N1340" i="7"/>
  <c r="D1340" i="7"/>
  <c r="O1339" i="7"/>
  <c r="N1339" i="7"/>
  <c r="D1339" i="7"/>
  <c r="O1338" i="7"/>
  <c r="N1338" i="7"/>
  <c r="D1338" i="7"/>
  <c r="O1337" i="7"/>
  <c r="N1337" i="7"/>
  <c r="D1337" i="7"/>
  <c r="O1336" i="7"/>
  <c r="N1336" i="7"/>
  <c r="D1336" i="7"/>
  <c r="O1335" i="7"/>
  <c r="N1335" i="7"/>
  <c r="D1335" i="7"/>
  <c r="O1334" i="7"/>
  <c r="N1334" i="7"/>
  <c r="D1334" i="7"/>
  <c r="O1396" i="7"/>
  <c r="N1396" i="7"/>
  <c r="D1396" i="7"/>
  <c r="O1395" i="7"/>
  <c r="N1395" i="7"/>
  <c r="D1395" i="7"/>
  <c r="O1394" i="7"/>
  <c r="N1394" i="7"/>
  <c r="D1394" i="7"/>
  <c r="O1393" i="7"/>
  <c r="N1393" i="7"/>
  <c r="D1393" i="7"/>
  <c r="O1392" i="7"/>
  <c r="N1392" i="7"/>
  <c r="D1392" i="7"/>
  <c r="O1391" i="7"/>
  <c r="N1391" i="7"/>
  <c r="D1391" i="7"/>
  <c r="O1390" i="7"/>
  <c r="N1390" i="7"/>
  <c r="D1390" i="7"/>
  <c r="O1389" i="7"/>
  <c r="N1389" i="7"/>
  <c r="D1389" i="7"/>
  <c r="O1388" i="7"/>
  <c r="N1388" i="7"/>
  <c r="D1388" i="7"/>
  <c r="O1387" i="7"/>
  <c r="N1387" i="7"/>
  <c r="D1387" i="7"/>
  <c r="O1386" i="7"/>
  <c r="N1386" i="7"/>
  <c r="D1386" i="7"/>
  <c r="O1385" i="7"/>
  <c r="N1385" i="7"/>
  <c r="D1385" i="7"/>
  <c r="O1384" i="7"/>
  <c r="N1384" i="7"/>
  <c r="D1384" i="7"/>
  <c r="O1383" i="7"/>
  <c r="N1383" i="7"/>
  <c r="D1383" i="7"/>
  <c r="O1382" i="7"/>
  <c r="N1382" i="7"/>
  <c r="D1382" i="7"/>
  <c r="O1381" i="7"/>
  <c r="N1381" i="7"/>
  <c r="D1381" i="7"/>
  <c r="O1380" i="7"/>
  <c r="N1380" i="7"/>
  <c r="D1380" i="7"/>
  <c r="O1379" i="7"/>
  <c r="N1379" i="7"/>
  <c r="D1379" i="7"/>
  <c r="O1378" i="7"/>
  <c r="N1378" i="7"/>
  <c r="D1378" i="7"/>
  <c r="O1377" i="7"/>
  <c r="N1377" i="7"/>
  <c r="D1377" i="7"/>
  <c r="O1376" i="7"/>
  <c r="N1376" i="7"/>
  <c r="D1376" i="7"/>
  <c r="O1375" i="7"/>
  <c r="N1375" i="7"/>
  <c r="D1375" i="7"/>
  <c r="O1374" i="7"/>
  <c r="N1374" i="7"/>
  <c r="D1374" i="7"/>
  <c r="O1373" i="7"/>
  <c r="N1373" i="7"/>
  <c r="D1373" i="7"/>
  <c r="O1372" i="7"/>
  <c r="N1372" i="7"/>
  <c r="D1372" i="7"/>
  <c r="O1371" i="7"/>
  <c r="N1371" i="7"/>
  <c r="D1371" i="7"/>
  <c r="O1370" i="7"/>
  <c r="N1370" i="7"/>
  <c r="D1370" i="7"/>
  <c r="O1369" i="7"/>
  <c r="N1369" i="7"/>
  <c r="D1369" i="7"/>
  <c r="O1368" i="7"/>
  <c r="N1368" i="7"/>
  <c r="D1368" i="7"/>
  <c r="O1367" i="7"/>
  <c r="N1367" i="7"/>
  <c r="D1367" i="7"/>
  <c r="O1366" i="7"/>
  <c r="N1366" i="7"/>
  <c r="D1366" i="7"/>
  <c r="O1365" i="7"/>
  <c r="N1365" i="7"/>
  <c r="D1365" i="7"/>
  <c r="O1426" i="7"/>
  <c r="N1426" i="7"/>
  <c r="D1426" i="7"/>
  <c r="O1425" i="7"/>
  <c r="N1425" i="7"/>
  <c r="D1425" i="7"/>
  <c r="O1424" i="7"/>
  <c r="N1424" i="7"/>
  <c r="D1424" i="7"/>
  <c r="O1423" i="7"/>
  <c r="N1423" i="7"/>
  <c r="D1423" i="7"/>
  <c r="O1422" i="7"/>
  <c r="N1422" i="7"/>
  <c r="D1422" i="7"/>
  <c r="O1421" i="7"/>
  <c r="N1421" i="7"/>
  <c r="D1421" i="7"/>
  <c r="O1420" i="7"/>
  <c r="N1420" i="7"/>
  <c r="D1420" i="7"/>
  <c r="O1419" i="7"/>
  <c r="N1419" i="7"/>
  <c r="D1419" i="7"/>
  <c r="O1418" i="7"/>
  <c r="N1418" i="7"/>
  <c r="D1418" i="7"/>
  <c r="O1417" i="7"/>
  <c r="N1417" i="7"/>
  <c r="D1417" i="7"/>
  <c r="O1416" i="7"/>
  <c r="N1416" i="7"/>
  <c r="D1416" i="7"/>
  <c r="O1415" i="7"/>
  <c r="N1415" i="7"/>
  <c r="D1415" i="7"/>
  <c r="O1414" i="7"/>
  <c r="N1414" i="7"/>
  <c r="D1414" i="7"/>
  <c r="O1413" i="7"/>
  <c r="N1413" i="7"/>
  <c r="D1413" i="7"/>
  <c r="O1412" i="7"/>
  <c r="N1412" i="7"/>
  <c r="D1412" i="7"/>
  <c r="O1411" i="7"/>
  <c r="N1411" i="7"/>
  <c r="D1411" i="7"/>
  <c r="O1410" i="7"/>
  <c r="N1410" i="7"/>
  <c r="D1410" i="7"/>
  <c r="O1409" i="7"/>
  <c r="N1409" i="7"/>
  <c r="D1409" i="7"/>
  <c r="O1408" i="7"/>
  <c r="N1408" i="7"/>
  <c r="D1408" i="7"/>
  <c r="O1407" i="7"/>
  <c r="N1407" i="7"/>
  <c r="D1407" i="7"/>
  <c r="O1406" i="7"/>
  <c r="N1406" i="7"/>
  <c r="D1406" i="7"/>
  <c r="O1405" i="7"/>
  <c r="N1405" i="7"/>
  <c r="D1405" i="7"/>
  <c r="O1404" i="7"/>
  <c r="N1404" i="7"/>
  <c r="D1404" i="7"/>
  <c r="O1403" i="7"/>
  <c r="N1403" i="7"/>
  <c r="D1403" i="7"/>
  <c r="O1402" i="7"/>
  <c r="N1402" i="7"/>
  <c r="D1402" i="7"/>
  <c r="O1401" i="7"/>
  <c r="N1401" i="7"/>
  <c r="D1401" i="7"/>
  <c r="O1400" i="7"/>
  <c r="N1400" i="7"/>
  <c r="D1400" i="7"/>
  <c r="O1399" i="7"/>
  <c r="N1399" i="7"/>
  <c r="D1399" i="7"/>
  <c r="O1398" i="7"/>
  <c r="N1398" i="7"/>
  <c r="D1398" i="7"/>
  <c r="O1397" i="7"/>
  <c r="N1397" i="7"/>
  <c r="D1397" i="7"/>
  <c r="O1451" i="7"/>
  <c r="N1451" i="7"/>
  <c r="D1451" i="7"/>
  <c r="O1450" i="7"/>
  <c r="N1450" i="7"/>
  <c r="D1450" i="7"/>
  <c r="O1449" i="7"/>
  <c r="N1449" i="7"/>
  <c r="D1449" i="7"/>
  <c r="O1448" i="7"/>
  <c r="N1448" i="7"/>
  <c r="D1448" i="7"/>
  <c r="O1447" i="7"/>
  <c r="N1447" i="7"/>
  <c r="D1447" i="7"/>
  <c r="O1446" i="7"/>
  <c r="N1446" i="7"/>
  <c r="D1446" i="7"/>
  <c r="O1445" i="7"/>
  <c r="N1445" i="7"/>
  <c r="D1445" i="7"/>
  <c r="O1444" i="7"/>
  <c r="N1444" i="7"/>
  <c r="D1444" i="7"/>
  <c r="O1443" i="7"/>
  <c r="N1443" i="7"/>
  <c r="D1443" i="7"/>
  <c r="O1442" i="7"/>
  <c r="N1442" i="7"/>
  <c r="D1442" i="7"/>
  <c r="O1441" i="7"/>
  <c r="N1441" i="7"/>
  <c r="D1441" i="7"/>
  <c r="O1440" i="7"/>
  <c r="N1440" i="7"/>
  <c r="D1440" i="7"/>
  <c r="O1439" i="7"/>
  <c r="N1439" i="7"/>
  <c r="D1439" i="7"/>
  <c r="O1438" i="7"/>
  <c r="N1438" i="7"/>
  <c r="D1438" i="7"/>
  <c r="O1437" i="7"/>
  <c r="N1437" i="7"/>
  <c r="D1437" i="7"/>
  <c r="O1436" i="7"/>
  <c r="N1436" i="7"/>
  <c r="D1436" i="7"/>
  <c r="O1435" i="7"/>
  <c r="N1435" i="7"/>
  <c r="D1435" i="7"/>
  <c r="O1434" i="7"/>
  <c r="N1434" i="7"/>
  <c r="D1434" i="7"/>
  <c r="O1433" i="7"/>
  <c r="N1433" i="7"/>
  <c r="D1433" i="7"/>
  <c r="O1432" i="7"/>
  <c r="N1432" i="7"/>
  <c r="D1432" i="7"/>
  <c r="O1431" i="7"/>
  <c r="N1431" i="7"/>
  <c r="D1431" i="7"/>
  <c r="O1430" i="7"/>
  <c r="N1430" i="7"/>
  <c r="D1430" i="7"/>
  <c r="O1429" i="7"/>
  <c r="N1429" i="7"/>
  <c r="D1429" i="7"/>
  <c r="O1428" i="7"/>
  <c r="N1428" i="7"/>
  <c r="D1428" i="7"/>
  <c r="O1427" i="7"/>
  <c r="N1427" i="7"/>
  <c r="D1427" i="7"/>
  <c r="O1470" i="7"/>
  <c r="N1470" i="7"/>
  <c r="D1470" i="7"/>
  <c r="O1469" i="7"/>
  <c r="N1469" i="7"/>
  <c r="D1469" i="7"/>
  <c r="O1468" i="7"/>
  <c r="N1468" i="7"/>
  <c r="D1468" i="7"/>
  <c r="O1467" i="7"/>
  <c r="N1467" i="7"/>
  <c r="D1467" i="7"/>
  <c r="O1466" i="7"/>
  <c r="N1466" i="7"/>
  <c r="D1466" i="7"/>
  <c r="O1465" i="7"/>
  <c r="N1465" i="7"/>
  <c r="D1465" i="7"/>
  <c r="O1464" i="7"/>
  <c r="N1464" i="7"/>
  <c r="D1464" i="7"/>
  <c r="O1463" i="7"/>
  <c r="N1463" i="7"/>
  <c r="D1463" i="7"/>
  <c r="O1462" i="7"/>
  <c r="N1462" i="7"/>
  <c r="D1462" i="7"/>
  <c r="O1461" i="7"/>
  <c r="N1461" i="7"/>
  <c r="D1461" i="7"/>
  <c r="O1460" i="7"/>
  <c r="N1460" i="7"/>
  <c r="D1460" i="7"/>
  <c r="O1459" i="7"/>
  <c r="N1459" i="7"/>
  <c r="D1459" i="7"/>
  <c r="O1458" i="7"/>
  <c r="N1458" i="7"/>
  <c r="D1458" i="7"/>
  <c r="O1457" i="7"/>
  <c r="N1457" i="7"/>
  <c r="D1457" i="7"/>
  <c r="O1456" i="7"/>
  <c r="N1456" i="7"/>
  <c r="D1456" i="7"/>
  <c r="O1455" i="7"/>
  <c r="N1455" i="7"/>
  <c r="D1455" i="7"/>
  <c r="O1454" i="7"/>
  <c r="N1454" i="7"/>
  <c r="D1454" i="7"/>
  <c r="O1453" i="7"/>
  <c r="N1453" i="7"/>
  <c r="D1453" i="7"/>
  <c r="O1452" i="7"/>
  <c r="N1452" i="7"/>
  <c r="D1452" i="7"/>
  <c r="O1495" i="7"/>
  <c r="N1495" i="7"/>
  <c r="D1495" i="7"/>
  <c r="O1494" i="7"/>
  <c r="N1494" i="7"/>
  <c r="D1494" i="7"/>
  <c r="O1493" i="7"/>
  <c r="N1493" i="7"/>
  <c r="D1493" i="7"/>
  <c r="O1492" i="7"/>
  <c r="N1492" i="7"/>
  <c r="D1492" i="7"/>
  <c r="O1491" i="7"/>
  <c r="N1491" i="7"/>
  <c r="D1491" i="7"/>
  <c r="O1490" i="7"/>
  <c r="N1490" i="7"/>
  <c r="D1490" i="7"/>
  <c r="O1489" i="7"/>
  <c r="N1489" i="7"/>
  <c r="D1489" i="7"/>
  <c r="O1488" i="7"/>
  <c r="N1488" i="7"/>
  <c r="D1488" i="7"/>
  <c r="O1487" i="7"/>
  <c r="N1487" i="7"/>
  <c r="D1487" i="7"/>
  <c r="O1486" i="7"/>
  <c r="N1486" i="7"/>
  <c r="D1486" i="7"/>
  <c r="O1485" i="7"/>
  <c r="N1485" i="7"/>
  <c r="D1485" i="7"/>
  <c r="O1484" i="7"/>
  <c r="N1484" i="7"/>
  <c r="D1484" i="7"/>
  <c r="O1483" i="7"/>
  <c r="N1483" i="7"/>
  <c r="D1483" i="7"/>
  <c r="O1482" i="7"/>
  <c r="N1482" i="7"/>
  <c r="D1482" i="7"/>
  <c r="O1481" i="7"/>
  <c r="N1481" i="7"/>
  <c r="D1481" i="7"/>
  <c r="O1480" i="7"/>
  <c r="N1480" i="7"/>
  <c r="D1480" i="7"/>
  <c r="O1479" i="7"/>
  <c r="N1479" i="7"/>
  <c r="D1479" i="7"/>
  <c r="O1478" i="7"/>
  <c r="N1478" i="7"/>
  <c r="D1478" i="7"/>
  <c r="O1477" i="7"/>
  <c r="N1477" i="7"/>
  <c r="D1477" i="7"/>
  <c r="O1476" i="7"/>
  <c r="N1476" i="7"/>
  <c r="D1476" i="7"/>
  <c r="O1475" i="7"/>
  <c r="N1475" i="7"/>
  <c r="D1475" i="7"/>
  <c r="O1474" i="7"/>
  <c r="N1474" i="7"/>
  <c r="D1474" i="7"/>
  <c r="O1473" i="7"/>
  <c r="N1473" i="7"/>
  <c r="D1473" i="7"/>
  <c r="O1472" i="7"/>
  <c r="N1472" i="7"/>
  <c r="D1472" i="7"/>
  <c r="O1471" i="7"/>
  <c r="N1471" i="7"/>
  <c r="D1471" i="7"/>
  <c r="O1526" i="7"/>
  <c r="N1526" i="7"/>
  <c r="D1526" i="7"/>
  <c r="O1525" i="7"/>
  <c r="N1525" i="7"/>
  <c r="D1525" i="7"/>
  <c r="O1524" i="7"/>
  <c r="N1524" i="7"/>
  <c r="D1524" i="7"/>
  <c r="O1523" i="7"/>
  <c r="N1523" i="7"/>
  <c r="D1523" i="7"/>
  <c r="O1522" i="7"/>
  <c r="N1522" i="7"/>
  <c r="D1522" i="7"/>
  <c r="O1521" i="7"/>
  <c r="N1521" i="7"/>
  <c r="D1521" i="7"/>
  <c r="O1520" i="7"/>
  <c r="N1520" i="7"/>
  <c r="D1520" i="7"/>
  <c r="O1519" i="7"/>
  <c r="N1519" i="7"/>
  <c r="D1519" i="7"/>
  <c r="O1518" i="7"/>
  <c r="N1518" i="7"/>
  <c r="D1518" i="7"/>
  <c r="O1517" i="7"/>
  <c r="N1517" i="7"/>
  <c r="D1517" i="7"/>
  <c r="O1516" i="7"/>
  <c r="N1516" i="7"/>
  <c r="D1516" i="7"/>
  <c r="O1515" i="7"/>
  <c r="N1515" i="7"/>
  <c r="D1515" i="7"/>
  <c r="O1514" i="7"/>
  <c r="N1514" i="7"/>
  <c r="D1514" i="7"/>
  <c r="O1513" i="7"/>
  <c r="N1513" i="7"/>
  <c r="D1513" i="7"/>
  <c r="O1512" i="7"/>
  <c r="N1512" i="7"/>
  <c r="D1512" i="7"/>
  <c r="O1511" i="7"/>
  <c r="N1511" i="7"/>
  <c r="D1511" i="7"/>
  <c r="O1510" i="7"/>
  <c r="N1510" i="7"/>
  <c r="D1510" i="7"/>
  <c r="O1509" i="7"/>
  <c r="N1509" i="7"/>
  <c r="D1509" i="7"/>
  <c r="O1508" i="7"/>
  <c r="N1508" i="7"/>
  <c r="D1508" i="7"/>
  <c r="O1507" i="7"/>
  <c r="N1507" i="7"/>
  <c r="D1507" i="7"/>
  <c r="O1506" i="7"/>
  <c r="N1506" i="7"/>
  <c r="D1506" i="7"/>
  <c r="O1505" i="7"/>
  <c r="N1505" i="7"/>
  <c r="D1505" i="7"/>
  <c r="O1504" i="7"/>
  <c r="N1504" i="7"/>
  <c r="D1504" i="7"/>
  <c r="O1503" i="7"/>
  <c r="N1503" i="7"/>
  <c r="D1503" i="7"/>
  <c r="O1502" i="7"/>
  <c r="N1502" i="7"/>
  <c r="D1502" i="7"/>
  <c r="O1501" i="7"/>
  <c r="N1501" i="7"/>
  <c r="D1501" i="7"/>
  <c r="O1500" i="7"/>
  <c r="N1500" i="7"/>
  <c r="D1500" i="7"/>
  <c r="O1499" i="7"/>
  <c r="N1499" i="7"/>
  <c r="D1499" i="7"/>
  <c r="O1498" i="7"/>
  <c r="N1498" i="7"/>
  <c r="D1498" i="7"/>
  <c r="O1497" i="7"/>
  <c r="N1497" i="7"/>
  <c r="D1497" i="7"/>
  <c r="O1496" i="7"/>
  <c r="N1496" i="7"/>
  <c r="D1496" i="7"/>
  <c r="O1554" i="7"/>
  <c r="N1554" i="7"/>
  <c r="D1554" i="7"/>
  <c r="O1553" i="7"/>
  <c r="N1553" i="7"/>
  <c r="D1553" i="7"/>
  <c r="O1552" i="7"/>
  <c r="N1552" i="7"/>
  <c r="D1552" i="7"/>
  <c r="O1551" i="7"/>
  <c r="N1551" i="7"/>
  <c r="D1551" i="7"/>
  <c r="O1550" i="7"/>
  <c r="N1550" i="7"/>
  <c r="D1550" i="7"/>
  <c r="O1549" i="7"/>
  <c r="N1549" i="7"/>
  <c r="D1549" i="7"/>
  <c r="O1548" i="7"/>
  <c r="N1548" i="7"/>
  <c r="D1548" i="7"/>
  <c r="O1547" i="7"/>
  <c r="N1547" i="7"/>
  <c r="D1547" i="7"/>
  <c r="O1546" i="7"/>
  <c r="N1546" i="7"/>
  <c r="D1546" i="7"/>
  <c r="O1545" i="7"/>
  <c r="N1545" i="7"/>
  <c r="D1545" i="7"/>
  <c r="O1544" i="7"/>
  <c r="N1544" i="7"/>
  <c r="D1544" i="7"/>
  <c r="O1543" i="7"/>
  <c r="N1543" i="7"/>
  <c r="D1543" i="7"/>
  <c r="O1542" i="7"/>
  <c r="N1542" i="7"/>
  <c r="D1542" i="7"/>
  <c r="O1541" i="7"/>
  <c r="N1541" i="7"/>
  <c r="D1541" i="7"/>
  <c r="O1540" i="7"/>
  <c r="N1540" i="7"/>
  <c r="D1540" i="7"/>
  <c r="O1539" i="7"/>
  <c r="N1539" i="7"/>
  <c r="D1539" i="7"/>
  <c r="O1538" i="7"/>
  <c r="N1538" i="7"/>
  <c r="D1538" i="7"/>
  <c r="O1537" i="7"/>
  <c r="N1537" i="7"/>
  <c r="D1537" i="7"/>
  <c r="O1536" i="7"/>
  <c r="N1536" i="7"/>
  <c r="D1536" i="7"/>
  <c r="O1535" i="7"/>
  <c r="N1535" i="7"/>
  <c r="D1535" i="7"/>
  <c r="O1534" i="7"/>
  <c r="N1534" i="7"/>
  <c r="D1534" i="7"/>
  <c r="O1533" i="7"/>
  <c r="N1533" i="7"/>
  <c r="D1533" i="7"/>
  <c r="O1532" i="7"/>
  <c r="N1532" i="7"/>
  <c r="D1532" i="7"/>
  <c r="O1531" i="7"/>
  <c r="N1531" i="7"/>
  <c r="D1531" i="7"/>
  <c r="O1530" i="7"/>
  <c r="N1530" i="7"/>
  <c r="D1530" i="7"/>
  <c r="O1529" i="7"/>
  <c r="N1529" i="7"/>
  <c r="D1529" i="7"/>
  <c r="O1528" i="7"/>
  <c r="N1528" i="7"/>
  <c r="D1528" i="7"/>
  <c r="O1527" i="7"/>
  <c r="N1527" i="7"/>
  <c r="D1527" i="7"/>
  <c r="O1579" i="7"/>
  <c r="N1579" i="7"/>
  <c r="D1579" i="7"/>
  <c r="O1578" i="7"/>
  <c r="N1578" i="7"/>
  <c r="D1578" i="7"/>
  <c r="O1577" i="7"/>
  <c r="N1577" i="7"/>
  <c r="D1577" i="7"/>
  <c r="O1576" i="7"/>
  <c r="N1576" i="7"/>
  <c r="D1576" i="7"/>
  <c r="O1575" i="7"/>
  <c r="N1575" i="7"/>
  <c r="D1575" i="7"/>
  <c r="O1574" i="7"/>
  <c r="N1574" i="7"/>
  <c r="D1574" i="7"/>
  <c r="O1573" i="7"/>
  <c r="N1573" i="7"/>
  <c r="D1573" i="7"/>
  <c r="O1572" i="7"/>
  <c r="N1572" i="7"/>
  <c r="D1572" i="7"/>
  <c r="O1571" i="7"/>
  <c r="N1571" i="7"/>
  <c r="D1571" i="7"/>
  <c r="O1570" i="7"/>
  <c r="N1570" i="7"/>
  <c r="D1570" i="7"/>
  <c r="O1569" i="7"/>
  <c r="N1569" i="7"/>
  <c r="D1569" i="7"/>
  <c r="O1568" i="7"/>
  <c r="N1568" i="7"/>
  <c r="D1568" i="7"/>
  <c r="O1567" i="7"/>
  <c r="N1567" i="7"/>
  <c r="D1567" i="7"/>
  <c r="O1566" i="7"/>
  <c r="N1566" i="7"/>
  <c r="D1566" i="7"/>
  <c r="O1565" i="7"/>
  <c r="N1565" i="7"/>
  <c r="D1565" i="7"/>
  <c r="O1564" i="7"/>
  <c r="N1564" i="7"/>
  <c r="D1564" i="7"/>
  <c r="O1563" i="7"/>
  <c r="N1563" i="7"/>
  <c r="D1563" i="7"/>
  <c r="O1562" i="7"/>
  <c r="N1562" i="7"/>
  <c r="D1562" i="7"/>
  <c r="O1561" i="7"/>
  <c r="N1561" i="7"/>
  <c r="D1561" i="7"/>
  <c r="O1560" i="7"/>
  <c r="N1560" i="7"/>
  <c r="D1560" i="7"/>
  <c r="O1559" i="7"/>
  <c r="N1559" i="7"/>
  <c r="D1559" i="7"/>
  <c r="O1558" i="7"/>
  <c r="N1558" i="7"/>
  <c r="D1558" i="7"/>
  <c r="O1557" i="7"/>
  <c r="N1557" i="7"/>
  <c r="D1557" i="7"/>
  <c r="O1556" i="7"/>
  <c r="N1556" i="7"/>
  <c r="D1556" i="7"/>
  <c r="O1555" i="7"/>
  <c r="N1555" i="7"/>
  <c r="D1555" i="7"/>
  <c r="O1605" i="7"/>
  <c r="N1605" i="7"/>
  <c r="D1605" i="7"/>
  <c r="O1604" i="7"/>
  <c r="N1604" i="7"/>
  <c r="D1604" i="7"/>
  <c r="O1603" i="7"/>
  <c r="N1603" i="7"/>
  <c r="D1603" i="7"/>
  <c r="O1602" i="7"/>
  <c r="N1602" i="7"/>
  <c r="D1602" i="7"/>
  <c r="O1601" i="7"/>
  <c r="N1601" i="7"/>
  <c r="D1601" i="7"/>
  <c r="O1600" i="7"/>
  <c r="N1600" i="7"/>
  <c r="D1600" i="7"/>
  <c r="O1599" i="7"/>
  <c r="N1599" i="7"/>
  <c r="D1599" i="7"/>
  <c r="O1598" i="7"/>
  <c r="N1598" i="7"/>
  <c r="D1598" i="7"/>
  <c r="O1597" i="7"/>
  <c r="N1597" i="7"/>
  <c r="D1597" i="7"/>
  <c r="O1596" i="7"/>
  <c r="N1596" i="7"/>
  <c r="D1596" i="7"/>
  <c r="O1595" i="7"/>
  <c r="N1595" i="7"/>
  <c r="D1595" i="7"/>
  <c r="O1594" i="7"/>
  <c r="N1594" i="7"/>
  <c r="D1594" i="7"/>
  <c r="O1593" i="7"/>
  <c r="N1593" i="7"/>
  <c r="D1593" i="7"/>
  <c r="O1592" i="7"/>
  <c r="N1592" i="7"/>
  <c r="D1592" i="7"/>
  <c r="O1591" i="7"/>
  <c r="N1591" i="7"/>
  <c r="D1591" i="7"/>
  <c r="O1590" i="7"/>
  <c r="N1590" i="7"/>
  <c r="D1590" i="7"/>
  <c r="O1589" i="7"/>
  <c r="N1589" i="7"/>
  <c r="D1589" i="7"/>
  <c r="O1588" i="7"/>
  <c r="N1588" i="7"/>
  <c r="D1588" i="7"/>
  <c r="O1587" i="7"/>
  <c r="N1587" i="7"/>
  <c r="D1587" i="7"/>
  <c r="O1586" i="7"/>
  <c r="N1586" i="7"/>
  <c r="D1586" i="7"/>
  <c r="O1585" i="7"/>
  <c r="N1585" i="7"/>
  <c r="D1585" i="7"/>
  <c r="O1584" i="7"/>
  <c r="N1584" i="7"/>
  <c r="D1584" i="7"/>
  <c r="O1583" i="7"/>
  <c r="N1583" i="7"/>
  <c r="D1583" i="7"/>
  <c r="O1582" i="7"/>
  <c r="N1582" i="7"/>
  <c r="D1582" i="7"/>
  <c r="O1581" i="7"/>
  <c r="N1581" i="7"/>
  <c r="D1581" i="7"/>
  <c r="O1580" i="7"/>
  <c r="N1580" i="7"/>
  <c r="D1580" i="7"/>
  <c r="O1628" i="7"/>
  <c r="N1628" i="7"/>
  <c r="D1628" i="7"/>
  <c r="O1627" i="7"/>
  <c r="N1627" i="7"/>
  <c r="D1627" i="7"/>
  <c r="O1626" i="7"/>
  <c r="N1626" i="7"/>
  <c r="D1626" i="7"/>
  <c r="O1625" i="7"/>
  <c r="N1625" i="7"/>
  <c r="D1625" i="7"/>
  <c r="O1624" i="7"/>
  <c r="N1624" i="7"/>
  <c r="D1624" i="7"/>
  <c r="O1623" i="7"/>
  <c r="N1623" i="7"/>
  <c r="D1623" i="7"/>
  <c r="O1622" i="7"/>
  <c r="N1622" i="7"/>
  <c r="D1622" i="7"/>
  <c r="O1621" i="7"/>
  <c r="N1621" i="7"/>
  <c r="D1621" i="7"/>
  <c r="O1620" i="7"/>
  <c r="N1620" i="7"/>
  <c r="D1620" i="7"/>
  <c r="O1619" i="7"/>
  <c r="N1619" i="7"/>
  <c r="D1619" i="7"/>
  <c r="O1618" i="7"/>
  <c r="N1618" i="7"/>
  <c r="D1618" i="7"/>
  <c r="O1617" i="7"/>
  <c r="N1617" i="7"/>
  <c r="D1617" i="7"/>
  <c r="O1616" i="7"/>
  <c r="N1616" i="7"/>
  <c r="D1616" i="7"/>
  <c r="O1615" i="7"/>
  <c r="N1615" i="7"/>
  <c r="D1615" i="7"/>
  <c r="O1614" i="7"/>
  <c r="N1614" i="7"/>
  <c r="D1614" i="7"/>
  <c r="O1613" i="7"/>
  <c r="N1613" i="7"/>
  <c r="D1613" i="7"/>
  <c r="O1612" i="7"/>
  <c r="N1612" i="7"/>
  <c r="D1612" i="7"/>
  <c r="O1611" i="7"/>
  <c r="N1611" i="7"/>
  <c r="D1611" i="7"/>
  <c r="O1610" i="7"/>
  <c r="N1610" i="7"/>
  <c r="D1610" i="7"/>
  <c r="O1609" i="7"/>
  <c r="N1609" i="7"/>
  <c r="D1609" i="7"/>
  <c r="O1608" i="7"/>
  <c r="N1608" i="7"/>
  <c r="D1608" i="7"/>
  <c r="O1607" i="7"/>
  <c r="N1607" i="7"/>
  <c r="D1607" i="7"/>
  <c r="O1606" i="7"/>
  <c r="N1606" i="7"/>
  <c r="D1606" i="7"/>
  <c r="O1652" i="7"/>
  <c r="N1652" i="7"/>
  <c r="D1652" i="7"/>
  <c r="O1651" i="7"/>
  <c r="N1651" i="7"/>
  <c r="D1651" i="7"/>
  <c r="O1650" i="7"/>
  <c r="N1650" i="7"/>
  <c r="D1650" i="7"/>
  <c r="O1649" i="7"/>
  <c r="N1649" i="7"/>
  <c r="D1649" i="7"/>
  <c r="O1648" i="7"/>
  <c r="N1648" i="7"/>
  <c r="D1648" i="7"/>
  <c r="O1647" i="7"/>
  <c r="N1647" i="7"/>
  <c r="D1647" i="7"/>
  <c r="O1646" i="7"/>
  <c r="N1646" i="7"/>
  <c r="D1646" i="7"/>
  <c r="O1645" i="7"/>
  <c r="N1645" i="7"/>
  <c r="D1645" i="7"/>
  <c r="O1644" i="7"/>
  <c r="N1644" i="7"/>
  <c r="D1644" i="7"/>
  <c r="O1643" i="7"/>
  <c r="N1643" i="7"/>
  <c r="D1643" i="7"/>
  <c r="O1642" i="7"/>
  <c r="N1642" i="7"/>
  <c r="D1642" i="7"/>
  <c r="O1641" i="7"/>
  <c r="N1641" i="7"/>
  <c r="D1641" i="7"/>
  <c r="O1640" i="7"/>
  <c r="N1640" i="7"/>
  <c r="D1640" i="7"/>
  <c r="O1639" i="7"/>
  <c r="N1639" i="7"/>
  <c r="D1639" i="7"/>
  <c r="O1638" i="7"/>
  <c r="N1638" i="7"/>
  <c r="D1638" i="7"/>
  <c r="O1637" i="7"/>
  <c r="N1637" i="7"/>
  <c r="D1637" i="7"/>
  <c r="O1636" i="7"/>
  <c r="N1636" i="7"/>
  <c r="D1636" i="7"/>
  <c r="O1635" i="7"/>
  <c r="N1635" i="7"/>
  <c r="D1635" i="7"/>
  <c r="O1634" i="7"/>
  <c r="N1634" i="7"/>
  <c r="D1634" i="7"/>
  <c r="O1633" i="7"/>
  <c r="N1633" i="7"/>
  <c r="D1633" i="7"/>
  <c r="O1632" i="7"/>
  <c r="N1632" i="7"/>
  <c r="D1632" i="7"/>
  <c r="O1631" i="7"/>
  <c r="N1631" i="7"/>
  <c r="D1631" i="7"/>
  <c r="O1630" i="7"/>
  <c r="N1630" i="7"/>
  <c r="D1630" i="7"/>
  <c r="O1629" i="7"/>
  <c r="N1629" i="7"/>
  <c r="D1629" i="7"/>
  <c r="O1681" i="7"/>
  <c r="N1681" i="7"/>
  <c r="D1681" i="7"/>
  <c r="O1680" i="7"/>
  <c r="N1680" i="7"/>
  <c r="D1680" i="7"/>
  <c r="O1679" i="7"/>
  <c r="N1679" i="7"/>
  <c r="D1679" i="7"/>
  <c r="O1678" i="7"/>
  <c r="N1678" i="7"/>
  <c r="D1678" i="7"/>
  <c r="O1677" i="7"/>
  <c r="N1677" i="7"/>
  <c r="D1677" i="7"/>
  <c r="O1676" i="7"/>
  <c r="N1676" i="7"/>
  <c r="D1676" i="7"/>
  <c r="O1675" i="7"/>
  <c r="N1675" i="7"/>
  <c r="D1675" i="7"/>
  <c r="O1674" i="7"/>
  <c r="N1674" i="7"/>
  <c r="D1674" i="7"/>
  <c r="O1673" i="7"/>
  <c r="N1673" i="7"/>
  <c r="D1673" i="7"/>
  <c r="O1672" i="7"/>
  <c r="N1672" i="7"/>
  <c r="D1672" i="7"/>
  <c r="O1671" i="7"/>
  <c r="N1671" i="7"/>
  <c r="D1671" i="7"/>
  <c r="O1670" i="7"/>
  <c r="N1670" i="7"/>
  <c r="D1670" i="7"/>
  <c r="O1669" i="7"/>
  <c r="N1669" i="7"/>
  <c r="D1669" i="7"/>
  <c r="O1668" i="7"/>
  <c r="N1668" i="7"/>
  <c r="D1668" i="7"/>
  <c r="O1667" i="7"/>
  <c r="N1667" i="7"/>
  <c r="D1667" i="7"/>
  <c r="O1666" i="7"/>
  <c r="N1666" i="7"/>
  <c r="D1666" i="7"/>
  <c r="O1665" i="7"/>
  <c r="N1665" i="7"/>
  <c r="D1665" i="7"/>
  <c r="O1664" i="7"/>
  <c r="N1664" i="7"/>
  <c r="D1664" i="7"/>
  <c r="O1663" i="7"/>
  <c r="N1663" i="7"/>
  <c r="D1663" i="7"/>
  <c r="O1662" i="7"/>
  <c r="N1662" i="7"/>
  <c r="D1662" i="7"/>
  <c r="O1661" i="7"/>
  <c r="N1661" i="7"/>
  <c r="D1661" i="7"/>
  <c r="O1660" i="7"/>
  <c r="N1660" i="7"/>
  <c r="D1660" i="7"/>
  <c r="O1659" i="7"/>
  <c r="N1659" i="7"/>
  <c r="D1659" i="7"/>
  <c r="O1658" i="7"/>
  <c r="N1658" i="7"/>
  <c r="D1658" i="7"/>
  <c r="O1657" i="7"/>
  <c r="N1657" i="7"/>
  <c r="D1657" i="7"/>
  <c r="O1656" i="7"/>
  <c r="N1656" i="7"/>
  <c r="D1656" i="7"/>
  <c r="O1655" i="7"/>
  <c r="N1655" i="7"/>
  <c r="D1655" i="7"/>
  <c r="O1654" i="7"/>
  <c r="N1654" i="7"/>
  <c r="D1654" i="7"/>
  <c r="O1653" i="7"/>
  <c r="N1653" i="7"/>
  <c r="D1653" i="7"/>
  <c r="O1707" i="7"/>
  <c r="N1707" i="7"/>
  <c r="D1707" i="7"/>
  <c r="O1706" i="7"/>
  <c r="N1706" i="7"/>
  <c r="D1706" i="7"/>
  <c r="O1705" i="7"/>
  <c r="N1705" i="7"/>
  <c r="D1705" i="7"/>
  <c r="O1704" i="7"/>
  <c r="N1704" i="7"/>
  <c r="D1704" i="7"/>
  <c r="O1703" i="7"/>
  <c r="N1703" i="7"/>
  <c r="D1703" i="7"/>
  <c r="O1702" i="7"/>
  <c r="N1702" i="7"/>
  <c r="D1702" i="7"/>
  <c r="O1701" i="7"/>
  <c r="N1701" i="7"/>
  <c r="D1701" i="7"/>
  <c r="O1700" i="7"/>
  <c r="N1700" i="7"/>
  <c r="D1700" i="7"/>
  <c r="O1699" i="7"/>
  <c r="N1699" i="7"/>
  <c r="D1699" i="7"/>
  <c r="O1698" i="7"/>
  <c r="N1698" i="7"/>
  <c r="D1698" i="7"/>
  <c r="O1697" i="7"/>
  <c r="N1697" i="7"/>
  <c r="D1697" i="7"/>
  <c r="O1696" i="7"/>
  <c r="N1696" i="7"/>
  <c r="D1696" i="7"/>
  <c r="O1695" i="7"/>
  <c r="N1695" i="7"/>
  <c r="D1695" i="7"/>
  <c r="O1694" i="7"/>
  <c r="N1694" i="7"/>
  <c r="D1694" i="7"/>
  <c r="O1693" i="7"/>
  <c r="N1693" i="7"/>
  <c r="D1693" i="7"/>
  <c r="O1692" i="7"/>
  <c r="N1692" i="7"/>
  <c r="D1692" i="7"/>
  <c r="O1691" i="7"/>
  <c r="N1691" i="7"/>
  <c r="D1691" i="7"/>
  <c r="O1690" i="7"/>
  <c r="N1690" i="7"/>
  <c r="D1690" i="7"/>
  <c r="O1689" i="7"/>
  <c r="N1689" i="7"/>
  <c r="D1689" i="7"/>
  <c r="O1688" i="7"/>
  <c r="N1688" i="7"/>
  <c r="D1688" i="7"/>
  <c r="O1687" i="7"/>
  <c r="N1687" i="7"/>
  <c r="D1687" i="7"/>
  <c r="O1686" i="7"/>
  <c r="N1686" i="7"/>
  <c r="D1686" i="7"/>
  <c r="O1685" i="7"/>
  <c r="N1685" i="7"/>
  <c r="D1685" i="7"/>
  <c r="O1684" i="7"/>
  <c r="N1684" i="7"/>
  <c r="D1684" i="7"/>
  <c r="O1683" i="7"/>
  <c r="N1683" i="7"/>
  <c r="D1683" i="7"/>
  <c r="O1682" i="7"/>
  <c r="N1682" i="7"/>
  <c r="D1682" i="7"/>
  <c r="O1733" i="7"/>
  <c r="N1733" i="7"/>
  <c r="D1733" i="7"/>
  <c r="O1732" i="7"/>
  <c r="N1732" i="7"/>
  <c r="D1732" i="7"/>
  <c r="O1731" i="7"/>
  <c r="N1731" i="7"/>
  <c r="D1731" i="7"/>
  <c r="O1730" i="7"/>
  <c r="N1730" i="7"/>
  <c r="D1730" i="7"/>
  <c r="O1729" i="7"/>
  <c r="N1729" i="7"/>
  <c r="D1729" i="7"/>
  <c r="O1728" i="7"/>
  <c r="N1728" i="7"/>
  <c r="D1728" i="7"/>
  <c r="O1727" i="7"/>
  <c r="N1727" i="7"/>
  <c r="D1727" i="7"/>
  <c r="O1726" i="7"/>
  <c r="N1726" i="7"/>
  <c r="D1726" i="7"/>
  <c r="O1725" i="7"/>
  <c r="N1725" i="7"/>
  <c r="D1725" i="7"/>
  <c r="O1724" i="7"/>
  <c r="N1724" i="7"/>
  <c r="D1724" i="7"/>
  <c r="O1723" i="7"/>
  <c r="N1723" i="7"/>
  <c r="D1723" i="7"/>
  <c r="O1722" i="7"/>
  <c r="N1722" i="7"/>
  <c r="D1722" i="7"/>
  <c r="O1721" i="7"/>
  <c r="N1721" i="7"/>
  <c r="D1721" i="7"/>
  <c r="O1720" i="7"/>
  <c r="N1720" i="7"/>
  <c r="D1720" i="7"/>
  <c r="O1719" i="7"/>
  <c r="N1719" i="7"/>
  <c r="D1719" i="7"/>
  <c r="O1718" i="7"/>
  <c r="N1718" i="7"/>
  <c r="D1718" i="7"/>
  <c r="O1717" i="7"/>
  <c r="N1717" i="7"/>
  <c r="D1717" i="7"/>
  <c r="O1716" i="7"/>
  <c r="N1716" i="7"/>
  <c r="D1716" i="7"/>
  <c r="O1715" i="7"/>
  <c r="N1715" i="7"/>
  <c r="D1715" i="7"/>
  <c r="O1714" i="7"/>
  <c r="N1714" i="7"/>
  <c r="D1714" i="7"/>
  <c r="O1713" i="7"/>
  <c r="N1713" i="7"/>
  <c r="D1713" i="7"/>
  <c r="O1712" i="7"/>
  <c r="N1712" i="7"/>
  <c r="D1712" i="7"/>
  <c r="O1711" i="7"/>
  <c r="N1711" i="7"/>
  <c r="D1711" i="7"/>
  <c r="O1710" i="7"/>
  <c r="N1710" i="7"/>
  <c r="D1710" i="7"/>
  <c r="O1709" i="7"/>
  <c r="N1709" i="7"/>
  <c r="D1709" i="7"/>
  <c r="O1708" i="7"/>
  <c r="N1708" i="7"/>
  <c r="D1708" i="7"/>
  <c r="O1753" i="7"/>
  <c r="N1753" i="7"/>
  <c r="D1753" i="7"/>
  <c r="O1752" i="7"/>
  <c r="N1752" i="7"/>
  <c r="D1752" i="7"/>
  <c r="O1751" i="7"/>
  <c r="N1751" i="7"/>
  <c r="D1751" i="7"/>
  <c r="O1750" i="7"/>
  <c r="N1750" i="7"/>
  <c r="D1750" i="7"/>
  <c r="O1749" i="7"/>
  <c r="N1749" i="7"/>
  <c r="D1749" i="7"/>
  <c r="O1748" i="7"/>
  <c r="N1748" i="7"/>
  <c r="D1748" i="7"/>
  <c r="O1747" i="7"/>
  <c r="N1747" i="7"/>
  <c r="D1747" i="7"/>
  <c r="O1746" i="7"/>
  <c r="N1746" i="7"/>
  <c r="D1746" i="7"/>
  <c r="O1745" i="7"/>
  <c r="N1745" i="7"/>
  <c r="D1745" i="7"/>
  <c r="O1744" i="7"/>
  <c r="N1744" i="7"/>
  <c r="D1744" i="7"/>
  <c r="O1743" i="7"/>
  <c r="N1743" i="7"/>
  <c r="D1743" i="7"/>
  <c r="O1742" i="7"/>
  <c r="N1742" i="7"/>
  <c r="D1742" i="7"/>
  <c r="O1741" i="7"/>
  <c r="N1741" i="7"/>
  <c r="D1741" i="7"/>
  <c r="O1740" i="7"/>
  <c r="N1740" i="7"/>
  <c r="D1740" i="7"/>
  <c r="O1739" i="7"/>
  <c r="N1739" i="7"/>
  <c r="D1739" i="7"/>
  <c r="O1738" i="7"/>
  <c r="N1738" i="7"/>
  <c r="D1738" i="7"/>
  <c r="O1737" i="7"/>
  <c r="N1737" i="7"/>
  <c r="D1737" i="7"/>
  <c r="O1736" i="7"/>
  <c r="N1736" i="7"/>
  <c r="D1736" i="7"/>
  <c r="O1735" i="7"/>
  <c r="N1735" i="7"/>
  <c r="D1735" i="7"/>
  <c r="O1734" i="7"/>
  <c r="N1734" i="7"/>
  <c r="D1734" i="7"/>
  <c r="O1775" i="7"/>
  <c r="N1775" i="7"/>
  <c r="D1775" i="7"/>
  <c r="O1774" i="7"/>
  <c r="N1774" i="7"/>
  <c r="D1774" i="7"/>
  <c r="O1773" i="7"/>
  <c r="N1773" i="7"/>
  <c r="D1773" i="7"/>
  <c r="O1772" i="7"/>
  <c r="N1772" i="7"/>
  <c r="D1772" i="7"/>
  <c r="O1771" i="7"/>
  <c r="N1771" i="7"/>
  <c r="D1771" i="7"/>
  <c r="O1770" i="7"/>
  <c r="N1770" i="7"/>
  <c r="D1770" i="7"/>
  <c r="O1769" i="7"/>
  <c r="N1769" i="7"/>
  <c r="D1769" i="7"/>
  <c r="O1768" i="7"/>
  <c r="N1768" i="7"/>
  <c r="D1768" i="7"/>
  <c r="O1767" i="7"/>
  <c r="N1767" i="7"/>
  <c r="D1767" i="7"/>
  <c r="O1766" i="7"/>
  <c r="N1766" i="7"/>
  <c r="D1766" i="7"/>
  <c r="O1765" i="7"/>
  <c r="N1765" i="7"/>
  <c r="D1765" i="7"/>
  <c r="O1764" i="7"/>
  <c r="N1764" i="7"/>
  <c r="D1764" i="7"/>
  <c r="O1763" i="7"/>
  <c r="N1763" i="7"/>
  <c r="D1763" i="7"/>
  <c r="O1762" i="7"/>
  <c r="N1762" i="7"/>
  <c r="D1762" i="7"/>
  <c r="O1761" i="7"/>
  <c r="N1761" i="7"/>
  <c r="D1761" i="7"/>
  <c r="O1760" i="7"/>
  <c r="N1760" i="7"/>
  <c r="D1760" i="7"/>
  <c r="O1759" i="7"/>
  <c r="N1759" i="7"/>
  <c r="D1759" i="7"/>
  <c r="O1758" i="7"/>
  <c r="N1758" i="7"/>
  <c r="D1758" i="7"/>
  <c r="O1757" i="7"/>
  <c r="N1757" i="7"/>
  <c r="D1757" i="7"/>
  <c r="O1756" i="7"/>
  <c r="N1756" i="7"/>
  <c r="D1756" i="7"/>
  <c r="O1755" i="7"/>
  <c r="N1755" i="7"/>
  <c r="D1755" i="7"/>
  <c r="O1754" i="7"/>
  <c r="N1754" i="7"/>
  <c r="D1754" i="7"/>
  <c r="O1794" i="7"/>
  <c r="N1794" i="7"/>
  <c r="D1794" i="7"/>
  <c r="O1793" i="7"/>
  <c r="N1793" i="7"/>
  <c r="D1793" i="7"/>
  <c r="O1792" i="7"/>
  <c r="N1792" i="7"/>
  <c r="D1792" i="7"/>
  <c r="O1791" i="7"/>
  <c r="N1791" i="7"/>
  <c r="D1791" i="7"/>
  <c r="O1790" i="7"/>
  <c r="N1790" i="7"/>
  <c r="D1790" i="7"/>
  <c r="O1789" i="7"/>
  <c r="N1789" i="7"/>
  <c r="D1789" i="7"/>
  <c r="O1788" i="7"/>
  <c r="N1788" i="7"/>
  <c r="D1788" i="7"/>
  <c r="O1787" i="7"/>
  <c r="N1787" i="7"/>
  <c r="D1787" i="7"/>
  <c r="O1786" i="7"/>
  <c r="N1786" i="7"/>
  <c r="D1786" i="7"/>
  <c r="O1785" i="7"/>
  <c r="N1785" i="7"/>
  <c r="D1785" i="7"/>
  <c r="O1784" i="7"/>
  <c r="N1784" i="7"/>
  <c r="D1784" i="7"/>
  <c r="O1783" i="7"/>
  <c r="N1783" i="7"/>
  <c r="D1783" i="7"/>
  <c r="O1782" i="7"/>
  <c r="N1782" i="7"/>
  <c r="D1782" i="7"/>
  <c r="O1781" i="7"/>
  <c r="N1781" i="7"/>
  <c r="D1781" i="7"/>
  <c r="O1780" i="7"/>
  <c r="N1780" i="7"/>
  <c r="D1780" i="7"/>
  <c r="O1779" i="7"/>
  <c r="N1779" i="7"/>
  <c r="D1779" i="7"/>
  <c r="O1778" i="7"/>
  <c r="N1778" i="7"/>
  <c r="D1778" i="7"/>
  <c r="O1777" i="7"/>
  <c r="N1777" i="7"/>
  <c r="D1777" i="7"/>
  <c r="O1776" i="7"/>
  <c r="N1776" i="7"/>
  <c r="D1776" i="7"/>
  <c r="O1823" i="7"/>
  <c r="N1823" i="7"/>
  <c r="D1823" i="7"/>
  <c r="O1822" i="7"/>
  <c r="N1822" i="7"/>
  <c r="D1822" i="7"/>
  <c r="O1821" i="7"/>
  <c r="N1821" i="7"/>
  <c r="D1821" i="7"/>
  <c r="O1820" i="7"/>
  <c r="N1820" i="7"/>
  <c r="D1820" i="7"/>
  <c r="O1819" i="7"/>
  <c r="N1819" i="7"/>
  <c r="D1819" i="7"/>
  <c r="O1818" i="7"/>
  <c r="N1818" i="7"/>
  <c r="D1818" i="7"/>
  <c r="O1817" i="7"/>
  <c r="N1817" i="7"/>
  <c r="D1817" i="7"/>
  <c r="O1816" i="7"/>
  <c r="N1816" i="7"/>
  <c r="D1816" i="7"/>
  <c r="O1815" i="7"/>
  <c r="N1815" i="7"/>
  <c r="D1815" i="7"/>
  <c r="O1814" i="7"/>
  <c r="N1814" i="7"/>
  <c r="D1814" i="7"/>
  <c r="O1813" i="7"/>
  <c r="N1813" i="7"/>
  <c r="D1813" i="7"/>
  <c r="O1812" i="7"/>
  <c r="N1812" i="7"/>
  <c r="D1812" i="7"/>
  <c r="O1811" i="7"/>
  <c r="N1811" i="7"/>
  <c r="D1811" i="7"/>
  <c r="O1810" i="7"/>
  <c r="N1810" i="7"/>
  <c r="D1810" i="7"/>
  <c r="O1809" i="7"/>
  <c r="N1809" i="7"/>
  <c r="D1809" i="7"/>
  <c r="O1808" i="7"/>
  <c r="N1808" i="7"/>
  <c r="D1808" i="7"/>
  <c r="O1807" i="7"/>
  <c r="N1807" i="7"/>
  <c r="D1807" i="7"/>
  <c r="O1806" i="7"/>
  <c r="N1806" i="7"/>
  <c r="D1806" i="7"/>
  <c r="O1805" i="7"/>
  <c r="N1805" i="7"/>
  <c r="D1805" i="7"/>
  <c r="O1804" i="7"/>
  <c r="N1804" i="7"/>
  <c r="D1804" i="7"/>
  <c r="O1803" i="7"/>
  <c r="N1803" i="7"/>
  <c r="D1803" i="7"/>
  <c r="O1802" i="7"/>
  <c r="N1802" i="7"/>
  <c r="D1802" i="7"/>
  <c r="O1801" i="7"/>
  <c r="N1801" i="7"/>
  <c r="D1801" i="7"/>
  <c r="O1800" i="7"/>
  <c r="N1800" i="7"/>
  <c r="D1800" i="7"/>
  <c r="O1799" i="7"/>
  <c r="N1799" i="7"/>
  <c r="D1799" i="7"/>
  <c r="O1798" i="7"/>
  <c r="N1798" i="7"/>
  <c r="D1798" i="7"/>
  <c r="O1797" i="7"/>
  <c r="N1797" i="7"/>
  <c r="D1797" i="7"/>
  <c r="O1796" i="7"/>
  <c r="N1796" i="7"/>
  <c r="D1796" i="7"/>
  <c r="O1795" i="7"/>
  <c r="N1795" i="7"/>
  <c r="D1795" i="7"/>
  <c r="O1847" i="7"/>
  <c r="N1847" i="7"/>
  <c r="D1847" i="7"/>
  <c r="O1846" i="7"/>
  <c r="N1846" i="7"/>
  <c r="D1846" i="7"/>
  <c r="O1845" i="7"/>
  <c r="N1845" i="7"/>
  <c r="D1845" i="7"/>
  <c r="O1844" i="7"/>
  <c r="N1844" i="7"/>
  <c r="D1844" i="7"/>
  <c r="O1843" i="7"/>
  <c r="N1843" i="7"/>
  <c r="D1843" i="7"/>
  <c r="O1842" i="7"/>
  <c r="N1842" i="7"/>
  <c r="D1842" i="7"/>
  <c r="O1841" i="7"/>
  <c r="N1841" i="7"/>
  <c r="D1841" i="7"/>
  <c r="O1840" i="7"/>
  <c r="N1840" i="7"/>
  <c r="D1840" i="7"/>
  <c r="O1839" i="7"/>
  <c r="N1839" i="7"/>
  <c r="D1839" i="7"/>
  <c r="O1838" i="7"/>
  <c r="N1838" i="7"/>
  <c r="D1838" i="7"/>
  <c r="O1837" i="7"/>
  <c r="N1837" i="7"/>
  <c r="D1837" i="7"/>
  <c r="O1836" i="7"/>
  <c r="N1836" i="7"/>
  <c r="D1836" i="7"/>
  <c r="O1835" i="7"/>
  <c r="N1835" i="7"/>
  <c r="D1835" i="7"/>
  <c r="O1834" i="7"/>
  <c r="N1834" i="7"/>
  <c r="D1834" i="7"/>
  <c r="O1833" i="7"/>
  <c r="N1833" i="7"/>
  <c r="D1833" i="7"/>
  <c r="O1832" i="7"/>
  <c r="N1832" i="7"/>
  <c r="D1832" i="7"/>
  <c r="O1831" i="7"/>
  <c r="N1831" i="7"/>
  <c r="D1831" i="7"/>
  <c r="O1830" i="7"/>
  <c r="N1830" i="7"/>
  <c r="D1830" i="7"/>
  <c r="O1829" i="7"/>
  <c r="N1829" i="7"/>
  <c r="D1829" i="7"/>
  <c r="O1828" i="7"/>
  <c r="N1828" i="7"/>
  <c r="D1828" i="7"/>
  <c r="O1827" i="7"/>
  <c r="N1827" i="7"/>
  <c r="D1827" i="7"/>
  <c r="O1826" i="7"/>
  <c r="N1826" i="7"/>
  <c r="D1826" i="7"/>
  <c r="O1825" i="7"/>
  <c r="N1825" i="7"/>
  <c r="D1825" i="7"/>
  <c r="O1824" i="7"/>
  <c r="N1824" i="7"/>
  <c r="D1824" i="7"/>
  <c r="O1864" i="7"/>
  <c r="N1864" i="7"/>
  <c r="D1864" i="7"/>
  <c r="O1863" i="7"/>
  <c r="N1863" i="7"/>
  <c r="D1863" i="7"/>
  <c r="O1862" i="7"/>
  <c r="N1862" i="7"/>
  <c r="D1862" i="7"/>
  <c r="O1861" i="7"/>
  <c r="N1861" i="7"/>
  <c r="D1861" i="7"/>
  <c r="O1860" i="7"/>
  <c r="N1860" i="7"/>
  <c r="D1860" i="7"/>
  <c r="O1859" i="7"/>
  <c r="N1859" i="7"/>
  <c r="D1859" i="7"/>
  <c r="O1858" i="7"/>
  <c r="N1858" i="7"/>
  <c r="D1858" i="7"/>
  <c r="O1857" i="7"/>
  <c r="N1857" i="7"/>
  <c r="D1857" i="7"/>
  <c r="O1856" i="7"/>
  <c r="N1856" i="7"/>
  <c r="D1856" i="7"/>
  <c r="O1855" i="7"/>
  <c r="N1855" i="7"/>
  <c r="D1855" i="7"/>
  <c r="O1854" i="7"/>
  <c r="N1854" i="7"/>
  <c r="D1854" i="7"/>
  <c r="O1853" i="7"/>
  <c r="N1853" i="7"/>
  <c r="D1853" i="7"/>
  <c r="O1852" i="7"/>
  <c r="N1852" i="7"/>
  <c r="D1852" i="7"/>
  <c r="O1851" i="7"/>
  <c r="N1851" i="7"/>
  <c r="D1851" i="7"/>
  <c r="O1850" i="7"/>
  <c r="N1850" i="7"/>
  <c r="D1850" i="7"/>
  <c r="O1849" i="7"/>
  <c r="N1849" i="7"/>
  <c r="D1849" i="7"/>
  <c r="O1848" i="7"/>
  <c r="N1848" i="7"/>
  <c r="D1848" i="7"/>
  <c r="O1885" i="7"/>
  <c r="N1885" i="7"/>
  <c r="D1885" i="7"/>
  <c r="O1884" i="7"/>
  <c r="N1884" i="7"/>
  <c r="D1884" i="7"/>
  <c r="O1883" i="7"/>
  <c r="N1883" i="7"/>
  <c r="D1883" i="7"/>
  <c r="O1882" i="7"/>
  <c r="N1882" i="7"/>
  <c r="D1882" i="7"/>
  <c r="O1881" i="7"/>
  <c r="N1881" i="7"/>
  <c r="D1881" i="7"/>
  <c r="O1880" i="7"/>
  <c r="N1880" i="7"/>
  <c r="D1880" i="7"/>
  <c r="O1879" i="7"/>
  <c r="N1879" i="7"/>
  <c r="D1879" i="7"/>
  <c r="O1878" i="7"/>
  <c r="N1878" i="7"/>
  <c r="D1878" i="7"/>
  <c r="O1877" i="7"/>
  <c r="N1877" i="7"/>
  <c r="D1877" i="7"/>
  <c r="O1876" i="7"/>
  <c r="N1876" i="7"/>
  <c r="D1876" i="7"/>
  <c r="O1875" i="7"/>
  <c r="N1875" i="7"/>
  <c r="D1875" i="7"/>
  <c r="O1874" i="7"/>
  <c r="N1874" i="7"/>
  <c r="D1874" i="7"/>
  <c r="O1873" i="7"/>
  <c r="N1873" i="7"/>
  <c r="D1873" i="7"/>
  <c r="O1872" i="7"/>
  <c r="N1872" i="7"/>
  <c r="D1872" i="7"/>
  <c r="O1871" i="7"/>
  <c r="N1871" i="7"/>
  <c r="D1871" i="7"/>
  <c r="O1870" i="7"/>
  <c r="N1870" i="7"/>
  <c r="D1870" i="7"/>
  <c r="O1869" i="7"/>
  <c r="N1869" i="7"/>
  <c r="D1869" i="7"/>
  <c r="O1868" i="7"/>
  <c r="N1868" i="7"/>
  <c r="D1868" i="7"/>
  <c r="O1867" i="7"/>
  <c r="N1867" i="7"/>
  <c r="D1867" i="7"/>
  <c r="O1866" i="7"/>
  <c r="N1866" i="7"/>
  <c r="D1866" i="7"/>
  <c r="O1865" i="7"/>
  <c r="N1865" i="7"/>
  <c r="D1865" i="7"/>
  <c r="O1905" i="7"/>
  <c r="N1905" i="7"/>
  <c r="D1905" i="7"/>
  <c r="O1904" i="7"/>
  <c r="N1904" i="7"/>
  <c r="D1904" i="7"/>
  <c r="O1903" i="7"/>
  <c r="N1903" i="7"/>
  <c r="D1903" i="7"/>
  <c r="O1902" i="7"/>
  <c r="N1902" i="7"/>
  <c r="D1902" i="7"/>
  <c r="O1901" i="7"/>
  <c r="N1901" i="7"/>
  <c r="D1901" i="7"/>
  <c r="O1900" i="7"/>
  <c r="N1900" i="7"/>
  <c r="D1900" i="7"/>
  <c r="O1899" i="7"/>
  <c r="N1899" i="7"/>
  <c r="D1899" i="7"/>
  <c r="O1898" i="7"/>
  <c r="N1898" i="7"/>
  <c r="D1898" i="7"/>
  <c r="O1897" i="7"/>
  <c r="N1897" i="7"/>
  <c r="D1897" i="7"/>
  <c r="O1896" i="7"/>
  <c r="N1896" i="7"/>
  <c r="D1896" i="7"/>
  <c r="O1895" i="7"/>
  <c r="N1895" i="7"/>
  <c r="D1895" i="7"/>
  <c r="O1894" i="7"/>
  <c r="N1894" i="7"/>
  <c r="D1894" i="7"/>
  <c r="O1893" i="7"/>
  <c r="N1893" i="7"/>
  <c r="D1893" i="7"/>
  <c r="O1892" i="7"/>
  <c r="N1892" i="7"/>
  <c r="D1892" i="7"/>
  <c r="O1891" i="7"/>
  <c r="N1891" i="7"/>
  <c r="D1891" i="7"/>
  <c r="O1890" i="7"/>
  <c r="N1890" i="7"/>
  <c r="D1890" i="7"/>
  <c r="O1889" i="7"/>
  <c r="N1889" i="7"/>
  <c r="D1889" i="7"/>
  <c r="O1888" i="7"/>
  <c r="N1888" i="7"/>
  <c r="D1888" i="7"/>
  <c r="O1887" i="7"/>
  <c r="N1887" i="7"/>
  <c r="D1887" i="7"/>
  <c r="O1886" i="7"/>
  <c r="N1886" i="7"/>
  <c r="D1886" i="7"/>
  <c r="O1924" i="7"/>
  <c r="N1924" i="7"/>
  <c r="D1924" i="7"/>
  <c r="O1923" i="7"/>
  <c r="N1923" i="7"/>
  <c r="D1923" i="7"/>
  <c r="O1922" i="7"/>
  <c r="N1922" i="7"/>
  <c r="D1922" i="7"/>
  <c r="O1921" i="7"/>
  <c r="N1921" i="7"/>
  <c r="D1921" i="7"/>
  <c r="O1920" i="7"/>
  <c r="N1920" i="7"/>
  <c r="D1920" i="7"/>
  <c r="O1919" i="7"/>
  <c r="N1919" i="7"/>
  <c r="D1919" i="7"/>
  <c r="O1918" i="7"/>
  <c r="N1918" i="7"/>
  <c r="D1918" i="7"/>
  <c r="O1917" i="7"/>
  <c r="N1917" i="7"/>
  <c r="D1917" i="7"/>
  <c r="O1916" i="7"/>
  <c r="N1916" i="7"/>
  <c r="D1916" i="7"/>
  <c r="O1915" i="7"/>
  <c r="N1915" i="7"/>
  <c r="D1915" i="7"/>
  <c r="O1914" i="7"/>
  <c r="N1914" i="7"/>
  <c r="D1914" i="7"/>
  <c r="O1913" i="7"/>
  <c r="N1913" i="7"/>
  <c r="D1913" i="7"/>
  <c r="O1912" i="7"/>
  <c r="N1912" i="7"/>
  <c r="D1912" i="7"/>
  <c r="O1911" i="7"/>
  <c r="N1911" i="7"/>
  <c r="D1911" i="7"/>
  <c r="O1910" i="7"/>
  <c r="N1910" i="7"/>
  <c r="D1910" i="7"/>
  <c r="O1909" i="7"/>
  <c r="N1909" i="7"/>
  <c r="D1909" i="7"/>
  <c r="O1908" i="7"/>
  <c r="N1908" i="7"/>
  <c r="D1908" i="7"/>
  <c r="O1907" i="7"/>
  <c r="N1907" i="7"/>
  <c r="D1907" i="7"/>
  <c r="O1906" i="7"/>
  <c r="N1906" i="7"/>
  <c r="D1906" i="7"/>
  <c r="O1943" i="7"/>
  <c r="N1943" i="7"/>
  <c r="D1943" i="7"/>
  <c r="O1942" i="7"/>
  <c r="N1942" i="7"/>
  <c r="D1942" i="7"/>
  <c r="O1941" i="7"/>
  <c r="N1941" i="7"/>
  <c r="D1941" i="7"/>
  <c r="O1940" i="7"/>
  <c r="N1940" i="7"/>
  <c r="D1940" i="7"/>
  <c r="O1939" i="7"/>
  <c r="N1939" i="7"/>
  <c r="D1939" i="7"/>
  <c r="O1938" i="7"/>
  <c r="N1938" i="7"/>
  <c r="D1938" i="7"/>
  <c r="O1937" i="7"/>
  <c r="N1937" i="7"/>
  <c r="D1937" i="7"/>
  <c r="O1936" i="7"/>
  <c r="N1936" i="7"/>
  <c r="D1936" i="7"/>
  <c r="O1935" i="7"/>
  <c r="N1935" i="7"/>
  <c r="D1935" i="7"/>
  <c r="O1934" i="7"/>
  <c r="N1934" i="7"/>
  <c r="D1934" i="7"/>
  <c r="O1933" i="7"/>
  <c r="N1933" i="7"/>
  <c r="D1933" i="7"/>
  <c r="O1932" i="7"/>
  <c r="N1932" i="7"/>
  <c r="D1932" i="7"/>
  <c r="O1931" i="7"/>
  <c r="N1931" i="7"/>
  <c r="D1931" i="7"/>
  <c r="O1930" i="7"/>
  <c r="N1930" i="7"/>
  <c r="D1930" i="7"/>
  <c r="O1929" i="7"/>
  <c r="N1929" i="7"/>
  <c r="D1929" i="7"/>
  <c r="O1928" i="7"/>
  <c r="N1928" i="7"/>
  <c r="D1928" i="7"/>
  <c r="O1927" i="7"/>
  <c r="N1927" i="7"/>
  <c r="D1927" i="7"/>
  <c r="O1926" i="7"/>
  <c r="N1926" i="7"/>
  <c r="D1926" i="7"/>
  <c r="O1925" i="7"/>
  <c r="N1925" i="7"/>
  <c r="D1925" i="7"/>
  <c r="O1963" i="7"/>
  <c r="N1963" i="7"/>
  <c r="D1963" i="7"/>
  <c r="O1962" i="7"/>
  <c r="N1962" i="7"/>
  <c r="D1962" i="7"/>
  <c r="O1961" i="7"/>
  <c r="N1961" i="7"/>
  <c r="D1961" i="7"/>
  <c r="O1960" i="7"/>
  <c r="N1960" i="7"/>
  <c r="D1960" i="7"/>
  <c r="O1959" i="7"/>
  <c r="N1959" i="7"/>
  <c r="D1959" i="7"/>
  <c r="O1958" i="7"/>
  <c r="N1958" i="7"/>
  <c r="D1958" i="7"/>
  <c r="O1957" i="7"/>
  <c r="N1957" i="7"/>
  <c r="D1957" i="7"/>
  <c r="O1956" i="7"/>
  <c r="N1956" i="7"/>
  <c r="D1956" i="7"/>
  <c r="O1955" i="7"/>
  <c r="N1955" i="7"/>
  <c r="D1955" i="7"/>
  <c r="O1954" i="7"/>
  <c r="N1954" i="7"/>
  <c r="D1954" i="7"/>
  <c r="O1953" i="7"/>
  <c r="N1953" i="7"/>
  <c r="D1953" i="7"/>
  <c r="O1952" i="7"/>
  <c r="N1952" i="7"/>
  <c r="D1952" i="7"/>
  <c r="O1951" i="7"/>
  <c r="N1951" i="7"/>
  <c r="D1951" i="7"/>
  <c r="O1950" i="7"/>
  <c r="N1950" i="7"/>
  <c r="D1950" i="7"/>
  <c r="O1949" i="7"/>
  <c r="N1949" i="7"/>
  <c r="D1949" i="7"/>
  <c r="O1948" i="7"/>
  <c r="N1948" i="7"/>
  <c r="D1948" i="7"/>
  <c r="O1947" i="7"/>
  <c r="N1947" i="7"/>
  <c r="D1947" i="7"/>
  <c r="O1946" i="7"/>
  <c r="N1946" i="7"/>
  <c r="D1946" i="7"/>
  <c r="O1945" i="7"/>
  <c r="N1945" i="7"/>
  <c r="D1945" i="7"/>
  <c r="O1944" i="7"/>
  <c r="N1944" i="7"/>
  <c r="D1944" i="7"/>
  <c r="O1984" i="7"/>
  <c r="N1984" i="7"/>
  <c r="D1984" i="7"/>
  <c r="O1983" i="7"/>
  <c r="N1983" i="7"/>
  <c r="D1983" i="7"/>
  <c r="O1982" i="7"/>
  <c r="N1982" i="7"/>
  <c r="D1982" i="7"/>
  <c r="O1981" i="7"/>
  <c r="N1981" i="7"/>
  <c r="D1981" i="7"/>
  <c r="O1980" i="7"/>
  <c r="N1980" i="7"/>
  <c r="D1980" i="7"/>
  <c r="O1979" i="7"/>
  <c r="N1979" i="7"/>
  <c r="D1979" i="7"/>
  <c r="O1978" i="7"/>
  <c r="N1978" i="7"/>
  <c r="D1978" i="7"/>
  <c r="O1977" i="7"/>
  <c r="N1977" i="7"/>
  <c r="D1977" i="7"/>
  <c r="O1976" i="7"/>
  <c r="N1976" i="7"/>
  <c r="D1976" i="7"/>
  <c r="O1975" i="7"/>
  <c r="N1975" i="7"/>
  <c r="D1975" i="7"/>
  <c r="O1974" i="7"/>
  <c r="N1974" i="7"/>
  <c r="D1974" i="7"/>
  <c r="O1973" i="7"/>
  <c r="N1973" i="7"/>
  <c r="D1973" i="7"/>
  <c r="O1972" i="7"/>
  <c r="N1972" i="7"/>
  <c r="D1972" i="7"/>
  <c r="O1971" i="7"/>
  <c r="N1971" i="7"/>
  <c r="D1971" i="7"/>
  <c r="O1970" i="7"/>
  <c r="N1970" i="7"/>
  <c r="D1970" i="7"/>
  <c r="O1969" i="7"/>
  <c r="N1969" i="7"/>
  <c r="D1969" i="7"/>
  <c r="O1968" i="7"/>
  <c r="N1968" i="7"/>
  <c r="D1968" i="7"/>
  <c r="O1967" i="7"/>
  <c r="N1967" i="7"/>
  <c r="D1967" i="7"/>
  <c r="O1966" i="7"/>
  <c r="N1966" i="7"/>
  <c r="D1966" i="7"/>
  <c r="O1965" i="7"/>
  <c r="N1965" i="7"/>
  <c r="D1965" i="7"/>
  <c r="O1964" i="7"/>
  <c r="N1964" i="7"/>
  <c r="D1964" i="7"/>
  <c r="O2000" i="7"/>
  <c r="N2000" i="7"/>
  <c r="D2000" i="7"/>
  <c r="O1999" i="7"/>
  <c r="N1999" i="7"/>
  <c r="D1999" i="7"/>
  <c r="O1998" i="7"/>
  <c r="N1998" i="7"/>
  <c r="D1998" i="7"/>
  <c r="O1997" i="7"/>
  <c r="N1997" i="7"/>
  <c r="D1997" i="7"/>
  <c r="O1996" i="7"/>
  <c r="N1996" i="7"/>
  <c r="D1996" i="7"/>
  <c r="O1995" i="7"/>
  <c r="N1995" i="7"/>
  <c r="D1995" i="7"/>
  <c r="O1994" i="7"/>
  <c r="N1994" i="7"/>
  <c r="D1994" i="7"/>
  <c r="O1993" i="7"/>
  <c r="N1993" i="7"/>
  <c r="D1993" i="7"/>
  <c r="O1992" i="7"/>
  <c r="N1992" i="7"/>
  <c r="D1992" i="7"/>
  <c r="O1991" i="7"/>
  <c r="N1991" i="7"/>
  <c r="D1991" i="7"/>
  <c r="O1990" i="7"/>
  <c r="N1990" i="7"/>
  <c r="D1990" i="7"/>
  <c r="O1989" i="7"/>
  <c r="N1989" i="7"/>
  <c r="D1989" i="7"/>
  <c r="O1988" i="7"/>
  <c r="N1988" i="7"/>
  <c r="D1988" i="7"/>
  <c r="O1987" i="7"/>
  <c r="N1987" i="7"/>
  <c r="D1987" i="7"/>
  <c r="O1986" i="7"/>
  <c r="N1986" i="7"/>
  <c r="D1986" i="7"/>
  <c r="O1985" i="7"/>
  <c r="N1985" i="7"/>
  <c r="D1985" i="7"/>
  <c r="O2018" i="7"/>
  <c r="N2018" i="7"/>
  <c r="D2018" i="7"/>
  <c r="O2017" i="7"/>
  <c r="N2017" i="7"/>
  <c r="D2017" i="7"/>
  <c r="O2016" i="7"/>
  <c r="N2016" i="7"/>
  <c r="D2016" i="7"/>
  <c r="O2015" i="7"/>
  <c r="N2015" i="7"/>
  <c r="D2015" i="7"/>
  <c r="O2014" i="7"/>
  <c r="N2014" i="7"/>
  <c r="D2014" i="7"/>
  <c r="O2013" i="7"/>
  <c r="N2013" i="7"/>
  <c r="D2013" i="7"/>
  <c r="O2012" i="7"/>
  <c r="N2012" i="7"/>
  <c r="D2012" i="7"/>
  <c r="O2011" i="7"/>
  <c r="N2011" i="7"/>
  <c r="D2011" i="7"/>
  <c r="O2010" i="7"/>
  <c r="N2010" i="7"/>
  <c r="D2010" i="7"/>
  <c r="O2009" i="7"/>
  <c r="N2009" i="7"/>
  <c r="D2009" i="7"/>
  <c r="O2008" i="7"/>
  <c r="N2008" i="7"/>
  <c r="D2008" i="7"/>
  <c r="O2007" i="7"/>
  <c r="N2007" i="7"/>
  <c r="D2007" i="7"/>
  <c r="O2006" i="7"/>
  <c r="N2006" i="7"/>
  <c r="D2006" i="7"/>
  <c r="O2005" i="7"/>
  <c r="N2005" i="7"/>
  <c r="D2005" i="7"/>
  <c r="O2004" i="7"/>
  <c r="N2004" i="7"/>
  <c r="D2004" i="7"/>
  <c r="O2003" i="7"/>
  <c r="N2003" i="7"/>
  <c r="D2003" i="7"/>
  <c r="O2002" i="7"/>
  <c r="N2002" i="7"/>
  <c r="D2002" i="7"/>
  <c r="O2001" i="7"/>
  <c r="N2001" i="7"/>
  <c r="D2001" i="7"/>
  <c r="O2055" i="7"/>
  <c r="N2055" i="7"/>
  <c r="D2055" i="7"/>
  <c r="O2054" i="7"/>
  <c r="N2054" i="7"/>
  <c r="D2054" i="7"/>
  <c r="O2053" i="7"/>
  <c r="N2053" i="7"/>
  <c r="D2053" i="7"/>
  <c r="O2052" i="7"/>
  <c r="N2052" i="7"/>
  <c r="D2052" i="7"/>
  <c r="O2051" i="7"/>
  <c r="N2051" i="7"/>
  <c r="D2051" i="7"/>
  <c r="O2050" i="7"/>
  <c r="N2050" i="7"/>
  <c r="D2050" i="7"/>
  <c r="O2049" i="7"/>
  <c r="N2049" i="7"/>
  <c r="D2049" i="7"/>
  <c r="O2048" i="7"/>
  <c r="N2048" i="7"/>
  <c r="D2048" i="7"/>
  <c r="O2047" i="7"/>
  <c r="N2047" i="7"/>
  <c r="D2047" i="7"/>
  <c r="O2046" i="7"/>
  <c r="N2046" i="7"/>
  <c r="D2046" i="7"/>
  <c r="O2045" i="7"/>
  <c r="N2045" i="7"/>
  <c r="D2045" i="7"/>
  <c r="O2044" i="7"/>
  <c r="N2044" i="7"/>
  <c r="D2044" i="7"/>
  <c r="O2043" i="7"/>
  <c r="N2043" i="7"/>
  <c r="D2043" i="7"/>
  <c r="O2042" i="7"/>
  <c r="N2042" i="7"/>
  <c r="D2042" i="7"/>
  <c r="O2041" i="7"/>
  <c r="N2041" i="7"/>
  <c r="D2041" i="7"/>
  <c r="O2040" i="7"/>
  <c r="N2040" i="7"/>
  <c r="D2040" i="7"/>
  <c r="O2039" i="7"/>
  <c r="N2039" i="7"/>
  <c r="D2039" i="7"/>
  <c r="O2038" i="7"/>
  <c r="N2038" i="7"/>
  <c r="D2038" i="7"/>
  <c r="O2037" i="7"/>
  <c r="N2037" i="7"/>
  <c r="D2037" i="7"/>
  <c r="O2036" i="7"/>
  <c r="N2036" i="7"/>
  <c r="D2036" i="7"/>
  <c r="O2035" i="7"/>
  <c r="N2035" i="7"/>
  <c r="D2035" i="7"/>
  <c r="O2034" i="7"/>
  <c r="N2034" i="7"/>
  <c r="D2034" i="7"/>
  <c r="O2033" i="7"/>
  <c r="N2033" i="7"/>
  <c r="D2033" i="7"/>
  <c r="O2032" i="7"/>
  <c r="N2032" i="7"/>
  <c r="D2032" i="7"/>
  <c r="O2031" i="7"/>
  <c r="N2031" i="7"/>
  <c r="D2031" i="7"/>
  <c r="O2030" i="7"/>
  <c r="N2030" i="7"/>
  <c r="D2030" i="7"/>
  <c r="O2029" i="7"/>
  <c r="N2029" i="7"/>
  <c r="D2029" i="7"/>
  <c r="O2028" i="7"/>
  <c r="N2028" i="7"/>
  <c r="D2028" i="7"/>
  <c r="O2027" i="7"/>
  <c r="N2027" i="7"/>
  <c r="D2027" i="7"/>
  <c r="O2026" i="7"/>
  <c r="N2026" i="7"/>
  <c r="D2026" i="7"/>
  <c r="O2025" i="7"/>
  <c r="N2025" i="7"/>
  <c r="D2025" i="7"/>
  <c r="O2024" i="7"/>
  <c r="N2024" i="7"/>
  <c r="D2024" i="7"/>
  <c r="O2023" i="7"/>
  <c r="N2023" i="7"/>
  <c r="D2023" i="7"/>
  <c r="O2022" i="7"/>
  <c r="N2022" i="7"/>
  <c r="D2022" i="7"/>
  <c r="O2021" i="7"/>
  <c r="N2021" i="7"/>
  <c r="D2021" i="7"/>
  <c r="O2020" i="7"/>
  <c r="N2020" i="7"/>
  <c r="D2020" i="7"/>
  <c r="O2019" i="7"/>
  <c r="N2019" i="7"/>
  <c r="D2019" i="7"/>
  <c r="O2090" i="7"/>
  <c r="N2090" i="7"/>
  <c r="D2090" i="7"/>
  <c r="O2089" i="7"/>
  <c r="N2089" i="7"/>
  <c r="D2089" i="7"/>
  <c r="O2088" i="7"/>
  <c r="N2088" i="7"/>
  <c r="D2088" i="7"/>
  <c r="O2087" i="7"/>
  <c r="N2087" i="7"/>
  <c r="D2087" i="7"/>
  <c r="O2086" i="7"/>
  <c r="N2086" i="7"/>
  <c r="D2086" i="7"/>
  <c r="O2085" i="7"/>
  <c r="N2085" i="7"/>
  <c r="D2085" i="7"/>
  <c r="O2084" i="7"/>
  <c r="N2084" i="7"/>
  <c r="D2084" i="7"/>
  <c r="O2083" i="7"/>
  <c r="N2083" i="7"/>
  <c r="D2083" i="7"/>
  <c r="O2082" i="7"/>
  <c r="N2082" i="7"/>
  <c r="D2082" i="7"/>
  <c r="O2081" i="7"/>
  <c r="N2081" i="7"/>
  <c r="D2081" i="7"/>
  <c r="O2080" i="7"/>
  <c r="N2080" i="7"/>
  <c r="D2080" i="7"/>
  <c r="O2079" i="7"/>
  <c r="N2079" i="7"/>
  <c r="D2079" i="7"/>
  <c r="O2078" i="7"/>
  <c r="N2078" i="7"/>
  <c r="D2078" i="7"/>
  <c r="O2077" i="7"/>
  <c r="N2077" i="7"/>
  <c r="D2077" i="7"/>
  <c r="O2076" i="7"/>
  <c r="N2076" i="7"/>
  <c r="D2076" i="7"/>
  <c r="O2075" i="7"/>
  <c r="N2075" i="7"/>
  <c r="D2075" i="7"/>
  <c r="O2074" i="7"/>
  <c r="N2074" i="7"/>
  <c r="D2074" i="7"/>
  <c r="O2073" i="7"/>
  <c r="N2073" i="7"/>
  <c r="D2073" i="7"/>
  <c r="O2072" i="7"/>
  <c r="N2072" i="7"/>
  <c r="D2072" i="7"/>
  <c r="O2071" i="7"/>
  <c r="N2071" i="7"/>
  <c r="D2071" i="7"/>
  <c r="O2070" i="7"/>
  <c r="N2070" i="7"/>
  <c r="D2070" i="7"/>
  <c r="O2069" i="7"/>
  <c r="N2069" i="7"/>
  <c r="D2069" i="7"/>
  <c r="O2068" i="7"/>
  <c r="N2068" i="7"/>
  <c r="D2068" i="7"/>
  <c r="O2067" i="7"/>
  <c r="N2067" i="7"/>
  <c r="D2067" i="7"/>
  <c r="O2066" i="7"/>
  <c r="N2066" i="7"/>
  <c r="D2066" i="7"/>
  <c r="O2065" i="7"/>
  <c r="N2065" i="7"/>
  <c r="D2065" i="7"/>
  <c r="O2064" i="7"/>
  <c r="N2064" i="7"/>
  <c r="D2064" i="7"/>
  <c r="O2063" i="7"/>
  <c r="N2063" i="7"/>
  <c r="D2063" i="7"/>
  <c r="O2062" i="7"/>
  <c r="N2062" i="7"/>
  <c r="D2062" i="7"/>
  <c r="O2061" i="7"/>
  <c r="N2061" i="7"/>
  <c r="D2061" i="7"/>
  <c r="O2060" i="7"/>
  <c r="N2060" i="7"/>
  <c r="D2060" i="7"/>
  <c r="O2059" i="7"/>
  <c r="N2059" i="7"/>
  <c r="D2059" i="7"/>
  <c r="O2058" i="7"/>
  <c r="N2058" i="7"/>
  <c r="D2058" i="7"/>
  <c r="O2057" i="7"/>
  <c r="N2057" i="7"/>
  <c r="D2057" i="7"/>
  <c r="O2056" i="7"/>
  <c r="N2056" i="7"/>
  <c r="D2056" i="7"/>
  <c r="O2107" i="7"/>
  <c r="N2107" i="7"/>
  <c r="D2107" i="7"/>
  <c r="O2106" i="7"/>
  <c r="N2106" i="7"/>
  <c r="D2106" i="7"/>
  <c r="O2105" i="7"/>
  <c r="N2105" i="7"/>
  <c r="D2105" i="7"/>
  <c r="O2104" i="7"/>
  <c r="N2104" i="7"/>
  <c r="D2104" i="7"/>
  <c r="O2103" i="7"/>
  <c r="N2103" i="7"/>
  <c r="D2103" i="7"/>
  <c r="O2102" i="7"/>
  <c r="N2102" i="7"/>
  <c r="D2102" i="7"/>
  <c r="O2101" i="7"/>
  <c r="N2101" i="7"/>
  <c r="D2101" i="7"/>
  <c r="O2100" i="7"/>
  <c r="N2100" i="7"/>
  <c r="D2100" i="7"/>
  <c r="O2099" i="7"/>
  <c r="N2099" i="7"/>
  <c r="D2099" i="7"/>
  <c r="O2098" i="7"/>
  <c r="N2098" i="7"/>
  <c r="D2098" i="7"/>
  <c r="O2097" i="7"/>
  <c r="N2097" i="7"/>
  <c r="D2097" i="7"/>
  <c r="O2096" i="7"/>
  <c r="N2096" i="7"/>
  <c r="D2096" i="7"/>
  <c r="O2095" i="7"/>
  <c r="N2095" i="7"/>
  <c r="D2095" i="7"/>
  <c r="O2094" i="7"/>
  <c r="N2094" i="7"/>
  <c r="D2094" i="7"/>
  <c r="O2093" i="7"/>
  <c r="N2093" i="7"/>
  <c r="D2093" i="7"/>
  <c r="O2092" i="7"/>
  <c r="N2092" i="7"/>
  <c r="D2092" i="7"/>
  <c r="O2091" i="7"/>
  <c r="N2091" i="7"/>
  <c r="D2091" i="7"/>
  <c r="O2124" i="7"/>
  <c r="N2124" i="7"/>
  <c r="D2124" i="7"/>
  <c r="O2123" i="7"/>
  <c r="N2123" i="7"/>
  <c r="D2123" i="7"/>
  <c r="O2122" i="7"/>
  <c r="N2122" i="7"/>
  <c r="D2122" i="7"/>
  <c r="O2121" i="7"/>
  <c r="N2121" i="7"/>
  <c r="D2121" i="7"/>
  <c r="O2120" i="7"/>
  <c r="N2120" i="7"/>
  <c r="D2120" i="7"/>
  <c r="O2119" i="7"/>
  <c r="N2119" i="7"/>
  <c r="D2119" i="7"/>
  <c r="O2118" i="7"/>
  <c r="N2118" i="7"/>
  <c r="D2118" i="7"/>
  <c r="O2117" i="7"/>
  <c r="N2117" i="7"/>
  <c r="D2117" i="7"/>
  <c r="O2116" i="7"/>
  <c r="N2116" i="7"/>
  <c r="D2116" i="7"/>
  <c r="O2115" i="7"/>
  <c r="N2115" i="7"/>
  <c r="D2115" i="7"/>
  <c r="O2114" i="7"/>
  <c r="N2114" i="7"/>
  <c r="D2114" i="7"/>
  <c r="O2113" i="7"/>
  <c r="N2113" i="7"/>
  <c r="D2113" i="7"/>
  <c r="O2112" i="7"/>
  <c r="N2112" i="7"/>
  <c r="D2112" i="7"/>
  <c r="O2111" i="7"/>
  <c r="N2111" i="7"/>
  <c r="D2111" i="7"/>
  <c r="O2110" i="7"/>
  <c r="N2110" i="7"/>
  <c r="D2110" i="7"/>
  <c r="O2109" i="7"/>
  <c r="N2109" i="7"/>
  <c r="D2109" i="7"/>
  <c r="O2108" i="7"/>
  <c r="N2108" i="7"/>
  <c r="D2108" i="7"/>
  <c r="O2161" i="7"/>
  <c r="N2161" i="7"/>
  <c r="D2161" i="7"/>
  <c r="O2160" i="7"/>
  <c r="N2160" i="7"/>
  <c r="D2160" i="7"/>
  <c r="O2159" i="7"/>
  <c r="N2159" i="7"/>
  <c r="D2159" i="7"/>
  <c r="O2158" i="7"/>
  <c r="N2158" i="7"/>
  <c r="D2158" i="7"/>
  <c r="O2157" i="7"/>
  <c r="N2157" i="7"/>
  <c r="D2157" i="7"/>
  <c r="O2156" i="7"/>
  <c r="N2156" i="7"/>
  <c r="D2156" i="7"/>
  <c r="O2155" i="7"/>
  <c r="N2155" i="7"/>
  <c r="D2155" i="7"/>
  <c r="O2154" i="7"/>
  <c r="N2154" i="7"/>
  <c r="D2154" i="7"/>
  <c r="O2153" i="7"/>
  <c r="N2153" i="7"/>
  <c r="D2153" i="7"/>
  <c r="O2152" i="7"/>
  <c r="N2152" i="7"/>
  <c r="D2152" i="7"/>
  <c r="O2151" i="7"/>
  <c r="N2151" i="7"/>
  <c r="D2151" i="7"/>
  <c r="O2150" i="7"/>
  <c r="N2150" i="7"/>
  <c r="D2150" i="7"/>
  <c r="O2149" i="7"/>
  <c r="N2149" i="7"/>
  <c r="D2149" i="7"/>
  <c r="O2148" i="7"/>
  <c r="N2148" i="7"/>
  <c r="D2148" i="7"/>
  <c r="O2147" i="7"/>
  <c r="N2147" i="7"/>
  <c r="D2147" i="7"/>
  <c r="O2146" i="7"/>
  <c r="N2146" i="7"/>
  <c r="D2146" i="7"/>
  <c r="O2145" i="7"/>
  <c r="N2145" i="7"/>
  <c r="D2145" i="7"/>
  <c r="O2144" i="7"/>
  <c r="N2144" i="7"/>
  <c r="D2144" i="7"/>
  <c r="O2143" i="7"/>
  <c r="N2143" i="7"/>
  <c r="D2143" i="7"/>
  <c r="O2142" i="7"/>
  <c r="N2142" i="7"/>
  <c r="D2142" i="7"/>
  <c r="O2141" i="7"/>
  <c r="N2141" i="7"/>
  <c r="D2141" i="7"/>
  <c r="O2140" i="7"/>
  <c r="N2140" i="7"/>
  <c r="D2140" i="7"/>
  <c r="O2139" i="7"/>
  <c r="N2139" i="7"/>
  <c r="D2139" i="7"/>
  <c r="O2138" i="7"/>
  <c r="N2138" i="7"/>
  <c r="D2138" i="7"/>
  <c r="O2137" i="7"/>
  <c r="N2137" i="7"/>
  <c r="D2137" i="7"/>
  <c r="O2136" i="7"/>
  <c r="N2136" i="7"/>
  <c r="D2136" i="7"/>
  <c r="O2135" i="7"/>
  <c r="N2135" i="7"/>
  <c r="D2135" i="7"/>
  <c r="O2134" i="7"/>
  <c r="N2134" i="7"/>
  <c r="D2134" i="7"/>
  <c r="O2133" i="7"/>
  <c r="N2133" i="7"/>
  <c r="D2133" i="7"/>
  <c r="O2132" i="7"/>
  <c r="N2132" i="7"/>
  <c r="D2132" i="7"/>
  <c r="O2131" i="7"/>
  <c r="N2131" i="7"/>
  <c r="D2131" i="7"/>
  <c r="O2130" i="7"/>
  <c r="N2130" i="7"/>
  <c r="D2130" i="7"/>
  <c r="O2129" i="7"/>
  <c r="N2129" i="7"/>
  <c r="D2129" i="7"/>
  <c r="O2128" i="7"/>
  <c r="N2128" i="7"/>
  <c r="D2128" i="7"/>
  <c r="O2127" i="7"/>
  <c r="N2127" i="7"/>
  <c r="D2127" i="7"/>
  <c r="O2126" i="7"/>
  <c r="N2126" i="7"/>
  <c r="D2126" i="7"/>
  <c r="O2125" i="7"/>
  <c r="N2125" i="7"/>
  <c r="D2125" i="7"/>
  <c r="O2179" i="7"/>
  <c r="N2179" i="7"/>
  <c r="D2179" i="7"/>
  <c r="O2178" i="7"/>
  <c r="N2178" i="7"/>
  <c r="D2178" i="7"/>
  <c r="O2177" i="7"/>
  <c r="N2177" i="7"/>
  <c r="D2177" i="7"/>
  <c r="O2176" i="7"/>
  <c r="N2176" i="7"/>
  <c r="D2176" i="7"/>
  <c r="O2175" i="7"/>
  <c r="N2175" i="7"/>
  <c r="D2175" i="7"/>
  <c r="O2174" i="7"/>
  <c r="N2174" i="7"/>
  <c r="D2174" i="7"/>
  <c r="O2173" i="7"/>
  <c r="N2173" i="7"/>
  <c r="D2173" i="7"/>
  <c r="O2172" i="7"/>
  <c r="N2172" i="7"/>
  <c r="D2172" i="7"/>
  <c r="O2171" i="7"/>
  <c r="N2171" i="7"/>
  <c r="D2171" i="7"/>
  <c r="O2170" i="7"/>
  <c r="N2170" i="7"/>
  <c r="D2170" i="7"/>
  <c r="O2169" i="7"/>
  <c r="N2169" i="7"/>
  <c r="D2169" i="7"/>
  <c r="O2168" i="7"/>
  <c r="N2168" i="7"/>
  <c r="D2168" i="7"/>
  <c r="O2167" i="7"/>
  <c r="N2167" i="7"/>
  <c r="D2167" i="7"/>
  <c r="O2166" i="7"/>
  <c r="N2166" i="7"/>
  <c r="D2166" i="7"/>
  <c r="O2165" i="7"/>
  <c r="N2165" i="7"/>
  <c r="D2165" i="7"/>
  <c r="O2164" i="7"/>
  <c r="N2164" i="7"/>
  <c r="D2164" i="7"/>
  <c r="O2163" i="7"/>
  <c r="N2163" i="7"/>
  <c r="D2163" i="7"/>
  <c r="O2162" i="7"/>
  <c r="N2162" i="7"/>
  <c r="D2162" i="7"/>
  <c r="O2199" i="7"/>
  <c r="N2199" i="7"/>
  <c r="D2199" i="7"/>
  <c r="O2198" i="7"/>
  <c r="N2198" i="7"/>
  <c r="D2198" i="7"/>
  <c r="O2197" i="7"/>
  <c r="N2197" i="7"/>
  <c r="D2197" i="7"/>
  <c r="O2196" i="7"/>
  <c r="N2196" i="7"/>
  <c r="D2196" i="7"/>
  <c r="O2195" i="7"/>
  <c r="N2195" i="7"/>
  <c r="D2195" i="7"/>
  <c r="O2194" i="7"/>
  <c r="N2194" i="7"/>
  <c r="D2194" i="7"/>
  <c r="O2193" i="7"/>
  <c r="N2193" i="7"/>
  <c r="D2193" i="7"/>
  <c r="O2192" i="7"/>
  <c r="N2192" i="7"/>
  <c r="D2192" i="7"/>
  <c r="O2191" i="7"/>
  <c r="N2191" i="7"/>
  <c r="D2191" i="7"/>
  <c r="O2190" i="7"/>
  <c r="N2190" i="7"/>
  <c r="D2190" i="7"/>
  <c r="O2189" i="7"/>
  <c r="N2189" i="7"/>
  <c r="D2189" i="7"/>
  <c r="O2188" i="7"/>
  <c r="N2188" i="7"/>
  <c r="D2188" i="7"/>
  <c r="O2187" i="7"/>
  <c r="N2187" i="7"/>
  <c r="D2187" i="7"/>
  <c r="O2186" i="7"/>
  <c r="N2186" i="7"/>
  <c r="D2186" i="7"/>
  <c r="O2185" i="7"/>
  <c r="N2185" i="7"/>
  <c r="D2185" i="7"/>
  <c r="O2184" i="7"/>
  <c r="N2184" i="7"/>
  <c r="D2184" i="7"/>
  <c r="O2183" i="7"/>
  <c r="N2183" i="7"/>
  <c r="D2183" i="7"/>
  <c r="O2182" i="7"/>
  <c r="N2182" i="7"/>
  <c r="D2182" i="7"/>
  <c r="O2181" i="7"/>
  <c r="N2181" i="7"/>
  <c r="D2181" i="7"/>
  <c r="O2180" i="7"/>
  <c r="N2180" i="7"/>
  <c r="D2180" i="7"/>
  <c r="O2242" i="7"/>
  <c r="N2242" i="7"/>
  <c r="D2242" i="7"/>
  <c r="O2241" i="7"/>
  <c r="N2241" i="7"/>
  <c r="D2241" i="7"/>
  <c r="O2240" i="7"/>
  <c r="N2240" i="7"/>
  <c r="D2240" i="7"/>
  <c r="O2239" i="7"/>
  <c r="N2239" i="7"/>
  <c r="D2239" i="7"/>
  <c r="O2238" i="7"/>
  <c r="N2238" i="7"/>
  <c r="D2238" i="7"/>
  <c r="O2237" i="7"/>
  <c r="N2237" i="7"/>
  <c r="D2237" i="7"/>
  <c r="O2236" i="7"/>
  <c r="N2236" i="7"/>
  <c r="D2236" i="7"/>
  <c r="O2235" i="7"/>
  <c r="N2235" i="7"/>
  <c r="D2235" i="7"/>
  <c r="O2234" i="7"/>
  <c r="N2234" i="7"/>
  <c r="D2234" i="7"/>
  <c r="O2233" i="7"/>
  <c r="N2233" i="7"/>
  <c r="D2233" i="7"/>
  <c r="O2232" i="7"/>
  <c r="N2232" i="7"/>
  <c r="D2232" i="7"/>
  <c r="O2231" i="7"/>
  <c r="N2231" i="7"/>
  <c r="D2231" i="7"/>
  <c r="O2230" i="7"/>
  <c r="N2230" i="7"/>
  <c r="D2230" i="7"/>
  <c r="O2229" i="7"/>
  <c r="N2229" i="7"/>
  <c r="D2229" i="7"/>
  <c r="O2228" i="7"/>
  <c r="N2228" i="7"/>
  <c r="D2228" i="7"/>
  <c r="O2227" i="7"/>
  <c r="N2227" i="7"/>
  <c r="D2227" i="7"/>
  <c r="O2226" i="7"/>
  <c r="N2226" i="7"/>
  <c r="D2226" i="7"/>
  <c r="O2225" i="7"/>
  <c r="N2225" i="7"/>
  <c r="D2225" i="7"/>
  <c r="O2224" i="7"/>
  <c r="N2224" i="7"/>
  <c r="D2224" i="7"/>
  <c r="O2223" i="7"/>
  <c r="N2223" i="7"/>
  <c r="D2223" i="7"/>
  <c r="O2222" i="7"/>
  <c r="N2222" i="7"/>
  <c r="D2222" i="7"/>
  <c r="O2221" i="7"/>
  <c r="N2221" i="7"/>
  <c r="D2221" i="7"/>
  <c r="O2220" i="7"/>
  <c r="N2220" i="7"/>
  <c r="D2220" i="7"/>
  <c r="O2219" i="7"/>
  <c r="N2219" i="7"/>
  <c r="D2219" i="7"/>
  <c r="O2218" i="7"/>
  <c r="N2218" i="7"/>
  <c r="D2218" i="7"/>
  <c r="O2217" i="7"/>
  <c r="N2217" i="7"/>
  <c r="D2217" i="7"/>
  <c r="O2216" i="7"/>
  <c r="N2216" i="7"/>
  <c r="D2216" i="7"/>
  <c r="O2215" i="7"/>
  <c r="N2215" i="7"/>
  <c r="D2215" i="7"/>
  <c r="O2214" i="7"/>
  <c r="N2214" i="7"/>
  <c r="D2214" i="7"/>
  <c r="O2213" i="7"/>
  <c r="N2213" i="7"/>
  <c r="D2213" i="7"/>
  <c r="O2212" i="7"/>
  <c r="N2212" i="7"/>
  <c r="D2212" i="7"/>
  <c r="O2211" i="7"/>
  <c r="N2211" i="7"/>
  <c r="D2211" i="7"/>
  <c r="O2210" i="7"/>
  <c r="N2210" i="7"/>
  <c r="D2210" i="7"/>
  <c r="O2209" i="7"/>
  <c r="N2209" i="7"/>
  <c r="D2209" i="7"/>
  <c r="O2208" i="7"/>
  <c r="N2208" i="7"/>
  <c r="D2208" i="7"/>
  <c r="O2207" i="7"/>
  <c r="N2207" i="7"/>
  <c r="D2207" i="7"/>
  <c r="O2206" i="7"/>
  <c r="N2206" i="7"/>
  <c r="D2206" i="7"/>
  <c r="O2205" i="7"/>
  <c r="N2205" i="7"/>
  <c r="D2205" i="7"/>
  <c r="O2204" i="7"/>
  <c r="N2204" i="7"/>
  <c r="D2204" i="7"/>
  <c r="O2203" i="7"/>
  <c r="N2203" i="7"/>
  <c r="D2203" i="7"/>
  <c r="O2202" i="7"/>
  <c r="N2202" i="7"/>
  <c r="D2202" i="7"/>
  <c r="O2201" i="7"/>
  <c r="N2201" i="7"/>
  <c r="D2201" i="7"/>
  <c r="O2200" i="7"/>
  <c r="N2200" i="7"/>
  <c r="D2200" i="7"/>
  <c r="O2280" i="7"/>
  <c r="N2280" i="7"/>
  <c r="D2280" i="7"/>
  <c r="O2279" i="7"/>
  <c r="N2279" i="7"/>
  <c r="D2279" i="7"/>
  <c r="O2278" i="7"/>
  <c r="N2278" i="7"/>
  <c r="D2278" i="7"/>
  <c r="O2277" i="7"/>
  <c r="N2277" i="7"/>
  <c r="D2277" i="7"/>
  <c r="O2276" i="7"/>
  <c r="N2276" i="7"/>
  <c r="D2276" i="7"/>
  <c r="O2275" i="7"/>
  <c r="N2275" i="7"/>
  <c r="D2275" i="7"/>
  <c r="O2274" i="7"/>
  <c r="N2274" i="7"/>
  <c r="D2274" i="7"/>
  <c r="O2273" i="7"/>
  <c r="N2273" i="7"/>
  <c r="D2273" i="7"/>
  <c r="O2272" i="7"/>
  <c r="N2272" i="7"/>
  <c r="D2272" i="7"/>
  <c r="O2271" i="7"/>
  <c r="N2271" i="7"/>
  <c r="D2271" i="7"/>
  <c r="O2270" i="7"/>
  <c r="N2270" i="7"/>
  <c r="D2270" i="7"/>
  <c r="O2269" i="7"/>
  <c r="N2269" i="7"/>
  <c r="D2269" i="7"/>
  <c r="O2268" i="7"/>
  <c r="N2268" i="7"/>
  <c r="D2268" i="7"/>
  <c r="O2267" i="7"/>
  <c r="N2267" i="7"/>
  <c r="D2267" i="7"/>
  <c r="O2266" i="7"/>
  <c r="N2266" i="7"/>
  <c r="D2266" i="7"/>
  <c r="O2265" i="7"/>
  <c r="N2265" i="7"/>
  <c r="D2265" i="7"/>
  <c r="O2264" i="7"/>
  <c r="N2264" i="7"/>
  <c r="D2264" i="7"/>
  <c r="O2263" i="7"/>
  <c r="N2263" i="7"/>
  <c r="D2263" i="7"/>
  <c r="O2262" i="7"/>
  <c r="N2262" i="7"/>
  <c r="D2262" i="7"/>
  <c r="O2261" i="7"/>
  <c r="N2261" i="7"/>
  <c r="D2261" i="7"/>
  <c r="O2260" i="7"/>
  <c r="N2260" i="7"/>
  <c r="D2260" i="7"/>
  <c r="O2259" i="7"/>
  <c r="N2259" i="7"/>
  <c r="D2259" i="7"/>
  <c r="O2258" i="7"/>
  <c r="N2258" i="7"/>
  <c r="D2258" i="7"/>
  <c r="O2257" i="7"/>
  <c r="N2257" i="7"/>
  <c r="D2257" i="7"/>
  <c r="O2256" i="7"/>
  <c r="N2256" i="7"/>
  <c r="D2256" i="7"/>
  <c r="O2255" i="7"/>
  <c r="N2255" i="7"/>
  <c r="D2255" i="7"/>
  <c r="O2254" i="7"/>
  <c r="N2254" i="7"/>
  <c r="D2254" i="7"/>
  <c r="O2253" i="7"/>
  <c r="N2253" i="7"/>
  <c r="D2253" i="7"/>
  <c r="O2252" i="7"/>
  <c r="N2252" i="7"/>
  <c r="D2252" i="7"/>
  <c r="O2251" i="7"/>
  <c r="N2251" i="7"/>
  <c r="D2251" i="7"/>
  <c r="O2250" i="7"/>
  <c r="N2250" i="7"/>
  <c r="D2250" i="7"/>
  <c r="O2249" i="7"/>
  <c r="N2249" i="7"/>
  <c r="D2249" i="7"/>
  <c r="O2248" i="7"/>
  <c r="N2248" i="7"/>
  <c r="D2248" i="7"/>
  <c r="O2247" i="7"/>
  <c r="N2247" i="7"/>
  <c r="D2247" i="7"/>
  <c r="O2246" i="7"/>
  <c r="N2246" i="7"/>
  <c r="D2246" i="7"/>
  <c r="O2245" i="7"/>
  <c r="N2245" i="7"/>
  <c r="D2245" i="7"/>
  <c r="O2244" i="7"/>
  <c r="N2244" i="7"/>
  <c r="D2244" i="7"/>
  <c r="O2243" i="7"/>
  <c r="N2243" i="7"/>
  <c r="D2243" i="7"/>
  <c r="O2297" i="7"/>
  <c r="N2297" i="7"/>
  <c r="D2297" i="7"/>
  <c r="O2296" i="7"/>
  <c r="N2296" i="7"/>
  <c r="D2296" i="7"/>
  <c r="O2295" i="7"/>
  <c r="N2295" i="7"/>
  <c r="D2295" i="7"/>
  <c r="O2294" i="7"/>
  <c r="N2294" i="7"/>
  <c r="D2294" i="7"/>
  <c r="O2293" i="7"/>
  <c r="N2293" i="7"/>
  <c r="D2293" i="7"/>
  <c r="O2292" i="7"/>
  <c r="N2292" i="7"/>
  <c r="D2292" i="7"/>
  <c r="O2291" i="7"/>
  <c r="N2291" i="7"/>
  <c r="D2291" i="7"/>
  <c r="O2290" i="7"/>
  <c r="N2290" i="7"/>
  <c r="D2290" i="7"/>
  <c r="O2289" i="7"/>
  <c r="N2289" i="7"/>
  <c r="D2289" i="7"/>
  <c r="O2288" i="7"/>
  <c r="N2288" i="7"/>
  <c r="D2288" i="7"/>
  <c r="O2287" i="7"/>
  <c r="N2287" i="7"/>
  <c r="D2287" i="7"/>
  <c r="O2286" i="7"/>
  <c r="N2286" i="7"/>
  <c r="D2286" i="7"/>
  <c r="O2285" i="7"/>
  <c r="N2285" i="7"/>
  <c r="D2285" i="7"/>
  <c r="O2284" i="7"/>
  <c r="N2284" i="7"/>
  <c r="D2284" i="7"/>
  <c r="O2283" i="7"/>
  <c r="N2283" i="7"/>
  <c r="D2283" i="7"/>
  <c r="O2282" i="7"/>
  <c r="N2282" i="7"/>
  <c r="D2282" i="7"/>
  <c r="O2281" i="7"/>
  <c r="N2281" i="7"/>
  <c r="D2281" i="7"/>
  <c r="O2316" i="7"/>
  <c r="N2316" i="7"/>
  <c r="D2316" i="7"/>
  <c r="O2315" i="7"/>
  <c r="N2315" i="7"/>
  <c r="D2315" i="7"/>
  <c r="O2314" i="7"/>
  <c r="N2314" i="7"/>
  <c r="D2314" i="7"/>
  <c r="O2313" i="7"/>
  <c r="N2313" i="7"/>
  <c r="D2313" i="7"/>
  <c r="O2312" i="7"/>
  <c r="N2312" i="7"/>
  <c r="D2312" i="7"/>
  <c r="O2311" i="7"/>
  <c r="N2311" i="7"/>
  <c r="D2311" i="7"/>
  <c r="O2310" i="7"/>
  <c r="N2310" i="7"/>
  <c r="D2310" i="7"/>
  <c r="O2309" i="7"/>
  <c r="N2309" i="7"/>
  <c r="D2309" i="7"/>
  <c r="O2308" i="7"/>
  <c r="N2308" i="7"/>
  <c r="D2308" i="7"/>
  <c r="O2307" i="7"/>
  <c r="N2307" i="7"/>
  <c r="D2307" i="7"/>
  <c r="O2306" i="7"/>
  <c r="N2306" i="7"/>
  <c r="D2306" i="7"/>
  <c r="O2305" i="7"/>
  <c r="N2305" i="7"/>
  <c r="D2305" i="7"/>
  <c r="O2304" i="7"/>
  <c r="N2304" i="7"/>
  <c r="D2304" i="7"/>
  <c r="O2303" i="7"/>
  <c r="N2303" i="7"/>
  <c r="D2303" i="7"/>
  <c r="O2302" i="7"/>
  <c r="N2302" i="7"/>
  <c r="D2302" i="7"/>
  <c r="O2301" i="7"/>
  <c r="N2301" i="7"/>
  <c r="D2301" i="7"/>
  <c r="O2300" i="7"/>
  <c r="N2300" i="7"/>
  <c r="D2300" i="7"/>
  <c r="O2299" i="7"/>
  <c r="N2299" i="7"/>
  <c r="D2299" i="7"/>
  <c r="O2298" i="7"/>
  <c r="N2298" i="7"/>
  <c r="D2298" i="7"/>
  <c r="O2355" i="7"/>
  <c r="N2355" i="7"/>
  <c r="D2355" i="7"/>
  <c r="O2354" i="7"/>
  <c r="N2354" i="7"/>
  <c r="D2354" i="7"/>
  <c r="O2353" i="7"/>
  <c r="N2353" i="7"/>
  <c r="D2353" i="7"/>
  <c r="O2352" i="7"/>
  <c r="N2352" i="7"/>
  <c r="D2352" i="7"/>
  <c r="O2351" i="7"/>
  <c r="N2351" i="7"/>
  <c r="D2351" i="7"/>
  <c r="O2350" i="7"/>
  <c r="N2350" i="7"/>
  <c r="D2350" i="7"/>
  <c r="O2349" i="7"/>
  <c r="N2349" i="7"/>
  <c r="D2349" i="7"/>
  <c r="O2348" i="7"/>
  <c r="N2348" i="7"/>
  <c r="D2348" i="7"/>
  <c r="O2347" i="7"/>
  <c r="N2347" i="7"/>
  <c r="D2347" i="7"/>
  <c r="O2346" i="7"/>
  <c r="N2346" i="7"/>
  <c r="D2346" i="7"/>
  <c r="O2345" i="7"/>
  <c r="N2345" i="7"/>
  <c r="D2345" i="7"/>
  <c r="O2344" i="7"/>
  <c r="N2344" i="7"/>
  <c r="D2344" i="7"/>
  <c r="O2343" i="7"/>
  <c r="N2343" i="7"/>
  <c r="D2343" i="7"/>
  <c r="O2342" i="7"/>
  <c r="N2342" i="7"/>
  <c r="D2342" i="7"/>
  <c r="O2341" i="7"/>
  <c r="N2341" i="7"/>
  <c r="D2341" i="7"/>
  <c r="O2340" i="7"/>
  <c r="N2340" i="7"/>
  <c r="D2340" i="7"/>
  <c r="O2339" i="7"/>
  <c r="N2339" i="7"/>
  <c r="D2339" i="7"/>
  <c r="O2338" i="7"/>
  <c r="N2338" i="7"/>
  <c r="D2338" i="7"/>
  <c r="O2337" i="7"/>
  <c r="N2337" i="7"/>
  <c r="D2337" i="7"/>
  <c r="O2336" i="7"/>
  <c r="N2336" i="7"/>
  <c r="D2336" i="7"/>
  <c r="O2335" i="7"/>
  <c r="N2335" i="7"/>
  <c r="D2335" i="7"/>
  <c r="O2334" i="7"/>
  <c r="N2334" i="7"/>
  <c r="D2334" i="7"/>
  <c r="O2333" i="7"/>
  <c r="N2333" i="7"/>
  <c r="D2333" i="7"/>
  <c r="O2332" i="7"/>
  <c r="N2332" i="7"/>
  <c r="D2332" i="7"/>
  <c r="O2331" i="7"/>
  <c r="N2331" i="7"/>
  <c r="D2331" i="7"/>
  <c r="O2330" i="7"/>
  <c r="N2330" i="7"/>
  <c r="D2330" i="7"/>
  <c r="O2329" i="7"/>
  <c r="N2329" i="7"/>
  <c r="D2329" i="7"/>
  <c r="O2328" i="7"/>
  <c r="N2328" i="7"/>
  <c r="D2328" i="7"/>
  <c r="O2327" i="7"/>
  <c r="N2327" i="7"/>
  <c r="D2327" i="7"/>
  <c r="O2326" i="7"/>
  <c r="N2326" i="7"/>
  <c r="D2326" i="7"/>
  <c r="O2325" i="7"/>
  <c r="N2325" i="7"/>
  <c r="D2325" i="7"/>
  <c r="O2324" i="7"/>
  <c r="N2324" i="7"/>
  <c r="D2324" i="7"/>
  <c r="O2323" i="7"/>
  <c r="N2323" i="7"/>
  <c r="D2323" i="7"/>
  <c r="O2322" i="7"/>
  <c r="N2322" i="7"/>
  <c r="D2322" i="7"/>
  <c r="O2321" i="7"/>
  <c r="N2321" i="7"/>
  <c r="D2321" i="7"/>
  <c r="O2320" i="7"/>
  <c r="N2320" i="7"/>
  <c r="D2320" i="7"/>
  <c r="O2319" i="7"/>
  <c r="N2319" i="7"/>
  <c r="D2319" i="7"/>
  <c r="O2318" i="7"/>
  <c r="N2318" i="7"/>
  <c r="D2318" i="7"/>
  <c r="O2317" i="7"/>
  <c r="N2317" i="7"/>
  <c r="D2317" i="7"/>
  <c r="O2374" i="7"/>
  <c r="N2374" i="7"/>
  <c r="D2374" i="7"/>
  <c r="O2373" i="7"/>
  <c r="N2373" i="7"/>
  <c r="D2373" i="7"/>
  <c r="O2372" i="7"/>
  <c r="N2372" i="7"/>
  <c r="D2372" i="7"/>
  <c r="O2371" i="7"/>
  <c r="N2371" i="7"/>
  <c r="D2371" i="7"/>
  <c r="O2370" i="7"/>
  <c r="N2370" i="7"/>
  <c r="D2370" i="7"/>
  <c r="O2369" i="7"/>
  <c r="N2369" i="7"/>
  <c r="D2369" i="7"/>
  <c r="O2368" i="7"/>
  <c r="N2368" i="7"/>
  <c r="D2368" i="7"/>
  <c r="O2367" i="7"/>
  <c r="N2367" i="7"/>
  <c r="D2367" i="7"/>
  <c r="O2366" i="7"/>
  <c r="N2366" i="7"/>
  <c r="D2366" i="7"/>
  <c r="O2365" i="7"/>
  <c r="N2365" i="7"/>
  <c r="D2365" i="7"/>
  <c r="O2364" i="7"/>
  <c r="N2364" i="7"/>
  <c r="D2364" i="7"/>
  <c r="O2363" i="7"/>
  <c r="N2363" i="7"/>
  <c r="D2363" i="7"/>
  <c r="O2362" i="7"/>
  <c r="N2362" i="7"/>
  <c r="D2362" i="7"/>
  <c r="O2361" i="7"/>
  <c r="N2361" i="7"/>
  <c r="D2361" i="7"/>
  <c r="O2360" i="7"/>
  <c r="N2360" i="7"/>
  <c r="D2360" i="7"/>
  <c r="O2359" i="7"/>
  <c r="N2359" i="7"/>
  <c r="D2359" i="7"/>
  <c r="O2358" i="7"/>
  <c r="N2358" i="7"/>
  <c r="D2358" i="7"/>
  <c r="O2357" i="7"/>
  <c r="N2357" i="7"/>
  <c r="D2357" i="7"/>
  <c r="O2356" i="7"/>
  <c r="N2356" i="7"/>
  <c r="D2356" i="7"/>
  <c r="O2394" i="7"/>
  <c r="N2394" i="7"/>
  <c r="D2394" i="7"/>
  <c r="O2393" i="7"/>
  <c r="N2393" i="7"/>
  <c r="D2393" i="7"/>
  <c r="O2392" i="7"/>
  <c r="N2392" i="7"/>
  <c r="D2392" i="7"/>
  <c r="O2391" i="7"/>
  <c r="N2391" i="7"/>
  <c r="D2391" i="7"/>
  <c r="O2390" i="7"/>
  <c r="N2390" i="7"/>
  <c r="D2390" i="7"/>
  <c r="O2389" i="7"/>
  <c r="N2389" i="7"/>
  <c r="D2389" i="7"/>
  <c r="O2388" i="7"/>
  <c r="N2388" i="7"/>
  <c r="D2388" i="7"/>
  <c r="O2387" i="7"/>
  <c r="N2387" i="7"/>
  <c r="D2387" i="7"/>
  <c r="O2386" i="7"/>
  <c r="N2386" i="7"/>
  <c r="D2386" i="7"/>
  <c r="O2385" i="7"/>
  <c r="N2385" i="7"/>
  <c r="D2385" i="7"/>
  <c r="O2384" i="7"/>
  <c r="N2384" i="7"/>
  <c r="D2384" i="7"/>
  <c r="O2383" i="7"/>
  <c r="N2383" i="7"/>
  <c r="D2383" i="7"/>
  <c r="O2382" i="7"/>
  <c r="N2382" i="7"/>
  <c r="D2382" i="7"/>
  <c r="O2381" i="7"/>
  <c r="N2381" i="7"/>
  <c r="D2381" i="7"/>
  <c r="O2380" i="7"/>
  <c r="N2380" i="7"/>
  <c r="D2380" i="7"/>
  <c r="O2379" i="7"/>
  <c r="N2379" i="7"/>
  <c r="D2379" i="7"/>
  <c r="O2378" i="7"/>
  <c r="N2378" i="7"/>
  <c r="D2378" i="7"/>
  <c r="O2377" i="7"/>
  <c r="N2377" i="7"/>
  <c r="D2377" i="7"/>
  <c r="O2376" i="7"/>
  <c r="N2376" i="7"/>
  <c r="D2376" i="7"/>
  <c r="O2375" i="7"/>
  <c r="N2375" i="7"/>
  <c r="D2375" i="7"/>
  <c r="O2429" i="7"/>
  <c r="N2429" i="7"/>
  <c r="D2429" i="7"/>
  <c r="O2428" i="7"/>
  <c r="N2428" i="7"/>
  <c r="D2428" i="7"/>
  <c r="O2427" i="7"/>
  <c r="N2427" i="7"/>
  <c r="D2427" i="7"/>
  <c r="O2426" i="7"/>
  <c r="N2426" i="7"/>
  <c r="D2426" i="7"/>
  <c r="O2425" i="7"/>
  <c r="N2425" i="7"/>
  <c r="D2425" i="7"/>
  <c r="O2424" i="7"/>
  <c r="N2424" i="7"/>
  <c r="D2424" i="7"/>
  <c r="O2423" i="7"/>
  <c r="N2423" i="7"/>
  <c r="D2423" i="7"/>
  <c r="O2422" i="7"/>
  <c r="N2422" i="7"/>
  <c r="D2422" i="7"/>
  <c r="O2421" i="7"/>
  <c r="N2421" i="7"/>
  <c r="D2421" i="7"/>
  <c r="O2420" i="7"/>
  <c r="N2420" i="7"/>
  <c r="D2420" i="7"/>
  <c r="O2419" i="7"/>
  <c r="N2419" i="7"/>
  <c r="D2419" i="7"/>
  <c r="O2418" i="7"/>
  <c r="N2418" i="7"/>
  <c r="D2418" i="7"/>
  <c r="O2417" i="7"/>
  <c r="N2417" i="7"/>
  <c r="D2417" i="7"/>
  <c r="O2416" i="7"/>
  <c r="N2416" i="7"/>
  <c r="D2416" i="7"/>
  <c r="O2415" i="7"/>
  <c r="N2415" i="7"/>
  <c r="D2415" i="7"/>
  <c r="O2414" i="7"/>
  <c r="N2414" i="7"/>
  <c r="D2414" i="7"/>
  <c r="O2413" i="7"/>
  <c r="N2413" i="7"/>
  <c r="D2413" i="7"/>
  <c r="O2412" i="7"/>
  <c r="N2412" i="7"/>
  <c r="D2412" i="7"/>
  <c r="O2411" i="7"/>
  <c r="N2411" i="7"/>
  <c r="D2411" i="7"/>
  <c r="O2410" i="7"/>
  <c r="N2410" i="7"/>
  <c r="D2410" i="7"/>
  <c r="O2409" i="7"/>
  <c r="N2409" i="7"/>
  <c r="D2409" i="7"/>
  <c r="O2408" i="7"/>
  <c r="N2408" i="7"/>
  <c r="D2408" i="7"/>
  <c r="O2407" i="7"/>
  <c r="N2407" i="7"/>
  <c r="D2407" i="7"/>
  <c r="O2406" i="7"/>
  <c r="N2406" i="7"/>
  <c r="D2406" i="7"/>
  <c r="O2405" i="7"/>
  <c r="N2405" i="7"/>
  <c r="D2405" i="7"/>
  <c r="O2404" i="7"/>
  <c r="N2404" i="7"/>
  <c r="D2404" i="7"/>
  <c r="O2403" i="7"/>
  <c r="N2403" i="7"/>
  <c r="D2403" i="7"/>
  <c r="O2402" i="7"/>
  <c r="N2402" i="7"/>
  <c r="D2402" i="7"/>
  <c r="O2401" i="7"/>
  <c r="N2401" i="7"/>
  <c r="D2401" i="7"/>
  <c r="O2400" i="7"/>
  <c r="N2400" i="7"/>
  <c r="D2400" i="7"/>
  <c r="O2399" i="7"/>
  <c r="N2399" i="7"/>
  <c r="D2399" i="7"/>
  <c r="O2398" i="7"/>
  <c r="N2398" i="7"/>
  <c r="D2398" i="7"/>
  <c r="O2397" i="7"/>
  <c r="N2397" i="7"/>
  <c r="D2397" i="7"/>
  <c r="O2396" i="7"/>
  <c r="N2396" i="7"/>
  <c r="D2396" i="7"/>
  <c r="O2395" i="7"/>
  <c r="N2395" i="7"/>
  <c r="D2395" i="7"/>
  <c r="O2465" i="7"/>
  <c r="N2465" i="7"/>
  <c r="D2465" i="7"/>
  <c r="O2464" i="7"/>
  <c r="N2464" i="7"/>
  <c r="D2464" i="7"/>
  <c r="O2463" i="7"/>
  <c r="N2463" i="7"/>
  <c r="D2463" i="7"/>
  <c r="O2462" i="7"/>
  <c r="N2462" i="7"/>
  <c r="D2462" i="7"/>
  <c r="O2461" i="7"/>
  <c r="N2461" i="7"/>
  <c r="D2461" i="7"/>
  <c r="O2460" i="7"/>
  <c r="N2460" i="7"/>
  <c r="D2460" i="7"/>
  <c r="O2459" i="7"/>
  <c r="N2459" i="7"/>
  <c r="D2459" i="7"/>
  <c r="O2458" i="7"/>
  <c r="N2458" i="7"/>
  <c r="D2458" i="7"/>
  <c r="O2457" i="7"/>
  <c r="N2457" i="7"/>
  <c r="D2457" i="7"/>
  <c r="O2456" i="7"/>
  <c r="N2456" i="7"/>
  <c r="D2456" i="7"/>
  <c r="O2455" i="7"/>
  <c r="N2455" i="7"/>
  <c r="D2455" i="7"/>
  <c r="O2454" i="7"/>
  <c r="N2454" i="7"/>
  <c r="D2454" i="7"/>
  <c r="O2453" i="7"/>
  <c r="N2453" i="7"/>
  <c r="D2453" i="7"/>
  <c r="O2452" i="7"/>
  <c r="N2452" i="7"/>
  <c r="D2452" i="7"/>
  <c r="O2451" i="7"/>
  <c r="N2451" i="7"/>
  <c r="D2451" i="7"/>
  <c r="O2450" i="7"/>
  <c r="N2450" i="7"/>
  <c r="D2450" i="7"/>
  <c r="O2449" i="7"/>
  <c r="N2449" i="7"/>
  <c r="D2449" i="7"/>
  <c r="O2448" i="7"/>
  <c r="N2448" i="7"/>
  <c r="D2448" i="7"/>
  <c r="O2447" i="7"/>
  <c r="N2447" i="7"/>
  <c r="D2447" i="7"/>
  <c r="O2446" i="7"/>
  <c r="N2446" i="7"/>
  <c r="D2446" i="7"/>
  <c r="O2445" i="7"/>
  <c r="N2445" i="7"/>
  <c r="D2445" i="7"/>
  <c r="O2444" i="7"/>
  <c r="N2444" i="7"/>
  <c r="D2444" i="7"/>
  <c r="O2443" i="7"/>
  <c r="N2443" i="7"/>
  <c r="D2443" i="7"/>
  <c r="O2442" i="7"/>
  <c r="N2442" i="7"/>
  <c r="D2442" i="7"/>
  <c r="O2441" i="7"/>
  <c r="N2441" i="7"/>
  <c r="D2441" i="7"/>
  <c r="O2440" i="7"/>
  <c r="N2440" i="7"/>
  <c r="D2440" i="7"/>
  <c r="O2439" i="7"/>
  <c r="N2439" i="7"/>
  <c r="D2439" i="7"/>
  <c r="O2438" i="7"/>
  <c r="N2438" i="7"/>
  <c r="D2438" i="7"/>
  <c r="O2437" i="7"/>
  <c r="N2437" i="7"/>
  <c r="D2437" i="7"/>
  <c r="O2436" i="7"/>
  <c r="N2436" i="7"/>
  <c r="D2436" i="7"/>
  <c r="O2435" i="7"/>
  <c r="N2435" i="7"/>
  <c r="D2435" i="7"/>
  <c r="O2434" i="7"/>
  <c r="N2434" i="7"/>
  <c r="D2434" i="7"/>
  <c r="O2433" i="7"/>
  <c r="N2433" i="7"/>
  <c r="D2433" i="7"/>
  <c r="O2432" i="7"/>
  <c r="N2432" i="7"/>
  <c r="D2432" i="7"/>
  <c r="O2431" i="7"/>
  <c r="N2431" i="7"/>
  <c r="D2431" i="7"/>
  <c r="O2430" i="7"/>
  <c r="N2430" i="7"/>
  <c r="D2430" i="7"/>
  <c r="O2482" i="7"/>
  <c r="N2482" i="7"/>
  <c r="D2482" i="7"/>
  <c r="O2481" i="7"/>
  <c r="N2481" i="7"/>
  <c r="D2481" i="7"/>
  <c r="O2480" i="7"/>
  <c r="N2480" i="7"/>
  <c r="D2480" i="7"/>
  <c r="O2479" i="7"/>
  <c r="N2479" i="7"/>
  <c r="D2479" i="7"/>
  <c r="O2478" i="7"/>
  <c r="N2478" i="7"/>
  <c r="D2478" i="7"/>
  <c r="O2477" i="7"/>
  <c r="N2477" i="7"/>
  <c r="D2477" i="7"/>
  <c r="O2476" i="7"/>
  <c r="N2476" i="7"/>
  <c r="D2476" i="7"/>
  <c r="O2475" i="7"/>
  <c r="N2475" i="7"/>
  <c r="D2475" i="7"/>
  <c r="O2474" i="7"/>
  <c r="N2474" i="7"/>
  <c r="D2474" i="7"/>
  <c r="O2473" i="7"/>
  <c r="N2473" i="7"/>
  <c r="D2473" i="7"/>
  <c r="O2472" i="7"/>
  <c r="N2472" i="7"/>
  <c r="D2472" i="7"/>
  <c r="O2471" i="7"/>
  <c r="N2471" i="7"/>
  <c r="D2471" i="7"/>
  <c r="O2470" i="7"/>
  <c r="N2470" i="7"/>
  <c r="D2470" i="7"/>
  <c r="O2469" i="7"/>
  <c r="N2469" i="7"/>
  <c r="D2469" i="7"/>
  <c r="O2468" i="7"/>
  <c r="N2468" i="7"/>
  <c r="D2468" i="7"/>
  <c r="O2467" i="7"/>
  <c r="N2467" i="7"/>
  <c r="D2467" i="7"/>
  <c r="O2466" i="7"/>
  <c r="N2466" i="7"/>
  <c r="D2466" i="7"/>
  <c r="O2502" i="7"/>
  <c r="N2502" i="7"/>
  <c r="D2502" i="7"/>
  <c r="O2501" i="7"/>
  <c r="N2501" i="7"/>
  <c r="D2501" i="7"/>
  <c r="O2500" i="7"/>
  <c r="N2500" i="7"/>
  <c r="D2500" i="7"/>
  <c r="O2499" i="7"/>
  <c r="N2499" i="7"/>
  <c r="D2499" i="7"/>
  <c r="O2498" i="7"/>
  <c r="N2498" i="7"/>
  <c r="D2498" i="7"/>
  <c r="O2497" i="7"/>
  <c r="N2497" i="7"/>
  <c r="D2497" i="7"/>
  <c r="O2496" i="7"/>
  <c r="N2496" i="7"/>
  <c r="D2496" i="7"/>
  <c r="O2495" i="7"/>
  <c r="N2495" i="7"/>
  <c r="D2495" i="7"/>
  <c r="O2494" i="7"/>
  <c r="N2494" i="7"/>
  <c r="D2494" i="7"/>
  <c r="O2493" i="7"/>
  <c r="N2493" i="7"/>
  <c r="D2493" i="7"/>
  <c r="O2492" i="7"/>
  <c r="N2492" i="7"/>
  <c r="D2492" i="7"/>
  <c r="O2491" i="7"/>
  <c r="N2491" i="7"/>
  <c r="D2491" i="7"/>
  <c r="O2490" i="7"/>
  <c r="N2490" i="7"/>
  <c r="D2490" i="7"/>
  <c r="O2489" i="7"/>
  <c r="N2489" i="7"/>
  <c r="D2489" i="7"/>
  <c r="O2488" i="7"/>
  <c r="N2488" i="7"/>
  <c r="D2488" i="7"/>
  <c r="O2487" i="7"/>
  <c r="N2487" i="7"/>
  <c r="D2487" i="7"/>
  <c r="O2486" i="7"/>
  <c r="N2486" i="7"/>
  <c r="D2486" i="7"/>
  <c r="O2485" i="7"/>
  <c r="N2485" i="7"/>
  <c r="D2485" i="7"/>
  <c r="O2484" i="7"/>
  <c r="N2484" i="7"/>
  <c r="D2484" i="7"/>
  <c r="O2483" i="7"/>
  <c r="N2483" i="7"/>
  <c r="D2483" i="7"/>
  <c r="O2539" i="7"/>
  <c r="N2539" i="7"/>
  <c r="D2539" i="7"/>
  <c r="O2538" i="7"/>
  <c r="N2538" i="7"/>
  <c r="D2538" i="7"/>
  <c r="O2537" i="7"/>
  <c r="N2537" i="7"/>
  <c r="D2537" i="7"/>
  <c r="O2536" i="7"/>
  <c r="N2536" i="7"/>
  <c r="D2536" i="7"/>
  <c r="O2535" i="7"/>
  <c r="N2535" i="7"/>
  <c r="D2535" i="7"/>
  <c r="O2534" i="7"/>
  <c r="N2534" i="7"/>
  <c r="D2534" i="7"/>
  <c r="O2533" i="7"/>
  <c r="N2533" i="7"/>
  <c r="D2533" i="7"/>
  <c r="O2532" i="7"/>
  <c r="N2532" i="7"/>
  <c r="D2532" i="7"/>
  <c r="O2531" i="7"/>
  <c r="N2531" i="7"/>
  <c r="D2531" i="7"/>
  <c r="O2530" i="7"/>
  <c r="N2530" i="7"/>
  <c r="D2530" i="7"/>
  <c r="O2529" i="7"/>
  <c r="N2529" i="7"/>
  <c r="D2529" i="7"/>
  <c r="O2528" i="7"/>
  <c r="N2528" i="7"/>
  <c r="D2528" i="7"/>
  <c r="O2527" i="7"/>
  <c r="N2527" i="7"/>
  <c r="D2527" i="7"/>
  <c r="O2526" i="7"/>
  <c r="N2526" i="7"/>
  <c r="D2526" i="7"/>
  <c r="O2525" i="7"/>
  <c r="N2525" i="7"/>
  <c r="D2525" i="7"/>
  <c r="O2524" i="7"/>
  <c r="N2524" i="7"/>
  <c r="D2524" i="7"/>
  <c r="O2523" i="7"/>
  <c r="N2523" i="7"/>
  <c r="D2523" i="7"/>
  <c r="O2522" i="7"/>
  <c r="N2522" i="7"/>
  <c r="D2522" i="7"/>
  <c r="O2521" i="7"/>
  <c r="N2521" i="7"/>
  <c r="D2521" i="7"/>
  <c r="O2520" i="7"/>
  <c r="N2520" i="7"/>
  <c r="D2520" i="7"/>
  <c r="O2519" i="7"/>
  <c r="N2519" i="7"/>
  <c r="D2519" i="7"/>
  <c r="O2518" i="7"/>
  <c r="N2518" i="7"/>
  <c r="D2518" i="7"/>
  <c r="O2517" i="7"/>
  <c r="N2517" i="7"/>
  <c r="D2517" i="7"/>
  <c r="O2516" i="7"/>
  <c r="N2516" i="7"/>
  <c r="D2516" i="7"/>
  <c r="O2515" i="7"/>
  <c r="N2515" i="7"/>
  <c r="D2515" i="7"/>
  <c r="O2514" i="7"/>
  <c r="N2514" i="7"/>
  <c r="D2514" i="7"/>
  <c r="O2513" i="7"/>
  <c r="N2513" i="7"/>
  <c r="D2513" i="7"/>
  <c r="O2512" i="7"/>
  <c r="N2512" i="7"/>
  <c r="D2512" i="7"/>
  <c r="O2511" i="7"/>
  <c r="N2511" i="7"/>
  <c r="D2511" i="7"/>
  <c r="O2510" i="7"/>
  <c r="N2510" i="7"/>
  <c r="D2510" i="7"/>
  <c r="O2509" i="7"/>
  <c r="N2509" i="7"/>
  <c r="D2509" i="7"/>
  <c r="O2508" i="7"/>
  <c r="N2508" i="7"/>
  <c r="D2508" i="7"/>
  <c r="O2507" i="7"/>
  <c r="N2507" i="7"/>
  <c r="D2507" i="7"/>
  <c r="O2506" i="7"/>
  <c r="N2506" i="7"/>
  <c r="D2506" i="7"/>
  <c r="O2505" i="7"/>
  <c r="N2505" i="7"/>
  <c r="D2505" i="7"/>
  <c r="O2504" i="7"/>
  <c r="N2504" i="7"/>
  <c r="D2504" i="7"/>
  <c r="O2503" i="7"/>
  <c r="N2503" i="7"/>
  <c r="D2503" i="7"/>
  <c r="O2556" i="7"/>
  <c r="N2556" i="7"/>
  <c r="D2556" i="7"/>
  <c r="O2555" i="7"/>
  <c r="N2555" i="7"/>
  <c r="D2555" i="7"/>
  <c r="O2554" i="7"/>
  <c r="N2554" i="7"/>
  <c r="D2554" i="7"/>
  <c r="O2553" i="7"/>
  <c r="N2553" i="7"/>
  <c r="D2553" i="7"/>
  <c r="O2552" i="7"/>
  <c r="N2552" i="7"/>
  <c r="D2552" i="7"/>
  <c r="O2551" i="7"/>
  <c r="N2551" i="7"/>
  <c r="D2551" i="7"/>
  <c r="O2550" i="7"/>
  <c r="N2550" i="7"/>
  <c r="D2550" i="7"/>
  <c r="O2549" i="7"/>
  <c r="N2549" i="7"/>
  <c r="D2549" i="7"/>
  <c r="O2548" i="7"/>
  <c r="N2548" i="7"/>
  <c r="D2548" i="7"/>
  <c r="O2547" i="7"/>
  <c r="N2547" i="7"/>
  <c r="D2547" i="7"/>
  <c r="O2546" i="7"/>
  <c r="N2546" i="7"/>
  <c r="D2546" i="7"/>
  <c r="O2545" i="7"/>
  <c r="N2545" i="7"/>
  <c r="D2545" i="7"/>
  <c r="O2544" i="7"/>
  <c r="N2544" i="7"/>
  <c r="D2544" i="7"/>
  <c r="O2543" i="7"/>
  <c r="N2543" i="7"/>
  <c r="D2543" i="7"/>
  <c r="O2542" i="7"/>
  <c r="N2542" i="7"/>
  <c r="D2542" i="7"/>
  <c r="O2541" i="7"/>
  <c r="N2541" i="7"/>
  <c r="D2541" i="7"/>
  <c r="O2540" i="7"/>
  <c r="N2540" i="7"/>
  <c r="D2540" i="7"/>
  <c r="O2575" i="7"/>
  <c r="N2575" i="7"/>
  <c r="D2575" i="7"/>
  <c r="O2574" i="7"/>
  <c r="N2574" i="7"/>
  <c r="D2574" i="7"/>
  <c r="O2573" i="7"/>
  <c r="N2573" i="7"/>
  <c r="D2573" i="7"/>
  <c r="O2572" i="7"/>
  <c r="N2572" i="7"/>
  <c r="D2572" i="7"/>
  <c r="O2571" i="7"/>
  <c r="N2571" i="7"/>
  <c r="D2571" i="7"/>
  <c r="O2570" i="7"/>
  <c r="N2570" i="7"/>
  <c r="D2570" i="7"/>
  <c r="O2569" i="7"/>
  <c r="N2569" i="7"/>
  <c r="D2569" i="7"/>
  <c r="O2568" i="7"/>
  <c r="N2568" i="7"/>
  <c r="D2568" i="7"/>
  <c r="O2567" i="7"/>
  <c r="N2567" i="7"/>
  <c r="D2567" i="7"/>
  <c r="O2566" i="7"/>
  <c r="N2566" i="7"/>
  <c r="D2566" i="7"/>
  <c r="O2565" i="7"/>
  <c r="N2565" i="7"/>
  <c r="D2565" i="7"/>
  <c r="O2564" i="7"/>
  <c r="N2564" i="7"/>
  <c r="D2564" i="7"/>
  <c r="O2563" i="7"/>
  <c r="N2563" i="7"/>
  <c r="D2563" i="7"/>
  <c r="O2562" i="7"/>
  <c r="N2562" i="7"/>
  <c r="D2562" i="7"/>
  <c r="O2561" i="7"/>
  <c r="N2561" i="7"/>
  <c r="D2561" i="7"/>
  <c r="O2560" i="7"/>
  <c r="N2560" i="7"/>
  <c r="D2560" i="7"/>
  <c r="O2559" i="7"/>
  <c r="N2559" i="7"/>
  <c r="D2559" i="7"/>
  <c r="O2558" i="7"/>
  <c r="N2558" i="7"/>
  <c r="D2558" i="7"/>
  <c r="O2557" i="7"/>
  <c r="N2557" i="7"/>
  <c r="D2557" i="7"/>
  <c r="O2612" i="7"/>
  <c r="N2612" i="7"/>
  <c r="D2612" i="7"/>
  <c r="O2611" i="7"/>
  <c r="N2611" i="7"/>
  <c r="D2611" i="7"/>
  <c r="O2610" i="7"/>
  <c r="N2610" i="7"/>
  <c r="D2610" i="7"/>
  <c r="O2609" i="7"/>
  <c r="N2609" i="7"/>
  <c r="D2609" i="7"/>
  <c r="O2608" i="7"/>
  <c r="N2608" i="7"/>
  <c r="D2608" i="7"/>
  <c r="O2607" i="7"/>
  <c r="N2607" i="7"/>
  <c r="D2607" i="7"/>
  <c r="O2606" i="7"/>
  <c r="N2606" i="7"/>
  <c r="D2606" i="7"/>
  <c r="O2605" i="7"/>
  <c r="N2605" i="7"/>
  <c r="D2605" i="7"/>
  <c r="O2604" i="7"/>
  <c r="N2604" i="7"/>
  <c r="D2604" i="7"/>
  <c r="O2603" i="7"/>
  <c r="N2603" i="7"/>
  <c r="D2603" i="7"/>
  <c r="O2602" i="7"/>
  <c r="N2602" i="7"/>
  <c r="D2602" i="7"/>
  <c r="O2601" i="7"/>
  <c r="N2601" i="7"/>
  <c r="D2601" i="7"/>
  <c r="O2600" i="7"/>
  <c r="N2600" i="7"/>
  <c r="D2600" i="7"/>
  <c r="O2599" i="7"/>
  <c r="N2599" i="7"/>
  <c r="D2599" i="7"/>
  <c r="O2598" i="7"/>
  <c r="N2598" i="7"/>
  <c r="D2598" i="7"/>
  <c r="O2597" i="7"/>
  <c r="N2597" i="7"/>
  <c r="D2597" i="7"/>
  <c r="O2596" i="7"/>
  <c r="N2596" i="7"/>
  <c r="D2596" i="7"/>
  <c r="O2595" i="7"/>
  <c r="N2595" i="7"/>
  <c r="D2595" i="7"/>
  <c r="O2594" i="7"/>
  <c r="N2594" i="7"/>
  <c r="D2594" i="7"/>
  <c r="O2593" i="7"/>
  <c r="N2593" i="7"/>
  <c r="D2593" i="7"/>
  <c r="O2592" i="7"/>
  <c r="N2592" i="7"/>
  <c r="D2592" i="7"/>
  <c r="O2591" i="7"/>
  <c r="N2591" i="7"/>
  <c r="D2591" i="7"/>
  <c r="O2590" i="7"/>
  <c r="N2590" i="7"/>
  <c r="D2590" i="7"/>
  <c r="O2589" i="7"/>
  <c r="N2589" i="7"/>
  <c r="D2589" i="7"/>
  <c r="O2588" i="7"/>
  <c r="N2588" i="7"/>
  <c r="D2588" i="7"/>
  <c r="O2587" i="7"/>
  <c r="N2587" i="7"/>
  <c r="D2587" i="7"/>
  <c r="O2586" i="7"/>
  <c r="N2586" i="7"/>
  <c r="D2586" i="7"/>
  <c r="O2585" i="7"/>
  <c r="N2585" i="7"/>
  <c r="D2585" i="7"/>
  <c r="O2584" i="7"/>
  <c r="N2584" i="7"/>
  <c r="D2584" i="7"/>
  <c r="O2583" i="7"/>
  <c r="N2583" i="7"/>
  <c r="D2583" i="7"/>
  <c r="O2582" i="7"/>
  <c r="N2582" i="7"/>
  <c r="D2582" i="7"/>
  <c r="O2581" i="7"/>
  <c r="N2581" i="7"/>
  <c r="D2581" i="7"/>
  <c r="O2580" i="7"/>
  <c r="N2580" i="7"/>
  <c r="D2580" i="7"/>
  <c r="O2579" i="7"/>
  <c r="N2579" i="7"/>
  <c r="D2579" i="7"/>
  <c r="O2578" i="7"/>
  <c r="N2578" i="7"/>
  <c r="D2578" i="7"/>
  <c r="O2577" i="7"/>
  <c r="N2577" i="7"/>
  <c r="D2577" i="7"/>
  <c r="O2576" i="7"/>
  <c r="N2576" i="7"/>
  <c r="D2576" i="7"/>
  <c r="O2648" i="7"/>
  <c r="N2648" i="7"/>
  <c r="D2648" i="7"/>
  <c r="O2647" i="7"/>
  <c r="N2647" i="7"/>
  <c r="D2647" i="7"/>
  <c r="O2646" i="7"/>
  <c r="N2646" i="7"/>
  <c r="D2646" i="7"/>
  <c r="O2645" i="7"/>
  <c r="N2645" i="7"/>
  <c r="D2645" i="7"/>
  <c r="O2644" i="7"/>
  <c r="N2644" i="7"/>
  <c r="D2644" i="7"/>
  <c r="O2643" i="7"/>
  <c r="N2643" i="7"/>
  <c r="D2643" i="7"/>
  <c r="O2642" i="7"/>
  <c r="N2642" i="7"/>
  <c r="D2642" i="7"/>
  <c r="O2641" i="7"/>
  <c r="N2641" i="7"/>
  <c r="D2641" i="7"/>
  <c r="O2640" i="7"/>
  <c r="N2640" i="7"/>
  <c r="D2640" i="7"/>
  <c r="O2639" i="7"/>
  <c r="N2639" i="7"/>
  <c r="D2639" i="7"/>
  <c r="O2638" i="7"/>
  <c r="N2638" i="7"/>
  <c r="D2638" i="7"/>
  <c r="O2637" i="7"/>
  <c r="N2637" i="7"/>
  <c r="D2637" i="7"/>
  <c r="O2636" i="7"/>
  <c r="N2636" i="7"/>
  <c r="D2636" i="7"/>
  <c r="O2635" i="7"/>
  <c r="N2635" i="7"/>
  <c r="D2635" i="7"/>
  <c r="O2634" i="7"/>
  <c r="N2634" i="7"/>
  <c r="D2634" i="7"/>
  <c r="O2633" i="7"/>
  <c r="N2633" i="7"/>
  <c r="D2633" i="7"/>
  <c r="O2632" i="7"/>
  <c r="N2632" i="7"/>
  <c r="D2632" i="7"/>
  <c r="O2631" i="7"/>
  <c r="N2631" i="7"/>
  <c r="D2631" i="7"/>
  <c r="O2630" i="7"/>
  <c r="N2630" i="7"/>
  <c r="D2630" i="7"/>
  <c r="O2629" i="7"/>
  <c r="N2629" i="7"/>
  <c r="D2629" i="7"/>
  <c r="O2628" i="7"/>
  <c r="N2628" i="7"/>
  <c r="D2628" i="7"/>
  <c r="O2627" i="7"/>
  <c r="N2627" i="7"/>
  <c r="D2627" i="7"/>
  <c r="O2626" i="7"/>
  <c r="N2626" i="7"/>
  <c r="D2626" i="7"/>
  <c r="O2625" i="7"/>
  <c r="N2625" i="7"/>
  <c r="D2625" i="7"/>
  <c r="O2624" i="7"/>
  <c r="N2624" i="7"/>
  <c r="D2624" i="7"/>
  <c r="O2623" i="7"/>
  <c r="N2623" i="7"/>
  <c r="D2623" i="7"/>
  <c r="O2622" i="7"/>
  <c r="N2622" i="7"/>
  <c r="D2622" i="7"/>
  <c r="O2621" i="7"/>
  <c r="N2621" i="7"/>
  <c r="D2621" i="7"/>
  <c r="O2620" i="7"/>
  <c r="N2620" i="7"/>
  <c r="D2620" i="7"/>
  <c r="O2619" i="7"/>
  <c r="N2619" i="7"/>
  <c r="D2619" i="7"/>
  <c r="O2618" i="7"/>
  <c r="N2618" i="7"/>
  <c r="D2618" i="7"/>
  <c r="O2617" i="7"/>
  <c r="N2617" i="7"/>
  <c r="D2617" i="7"/>
  <c r="O2616" i="7"/>
  <c r="N2616" i="7"/>
  <c r="D2616" i="7"/>
  <c r="O2615" i="7"/>
  <c r="N2615" i="7"/>
  <c r="D2615" i="7"/>
  <c r="O2614" i="7"/>
  <c r="N2614" i="7"/>
  <c r="D2614" i="7"/>
  <c r="O2613" i="7"/>
  <c r="N2613" i="7"/>
  <c r="D2613" i="7"/>
  <c r="O2665" i="7"/>
  <c r="N2665" i="7"/>
  <c r="D2665" i="7"/>
  <c r="O2664" i="7"/>
  <c r="N2664" i="7"/>
  <c r="D2664" i="7"/>
  <c r="O2663" i="7"/>
  <c r="N2663" i="7"/>
  <c r="D2663" i="7"/>
  <c r="O2662" i="7"/>
  <c r="N2662" i="7"/>
  <c r="D2662" i="7"/>
  <c r="O2661" i="7"/>
  <c r="N2661" i="7"/>
  <c r="D2661" i="7"/>
  <c r="O2660" i="7"/>
  <c r="N2660" i="7"/>
  <c r="D2660" i="7"/>
  <c r="O2659" i="7"/>
  <c r="N2659" i="7"/>
  <c r="D2659" i="7"/>
  <c r="O2658" i="7"/>
  <c r="N2658" i="7"/>
  <c r="D2658" i="7"/>
  <c r="O2657" i="7"/>
  <c r="N2657" i="7"/>
  <c r="D2657" i="7"/>
  <c r="O2656" i="7"/>
  <c r="N2656" i="7"/>
  <c r="D2656" i="7"/>
  <c r="O2655" i="7"/>
  <c r="N2655" i="7"/>
  <c r="D2655" i="7"/>
  <c r="O2654" i="7"/>
  <c r="N2654" i="7"/>
  <c r="D2654" i="7"/>
  <c r="O2653" i="7"/>
  <c r="N2653" i="7"/>
  <c r="D2653" i="7"/>
  <c r="O2652" i="7"/>
  <c r="N2652" i="7"/>
  <c r="D2652" i="7"/>
  <c r="O2651" i="7"/>
  <c r="N2651" i="7"/>
  <c r="D2651" i="7"/>
  <c r="O2650" i="7"/>
  <c r="N2650" i="7"/>
  <c r="D2650" i="7"/>
  <c r="O2649" i="7"/>
  <c r="N2649" i="7"/>
  <c r="D2649" i="7"/>
  <c r="O2682" i="7"/>
  <c r="N2682" i="7"/>
  <c r="D2682" i="7"/>
  <c r="O2681" i="7"/>
  <c r="N2681" i="7"/>
  <c r="D2681" i="7"/>
  <c r="O2680" i="7"/>
  <c r="N2680" i="7"/>
  <c r="D2680" i="7"/>
  <c r="O2679" i="7"/>
  <c r="N2679" i="7"/>
  <c r="D2679" i="7"/>
  <c r="O2678" i="7"/>
  <c r="N2678" i="7"/>
  <c r="D2678" i="7"/>
  <c r="O2677" i="7"/>
  <c r="N2677" i="7"/>
  <c r="D2677" i="7"/>
  <c r="O2676" i="7"/>
  <c r="N2676" i="7"/>
  <c r="D2676" i="7"/>
  <c r="O2675" i="7"/>
  <c r="N2675" i="7"/>
  <c r="D2675" i="7"/>
  <c r="O2674" i="7"/>
  <c r="N2674" i="7"/>
  <c r="D2674" i="7"/>
  <c r="O2673" i="7"/>
  <c r="N2673" i="7"/>
  <c r="D2673" i="7"/>
  <c r="O2672" i="7"/>
  <c r="N2672" i="7"/>
  <c r="D2672" i="7"/>
  <c r="O2671" i="7"/>
  <c r="N2671" i="7"/>
  <c r="D2671" i="7"/>
  <c r="O2670" i="7"/>
  <c r="N2670" i="7"/>
  <c r="D2670" i="7"/>
  <c r="O2669" i="7"/>
  <c r="N2669" i="7"/>
  <c r="D2669" i="7"/>
  <c r="O2668" i="7"/>
  <c r="N2668" i="7"/>
  <c r="D2668" i="7"/>
  <c r="O2667" i="7"/>
  <c r="N2667" i="7"/>
  <c r="D2667" i="7"/>
  <c r="O2666" i="7"/>
  <c r="N2666" i="7"/>
  <c r="D2666" i="7"/>
  <c r="O2717" i="7"/>
  <c r="N2717" i="7"/>
  <c r="D2717" i="7"/>
  <c r="O2716" i="7"/>
  <c r="N2716" i="7"/>
  <c r="D2716" i="7"/>
  <c r="O2715" i="7"/>
  <c r="N2715" i="7"/>
  <c r="D2715" i="7"/>
  <c r="O2714" i="7"/>
  <c r="N2714" i="7"/>
  <c r="D2714" i="7"/>
  <c r="O2713" i="7"/>
  <c r="N2713" i="7"/>
  <c r="D2713" i="7"/>
  <c r="O2712" i="7"/>
  <c r="N2712" i="7"/>
  <c r="D2712" i="7"/>
  <c r="O2711" i="7"/>
  <c r="N2711" i="7"/>
  <c r="D2711" i="7"/>
  <c r="O2710" i="7"/>
  <c r="N2710" i="7"/>
  <c r="D2710" i="7"/>
  <c r="O2709" i="7"/>
  <c r="N2709" i="7"/>
  <c r="D2709" i="7"/>
  <c r="O2708" i="7"/>
  <c r="N2708" i="7"/>
  <c r="D2708" i="7"/>
  <c r="O2707" i="7"/>
  <c r="N2707" i="7"/>
  <c r="D2707" i="7"/>
  <c r="O2706" i="7"/>
  <c r="N2706" i="7"/>
  <c r="D2706" i="7"/>
  <c r="O2705" i="7"/>
  <c r="N2705" i="7"/>
  <c r="D2705" i="7"/>
  <c r="O2704" i="7"/>
  <c r="N2704" i="7"/>
  <c r="D2704" i="7"/>
  <c r="O2703" i="7"/>
  <c r="N2703" i="7"/>
  <c r="D2703" i="7"/>
  <c r="O2702" i="7"/>
  <c r="N2702" i="7"/>
  <c r="D2702" i="7"/>
  <c r="O2701" i="7"/>
  <c r="N2701" i="7"/>
  <c r="D2701" i="7"/>
  <c r="O2700" i="7"/>
  <c r="N2700" i="7"/>
  <c r="D2700" i="7"/>
  <c r="O2699" i="7"/>
  <c r="N2699" i="7"/>
  <c r="D2699" i="7"/>
  <c r="O2698" i="7"/>
  <c r="N2698" i="7"/>
  <c r="D2698" i="7"/>
  <c r="O2697" i="7"/>
  <c r="N2697" i="7"/>
  <c r="D2697" i="7"/>
  <c r="O2696" i="7"/>
  <c r="N2696" i="7"/>
  <c r="D2696" i="7"/>
  <c r="O2695" i="7"/>
  <c r="N2695" i="7"/>
  <c r="D2695" i="7"/>
  <c r="O2694" i="7"/>
  <c r="N2694" i="7"/>
  <c r="D2694" i="7"/>
  <c r="O2693" i="7"/>
  <c r="N2693" i="7"/>
  <c r="D2693" i="7"/>
  <c r="O2692" i="7"/>
  <c r="N2692" i="7"/>
  <c r="D2692" i="7"/>
  <c r="O2691" i="7"/>
  <c r="N2691" i="7"/>
  <c r="D2691" i="7"/>
  <c r="O2690" i="7"/>
  <c r="N2690" i="7"/>
  <c r="D2690" i="7"/>
  <c r="O2689" i="7"/>
  <c r="N2689" i="7"/>
  <c r="D2689" i="7"/>
  <c r="O2688" i="7"/>
  <c r="N2688" i="7"/>
  <c r="D2688" i="7"/>
  <c r="O2687" i="7"/>
  <c r="N2687" i="7"/>
  <c r="D2687" i="7"/>
  <c r="O2686" i="7"/>
  <c r="N2686" i="7"/>
  <c r="D2686" i="7"/>
  <c r="O2685" i="7"/>
  <c r="N2685" i="7"/>
  <c r="D2685" i="7"/>
  <c r="O2684" i="7"/>
  <c r="N2684" i="7"/>
  <c r="D2684" i="7"/>
  <c r="O2683" i="7"/>
  <c r="N2683" i="7"/>
  <c r="D2683" i="7"/>
  <c r="O2738" i="7"/>
  <c r="N2738" i="7"/>
  <c r="D2738" i="7"/>
  <c r="O2737" i="7"/>
  <c r="N2737" i="7"/>
  <c r="D2737" i="7"/>
  <c r="O2736" i="7"/>
  <c r="N2736" i="7"/>
  <c r="D2736" i="7"/>
  <c r="O2735" i="7"/>
  <c r="N2735" i="7"/>
  <c r="D2735" i="7"/>
  <c r="O2734" i="7"/>
  <c r="N2734" i="7"/>
  <c r="D2734" i="7"/>
  <c r="O2733" i="7"/>
  <c r="N2733" i="7"/>
  <c r="D2733" i="7"/>
  <c r="O2732" i="7"/>
  <c r="N2732" i="7"/>
  <c r="D2732" i="7"/>
  <c r="O2731" i="7"/>
  <c r="N2731" i="7"/>
  <c r="D2731" i="7"/>
  <c r="O2730" i="7"/>
  <c r="N2730" i="7"/>
  <c r="D2730" i="7"/>
  <c r="O2729" i="7"/>
  <c r="N2729" i="7"/>
  <c r="D2729" i="7"/>
  <c r="O2728" i="7"/>
  <c r="N2728" i="7"/>
  <c r="D2728" i="7"/>
  <c r="O2727" i="7"/>
  <c r="N2727" i="7"/>
  <c r="D2727" i="7"/>
  <c r="O2726" i="7"/>
  <c r="N2726" i="7"/>
  <c r="D2726" i="7"/>
  <c r="O2725" i="7"/>
  <c r="N2725" i="7"/>
  <c r="D2725" i="7"/>
  <c r="O2724" i="7"/>
  <c r="N2724" i="7"/>
  <c r="D2724" i="7"/>
  <c r="O2723" i="7"/>
  <c r="N2723" i="7"/>
  <c r="D2723" i="7"/>
  <c r="O2722" i="7"/>
  <c r="N2722" i="7"/>
  <c r="D2722" i="7"/>
  <c r="O2721" i="7"/>
  <c r="N2721" i="7"/>
  <c r="D2721" i="7"/>
  <c r="O2720" i="7"/>
  <c r="N2720" i="7"/>
  <c r="D2720" i="7"/>
  <c r="O2719" i="7"/>
  <c r="N2719" i="7"/>
  <c r="D2719" i="7"/>
  <c r="O2718" i="7"/>
  <c r="N2718" i="7"/>
  <c r="D2718" i="7"/>
  <c r="O2761" i="7"/>
  <c r="N2761" i="7"/>
  <c r="D2761" i="7"/>
  <c r="O2760" i="7"/>
  <c r="N2760" i="7"/>
  <c r="D2760" i="7"/>
  <c r="O2759" i="7"/>
  <c r="N2759" i="7"/>
  <c r="D2759" i="7"/>
  <c r="O2758" i="7"/>
  <c r="N2758" i="7"/>
  <c r="D2758" i="7"/>
  <c r="O2757" i="7"/>
  <c r="N2757" i="7"/>
  <c r="D2757" i="7"/>
  <c r="O2756" i="7"/>
  <c r="N2756" i="7"/>
  <c r="D2756" i="7"/>
  <c r="O2755" i="7"/>
  <c r="N2755" i="7"/>
  <c r="D2755" i="7"/>
  <c r="O2754" i="7"/>
  <c r="N2754" i="7"/>
  <c r="D2754" i="7"/>
  <c r="O2753" i="7"/>
  <c r="N2753" i="7"/>
  <c r="D2753" i="7"/>
  <c r="O2752" i="7"/>
  <c r="N2752" i="7"/>
  <c r="D2752" i="7"/>
  <c r="O2751" i="7"/>
  <c r="N2751" i="7"/>
  <c r="D2751" i="7"/>
  <c r="O2750" i="7"/>
  <c r="N2750" i="7"/>
  <c r="D2750" i="7"/>
  <c r="O2749" i="7"/>
  <c r="N2749" i="7"/>
  <c r="D2749" i="7"/>
  <c r="O2748" i="7"/>
  <c r="N2748" i="7"/>
  <c r="D2748" i="7"/>
  <c r="O2747" i="7"/>
  <c r="N2747" i="7"/>
  <c r="D2747" i="7"/>
  <c r="O2746" i="7"/>
  <c r="N2746" i="7"/>
  <c r="D2746" i="7"/>
  <c r="O2745" i="7"/>
  <c r="N2745" i="7"/>
  <c r="D2745" i="7"/>
  <c r="O2744" i="7"/>
  <c r="N2744" i="7"/>
  <c r="D2744" i="7"/>
  <c r="O2743" i="7"/>
  <c r="N2743" i="7"/>
  <c r="D2743" i="7"/>
  <c r="O2742" i="7"/>
  <c r="N2742" i="7"/>
  <c r="D2742" i="7"/>
  <c r="O2741" i="7"/>
  <c r="N2741" i="7"/>
  <c r="D2741" i="7"/>
  <c r="O2740" i="7"/>
  <c r="N2740" i="7"/>
  <c r="D2740" i="7"/>
  <c r="O2739" i="7"/>
  <c r="N2739" i="7"/>
  <c r="D2739" i="7"/>
  <c r="O2800" i="7"/>
  <c r="N2800" i="7"/>
  <c r="D2800" i="7"/>
  <c r="O2799" i="7"/>
  <c r="N2799" i="7"/>
  <c r="D2799" i="7"/>
  <c r="O2798" i="7"/>
  <c r="N2798" i="7"/>
  <c r="D2798" i="7"/>
  <c r="O2797" i="7"/>
  <c r="N2797" i="7"/>
  <c r="D2797" i="7"/>
  <c r="O2796" i="7"/>
  <c r="N2796" i="7"/>
  <c r="D2796" i="7"/>
  <c r="O2795" i="7"/>
  <c r="N2795" i="7"/>
  <c r="D2795" i="7"/>
  <c r="O2794" i="7"/>
  <c r="N2794" i="7"/>
  <c r="D2794" i="7"/>
  <c r="O2793" i="7"/>
  <c r="N2793" i="7"/>
  <c r="D2793" i="7"/>
  <c r="O2792" i="7"/>
  <c r="N2792" i="7"/>
  <c r="D2792" i="7"/>
  <c r="O2791" i="7"/>
  <c r="N2791" i="7"/>
  <c r="D2791" i="7"/>
  <c r="O2790" i="7"/>
  <c r="N2790" i="7"/>
  <c r="D2790" i="7"/>
  <c r="O2789" i="7"/>
  <c r="N2789" i="7"/>
  <c r="D2789" i="7"/>
  <c r="O2788" i="7"/>
  <c r="N2788" i="7"/>
  <c r="D2788" i="7"/>
  <c r="O2787" i="7"/>
  <c r="N2787" i="7"/>
  <c r="D2787" i="7"/>
  <c r="O2786" i="7"/>
  <c r="N2786" i="7"/>
  <c r="D2786" i="7"/>
  <c r="O2785" i="7"/>
  <c r="N2785" i="7"/>
  <c r="D2785" i="7"/>
  <c r="O2784" i="7"/>
  <c r="N2784" i="7"/>
  <c r="D2784" i="7"/>
  <c r="O2783" i="7"/>
  <c r="N2783" i="7"/>
  <c r="D2783" i="7"/>
  <c r="O2782" i="7"/>
  <c r="N2782" i="7"/>
  <c r="D2782" i="7"/>
  <c r="O2781" i="7"/>
  <c r="N2781" i="7"/>
  <c r="D2781" i="7"/>
  <c r="O2780" i="7"/>
  <c r="N2780" i="7"/>
  <c r="D2780" i="7"/>
  <c r="O2779" i="7"/>
  <c r="N2779" i="7"/>
  <c r="D2779" i="7"/>
  <c r="O2778" i="7"/>
  <c r="N2778" i="7"/>
  <c r="D2778" i="7"/>
  <c r="O2777" i="7"/>
  <c r="N2777" i="7"/>
  <c r="D2777" i="7"/>
  <c r="O2776" i="7"/>
  <c r="N2776" i="7"/>
  <c r="D2776" i="7"/>
  <c r="O2775" i="7"/>
  <c r="N2775" i="7"/>
  <c r="D2775" i="7"/>
  <c r="O2774" i="7"/>
  <c r="N2774" i="7"/>
  <c r="D2774" i="7"/>
  <c r="O2773" i="7"/>
  <c r="N2773" i="7"/>
  <c r="D2773" i="7"/>
  <c r="O2772" i="7"/>
  <c r="N2772" i="7"/>
  <c r="D2772" i="7"/>
  <c r="O2771" i="7"/>
  <c r="N2771" i="7"/>
  <c r="D2771" i="7"/>
  <c r="O2770" i="7"/>
  <c r="N2770" i="7"/>
  <c r="D2770" i="7"/>
  <c r="O2769" i="7"/>
  <c r="N2769" i="7"/>
  <c r="D2769" i="7"/>
  <c r="O2768" i="7"/>
  <c r="N2768" i="7"/>
  <c r="D2768" i="7"/>
  <c r="O2767" i="7"/>
  <c r="N2767" i="7"/>
  <c r="D2767" i="7"/>
  <c r="O2766" i="7"/>
  <c r="N2766" i="7"/>
  <c r="D2766" i="7"/>
  <c r="O2765" i="7"/>
  <c r="N2765" i="7"/>
  <c r="D2765" i="7"/>
  <c r="O2764" i="7"/>
  <c r="N2764" i="7"/>
  <c r="D2764" i="7"/>
  <c r="O2763" i="7"/>
  <c r="N2763" i="7"/>
  <c r="D2763" i="7"/>
  <c r="O2762" i="7"/>
  <c r="N2762" i="7"/>
  <c r="D2762" i="7"/>
  <c r="O2818" i="7"/>
  <c r="N2818" i="7"/>
  <c r="D2818" i="7"/>
  <c r="O2817" i="7"/>
  <c r="N2817" i="7"/>
  <c r="D2817" i="7"/>
  <c r="O2816" i="7"/>
  <c r="N2816" i="7"/>
  <c r="D2816" i="7"/>
  <c r="O2815" i="7"/>
  <c r="N2815" i="7"/>
  <c r="D2815" i="7"/>
  <c r="O2814" i="7"/>
  <c r="N2814" i="7"/>
  <c r="D2814" i="7"/>
  <c r="O2813" i="7"/>
  <c r="N2813" i="7"/>
  <c r="D2813" i="7"/>
  <c r="O2812" i="7"/>
  <c r="N2812" i="7"/>
  <c r="D2812" i="7"/>
  <c r="O2811" i="7"/>
  <c r="N2811" i="7"/>
  <c r="D2811" i="7"/>
  <c r="O2810" i="7"/>
  <c r="N2810" i="7"/>
  <c r="D2810" i="7"/>
  <c r="O2809" i="7"/>
  <c r="N2809" i="7"/>
  <c r="D2809" i="7"/>
  <c r="O2808" i="7"/>
  <c r="N2808" i="7"/>
  <c r="D2808" i="7"/>
  <c r="O2807" i="7"/>
  <c r="N2807" i="7"/>
  <c r="D2807" i="7"/>
  <c r="O2806" i="7"/>
  <c r="N2806" i="7"/>
  <c r="D2806" i="7"/>
  <c r="O2805" i="7"/>
  <c r="N2805" i="7"/>
  <c r="D2805" i="7"/>
  <c r="O2804" i="7"/>
  <c r="N2804" i="7"/>
  <c r="D2804" i="7"/>
  <c r="O2803" i="7"/>
  <c r="N2803" i="7"/>
  <c r="D2803" i="7"/>
  <c r="O2802" i="7"/>
  <c r="N2802" i="7"/>
  <c r="D2802" i="7"/>
  <c r="O2801" i="7"/>
  <c r="N2801" i="7"/>
  <c r="D2801" i="7"/>
  <c r="O2838" i="7"/>
  <c r="N2838" i="7"/>
  <c r="D2838" i="7"/>
  <c r="O2837" i="7"/>
  <c r="N2837" i="7"/>
  <c r="D2837" i="7"/>
  <c r="O2836" i="7"/>
  <c r="N2836" i="7"/>
  <c r="D2836" i="7"/>
  <c r="O2835" i="7"/>
  <c r="N2835" i="7"/>
  <c r="D2835" i="7"/>
  <c r="O2834" i="7"/>
  <c r="N2834" i="7"/>
  <c r="D2834" i="7"/>
  <c r="O2833" i="7"/>
  <c r="N2833" i="7"/>
  <c r="D2833" i="7"/>
  <c r="O2832" i="7"/>
  <c r="N2832" i="7"/>
  <c r="D2832" i="7"/>
  <c r="O2831" i="7"/>
  <c r="N2831" i="7"/>
  <c r="D2831" i="7"/>
  <c r="O2830" i="7"/>
  <c r="N2830" i="7"/>
  <c r="D2830" i="7"/>
  <c r="O2829" i="7"/>
  <c r="N2829" i="7"/>
  <c r="D2829" i="7"/>
  <c r="O2828" i="7"/>
  <c r="N2828" i="7"/>
  <c r="D2828" i="7"/>
  <c r="O2827" i="7"/>
  <c r="N2827" i="7"/>
  <c r="D2827" i="7"/>
  <c r="O2826" i="7"/>
  <c r="N2826" i="7"/>
  <c r="D2826" i="7"/>
  <c r="O2825" i="7"/>
  <c r="N2825" i="7"/>
  <c r="D2825" i="7"/>
  <c r="O2824" i="7"/>
  <c r="N2824" i="7"/>
  <c r="D2824" i="7"/>
  <c r="O2823" i="7"/>
  <c r="N2823" i="7"/>
  <c r="D2823" i="7"/>
  <c r="O2822" i="7"/>
  <c r="N2822" i="7"/>
  <c r="D2822" i="7"/>
  <c r="O2821" i="7"/>
  <c r="N2821" i="7"/>
  <c r="D2821" i="7"/>
  <c r="O2820" i="7"/>
  <c r="N2820" i="7"/>
  <c r="D2820" i="7"/>
  <c r="O2819" i="7"/>
  <c r="N2819" i="7"/>
  <c r="D2819" i="7"/>
  <c r="O2854" i="7"/>
  <c r="N2854" i="7"/>
  <c r="D2854" i="7"/>
  <c r="O2853" i="7"/>
  <c r="N2853" i="7"/>
  <c r="D2853" i="7"/>
  <c r="O2852" i="7"/>
  <c r="N2852" i="7"/>
  <c r="D2852" i="7"/>
  <c r="O2851" i="7"/>
  <c r="N2851" i="7"/>
  <c r="D2851" i="7"/>
  <c r="O2850" i="7"/>
  <c r="N2850" i="7"/>
  <c r="D2850" i="7"/>
  <c r="O2849" i="7"/>
  <c r="N2849" i="7"/>
  <c r="D2849" i="7"/>
  <c r="O2848" i="7"/>
  <c r="N2848" i="7"/>
  <c r="D2848" i="7"/>
  <c r="O2847" i="7"/>
  <c r="N2847" i="7"/>
  <c r="D2847" i="7"/>
  <c r="O2846" i="7"/>
  <c r="N2846" i="7"/>
  <c r="D2846" i="7"/>
  <c r="O2845" i="7"/>
  <c r="N2845" i="7"/>
  <c r="D2845" i="7"/>
  <c r="O2844" i="7"/>
  <c r="N2844" i="7"/>
  <c r="D2844" i="7"/>
  <c r="O2843" i="7"/>
  <c r="N2843" i="7"/>
  <c r="D2843" i="7"/>
  <c r="O2842" i="7"/>
  <c r="N2842" i="7"/>
  <c r="D2842" i="7"/>
  <c r="O2841" i="7"/>
  <c r="N2841" i="7"/>
  <c r="D2841" i="7"/>
  <c r="O2840" i="7"/>
  <c r="N2840" i="7"/>
  <c r="D2840" i="7"/>
  <c r="O2839" i="7"/>
  <c r="N2839" i="7"/>
  <c r="D2839" i="7"/>
  <c r="O2869" i="7"/>
  <c r="N2869" i="7"/>
  <c r="D2869" i="7"/>
  <c r="O2868" i="7"/>
  <c r="N2868" i="7"/>
  <c r="D2868" i="7"/>
  <c r="O2867" i="7"/>
  <c r="N2867" i="7"/>
  <c r="D2867" i="7"/>
  <c r="O2866" i="7"/>
  <c r="N2866" i="7"/>
  <c r="D2866" i="7"/>
  <c r="O2865" i="7"/>
  <c r="N2865" i="7"/>
  <c r="D2865" i="7"/>
  <c r="O2864" i="7"/>
  <c r="N2864" i="7"/>
  <c r="D2864" i="7"/>
  <c r="O2863" i="7"/>
  <c r="N2863" i="7"/>
  <c r="D2863" i="7"/>
  <c r="O2862" i="7"/>
  <c r="N2862" i="7"/>
  <c r="D2862" i="7"/>
  <c r="O2861" i="7"/>
  <c r="N2861" i="7"/>
  <c r="D2861" i="7"/>
  <c r="O2860" i="7"/>
  <c r="N2860" i="7"/>
  <c r="D2860" i="7"/>
  <c r="O2859" i="7"/>
  <c r="N2859" i="7"/>
  <c r="D2859" i="7"/>
  <c r="O2858" i="7"/>
  <c r="N2858" i="7"/>
  <c r="D2858" i="7"/>
  <c r="O2857" i="7"/>
  <c r="N2857" i="7"/>
  <c r="D2857" i="7"/>
  <c r="O2856" i="7"/>
  <c r="N2856" i="7"/>
  <c r="D2856" i="7"/>
  <c r="O2855" i="7"/>
  <c r="N2855" i="7"/>
  <c r="D2855" i="7"/>
  <c r="O2886" i="7"/>
  <c r="N2886" i="7"/>
  <c r="D2886" i="7"/>
  <c r="O2885" i="7"/>
  <c r="N2885" i="7"/>
  <c r="D2885" i="7"/>
  <c r="O2884" i="7"/>
  <c r="N2884" i="7"/>
  <c r="D2884" i="7"/>
  <c r="O2883" i="7"/>
  <c r="N2883" i="7"/>
  <c r="D2883" i="7"/>
  <c r="O2882" i="7"/>
  <c r="N2882" i="7"/>
  <c r="D2882" i="7"/>
  <c r="O2881" i="7"/>
  <c r="N2881" i="7"/>
  <c r="D2881" i="7"/>
  <c r="O2880" i="7"/>
  <c r="N2880" i="7"/>
  <c r="D2880" i="7"/>
  <c r="O2879" i="7"/>
  <c r="N2879" i="7"/>
  <c r="D2879" i="7"/>
  <c r="O2878" i="7"/>
  <c r="N2878" i="7"/>
  <c r="D2878" i="7"/>
  <c r="O2877" i="7"/>
  <c r="N2877" i="7"/>
  <c r="D2877" i="7"/>
  <c r="O2876" i="7"/>
  <c r="N2876" i="7"/>
  <c r="D2876" i="7"/>
  <c r="O2875" i="7"/>
  <c r="N2875" i="7"/>
  <c r="D2875" i="7"/>
  <c r="O2874" i="7"/>
  <c r="N2874" i="7"/>
  <c r="D2874" i="7"/>
  <c r="O2873" i="7"/>
  <c r="N2873" i="7"/>
  <c r="D2873" i="7"/>
  <c r="O2872" i="7"/>
  <c r="N2872" i="7"/>
  <c r="D2872" i="7"/>
  <c r="O2871" i="7"/>
  <c r="N2871" i="7"/>
  <c r="D2871" i="7"/>
  <c r="O2870" i="7"/>
  <c r="N2870" i="7"/>
  <c r="D2870" i="7"/>
  <c r="O2902" i="7"/>
  <c r="N2902" i="7"/>
  <c r="D2902" i="7"/>
  <c r="O2901" i="7"/>
  <c r="N2901" i="7"/>
  <c r="D2901" i="7"/>
  <c r="O2900" i="7"/>
  <c r="N2900" i="7"/>
  <c r="D2900" i="7"/>
  <c r="O2899" i="7"/>
  <c r="N2899" i="7"/>
  <c r="D2899" i="7"/>
  <c r="O2898" i="7"/>
  <c r="N2898" i="7"/>
  <c r="D2898" i="7"/>
  <c r="O2897" i="7"/>
  <c r="N2897" i="7"/>
  <c r="D2897" i="7"/>
  <c r="O2896" i="7"/>
  <c r="N2896" i="7"/>
  <c r="D2896" i="7"/>
  <c r="O2895" i="7"/>
  <c r="N2895" i="7"/>
  <c r="D2895" i="7"/>
  <c r="O2894" i="7"/>
  <c r="N2894" i="7"/>
  <c r="D2894" i="7"/>
  <c r="O2893" i="7"/>
  <c r="N2893" i="7"/>
  <c r="D2893" i="7"/>
  <c r="O2892" i="7"/>
  <c r="N2892" i="7"/>
  <c r="D2892" i="7"/>
  <c r="O2891" i="7"/>
  <c r="N2891" i="7"/>
  <c r="D2891" i="7"/>
  <c r="O2890" i="7"/>
  <c r="N2890" i="7"/>
  <c r="D2890" i="7"/>
  <c r="O2889" i="7"/>
  <c r="N2889" i="7"/>
  <c r="D2889" i="7"/>
  <c r="O2888" i="7"/>
  <c r="N2888" i="7"/>
  <c r="D2888" i="7"/>
  <c r="O2887" i="7"/>
  <c r="N2887" i="7"/>
  <c r="D2887" i="7"/>
  <c r="O2918" i="7"/>
  <c r="N2918" i="7"/>
  <c r="D2918" i="7"/>
  <c r="O2917" i="7"/>
  <c r="N2917" i="7"/>
  <c r="D2917" i="7"/>
  <c r="O2916" i="7"/>
  <c r="N2916" i="7"/>
  <c r="D2916" i="7"/>
  <c r="O2915" i="7"/>
  <c r="N2915" i="7"/>
  <c r="D2915" i="7"/>
  <c r="O2914" i="7"/>
  <c r="N2914" i="7"/>
  <c r="D2914" i="7"/>
  <c r="O2913" i="7"/>
  <c r="N2913" i="7"/>
  <c r="D2913" i="7"/>
  <c r="O2912" i="7"/>
  <c r="N2912" i="7"/>
  <c r="D2912" i="7"/>
  <c r="O2911" i="7"/>
  <c r="N2911" i="7"/>
  <c r="D2911" i="7"/>
  <c r="O2910" i="7"/>
  <c r="N2910" i="7"/>
  <c r="D2910" i="7"/>
  <c r="O2909" i="7"/>
  <c r="N2909" i="7"/>
  <c r="D2909" i="7"/>
  <c r="O2908" i="7"/>
  <c r="N2908" i="7"/>
  <c r="D2908" i="7"/>
  <c r="O2907" i="7"/>
  <c r="N2907" i="7"/>
  <c r="D2907" i="7"/>
  <c r="O2906" i="7"/>
  <c r="N2906" i="7"/>
  <c r="D2906" i="7"/>
  <c r="O2905" i="7"/>
  <c r="N2905" i="7"/>
  <c r="D2905" i="7"/>
  <c r="O2904" i="7"/>
  <c r="N2904" i="7"/>
  <c r="D2904" i="7"/>
  <c r="O2903" i="7"/>
  <c r="N2903" i="7"/>
  <c r="D2903" i="7"/>
  <c r="O2935" i="7"/>
  <c r="N2935" i="7"/>
  <c r="D2935" i="7"/>
  <c r="O2934" i="7"/>
  <c r="N2934" i="7"/>
  <c r="D2934" i="7"/>
  <c r="O2933" i="7"/>
  <c r="N2933" i="7"/>
  <c r="D2933" i="7"/>
  <c r="O2932" i="7"/>
  <c r="N2932" i="7"/>
  <c r="D2932" i="7"/>
  <c r="O2931" i="7"/>
  <c r="N2931" i="7"/>
  <c r="D2931" i="7"/>
  <c r="O2930" i="7"/>
  <c r="N2930" i="7"/>
  <c r="D2930" i="7"/>
  <c r="O2929" i="7"/>
  <c r="N2929" i="7"/>
  <c r="D2929" i="7"/>
  <c r="O2928" i="7"/>
  <c r="N2928" i="7"/>
  <c r="D2928" i="7"/>
  <c r="O2927" i="7"/>
  <c r="N2927" i="7"/>
  <c r="D2927" i="7"/>
  <c r="O2926" i="7"/>
  <c r="N2926" i="7"/>
  <c r="D2926" i="7"/>
  <c r="O2925" i="7"/>
  <c r="N2925" i="7"/>
  <c r="D2925" i="7"/>
  <c r="O2924" i="7"/>
  <c r="N2924" i="7"/>
  <c r="D2924" i="7"/>
  <c r="O2923" i="7"/>
  <c r="N2923" i="7"/>
  <c r="D2923" i="7"/>
  <c r="O2922" i="7"/>
  <c r="N2922" i="7"/>
  <c r="D2922" i="7"/>
  <c r="O2921" i="7"/>
  <c r="N2921" i="7"/>
  <c r="D2921" i="7"/>
  <c r="O2920" i="7"/>
  <c r="N2920" i="7"/>
  <c r="D2920" i="7"/>
  <c r="O2919" i="7"/>
  <c r="N2919" i="7"/>
  <c r="D2919" i="7"/>
  <c r="O2953" i="7"/>
  <c r="N2953" i="7"/>
  <c r="D2953" i="7"/>
  <c r="O2952" i="7"/>
  <c r="N2952" i="7"/>
  <c r="D2952" i="7"/>
  <c r="O2951" i="7"/>
  <c r="N2951" i="7"/>
  <c r="D2951" i="7"/>
  <c r="O2950" i="7"/>
  <c r="N2950" i="7"/>
  <c r="D2950" i="7"/>
  <c r="O2949" i="7"/>
  <c r="N2949" i="7"/>
  <c r="D2949" i="7"/>
  <c r="O2948" i="7"/>
  <c r="N2948" i="7"/>
  <c r="D2948" i="7"/>
  <c r="O2947" i="7"/>
  <c r="N2947" i="7"/>
  <c r="D2947" i="7"/>
  <c r="O2946" i="7"/>
  <c r="N2946" i="7"/>
  <c r="D2946" i="7"/>
  <c r="O2945" i="7"/>
  <c r="N2945" i="7"/>
  <c r="D2945" i="7"/>
  <c r="O2944" i="7"/>
  <c r="N2944" i="7"/>
  <c r="D2944" i="7"/>
  <c r="O2943" i="7"/>
  <c r="N2943" i="7"/>
  <c r="D2943" i="7"/>
  <c r="O2942" i="7"/>
  <c r="N2942" i="7"/>
  <c r="D2942" i="7"/>
  <c r="O2941" i="7"/>
  <c r="N2941" i="7"/>
  <c r="D2941" i="7"/>
  <c r="O2940" i="7"/>
  <c r="N2940" i="7"/>
  <c r="D2940" i="7"/>
  <c r="O2939" i="7"/>
  <c r="N2939" i="7"/>
  <c r="D2939" i="7"/>
  <c r="O2938" i="7"/>
  <c r="N2938" i="7"/>
  <c r="D2938" i="7"/>
  <c r="O2937" i="7"/>
  <c r="N2937" i="7"/>
  <c r="D2937" i="7"/>
  <c r="O2936" i="7"/>
  <c r="N2936" i="7"/>
  <c r="D2936" i="7"/>
  <c r="O2970" i="7"/>
  <c r="N2970" i="7"/>
  <c r="D2970" i="7"/>
  <c r="O2969" i="7"/>
  <c r="N2969" i="7"/>
  <c r="D2969" i="7"/>
  <c r="O2968" i="7"/>
  <c r="N2968" i="7"/>
  <c r="D2968" i="7"/>
  <c r="O2967" i="7"/>
  <c r="N2967" i="7"/>
  <c r="D2967" i="7"/>
  <c r="O2966" i="7"/>
  <c r="N2966" i="7"/>
  <c r="D2966" i="7"/>
  <c r="O2965" i="7"/>
  <c r="N2965" i="7"/>
  <c r="D2965" i="7"/>
  <c r="O2964" i="7"/>
  <c r="N2964" i="7"/>
  <c r="D2964" i="7"/>
  <c r="O2963" i="7"/>
  <c r="N2963" i="7"/>
  <c r="D2963" i="7"/>
  <c r="O2962" i="7"/>
  <c r="N2962" i="7"/>
  <c r="D2962" i="7"/>
  <c r="O2961" i="7"/>
  <c r="N2961" i="7"/>
  <c r="D2961" i="7"/>
  <c r="O2960" i="7"/>
  <c r="N2960" i="7"/>
  <c r="D2960" i="7"/>
  <c r="O2959" i="7"/>
  <c r="N2959" i="7"/>
  <c r="D2959" i="7"/>
  <c r="O2958" i="7"/>
  <c r="N2958" i="7"/>
  <c r="D2958" i="7"/>
  <c r="O2957" i="7"/>
  <c r="N2957" i="7"/>
  <c r="D2957" i="7"/>
  <c r="O2956" i="7"/>
  <c r="N2956" i="7"/>
  <c r="D2956" i="7"/>
  <c r="O2955" i="7"/>
  <c r="N2955" i="7"/>
  <c r="D2955" i="7"/>
  <c r="O2954" i="7"/>
  <c r="N2954" i="7"/>
  <c r="D2954" i="7"/>
  <c r="O2987" i="7"/>
  <c r="N2987" i="7"/>
  <c r="D2987" i="7"/>
  <c r="O2986" i="7"/>
  <c r="N2986" i="7"/>
  <c r="D2986" i="7"/>
  <c r="O2985" i="7"/>
  <c r="N2985" i="7"/>
  <c r="D2985" i="7"/>
  <c r="O2984" i="7"/>
  <c r="N2984" i="7"/>
  <c r="D2984" i="7"/>
  <c r="O2983" i="7"/>
  <c r="N2983" i="7"/>
  <c r="D2983" i="7"/>
  <c r="O2982" i="7"/>
  <c r="N2982" i="7"/>
  <c r="D2982" i="7"/>
  <c r="O2981" i="7"/>
  <c r="N2981" i="7"/>
  <c r="D2981" i="7"/>
  <c r="O2980" i="7"/>
  <c r="N2980" i="7"/>
  <c r="D2980" i="7"/>
  <c r="O2979" i="7"/>
  <c r="N2979" i="7"/>
  <c r="D2979" i="7"/>
  <c r="O2978" i="7"/>
  <c r="N2978" i="7"/>
  <c r="D2978" i="7"/>
  <c r="O2977" i="7"/>
  <c r="N2977" i="7"/>
  <c r="D2977" i="7"/>
  <c r="O2976" i="7"/>
  <c r="N2976" i="7"/>
  <c r="D2976" i="7"/>
  <c r="O2975" i="7"/>
  <c r="N2975" i="7"/>
  <c r="D2975" i="7"/>
  <c r="O2974" i="7"/>
  <c r="N2974" i="7"/>
  <c r="D2974" i="7"/>
  <c r="O2973" i="7"/>
  <c r="N2973" i="7"/>
  <c r="D2973" i="7"/>
  <c r="O2972" i="7"/>
  <c r="N2972" i="7"/>
  <c r="D2972" i="7"/>
  <c r="O2971" i="7"/>
  <c r="N2971" i="7"/>
  <c r="D2971" i="7"/>
  <c r="O3003" i="7"/>
  <c r="N3003" i="7"/>
  <c r="D3003" i="7"/>
  <c r="O3002" i="7"/>
  <c r="N3002" i="7"/>
  <c r="D3002" i="7"/>
  <c r="O3001" i="7"/>
  <c r="N3001" i="7"/>
  <c r="D3001" i="7"/>
  <c r="O3000" i="7"/>
  <c r="N3000" i="7"/>
  <c r="D3000" i="7"/>
  <c r="O2999" i="7"/>
  <c r="N2999" i="7"/>
  <c r="D2999" i="7"/>
  <c r="O2998" i="7"/>
  <c r="N2998" i="7"/>
  <c r="D2998" i="7"/>
  <c r="O2997" i="7"/>
  <c r="N2997" i="7"/>
  <c r="D2997" i="7"/>
  <c r="O2996" i="7"/>
  <c r="N2996" i="7"/>
  <c r="D2996" i="7"/>
  <c r="O2995" i="7"/>
  <c r="N2995" i="7"/>
  <c r="D2995" i="7"/>
  <c r="O2994" i="7"/>
  <c r="N2994" i="7"/>
  <c r="D2994" i="7"/>
  <c r="O2993" i="7"/>
  <c r="N2993" i="7"/>
  <c r="D2993" i="7"/>
  <c r="O2992" i="7"/>
  <c r="N2992" i="7"/>
  <c r="D2992" i="7"/>
  <c r="O2991" i="7"/>
  <c r="N2991" i="7"/>
  <c r="D2991" i="7"/>
  <c r="O2990" i="7"/>
  <c r="N2990" i="7"/>
  <c r="D2990" i="7"/>
  <c r="O2989" i="7"/>
  <c r="N2989" i="7"/>
  <c r="D2989" i="7"/>
  <c r="O2988" i="7"/>
  <c r="N2988" i="7"/>
  <c r="D2988" i="7"/>
  <c r="O3023" i="7"/>
  <c r="N3023" i="7"/>
  <c r="D3023" i="7"/>
  <c r="O3022" i="7"/>
  <c r="N3022" i="7"/>
  <c r="D3022" i="7"/>
  <c r="O3021" i="7"/>
  <c r="N3021" i="7"/>
  <c r="D3021" i="7"/>
  <c r="O3020" i="7"/>
  <c r="N3020" i="7"/>
  <c r="D3020" i="7"/>
  <c r="O3019" i="7"/>
  <c r="N3019" i="7"/>
  <c r="D3019" i="7"/>
  <c r="O3018" i="7"/>
  <c r="N3018" i="7"/>
  <c r="D3018" i="7"/>
  <c r="O3017" i="7"/>
  <c r="N3017" i="7"/>
  <c r="D3017" i="7"/>
  <c r="O3016" i="7"/>
  <c r="N3016" i="7"/>
  <c r="D3016" i="7"/>
  <c r="O3015" i="7"/>
  <c r="N3015" i="7"/>
  <c r="D3015" i="7"/>
  <c r="O3014" i="7"/>
  <c r="N3014" i="7"/>
  <c r="D3014" i="7"/>
  <c r="O3013" i="7"/>
  <c r="N3013" i="7"/>
  <c r="D3013" i="7"/>
  <c r="O3012" i="7"/>
  <c r="N3012" i="7"/>
  <c r="D3012" i="7"/>
  <c r="O3011" i="7"/>
  <c r="N3011" i="7"/>
  <c r="D3011" i="7"/>
  <c r="O3010" i="7"/>
  <c r="N3010" i="7"/>
  <c r="D3010" i="7"/>
  <c r="O3009" i="7"/>
  <c r="N3009" i="7"/>
  <c r="D3009" i="7"/>
  <c r="O3008" i="7"/>
  <c r="N3008" i="7"/>
  <c r="D3008" i="7"/>
  <c r="O3007" i="7"/>
  <c r="N3007" i="7"/>
  <c r="D3007" i="7"/>
  <c r="O3006" i="7"/>
  <c r="N3006" i="7"/>
  <c r="D3006" i="7"/>
  <c r="O3005" i="7"/>
  <c r="N3005" i="7"/>
  <c r="D3005" i="7"/>
  <c r="O3004" i="7"/>
  <c r="N3004" i="7"/>
  <c r="D3004" i="7"/>
  <c r="O3039" i="7"/>
  <c r="N3039" i="7"/>
  <c r="D3039" i="7"/>
  <c r="O3038" i="7"/>
  <c r="N3038" i="7"/>
  <c r="D3038" i="7"/>
  <c r="O3037" i="7"/>
  <c r="N3037" i="7"/>
  <c r="D3037" i="7"/>
  <c r="O3036" i="7"/>
  <c r="N3036" i="7"/>
  <c r="D3036" i="7"/>
  <c r="O3035" i="7"/>
  <c r="N3035" i="7"/>
  <c r="D3035" i="7"/>
  <c r="O3034" i="7"/>
  <c r="N3034" i="7"/>
  <c r="D3034" i="7"/>
  <c r="O3033" i="7"/>
  <c r="N3033" i="7"/>
  <c r="D3033" i="7"/>
  <c r="O3032" i="7"/>
  <c r="N3032" i="7"/>
  <c r="D3032" i="7"/>
  <c r="O3031" i="7"/>
  <c r="N3031" i="7"/>
  <c r="D3031" i="7"/>
  <c r="O3030" i="7"/>
  <c r="N3030" i="7"/>
  <c r="D3030" i="7"/>
  <c r="O3029" i="7"/>
  <c r="N3029" i="7"/>
  <c r="D3029" i="7"/>
  <c r="O3028" i="7"/>
  <c r="N3028" i="7"/>
  <c r="D3028" i="7"/>
  <c r="O3027" i="7"/>
  <c r="N3027" i="7"/>
  <c r="D3027" i="7"/>
  <c r="O3026" i="7"/>
  <c r="N3026" i="7"/>
  <c r="D3026" i="7"/>
  <c r="O3025" i="7"/>
  <c r="N3025" i="7"/>
  <c r="D3025" i="7"/>
  <c r="O3024" i="7"/>
  <c r="N3024" i="7"/>
  <c r="D3024" i="7"/>
  <c r="O3054" i="7"/>
  <c r="N3054" i="7"/>
  <c r="D3054" i="7"/>
  <c r="O3053" i="7"/>
  <c r="N3053" i="7"/>
  <c r="D3053" i="7"/>
  <c r="O3052" i="7"/>
  <c r="N3052" i="7"/>
  <c r="D3052" i="7"/>
  <c r="O3051" i="7"/>
  <c r="N3051" i="7"/>
  <c r="D3051" i="7"/>
  <c r="O3050" i="7"/>
  <c r="N3050" i="7"/>
  <c r="D3050" i="7"/>
  <c r="O3049" i="7"/>
  <c r="N3049" i="7"/>
  <c r="D3049" i="7"/>
  <c r="O3048" i="7"/>
  <c r="N3048" i="7"/>
  <c r="D3048" i="7"/>
  <c r="O3047" i="7"/>
  <c r="N3047" i="7"/>
  <c r="D3047" i="7"/>
  <c r="O3046" i="7"/>
  <c r="N3046" i="7"/>
  <c r="D3046" i="7"/>
  <c r="O3045" i="7"/>
  <c r="N3045" i="7"/>
  <c r="D3045" i="7"/>
  <c r="O3044" i="7"/>
  <c r="N3044" i="7"/>
  <c r="D3044" i="7"/>
  <c r="O3043" i="7"/>
  <c r="N3043" i="7"/>
  <c r="D3043" i="7"/>
  <c r="O3042" i="7"/>
  <c r="N3042" i="7"/>
  <c r="D3042" i="7"/>
  <c r="O3041" i="7"/>
  <c r="N3041" i="7"/>
  <c r="D3041" i="7"/>
  <c r="O3040" i="7"/>
  <c r="N3040" i="7"/>
  <c r="D3040" i="7"/>
  <c r="O3071" i="7"/>
  <c r="N3071" i="7"/>
  <c r="D3071" i="7"/>
  <c r="O3070" i="7"/>
  <c r="N3070" i="7"/>
  <c r="D3070" i="7"/>
  <c r="O3069" i="7"/>
  <c r="N3069" i="7"/>
  <c r="D3069" i="7"/>
  <c r="O3068" i="7"/>
  <c r="N3068" i="7"/>
  <c r="D3068" i="7"/>
  <c r="O3067" i="7"/>
  <c r="N3067" i="7"/>
  <c r="D3067" i="7"/>
  <c r="O3066" i="7"/>
  <c r="N3066" i="7"/>
  <c r="D3066" i="7"/>
  <c r="O3065" i="7"/>
  <c r="N3065" i="7"/>
  <c r="D3065" i="7"/>
  <c r="O3064" i="7"/>
  <c r="N3064" i="7"/>
  <c r="D3064" i="7"/>
  <c r="O3063" i="7"/>
  <c r="N3063" i="7"/>
  <c r="D3063" i="7"/>
  <c r="O3062" i="7"/>
  <c r="N3062" i="7"/>
  <c r="D3062" i="7"/>
  <c r="O3061" i="7"/>
  <c r="N3061" i="7"/>
  <c r="D3061" i="7"/>
  <c r="O3060" i="7"/>
  <c r="N3060" i="7"/>
  <c r="D3060" i="7"/>
  <c r="O3059" i="7"/>
  <c r="N3059" i="7"/>
  <c r="D3059" i="7"/>
  <c r="O3058" i="7"/>
  <c r="N3058" i="7"/>
  <c r="D3058" i="7"/>
  <c r="O3057" i="7"/>
  <c r="N3057" i="7"/>
  <c r="D3057" i="7"/>
  <c r="O3056" i="7"/>
  <c r="N3056" i="7"/>
  <c r="D3056" i="7"/>
  <c r="O3055" i="7"/>
  <c r="N3055" i="7"/>
  <c r="D3055" i="7"/>
  <c r="O3087" i="7"/>
  <c r="N3087" i="7"/>
  <c r="D3087" i="7"/>
  <c r="O3086" i="7"/>
  <c r="N3086" i="7"/>
  <c r="D3086" i="7"/>
  <c r="O3085" i="7"/>
  <c r="N3085" i="7"/>
  <c r="D3085" i="7"/>
  <c r="O3084" i="7"/>
  <c r="N3084" i="7"/>
  <c r="D3084" i="7"/>
  <c r="O3083" i="7"/>
  <c r="N3083" i="7"/>
  <c r="D3083" i="7"/>
  <c r="O3082" i="7"/>
  <c r="N3082" i="7"/>
  <c r="D3082" i="7"/>
  <c r="O3081" i="7"/>
  <c r="N3081" i="7"/>
  <c r="D3081" i="7"/>
  <c r="O3080" i="7"/>
  <c r="N3080" i="7"/>
  <c r="D3080" i="7"/>
  <c r="O3079" i="7"/>
  <c r="N3079" i="7"/>
  <c r="D3079" i="7"/>
  <c r="O3078" i="7"/>
  <c r="N3078" i="7"/>
  <c r="D3078" i="7"/>
  <c r="O3077" i="7"/>
  <c r="N3077" i="7"/>
  <c r="D3077" i="7"/>
  <c r="O3076" i="7"/>
  <c r="N3076" i="7"/>
  <c r="D3076" i="7"/>
  <c r="O3075" i="7"/>
  <c r="N3075" i="7"/>
  <c r="D3075" i="7"/>
  <c r="O3074" i="7"/>
  <c r="N3074" i="7"/>
  <c r="D3074" i="7"/>
  <c r="O3073" i="7"/>
  <c r="N3073" i="7"/>
  <c r="D3073" i="7"/>
  <c r="O3072" i="7"/>
  <c r="N3072" i="7"/>
  <c r="D3072" i="7"/>
  <c r="O3104" i="7"/>
  <c r="N3104" i="7"/>
  <c r="D3104" i="7"/>
  <c r="O3103" i="7"/>
  <c r="N3103" i="7"/>
  <c r="D3103" i="7"/>
  <c r="O3102" i="7"/>
  <c r="N3102" i="7"/>
  <c r="D3102" i="7"/>
  <c r="O3101" i="7"/>
  <c r="N3101" i="7"/>
  <c r="D3101" i="7"/>
  <c r="O3100" i="7"/>
  <c r="N3100" i="7"/>
  <c r="D3100" i="7"/>
  <c r="O3099" i="7"/>
  <c r="N3099" i="7"/>
  <c r="D3099" i="7"/>
  <c r="O3098" i="7"/>
  <c r="N3098" i="7"/>
  <c r="D3098" i="7"/>
  <c r="O3097" i="7"/>
  <c r="N3097" i="7"/>
  <c r="D3097" i="7"/>
  <c r="O3096" i="7"/>
  <c r="N3096" i="7"/>
  <c r="D3096" i="7"/>
  <c r="O3095" i="7"/>
  <c r="N3095" i="7"/>
  <c r="D3095" i="7"/>
  <c r="O3094" i="7"/>
  <c r="N3094" i="7"/>
  <c r="D3094" i="7"/>
  <c r="O3093" i="7"/>
  <c r="N3093" i="7"/>
  <c r="D3093" i="7"/>
  <c r="O3092" i="7"/>
  <c r="N3092" i="7"/>
  <c r="D3092" i="7"/>
  <c r="O3091" i="7"/>
  <c r="N3091" i="7"/>
  <c r="D3091" i="7"/>
  <c r="O3090" i="7"/>
  <c r="N3090" i="7"/>
  <c r="D3090" i="7"/>
  <c r="O3089" i="7"/>
  <c r="N3089" i="7"/>
  <c r="D3089" i="7"/>
  <c r="O3088" i="7"/>
  <c r="N3088" i="7"/>
  <c r="D3088" i="7"/>
  <c r="O3121" i="7"/>
  <c r="N3121" i="7"/>
  <c r="D3121" i="7"/>
  <c r="O3120" i="7"/>
  <c r="N3120" i="7"/>
  <c r="D3120" i="7"/>
  <c r="O3119" i="7"/>
  <c r="N3119" i="7"/>
  <c r="D3119" i="7"/>
  <c r="O3118" i="7"/>
  <c r="N3118" i="7"/>
  <c r="D3118" i="7"/>
  <c r="O3117" i="7"/>
  <c r="N3117" i="7"/>
  <c r="D3117" i="7"/>
  <c r="O3116" i="7"/>
  <c r="N3116" i="7"/>
  <c r="D3116" i="7"/>
  <c r="O3115" i="7"/>
  <c r="N3115" i="7"/>
  <c r="D3115" i="7"/>
  <c r="O3114" i="7"/>
  <c r="N3114" i="7"/>
  <c r="D3114" i="7"/>
  <c r="O3113" i="7"/>
  <c r="N3113" i="7"/>
  <c r="D3113" i="7"/>
  <c r="O3112" i="7"/>
  <c r="N3112" i="7"/>
  <c r="D3112" i="7"/>
  <c r="O3111" i="7"/>
  <c r="N3111" i="7"/>
  <c r="D3111" i="7"/>
  <c r="O3110" i="7"/>
  <c r="N3110" i="7"/>
  <c r="D3110" i="7"/>
  <c r="O3109" i="7"/>
  <c r="N3109" i="7"/>
  <c r="D3109" i="7"/>
  <c r="O3108" i="7"/>
  <c r="N3108" i="7"/>
  <c r="D3108" i="7"/>
  <c r="O3107" i="7"/>
  <c r="N3107" i="7"/>
  <c r="D3107" i="7"/>
  <c r="O3106" i="7"/>
  <c r="N3106" i="7"/>
  <c r="D3106" i="7"/>
  <c r="O3105" i="7"/>
  <c r="N3105" i="7"/>
  <c r="D3105" i="7"/>
  <c r="O3139" i="7"/>
  <c r="N3139" i="7"/>
  <c r="D3139" i="7"/>
  <c r="O3138" i="7"/>
  <c r="N3138" i="7"/>
  <c r="D3138" i="7"/>
  <c r="O3137" i="7"/>
  <c r="N3137" i="7"/>
  <c r="D3137" i="7"/>
  <c r="O3136" i="7"/>
  <c r="N3136" i="7"/>
  <c r="D3136" i="7"/>
  <c r="O3135" i="7"/>
  <c r="N3135" i="7"/>
  <c r="D3135" i="7"/>
  <c r="O3134" i="7"/>
  <c r="N3134" i="7"/>
  <c r="D3134" i="7"/>
  <c r="O3133" i="7"/>
  <c r="N3133" i="7"/>
  <c r="D3133" i="7"/>
  <c r="O3132" i="7"/>
  <c r="N3132" i="7"/>
  <c r="D3132" i="7"/>
  <c r="O3131" i="7"/>
  <c r="N3131" i="7"/>
  <c r="D3131" i="7"/>
  <c r="O3130" i="7"/>
  <c r="N3130" i="7"/>
  <c r="D3130" i="7"/>
  <c r="O3129" i="7"/>
  <c r="N3129" i="7"/>
  <c r="D3129" i="7"/>
  <c r="O3128" i="7"/>
  <c r="N3128" i="7"/>
  <c r="D3128" i="7"/>
  <c r="O3127" i="7"/>
  <c r="N3127" i="7"/>
  <c r="D3127" i="7"/>
  <c r="O3126" i="7"/>
  <c r="N3126" i="7"/>
  <c r="D3126" i="7"/>
  <c r="O3125" i="7"/>
  <c r="N3125" i="7"/>
  <c r="D3125" i="7"/>
  <c r="O3124" i="7"/>
  <c r="N3124" i="7"/>
  <c r="D3124" i="7"/>
  <c r="O3123" i="7"/>
  <c r="N3123" i="7"/>
  <c r="D3123" i="7"/>
  <c r="O3122" i="7"/>
  <c r="N3122" i="7"/>
  <c r="D3122" i="7"/>
  <c r="O3154" i="7"/>
  <c r="N3154" i="7"/>
  <c r="D3154" i="7"/>
  <c r="O3153" i="7"/>
  <c r="N3153" i="7"/>
  <c r="D3153" i="7"/>
  <c r="O3152" i="7"/>
  <c r="N3152" i="7"/>
  <c r="D3152" i="7"/>
  <c r="O3151" i="7"/>
  <c r="N3151" i="7"/>
  <c r="D3151" i="7"/>
  <c r="O3150" i="7"/>
  <c r="N3150" i="7"/>
  <c r="D3150" i="7"/>
  <c r="O3149" i="7"/>
  <c r="N3149" i="7"/>
  <c r="D3149" i="7"/>
  <c r="O3148" i="7"/>
  <c r="N3148" i="7"/>
  <c r="D3148" i="7"/>
  <c r="O3147" i="7"/>
  <c r="N3147" i="7"/>
  <c r="D3147" i="7"/>
  <c r="O3146" i="7"/>
  <c r="N3146" i="7"/>
  <c r="D3146" i="7"/>
  <c r="O3145" i="7"/>
  <c r="N3145" i="7"/>
  <c r="D3145" i="7"/>
  <c r="O3144" i="7"/>
  <c r="N3144" i="7"/>
  <c r="D3144" i="7"/>
  <c r="O3143" i="7"/>
  <c r="N3143" i="7"/>
  <c r="D3143" i="7"/>
  <c r="O3142" i="7"/>
  <c r="N3142" i="7"/>
  <c r="D3142" i="7"/>
  <c r="O3141" i="7"/>
  <c r="N3141" i="7"/>
  <c r="D3141" i="7"/>
  <c r="O3140" i="7"/>
  <c r="N3140" i="7"/>
  <c r="D3140" i="7"/>
  <c r="O3171" i="7"/>
  <c r="N3171" i="7"/>
  <c r="D3171" i="7"/>
  <c r="O3170" i="7"/>
  <c r="N3170" i="7"/>
  <c r="D3170" i="7"/>
  <c r="O3169" i="7"/>
  <c r="N3169" i="7"/>
  <c r="D3169" i="7"/>
  <c r="O3168" i="7"/>
  <c r="N3168" i="7"/>
  <c r="D3168" i="7"/>
  <c r="O3167" i="7"/>
  <c r="N3167" i="7"/>
  <c r="D3167" i="7"/>
  <c r="O3166" i="7"/>
  <c r="N3166" i="7"/>
  <c r="D3166" i="7"/>
  <c r="O3165" i="7"/>
  <c r="N3165" i="7"/>
  <c r="D3165" i="7"/>
  <c r="O3164" i="7"/>
  <c r="N3164" i="7"/>
  <c r="D3164" i="7"/>
  <c r="O3163" i="7"/>
  <c r="N3163" i="7"/>
  <c r="D3163" i="7"/>
  <c r="O3162" i="7"/>
  <c r="N3162" i="7"/>
  <c r="D3162" i="7"/>
  <c r="O3161" i="7"/>
  <c r="N3161" i="7"/>
  <c r="D3161" i="7"/>
  <c r="O3160" i="7"/>
  <c r="N3160" i="7"/>
  <c r="D3160" i="7"/>
  <c r="O3159" i="7"/>
  <c r="N3159" i="7"/>
  <c r="D3159" i="7"/>
  <c r="O3158" i="7"/>
  <c r="N3158" i="7"/>
  <c r="D3158" i="7"/>
  <c r="O3157" i="7"/>
  <c r="N3157" i="7"/>
  <c r="D3157" i="7"/>
  <c r="O3156" i="7"/>
  <c r="N3156" i="7"/>
  <c r="D3156" i="7"/>
  <c r="O3155" i="7"/>
  <c r="N3155" i="7"/>
  <c r="D3155" i="7"/>
  <c r="O3187" i="7"/>
  <c r="N3187" i="7"/>
  <c r="D3187" i="7"/>
  <c r="O3186" i="7"/>
  <c r="N3186" i="7"/>
  <c r="D3186" i="7"/>
  <c r="O3185" i="7"/>
  <c r="N3185" i="7"/>
  <c r="D3185" i="7"/>
  <c r="O3184" i="7"/>
  <c r="N3184" i="7"/>
  <c r="D3184" i="7"/>
  <c r="O3183" i="7"/>
  <c r="N3183" i="7"/>
  <c r="D3183" i="7"/>
  <c r="O3182" i="7"/>
  <c r="N3182" i="7"/>
  <c r="D3182" i="7"/>
  <c r="O3181" i="7"/>
  <c r="N3181" i="7"/>
  <c r="D3181" i="7"/>
  <c r="O3180" i="7"/>
  <c r="N3180" i="7"/>
  <c r="D3180" i="7"/>
  <c r="O3179" i="7"/>
  <c r="N3179" i="7"/>
  <c r="D3179" i="7"/>
  <c r="O3178" i="7"/>
  <c r="N3178" i="7"/>
  <c r="D3178" i="7"/>
  <c r="O3177" i="7"/>
  <c r="N3177" i="7"/>
  <c r="D3177" i="7"/>
  <c r="O3176" i="7"/>
  <c r="N3176" i="7"/>
  <c r="D3176" i="7"/>
  <c r="O3175" i="7"/>
  <c r="N3175" i="7"/>
  <c r="D3175" i="7"/>
  <c r="O3174" i="7"/>
  <c r="N3174" i="7"/>
  <c r="D3174" i="7"/>
  <c r="O3173" i="7"/>
  <c r="N3173" i="7"/>
  <c r="D3173" i="7"/>
  <c r="O3172" i="7"/>
  <c r="N3172" i="7"/>
  <c r="D3172" i="7"/>
  <c r="O3206" i="7"/>
  <c r="N3206" i="7"/>
  <c r="D3206" i="7"/>
  <c r="O3205" i="7"/>
  <c r="N3205" i="7"/>
  <c r="D3205" i="7"/>
  <c r="O3204" i="7"/>
  <c r="N3204" i="7"/>
  <c r="D3204" i="7"/>
  <c r="O3203" i="7"/>
  <c r="N3203" i="7"/>
  <c r="D3203" i="7"/>
  <c r="O3202" i="7"/>
  <c r="N3202" i="7"/>
  <c r="D3202" i="7"/>
  <c r="O3201" i="7"/>
  <c r="N3201" i="7"/>
  <c r="D3201" i="7"/>
  <c r="O3200" i="7"/>
  <c r="N3200" i="7"/>
  <c r="D3200" i="7"/>
  <c r="O3199" i="7"/>
  <c r="N3199" i="7"/>
  <c r="D3199" i="7"/>
  <c r="O3198" i="7"/>
  <c r="N3198" i="7"/>
  <c r="D3198" i="7"/>
  <c r="O3197" i="7"/>
  <c r="N3197" i="7"/>
  <c r="D3197" i="7"/>
  <c r="O3196" i="7"/>
  <c r="N3196" i="7"/>
  <c r="D3196" i="7"/>
  <c r="O3195" i="7"/>
  <c r="N3195" i="7"/>
  <c r="D3195" i="7"/>
  <c r="O3194" i="7"/>
  <c r="N3194" i="7"/>
  <c r="D3194" i="7"/>
  <c r="O3193" i="7"/>
  <c r="N3193" i="7"/>
  <c r="D3193" i="7"/>
  <c r="O3192" i="7"/>
  <c r="N3192" i="7"/>
  <c r="D3192" i="7"/>
  <c r="O3191" i="7"/>
  <c r="N3191" i="7"/>
  <c r="D3191" i="7"/>
  <c r="O3190" i="7"/>
  <c r="N3190" i="7"/>
  <c r="D3190" i="7"/>
  <c r="O3189" i="7"/>
  <c r="N3189" i="7"/>
  <c r="D3189" i="7"/>
  <c r="O3188" i="7"/>
  <c r="N3188" i="7"/>
  <c r="D3188" i="7"/>
  <c r="O3220" i="7"/>
  <c r="N3220" i="7"/>
  <c r="D3220" i="7"/>
  <c r="O3219" i="7"/>
  <c r="N3219" i="7"/>
  <c r="D3219" i="7"/>
  <c r="O3218" i="7"/>
  <c r="N3218" i="7"/>
  <c r="D3218" i="7"/>
  <c r="O3217" i="7"/>
  <c r="N3217" i="7"/>
  <c r="D3217" i="7"/>
  <c r="O3216" i="7"/>
  <c r="N3216" i="7"/>
  <c r="D3216" i="7"/>
  <c r="O3215" i="7"/>
  <c r="N3215" i="7"/>
  <c r="D3215" i="7"/>
  <c r="O3214" i="7"/>
  <c r="N3214" i="7"/>
  <c r="D3214" i="7"/>
  <c r="O3213" i="7"/>
  <c r="N3213" i="7"/>
  <c r="D3213" i="7"/>
  <c r="O3212" i="7"/>
  <c r="N3212" i="7"/>
  <c r="D3212" i="7"/>
  <c r="O3211" i="7"/>
  <c r="N3211" i="7"/>
  <c r="D3211" i="7"/>
  <c r="O3210" i="7"/>
  <c r="N3210" i="7"/>
  <c r="D3210" i="7"/>
  <c r="O3209" i="7"/>
  <c r="N3209" i="7"/>
  <c r="D3209" i="7"/>
  <c r="O3208" i="7"/>
  <c r="N3208" i="7"/>
  <c r="D3208" i="7"/>
  <c r="O3207" i="7"/>
  <c r="N3207" i="7"/>
  <c r="D3207" i="7"/>
  <c r="O3235" i="7"/>
  <c r="N3235" i="7"/>
  <c r="D3235" i="7"/>
  <c r="O3234" i="7"/>
  <c r="N3234" i="7"/>
  <c r="D3234" i="7"/>
  <c r="O3233" i="7"/>
  <c r="N3233" i="7"/>
  <c r="D3233" i="7"/>
  <c r="O3232" i="7"/>
  <c r="N3232" i="7"/>
  <c r="D3232" i="7"/>
  <c r="O3231" i="7"/>
  <c r="N3231" i="7"/>
  <c r="D3231" i="7"/>
  <c r="O3230" i="7"/>
  <c r="N3230" i="7"/>
  <c r="D3230" i="7"/>
  <c r="O3229" i="7"/>
  <c r="N3229" i="7"/>
  <c r="D3229" i="7"/>
  <c r="O3228" i="7"/>
  <c r="N3228" i="7"/>
  <c r="D3228" i="7"/>
  <c r="O3227" i="7"/>
  <c r="N3227" i="7"/>
  <c r="D3227" i="7"/>
  <c r="O3226" i="7"/>
  <c r="N3226" i="7"/>
  <c r="D3226" i="7"/>
  <c r="O3225" i="7"/>
  <c r="N3225" i="7"/>
  <c r="D3225" i="7"/>
  <c r="O3224" i="7"/>
  <c r="N3224" i="7"/>
  <c r="D3224" i="7"/>
  <c r="O3223" i="7"/>
  <c r="N3223" i="7"/>
  <c r="D3223" i="7"/>
  <c r="O3222" i="7"/>
  <c r="N3222" i="7"/>
  <c r="D3222" i="7"/>
  <c r="O3221" i="7"/>
  <c r="N3221" i="7"/>
  <c r="D3221" i="7"/>
  <c r="O3251" i="7"/>
  <c r="N3251" i="7"/>
  <c r="D3251" i="7"/>
  <c r="O3250" i="7"/>
  <c r="N3250" i="7"/>
  <c r="D3250" i="7"/>
  <c r="O3249" i="7"/>
  <c r="N3249" i="7"/>
  <c r="D3249" i="7"/>
  <c r="O3248" i="7"/>
  <c r="N3248" i="7"/>
  <c r="D3248" i="7"/>
  <c r="O3247" i="7"/>
  <c r="N3247" i="7"/>
  <c r="D3247" i="7"/>
  <c r="O3246" i="7"/>
  <c r="N3246" i="7"/>
  <c r="D3246" i="7"/>
  <c r="O3245" i="7"/>
  <c r="N3245" i="7"/>
  <c r="D3245" i="7"/>
  <c r="O3244" i="7"/>
  <c r="N3244" i="7"/>
  <c r="D3244" i="7"/>
  <c r="O3243" i="7"/>
  <c r="N3243" i="7"/>
  <c r="D3243" i="7"/>
  <c r="O3242" i="7"/>
  <c r="N3242" i="7"/>
  <c r="D3242" i="7"/>
  <c r="O3241" i="7"/>
  <c r="N3241" i="7"/>
  <c r="D3241" i="7"/>
  <c r="O3240" i="7"/>
  <c r="N3240" i="7"/>
  <c r="D3240" i="7"/>
  <c r="O3239" i="7"/>
  <c r="N3239" i="7"/>
  <c r="D3239" i="7"/>
  <c r="O3238" i="7"/>
  <c r="N3238" i="7"/>
  <c r="D3238" i="7"/>
  <c r="O3237" i="7"/>
  <c r="N3237" i="7"/>
  <c r="D3237" i="7"/>
  <c r="O3236" i="7"/>
  <c r="N3236" i="7"/>
  <c r="D3236" i="7"/>
  <c r="O3268" i="7"/>
  <c r="N3268" i="7"/>
  <c r="D3268" i="7"/>
  <c r="O3267" i="7"/>
  <c r="N3267" i="7"/>
  <c r="D3267" i="7"/>
  <c r="O3266" i="7"/>
  <c r="N3266" i="7"/>
  <c r="D3266" i="7"/>
  <c r="O3265" i="7"/>
  <c r="N3265" i="7"/>
  <c r="D3265" i="7"/>
  <c r="O3264" i="7"/>
  <c r="N3264" i="7"/>
  <c r="D3264" i="7"/>
  <c r="O3263" i="7"/>
  <c r="N3263" i="7"/>
  <c r="D3263" i="7"/>
  <c r="O3262" i="7"/>
  <c r="N3262" i="7"/>
  <c r="D3262" i="7"/>
  <c r="O3261" i="7"/>
  <c r="N3261" i="7"/>
  <c r="D3261" i="7"/>
  <c r="O3260" i="7"/>
  <c r="N3260" i="7"/>
  <c r="D3260" i="7"/>
  <c r="O3259" i="7"/>
  <c r="N3259" i="7"/>
  <c r="D3259" i="7"/>
  <c r="O3258" i="7"/>
  <c r="N3258" i="7"/>
  <c r="D3258" i="7"/>
  <c r="O3257" i="7"/>
  <c r="N3257" i="7"/>
  <c r="D3257" i="7"/>
  <c r="O3256" i="7"/>
  <c r="N3256" i="7"/>
  <c r="D3256" i="7"/>
  <c r="O3255" i="7"/>
  <c r="N3255" i="7"/>
  <c r="D3255" i="7"/>
  <c r="O3254" i="7"/>
  <c r="N3254" i="7"/>
  <c r="D3254" i="7"/>
  <c r="O3253" i="7"/>
  <c r="N3253" i="7"/>
  <c r="D3253" i="7"/>
  <c r="O3252" i="7"/>
  <c r="N3252" i="7"/>
  <c r="D3252" i="7"/>
  <c r="O3282" i="7"/>
  <c r="N3282" i="7"/>
  <c r="D3282" i="7"/>
  <c r="O3281" i="7"/>
  <c r="N3281" i="7"/>
  <c r="D3281" i="7"/>
  <c r="O3280" i="7"/>
  <c r="N3280" i="7"/>
  <c r="D3280" i="7"/>
  <c r="O3279" i="7"/>
  <c r="N3279" i="7"/>
  <c r="D3279" i="7"/>
  <c r="O3278" i="7"/>
  <c r="N3278" i="7"/>
  <c r="D3278" i="7"/>
  <c r="O3277" i="7"/>
  <c r="N3277" i="7"/>
  <c r="D3277" i="7"/>
  <c r="O3276" i="7"/>
  <c r="N3276" i="7"/>
  <c r="D3276" i="7"/>
  <c r="O3275" i="7"/>
  <c r="N3275" i="7"/>
  <c r="D3275" i="7"/>
  <c r="O3274" i="7"/>
  <c r="N3274" i="7"/>
  <c r="D3274" i="7"/>
  <c r="O3273" i="7"/>
  <c r="N3273" i="7"/>
  <c r="D3273" i="7"/>
  <c r="O3272" i="7"/>
  <c r="N3272" i="7"/>
  <c r="D3272" i="7"/>
  <c r="O3271" i="7"/>
  <c r="N3271" i="7"/>
  <c r="D3271" i="7"/>
  <c r="O3270" i="7"/>
  <c r="N3270" i="7"/>
  <c r="D3270" i="7"/>
  <c r="O3269" i="7"/>
  <c r="N3269" i="7"/>
  <c r="D3269" i="7"/>
  <c r="O3298" i="7"/>
  <c r="N3298" i="7"/>
  <c r="D3298" i="7"/>
  <c r="O3297" i="7"/>
  <c r="N3297" i="7"/>
  <c r="D3297" i="7"/>
  <c r="O3296" i="7"/>
  <c r="N3296" i="7"/>
  <c r="D3296" i="7"/>
  <c r="O3295" i="7"/>
  <c r="N3295" i="7"/>
  <c r="D3295" i="7"/>
  <c r="O3294" i="7"/>
  <c r="N3294" i="7"/>
  <c r="D3294" i="7"/>
  <c r="O3293" i="7"/>
  <c r="N3293" i="7"/>
  <c r="D3293" i="7"/>
  <c r="O3292" i="7"/>
  <c r="N3292" i="7"/>
  <c r="D3292" i="7"/>
  <c r="O3291" i="7"/>
  <c r="N3291" i="7"/>
  <c r="D3291" i="7"/>
  <c r="O3290" i="7"/>
  <c r="N3290" i="7"/>
  <c r="D3290" i="7"/>
  <c r="O3289" i="7"/>
  <c r="N3289" i="7"/>
  <c r="D3289" i="7"/>
  <c r="O3288" i="7"/>
  <c r="N3288" i="7"/>
  <c r="D3288" i="7"/>
  <c r="O3287" i="7"/>
  <c r="N3287" i="7"/>
  <c r="D3287" i="7"/>
  <c r="O3286" i="7"/>
  <c r="N3286" i="7"/>
  <c r="D3286" i="7"/>
  <c r="O3285" i="7"/>
  <c r="N3285" i="7"/>
  <c r="D3285" i="7"/>
  <c r="O3284" i="7"/>
  <c r="N3284" i="7"/>
  <c r="D3284" i="7"/>
  <c r="O3283" i="7"/>
  <c r="N3283" i="7"/>
  <c r="D3283" i="7"/>
  <c r="O3316" i="7"/>
  <c r="N3316" i="7"/>
  <c r="D3316" i="7"/>
  <c r="O3315" i="7"/>
  <c r="N3315" i="7"/>
  <c r="D3315" i="7"/>
  <c r="O3314" i="7"/>
  <c r="N3314" i="7"/>
  <c r="D3314" i="7"/>
  <c r="O3313" i="7"/>
  <c r="N3313" i="7"/>
  <c r="D3313" i="7"/>
  <c r="O3312" i="7"/>
  <c r="N3312" i="7"/>
  <c r="D3312" i="7"/>
  <c r="O3311" i="7"/>
  <c r="N3311" i="7"/>
  <c r="D3311" i="7"/>
  <c r="O3310" i="7"/>
  <c r="N3310" i="7"/>
  <c r="D3310" i="7"/>
  <c r="O3309" i="7"/>
  <c r="N3309" i="7"/>
  <c r="D3309" i="7"/>
  <c r="O3308" i="7"/>
  <c r="N3308" i="7"/>
  <c r="D3308" i="7"/>
  <c r="O3307" i="7"/>
  <c r="N3307" i="7"/>
  <c r="D3307" i="7"/>
  <c r="O3306" i="7"/>
  <c r="N3306" i="7"/>
  <c r="D3306" i="7"/>
  <c r="O3305" i="7"/>
  <c r="N3305" i="7"/>
  <c r="D3305" i="7"/>
  <c r="O3304" i="7"/>
  <c r="N3304" i="7"/>
  <c r="D3304" i="7"/>
  <c r="O3303" i="7"/>
  <c r="N3303" i="7"/>
  <c r="D3303" i="7"/>
  <c r="O3302" i="7"/>
  <c r="N3302" i="7"/>
  <c r="D3302" i="7"/>
  <c r="O3301" i="7"/>
  <c r="N3301" i="7"/>
  <c r="D3301" i="7"/>
  <c r="O3300" i="7"/>
  <c r="N3300" i="7"/>
  <c r="D3300" i="7"/>
  <c r="O3299" i="7"/>
  <c r="N3299" i="7"/>
  <c r="D3299" i="7"/>
  <c r="O3340" i="7"/>
  <c r="N3340" i="7"/>
  <c r="D3340" i="7"/>
  <c r="O3339" i="7"/>
  <c r="N3339" i="7"/>
  <c r="D3339" i="7"/>
  <c r="O3338" i="7"/>
  <c r="N3338" i="7"/>
  <c r="D3338" i="7"/>
  <c r="O3337" i="7"/>
  <c r="N3337" i="7"/>
  <c r="D3337" i="7"/>
  <c r="O3336" i="7"/>
  <c r="N3336" i="7"/>
  <c r="D3336" i="7"/>
  <c r="O3335" i="7"/>
  <c r="N3335" i="7"/>
  <c r="D3335" i="7"/>
  <c r="O3334" i="7"/>
  <c r="N3334" i="7"/>
  <c r="D3334" i="7"/>
  <c r="O3333" i="7"/>
  <c r="N3333" i="7"/>
  <c r="D3333" i="7"/>
  <c r="O3332" i="7"/>
  <c r="N3332" i="7"/>
  <c r="D3332" i="7"/>
  <c r="O3331" i="7"/>
  <c r="N3331" i="7"/>
  <c r="D3331" i="7"/>
  <c r="O3330" i="7"/>
  <c r="N3330" i="7"/>
  <c r="D3330" i="7"/>
  <c r="O3329" i="7"/>
  <c r="N3329" i="7"/>
  <c r="D3329" i="7"/>
  <c r="O3328" i="7"/>
  <c r="N3328" i="7"/>
  <c r="D3328" i="7"/>
  <c r="O3327" i="7"/>
  <c r="N3327" i="7"/>
  <c r="D3327" i="7"/>
  <c r="O3326" i="7"/>
  <c r="N3326" i="7"/>
  <c r="D3326" i="7"/>
  <c r="O3325" i="7"/>
  <c r="N3325" i="7"/>
  <c r="D3325" i="7"/>
  <c r="O3324" i="7"/>
  <c r="N3324" i="7"/>
  <c r="D3324" i="7"/>
  <c r="O3323" i="7"/>
  <c r="N3323" i="7"/>
  <c r="D3323" i="7"/>
  <c r="O3322" i="7"/>
  <c r="N3322" i="7"/>
  <c r="D3322" i="7"/>
  <c r="O3321" i="7"/>
  <c r="N3321" i="7"/>
  <c r="D3321" i="7"/>
  <c r="O3320" i="7"/>
  <c r="N3320" i="7"/>
  <c r="D3320" i="7"/>
  <c r="O3319" i="7"/>
  <c r="N3319" i="7"/>
  <c r="D3319" i="7"/>
  <c r="O3318" i="7"/>
  <c r="N3318" i="7"/>
  <c r="D3318" i="7"/>
  <c r="O3317" i="7"/>
  <c r="N3317" i="7"/>
  <c r="D3317" i="7"/>
  <c r="O3357" i="7"/>
  <c r="N3357" i="7"/>
  <c r="D3357" i="7"/>
  <c r="O3356" i="7"/>
  <c r="N3356" i="7"/>
  <c r="D3356" i="7"/>
  <c r="O3355" i="7"/>
  <c r="N3355" i="7"/>
  <c r="D3355" i="7"/>
  <c r="O3354" i="7"/>
  <c r="N3354" i="7"/>
  <c r="D3354" i="7"/>
  <c r="O3353" i="7"/>
  <c r="N3353" i="7"/>
  <c r="D3353" i="7"/>
  <c r="O3352" i="7"/>
  <c r="N3352" i="7"/>
  <c r="D3352" i="7"/>
  <c r="O3351" i="7"/>
  <c r="N3351" i="7"/>
  <c r="D3351" i="7"/>
  <c r="O3350" i="7"/>
  <c r="N3350" i="7"/>
  <c r="D3350" i="7"/>
  <c r="O3349" i="7"/>
  <c r="N3349" i="7"/>
  <c r="D3349" i="7"/>
  <c r="O3348" i="7"/>
  <c r="N3348" i="7"/>
  <c r="D3348" i="7"/>
  <c r="O3347" i="7"/>
  <c r="N3347" i="7"/>
  <c r="D3347" i="7"/>
  <c r="O3346" i="7"/>
  <c r="N3346" i="7"/>
  <c r="D3346" i="7"/>
  <c r="O3345" i="7"/>
  <c r="N3345" i="7"/>
  <c r="D3345" i="7"/>
  <c r="O3344" i="7"/>
  <c r="N3344" i="7"/>
  <c r="D3344" i="7"/>
  <c r="O3343" i="7"/>
  <c r="N3343" i="7"/>
  <c r="D3343" i="7"/>
  <c r="O3342" i="7"/>
  <c r="N3342" i="7"/>
  <c r="D3342" i="7"/>
  <c r="O3341" i="7"/>
  <c r="N3341" i="7"/>
  <c r="D3341" i="7"/>
  <c r="O3378" i="7"/>
  <c r="N3378" i="7"/>
  <c r="D3378" i="7"/>
  <c r="O3377" i="7"/>
  <c r="N3377" i="7"/>
  <c r="D3377" i="7"/>
  <c r="O3376" i="7"/>
  <c r="N3376" i="7"/>
  <c r="D3376" i="7"/>
  <c r="O3375" i="7"/>
  <c r="N3375" i="7"/>
  <c r="D3375" i="7"/>
  <c r="O3374" i="7"/>
  <c r="N3374" i="7"/>
  <c r="D3374" i="7"/>
  <c r="O3373" i="7"/>
  <c r="N3373" i="7"/>
  <c r="D3373" i="7"/>
  <c r="O3372" i="7"/>
  <c r="N3372" i="7"/>
  <c r="D3372" i="7"/>
  <c r="O3371" i="7"/>
  <c r="N3371" i="7"/>
  <c r="D3371" i="7"/>
  <c r="O3370" i="7"/>
  <c r="N3370" i="7"/>
  <c r="D3370" i="7"/>
  <c r="O3369" i="7"/>
  <c r="N3369" i="7"/>
  <c r="D3369" i="7"/>
  <c r="O3368" i="7"/>
  <c r="N3368" i="7"/>
  <c r="D3368" i="7"/>
  <c r="O3367" i="7"/>
  <c r="N3367" i="7"/>
  <c r="D3367" i="7"/>
  <c r="O3366" i="7"/>
  <c r="N3366" i="7"/>
  <c r="D3366" i="7"/>
  <c r="O3365" i="7"/>
  <c r="N3365" i="7"/>
  <c r="D3365" i="7"/>
  <c r="O3364" i="7"/>
  <c r="N3364" i="7"/>
  <c r="D3364" i="7"/>
  <c r="O3363" i="7"/>
  <c r="N3363" i="7"/>
  <c r="D3363" i="7"/>
  <c r="O3362" i="7"/>
  <c r="N3362" i="7"/>
  <c r="D3362" i="7"/>
  <c r="O3361" i="7"/>
  <c r="N3361" i="7"/>
  <c r="D3361" i="7"/>
  <c r="O3360" i="7"/>
  <c r="N3360" i="7"/>
  <c r="D3360" i="7"/>
  <c r="O3359" i="7"/>
  <c r="N3359" i="7"/>
  <c r="D3359" i="7"/>
  <c r="O3358" i="7"/>
  <c r="N3358" i="7"/>
  <c r="D3358" i="7"/>
  <c r="O3392" i="7"/>
  <c r="N3392" i="7"/>
  <c r="D3392" i="7"/>
  <c r="O3391" i="7"/>
  <c r="N3391" i="7"/>
  <c r="D3391" i="7"/>
  <c r="O3390" i="7"/>
  <c r="N3390" i="7"/>
  <c r="D3390" i="7"/>
  <c r="O3389" i="7"/>
  <c r="N3389" i="7"/>
  <c r="D3389" i="7"/>
  <c r="O3388" i="7"/>
  <c r="N3388" i="7"/>
  <c r="D3388" i="7"/>
  <c r="O3387" i="7"/>
  <c r="N3387" i="7"/>
  <c r="D3387" i="7"/>
  <c r="O3386" i="7"/>
  <c r="N3386" i="7"/>
  <c r="D3386" i="7"/>
  <c r="O3385" i="7"/>
  <c r="N3385" i="7"/>
  <c r="D3385" i="7"/>
  <c r="O3384" i="7"/>
  <c r="N3384" i="7"/>
  <c r="D3384" i="7"/>
  <c r="O3383" i="7"/>
  <c r="N3383" i="7"/>
  <c r="D3383" i="7"/>
  <c r="O3382" i="7"/>
  <c r="N3382" i="7"/>
  <c r="D3382" i="7"/>
  <c r="O3381" i="7"/>
  <c r="N3381" i="7"/>
  <c r="D3381" i="7"/>
  <c r="O3380" i="7"/>
  <c r="N3380" i="7"/>
  <c r="D3380" i="7"/>
  <c r="O3379" i="7"/>
  <c r="N3379" i="7"/>
  <c r="D3379" i="7"/>
  <c r="O3407" i="7"/>
  <c r="N3407" i="7"/>
  <c r="D3407" i="7"/>
  <c r="O3406" i="7"/>
  <c r="N3406" i="7"/>
  <c r="D3406" i="7"/>
  <c r="O3405" i="7"/>
  <c r="N3405" i="7"/>
  <c r="D3405" i="7"/>
  <c r="O3404" i="7"/>
  <c r="N3404" i="7"/>
  <c r="D3404" i="7"/>
  <c r="O3403" i="7"/>
  <c r="N3403" i="7"/>
  <c r="D3403" i="7"/>
  <c r="O3402" i="7"/>
  <c r="N3402" i="7"/>
  <c r="D3402" i="7"/>
  <c r="O3401" i="7"/>
  <c r="N3401" i="7"/>
  <c r="D3401" i="7"/>
  <c r="O3400" i="7"/>
  <c r="N3400" i="7"/>
  <c r="D3400" i="7"/>
  <c r="O3399" i="7"/>
  <c r="N3399" i="7"/>
  <c r="D3399" i="7"/>
  <c r="O3398" i="7"/>
  <c r="N3398" i="7"/>
  <c r="D3398" i="7"/>
  <c r="O3397" i="7"/>
  <c r="N3397" i="7"/>
  <c r="D3397" i="7"/>
  <c r="O3396" i="7"/>
  <c r="N3396" i="7"/>
  <c r="D3396" i="7"/>
  <c r="O3395" i="7"/>
  <c r="N3395" i="7"/>
  <c r="D3395" i="7"/>
  <c r="O3394" i="7"/>
  <c r="N3394" i="7"/>
  <c r="D3394" i="7"/>
  <c r="O3393" i="7"/>
  <c r="N3393" i="7"/>
  <c r="D3393" i="7"/>
  <c r="O3423" i="7"/>
  <c r="N3423" i="7"/>
  <c r="D3423" i="7"/>
  <c r="O3422" i="7"/>
  <c r="N3422" i="7"/>
  <c r="D3422" i="7"/>
  <c r="O3421" i="7"/>
  <c r="N3421" i="7"/>
  <c r="D3421" i="7"/>
  <c r="O3420" i="7"/>
  <c r="N3420" i="7"/>
  <c r="D3420" i="7"/>
  <c r="O3419" i="7"/>
  <c r="N3419" i="7"/>
  <c r="D3419" i="7"/>
  <c r="O3418" i="7"/>
  <c r="N3418" i="7"/>
  <c r="D3418" i="7"/>
  <c r="O3417" i="7"/>
  <c r="N3417" i="7"/>
  <c r="D3417" i="7"/>
  <c r="O3416" i="7"/>
  <c r="N3416" i="7"/>
  <c r="D3416" i="7"/>
  <c r="O3415" i="7"/>
  <c r="N3415" i="7"/>
  <c r="D3415" i="7"/>
  <c r="O3414" i="7"/>
  <c r="N3414" i="7"/>
  <c r="D3414" i="7"/>
  <c r="O3413" i="7"/>
  <c r="N3413" i="7"/>
  <c r="D3413" i="7"/>
  <c r="O3412" i="7"/>
  <c r="N3412" i="7"/>
  <c r="D3412" i="7"/>
  <c r="O3411" i="7"/>
  <c r="N3411" i="7"/>
  <c r="D3411" i="7"/>
  <c r="O3410" i="7"/>
  <c r="N3410" i="7"/>
  <c r="D3410" i="7"/>
  <c r="O3409" i="7"/>
  <c r="N3409" i="7"/>
  <c r="D3409" i="7"/>
  <c r="O3408" i="7"/>
  <c r="N3408" i="7"/>
  <c r="D3408" i="7"/>
  <c r="O3439" i="7"/>
  <c r="N3439" i="7"/>
  <c r="D3439" i="7"/>
  <c r="O3438" i="7"/>
  <c r="N3438" i="7"/>
  <c r="D3438" i="7"/>
  <c r="O3437" i="7"/>
  <c r="N3437" i="7"/>
  <c r="D3437" i="7"/>
  <c r="O3436" i="7"/>
  <c r="N3436" i="7"/>
  <c r="D3436" i="7"/>
  <c r="O3435" i="7"/>
  <c r="N3435" i="7"/>
  <c r="D3435" i="7"/>
  <c r="O3434" i="7"/>
  <c r="N3434" i="7"/>
  <c r="D3434" i="7"/>
  <c r="O3433" i="7"/>
  <c r="N3433" i="7"/>
  <c r="D3433" i="7"/>
  <c r="O3432" i="7"/>
  <c r="N3432" i="7"/>
  <c r="D3432" i="7"/>
  <c r="O3431" i="7"/>
  <c r="N3431" i="7"/>
  <c r="D3431" i="7"/>
  <c r="O3430" i="7"/>
  <c r="N3430" i="7"/>
  <c r="D3430" i="7"/>
  <c r="O3429" i="7"/>
  <c r="N3429" i="7"/>
  <c r="D3429" i="7"/>
  <c r="O3428" i="7"/>
  <c r="N3428" i="7"/>
  <c r="D3428" i="7"/>
  <c r="O3427" i="7"/>
  <c r="N3427" i="7"/>
  <c r="D3427" i="7"/>
  <c r="O3426" i="7"/>
  <c r="N3426" i="7"/>
  <c r="D3426" i="7"/>
  <c r="O3425" i="7"/>
  <c r="N3425" i="7"/>
  <c r="D3425" i="7"/>
  <c r="O3424" i="7"/>
  <c r="N3424" i="7"/>
  <c r="D3424" i="7"/>
  <c r="O3458" i="7"/>
  <c r="N3458" i="7"/>
  <c r="D3458" i="7"/>
  <c r="O3457" i="7"/>
  <c r="N3457" i="7"/>
  <c r="D3457" i="7"/>
  <c r="O3456" i="7"/>
  <c r="N3456" i="7"/>
  <c r="D3456" i="7"/>
  <c r="O3455" i="7"/>
  <c r="N3455" i="7"/>
  <c r="D3455" i="7"/>
  <c r="O3454" i="7"/>
  <c r="N3454" i="7"/>
  <c r="D3454" i="7"/>
  <c r="O3453" i="7"/>
  <c r="N3453" i="7"/>
  <c r="D3453" i="7"/>
  <c r="O3452" i="7"/>
  <c r="N3452" i="7"/>
  <c r="D3452" i="7"/>
  <c r="O3451" i="7"/>
  <c r="N3451" i="7"/>
  <c r="D3451" i="7"/>
  <c r="O3450" i="7"/>
  <c r="N3450" i="7"/>
  <c r="D3450" i="7"/>
  <c r="O3449" i="7"/>
  <c r="N3449" i="7"/>
  <c r="D3449" i="7"/>
  <c r="O3448" i="7"/>
  <c r="N3448" i="7"/>
  <c r="D3448" i="7"/>
  <c r="O3447" i="7"/>
  <c r="N3447" i="7"/>
  <c r="D3447" i="7"/>
  <c r="O3446" i="7"/>
  <c r="N3446" i="7"/>
  <c r="D3446" i="7"/>
  <c r="O3445" i="7"/>
  <c r="N3445" i="7"/>
  <c r="D3445" i="7"/>
  <c r="O3444" i="7"/>
  <c r="N3444" i="7"/>
  <c r="D3444" i="7"/>
  <c r="O3443" i="7"/>
  <c r="N3443" i="7"/>
  <c r="D3443" i="7"/>
  <c r="O3442" i="7"/>
  <c r="N3442" i="7"/>
  <c r="D3442" i="7"/>
  <c r="O3441" i="7"/>
  <c r="N3441" i="7"/>
  <c r="D3441" i="7"/>
  <c r="O3440" i="7"/>
  <c r="N3440" i="7"/>
  <c r="D3440" i="7"/>
  <c r="O3476" i="7"/>
  <c r="N3476" i="7"/>
  <c r="D3476" i="7"/>
  <c r="O3475" i="7"/>
  <c r="N3475" i="7"/>
  <c r="D3475" i="7"/>
  <c r="O3474" i="7"/>
  <c r="N3474" i="7"/>
  <c r="D3474" i="7"/>
  <c r="O3473" i="7"/>
  <c r="N3473" i="7"/>
  <c r="D3473" i="7"/>
  <c r="O3472" i="7"/>
  <c r="N3472" i="7"/>
  <c r="D3472" i="7"/>
  <c r="O3471" i="7"/>
  <c r="N3471" i="7"/>
  <c r="D3471" i="7"/>
  <c r="O3470" i="7"/>
  <c r="N3470" i="7"/>
  <c r="D3470" i="7"/>
  <c r="O3469" i="7"/>
  <c r="N3469" i="7"/>
  <c r="D3469" i="7"/>
  <c r="O3468" i="7"/>
  <c r="N3468" i="7"/>
  <c r="D3468" i="7"/>
  <c r="O3467" i="7"/>
  <c r="N3467" i="7"/>
  <c r="D3467" i="7"/>
  <c r="O3466" i="7"/>
  <c r="N3466" i="7"/>
  <c r="D3466" i="7"/>
  <c r="O3465" i="7"/>
  <c r="N3465" i="7"/>
  <c r="D3465" i="7"/>
  <c r="O3464" i="7"/>
  <c r="N3464" i="7"/>
  <c r="D3464" i="7"/>
  <c r="O3463" i="7"/>
  <c r="N3463" i="7"/>
  <c r="D3463" i="7"/>
  <c r="O3462" i="7"/>
  <c r="N3462" i="7"/>
  <c r="D3462" i="7"/>
  <c r="O3461" i="7"/>
  <c r="N3461" i="7"/>
  <c r="D3461" i="7"/>
  <c r="O3460" i="7"/>
  <c r="N3460" i="7"/>
  <c r="D3460" i="7"/>
  <c r="O3459" i="7"/>
  <c r="N3459" i="7"/>
  <c r="D3459" i="7"/>
  <c r="O3494" i="7"/>
  <c r="N3494" i="7"/>
  <c r="D3494" i="7"/>
  <c r="O3493" i="7"/>
  <c r="N3493" i="7"/>
  <c r="D3493" i="7"/>
  <c r="O3492" i="7"/>
  <c r="N3492" i="7"/>
  <c r="D3492" i="7"/>
  <c r="O3491" i="7"/>
  <c r="N3491" i="7"/>
  <c r="D3491" i="7"/>
  <c r="O3490" i="7"/>
  <c r="N3490" i="7"/>
  <c r="D3490" i="7"/>
  <c r="O3489" i="7"/>
  <c r="N3489" i="7"/>
  <c r="D3489" i="7"/>
  <c r="O3488" i="7"/>
  <c r="N3488" i="7"/>
  <c r="D3488" i="7"/>
  <c r="O3487" i="7"/>
  <c r="N3487" i="7"/>
  <c r="D3487" i="7"/>
  <c r="O3486" i="7"/>
  <c r="N3486" i="7"/>
  <c r="D3486" i="7"/>
  <c r="O3485" i="7"/>
  <c r="N3485" i="7"/>
  <c r="D3485" i="7"/>
  <c r="O3484" i="7"/>
  <c r="N3484" i="7"/>
  <c r="D3484" i="7"/>
  <c r="O3483" i="7"/>
  <c r="N3483" i="7"/>
  <c r="D3483" i="7"/>
  <c r="O3482" i="7"/>
  <c r="N3482" i="7"/>
  <c r="D3482" i="7"/>
  <c r="O3481" i="7"/>
  <c r="N3481" i="7"/>
  <c r="D3481" i="7"/>
  <c r="O3480" i="7"/>
  <c r="N3480" i="7"/>
  <c r="D3480" i="7"/>
  <c r="O3479" i="7"/>
  <c r="N3479" i="7"/>
  <c r="D3479" i="7"/>
  <c r="O3478" i="7"/>
  <c r="N3478" i="7"/>
  <c r="D3478" i="7"/>
  <c r="O3477" i="7"/>
  <c r="N3477" i="7"/>
  <c r="D3477" i="7"/>
  <c r="O3514" i="7"/>
  <c r="N3514" i="7"/>
  <c r="D3514" i="7"/>
  <c r="O3513" i="7"/>
  <c r="N3513" i="7"/>
  <c r="D3513" i="7"/>
  <c r="O3512" i="7"/>
  <c r="N3512" i="7"/>
  <c r="D3512" i="7"/>
  <c r="O3511" i="7"/>
  <c r="N3511" i="7"/>
  <c r="D3511" i="7"/>
  <c r="O3510" i="7"/>
  <c r="N3510" i="7"/>
  <c r="D3510" i="7"/>
  <c r="O3509" i="7"/>
  <c r="N3509" i="7"/>
  <c r="D3509" i="7"/>
  <c r="O3508" i="7"/>
  <c r="N3508" i="7"/>
  <c r="D3508" i="7"/>
  <c r="O3507" i="7"/>
  <c r="N3507" i="7"/>
  <c r="D3507" i="7"/>
  <c r="O3506" i="7"/>
  <c r="N3506" i="7"/>
  <c r="D3506" i="7"/>
  <c r="O3505" i="7"/>
  <c r="N3505" i="7"/>
  <c r="D3505" i="7"/>
  <c r="O3504" i="7"/>
  <c r="N3504" i="7"/>
  <c r="D3504" i="7"/>
  <c r="O3503" i="7"/>
  <c r="N3503" i="7"/>
  <c r="D3503" i="7"/>
  <c r="O3502" i="7"/>
  <c r="N3502" i="7"/>
  <c r="D3502" i="7"/>
  <c r="O3501" i="7"/>
  <c r="N3501" i="7"/>
  <c r="D3501" i="7"/>
  <c r="O3500" i="7"/>
  <c r="N3500" i="7"/>
  <c r="D3500" i="7"/>
  <c r="O3499" i="7"/>
  <c r="N3499" i="7"/>
  <c r="D3499" i="7"/>
  <c r="O3498" i="7"/>
  <c r="N3498" i="7"/>
  <c r="D3498" i="7"/>
  <c r="O3497" i="7"/>
  <c r="N3497" i="7"/>
  <c r="D3497" i="7"/>
  <c r="O3496" i="7"/>
  <c r="N3496" i="7"/>
  <c r="D3496" i="7"/>
  <c r="O3495" i="7"/>
  <c r="N3495" i="7"/>
  <c r="D3495" i="7"/>
  <c r="O3531" i="7"/>
  <c r="N3531" i="7"/>
  <c r="D3531" i="7"/>
  <c r="O3530" i="7"/>
  <c r="N3530" i="7"/>
  <c r="D3530" i="7"/>
  <c r="O3529" i="7"/>
  <c r="N3529" i="7"/>
  <c r="D3529" i="7"/>
  <c r="O3528" i="7"/>
  <c r="N3528" i="7"/>
  <c r="D3528" i="7"/>
  <c r="O3527" i="7"/>
  <c r="N3527" i="7"/>
  <c r="D3527" i="7"/>
  <c r="O3526" i="7"/>
  <c r="N3526" i="7"/>
  <c r="D3526" i="7"/>
  <c r="O3525" i="7"/>
  <c r="N3525" i="7"/>
  <c r="D3525" i="7"/>
  <c r="O3524" i="7"/>
  <c r="N3524" i="7"/>
  <c r="D3524" i="7"/>
  <c r="O3523" i="7"/>
  <c r="N3523" i="7"/>
  <c r="D3523" i="7"/>
  <c r="O3522" i="7"/>
  <c r="N3522" i="7"/>
  <c r="D3522" i="7"/>
  <c r="O3521" i="7"/>
  <c r="N3521" i="7"/>
  <c r="D3521" i="7"/>
  <c r="O3520" i="7"/>
  <c r="N3520" i="7"/>
  <c r="D3520" i="7"/>
  <c r="O3519" i="7"/>
  <c r="N3519" i="7"/>
  <c r="D3519" i="7"/>
  <c r="O3518" i="7"/>
  <c r="N3518" i="7"/>
  <c r="D3518" i="7"/>
  <c r="O3517" i="7"/>
  <c r="N3517" i="7"/>
  <c r="D3517" i="7"/>
  <c r="O3516" i="7"/>
  <c r="N3516" i="7"/>
  <c r="D3516" i="7"/>
  <c r="O3515" i="7"/>
  <c r="N3515" i="7"/>
  <c r="D3515" i="7"/>
  <c r="O3550" i="7"/>
  <c r="N3550" i="7"/>
  <c r="D3550" i="7"/>
  <c r="O3549" i="7"/>
  <c r="N3549" i="7"/>
  <c r="D3549" i="7"/>
  <c r="O3548" i="7"/>
  <c r="N3548" i="7"/>
  <c r="D3548" i="7"/>
  <c r="O3547" i="7"/>
  <c r="N3547" i="7"/>
  <c r="D3547" i="7"/>
  <c r="O3546" i="7"/>
  <c r="N3546" i="7"/>
  <c r="D3546" i="7"/>
  <c r="O3545" i="7"/>
  <c r="N3545" i="7"/>
  <c r="D3545" i="7"/>
  <c r="O3544" i="7"/>
  <c r="N3544" i="7"/>
  <c r="D3544" i="7"/>
  <c r="O3543" i="7"/>
  <c r="N3543" i="7"/>
  <c r="D3543" i="7"/>
  <c r="O3542" i="7"/>
  <c r="N3542" i="7"/>
  <c r="D3542" i="7"/>
  <c r="O3541" i="7"/>
  <c r="N3541" i="7"/>
  <c r="D3541" i="7"/>
  <c r="O3540" i="7"/>
  <c r="N3540" i="7"/>
  <c r="D3540" i="7"/>
  <c r="O3539" i="7"/>
  <c r="N3539" i="7"/>
  <c r="D3539" i="7"/>
  <c r="O3538" i="7"/>
  <c r="N3538" i="7"/>
  <c r="D3538" i="7"/>
  <c r="O3537" i="7"/>
  <c r="N3537" i="7"/>
  <c r="D3537" i="7"/>
  <c r="O3536" i="7"/>
  <c r="N3536" i="7"/>
  <c r="D3536" i="7"/>
  <c r="O3535" i="7"/>
  <c r="N3535" i="7"/>
  <c r="D3535" i="7"/>
  <c r="O3534" i="7"/>
  <c r="N3534" i="7"/>
  <c r="D3534" i="7"/>
  <c r="O3533" i="7"/>
  <c r="N3533" i="7"/>
  <c r="D3533" i="7"/>
  <c r="O3532" i="7"/>
  <c r="N3532" i="7"/>
  <c r="D3532" i="7"/>
  <c r="O3568" i="7"/>
  <c r="N3568" i="7"/>
  <c r="D3568" i="7"/>
  <c r="O3567" i="7"/>
  <c r="N3567" i="7"/>
  <c r="D3567" i="7"/>
  <c r="O3566" i="7"/>
  <c r="N3566" i="7"/>
  <c r="D3566" i="7"/>
  <c r="O3565" i="7"/>
  <c r="N3565" i="7"/>
  <c r="D3565" i="7"/>
  <c r="O3564" i="7"/>
  <c r="N3564" i="7"/>
  <c r="D3564" i="7"/>
  <c r="O3563" i="7"/>
  <c r="N3563" i="7"/>
  <c r="D3563" i="7"/>
  <c r="O3562" i="7"/>
  <c r="N3562" i="7"/>
  <c r="D3562" i="7"/>
  <c r="O3561" i="7"/>
  <c r="N3561" i="7"/>
  <c r="D3561" i="7"/>
  <c r="O3560" i="7"/>
  <c r="N3560" i="7"/>
  <c r="D3560" i="7"/>
  <c r="O3559" i="7"/>
  <c r="N3559" i="7"/>
  <c r="D3559" i="7"/>
  <c r="O3558" i="7"/>
  <c r="N3558" i="7"/>
  <c r="D3558" i="7"/>
  <c r="O3557" i="7"/>
  <c r="N3557" i="7"/>
  <c r="D3557" i="7"/>
  <c r="O3556" i="7"/>
  <c r="N3556" i="7"/>
  <c r="D3556" i="7"/>
  <c r="O3555" i="7"/>
  <c r="N3555" i="7"/>
  <c r="D3555" i="7"/>
  <c r="O3554" i="7"/>
  <c r="N3554" i="7"/>
  <c r="D3554" i="7"/>
  <c r="O3553" i="7"/>
  <c r="N3553" i="7"/>
  <c r="D3553" i="7"/>
  <c r="O3552" i="7"/>
  <c r="N3552" i="7"/>
  <c r="D3552" i="7"/>
  <c r="O3551" i="7"/>
  <c r="N3551" i="7"/>
  <c r="D3551" i="7"/>
  <c r="O3581" i="7"/>
  <c r="N3581" i="7"/>
  <c r="D3581" i="7"/>
  <c r="O3580" i="7"/>
  <c r="N3580" i="7"/>
  <c r="D3580" i="7"/>
  <c r="O3579" i="7"/>
  <c r="N3579" i="7"/>
  <c r="D3579" i="7"/>
  <c r="O3578" i="7"/>
  <c r="N3578" i="7"/>
  <c r="D3578" i="7"/>
  <c r="O3577" i="7"/>
  <c r="N3577" i="7"/>
  <c r="D3577" i="7"/>
  <c r="O3576" i="7"/>
  <c r="N3576" i="7"/>
  <c r="D3576" i="7"/>
  <c r="O3575" i="7"/>
  <c r="N3575" i="7"/>
  <c r="D3575" i="7"/>
  <c r="O3574" i="7"/>
  <c r="N3574" i="7"/>
  <c r="D3574" i="7"/>
  <c r="O3573" i="7"/>
  <c r="N3573" i="7"/>
  <c r="D3573" i="7"/>
  <c r="O3572" i="7"/>
  <c r="N3572" i="7"/>
  <c r="D3572" i="7"/>
  <c r="O3571" i="7"/>
  <c r="N3571" i="7"/>
  <c r="D3571" i="7"/>
  <c r="O3570" i="7"/>
  <c r="N3570" i="7"/>
  <c r="D3570" i="7"/>
  <c r="O3569" i="7"/>
  <c r="N3569" i="7"/>
  <c r="D3569" i="7"/>
  <c r="O3596" i="7"/>
  <c r="N3596" i="7"/>
  <c r="D3596" i="7"/>
  <c r="O3595" i="7"/>
  <c r="N3595" i="7"/>
  <c r="D3595" i="7"/>
  <c r="O3594" i="7"/>
  <c r="N3594" i="7"/>
  <c r="D3594" i="7"/>
  <c r="O3593" i="7"/>
  <c r="N3593" i="7"/>
  <c r="D3593" i="7"/>
  <c r="O3592" i="7"/>
  <c r="N3592" i="7"/>
  <c r="D3592" i="7"/>
  <c r="O3591" i="7"/>
  <c r="N3591" i="7"/>
  <c r="D3591" i="7"/>
  <c r="O3590" i="7"/>
  <c r="N3590" i="7"/>
  <c r="D3590" i="7"/>
  <c r="O3589" i="7"/>
  <c r="N3589" i="7"/>
  <c r="D3589" i="7"/>
  <c r="O3588" i="7"/>
  <c r="N3588" i="7"/>
  <c r="D3588" i="7"/>
  <c r="O3587" i="7"/>
  <c r="N3587" i="7"/>
  <c r="D3587" i="7"/>
  <c r="O3586" i="7"/>
  <c r="N3586" i="7"/>
  <c r="D3586" i="7"/>
  <c r="O3585" i="7"/>
  <c r="N3585" i="7"/>
  <c r="D3585" i="7"/>
  <c r="O3584" i="7"/>
  <c r="N3584" i="7"/>
  <c r="D3584" i="7"/>
  <c r="O3583" i="7"/>
  <c r="N3583" i="7"/>
  <c r="D3583" i="7"/>
  <c r="O3582" i="7"/>
  <c r="N3582" i="7"/>
  <c r="D3582" i="7"/>
  <c r="O3615" i="7"/>
  <c r="N3615" i="7"/>
  <c r="D3615" i="7"/>
  <c r="O3614" i="7"/>
  <c r="N3614" i="7"/>
  <c r="D3614" i="7"/>
  <c r="O3613" i="7"/>
  <c r="N3613" i="7"/>
  <c r="D3613" i="7"/>
  <c r="O3612" i="7"/>
  <c r="N3612" i="7"/>
  <c r="D3612" i="7"/>
  <c r="O3611" i="7"/>
  <c r="N3611" i="7"/>
  <c r="D3611" i="7"/>
  <c r="O3610" i="7"/>
  <c r="N3610" i="7"/>
  <c r="D3610" i="7"/>
  <c r="O3609" i="7"/>
  <c r="N3609" i="7"/>
  <c r="D3609" i="7"/>
  <c r="O3608" i="7"/>
  <c r="N3608" i="7"/>
  <c r="D3608" i="7"/>
  <c r="O3607" i="7"/>
  <c r="N3607" i="7"/>
  <c r="D3607" i="7"/>
  <c r="O3606" i="7"/>
  <c r="N3606" i="7"/>
  <c r="D3606" i="7"/>
  <c r="O3605" i="7"/>
  <c r="N3605" i="7"/>
  <c r="D3605" i="7"/>
  <c r="O3604" i="7"/>
  <c r="N3604" i="7"/>
  <c r="D3604" i="7"/>
  <c r="O3603" i="7"/>
  <c r="N3603" i="7"/>
  <c r="D3603" i="7"/>
  <c r="O3602" i="7"/>
  <c r="N3602" i="7"/>
  <c r="D3602" i="7"/>
  <c r="O3601" i="7"/>
  <c r="N3601" i="7"/>
  <c r="D3601" i="7"/>
  <c r="O3600" i="7"/>
  <c r="N3600" i="7"/>
  <c r="D3600" i="7"/>
  <c r="O3599" i="7"/>
  <c r="N3599" i="7"/>
  <c r="D3599" i="7"/>
  <c r="O3598" i="7"/>
  <c r="N3598" i="7"/>
  <c r="D3598" i="7"/>
  <c r="O3597" i="7"/>
  <c r="N3597" i="7"/>
  <c r="D3597" i="7"/>
  <c r="O3634" i="7"/>
  <c r="N3634" i="7"/>
  <c r="D3634" i="7"/>
  <c r="O3633" i="7"/>
  <c r="N3633" i="7"/>
  <c r="D3633" i="7"/>
  <c r="O3632" i="7"/>
  <c r="N3632" i="7"/>
  <c r="D3632" i="7"/>
  <c r="O3631" i="7"/>
  <c r="N3631" i="7"/>
  <c r="D3631" i="7"/>
  <c r="O3630" i="7"/>
  <c r="N3630" i="7"/>
  <c r="D3630" i="7"/>
  <c r="O3629" i="7"/>
  <c r="N3629" i="7"/>
  <c r="D3629" i="7"/>
  <c r="O3628" i="7"/>
  <c r="N3628" i="7"/>
  <c r="D3628" i="7"/>
  <c r="O3627" i="7"/>
  <c r="N3627" i="7"/>
  <c r="D3627" i="7"/>
  <c r="O3626" i="7"/>
  <c r="N3626" i="7"/>
  <c r="D3626" i="7"/>
  <c r="O3625" i="7"/>
  <c r="N3625" i="7"/>
  <c r="D3625" i="7"/>
  <c r="O3624" i="7"/>
  <c r="N3624" i="7"/>
  <c r="D3624" i="7"/>
  <c r="O3623" i="7"/>
  <c r="N3623" i="7"/>
  <c r="D3623" i="7"/>
  <c r="O3622" i="7"/>
  <c r="N3622" i="7"/>
  <c r="D3622" i="7"/>
  <c r="O3621" i="7"/>
  <c r="N3621" i="7"/>
  <c r="D3621" i="7"/>
  <c r="O3620" i="7"/>
  <c r="N3620" i="7"/>
  <c r="D3620" i="7"/>
  <c r="O3619" i="7"/>
  <c r="N3619" i="7"/>
  <c r="D3619" i="7"/>
  <c r="O3618" i="7"/>
  <c r="N3618" i="7"/>
  <c r="D3618" i="7"/>
  <c r="O3617" i="7"/>
  <c r="N3617" i="7"/>
  <c r="D3617" i="7"/>
  <c r="O3616" i="7"/>
  <c r="N3616" i="7"/>
  <c r="D3616" i="7"/>
  <c r="O3653" i="7"/>
  <c r="N3653" i="7"/>
  <c r="D3653" i="7"/>
  <c r="O3652" i="7"/>
  <c r="N3652" i="7"/>
  <c r="D3652" i="7"/>
  <c r="O3651" i="7"/>
  <c r="N3651" i="7"/>
  <c r="D3651" i="7"/>
  <c r="O3650" i="7"/>
  <c r="N3650" i="7"/>
  <c r="D3650" i="7"/>
  <c r="O3649" i="7"/>
  <c r="N3649" i="7"/>
  <c r="D3649" i="7"/>
  <c r="O3648" i="7"/>
  <c r="N3648" i="7"/>
  <c r="D3648" i="7"/>
  <c r="O3647" i="7"/>
  <c r="N3647" i="7"/>
  <c r="D3647" i="7"/>
  <c r="O3646" i="7"/>
  <c r="N3646" i="7"/>
  <c r="D3646" i="7"/>
  <c r="O3645" i="7"/>
  <c r="N3645" i="7"/>
  <c r="D3645" i="7"/>
  <c r="O3644" i="7"/>
  <c r="N3644" i="7"/>
  <c r="D3644" i="7"/>
  <c r="O3643" i="7"/>
  <c r="N3643" i="7"/>
  <c r="D3643" i="7"/>
  <c r="O3642" i="7"/>
  <c r="N3642" i="7"/>
  <c r="D3642" i="7"/>
  <c r="O3641" i="7"/>
  <c r="N3641" i="7"/>
  <c r="D3641" i="7"/>
  <c r="O3640" i="7"/>
  <c r="N3640" i="7"/>
  <c r="D3640" i="7"/>
  <c r="O3639" i="7"/>
  <c r="N3639" i="7"/>
  <c r="D3639" i="7"/>
  <c r="O3638" i="7"/>
  <c r="N3638" i="7"/>
  <c r="D3638" i="7"/>
  <c r="O3637" i="7"/>
  <c r="N3637" i="7"/>
  <c r="D3637" i="7"/>
  <c r="O3636" i="7"/>
  <c r="N3636" i="7"/>
  <c r="D3636" i="7"/>
  <c r="O3635" i="7"/>
  <c r="N3635" i="7"/>
  <c r="D3635" i="7"/>
  <c r="O3670" i="7"/>
  <c r="N3670" i="7"/>
  <c r="D3670" i="7"/>
  <c r="O3669" i="7"/>
  <c r="N3669" i="7"/>
  <c r="D3669" i="7"/>
  <c r="O3668" i="7"/>
  <c r="N3668" i="7"/>
  <c r="D3668" i="7"/>
  <c r="O3667" i="7"/>
  <c r="N3667" i="7"/>
  <c r="D3667" i="7"/>
  <c r="O3666" i="7"/>
  <c r="N3666" i="7"/>
  <c r="D3666" i="7"/>
  <c r="O3665" i="7"/>
  <c r="N3665" i="7"/>
  <c r="D3665" i="7"/>
  <c r="O3664" i="7"/>
  <c r="N3664" i="7"/>
  <c r="D3664" i="7"/>
  <c r="O3663" i="7"/>
  <c r="N3663" i="7"/>
  <c r="D3663" i="7"/>
  <c r="O3662" i="7"/>
  <c r="N3662" i="7"/>
  <c r="D3662" i="7"/>
  <c r="O3661" i="7"/>
  <c r="N3661" i="7"/>
  <c r="D3661" i="7"/>
  <c r="O3660" i="7"/>
  <c r="N3660" i="7"/>
  <c r="D3660" i="7"/>
  <c r="O3659" i="7"/>
  <c r="N3659" i="7"/>
  <c r="D3659" i="7"/>
  <c r="O3658" i="7"/>
  <c r="N3658" i="7"/>
  <c r="D3658" i="7"/>
  <c r="O3657" i="7"/>
  <c r="N3657" i="7"/>
  <c r="D3657" i="7"/>
  <c r="O3656" i="7"/>
  <c r="N3656" i="7"/>
  <c r="D3656" i="7"/>
  <c r="O3655" i="7"/>
  <c r="N3655" i="7"/>
  <c r="D3655" i="7"/>
  <c r="O3654" i="7"/>
  <c r="N3654" i="7"/>
  <c r="D3654" i="7"/>
  <c r="O3685" i="7"/>
  <c r="N3685" i="7"/>
  <c r="D3685" i="7"/>
  <c r="O3684" i="7"/>
  <c r="N3684" i="7"/>
  <c r="D3684" i="7"/>
  <c r="O3683" i="7"/>
  <c r="N3683" i="7"/>
  <c r="D3683" i="7"/>
  <c r="O3682" i="7"/>
  <c r="N3682" i="7"/>
  <c r="D3682" i="7"/>
  <c r="O3681" i="7"/>
  <c r="N3681" i="7"/>
  <c r="D3681" i="7"/>
  <c r="O3680" i="7"/>
  <c r="N3680" i="7"/>
  <c r="D3680" i="7"/>
  <c r="O3679" i="7"/>
  <c r="N3679" i="7"/>
  <c r="D3679" i="7"/>
  <c r="O3678" i="7"/>
  <c r="N3678" i="7"/>
  <c r="D3678" i="7"/>
  <c r="O3677" i="7"/>
  <c r="N3677" i="7"/>
  <c r="D3677" i="7"/>
  <c r="O3676" i="7"/>
  <c r="N3676" i="7"/>
  <c r="D3676" i="7"/>
  <c r="O3675" i="7"/>
  <c r="N3675" i="7"/>
  <c r="D3675" i="7"/>
  <c r="O3674" i="7"/>
  <c r="N3674" i="7"/>
  <c r="D3674" i="7"/>
  <c r="O3673" i="7"/>
  <c r="N3673" i="7"/>
  <c r="D3673" i="7"/>
  <c r="O3672" i="7"/>
  <c r="N3672" i="7"/>
  <c r="D3672" i="7"/>
  <c r="O3671" i="7"/>
  <c r="N3671" i="7"/>
  <c r="D3671" i="7"/>
  <c r="O3702" i="7"/>
  <c r="N3702" i="7"/>
  <c r="D3702" i="7"/>
  <c r="O3701" i="7"/>
  <c r="N3701" i="7"/>
  <c r="D3701" i="7"/>
  <c r="O3700" i="7"/>
  <c r="N3700" i="7"/>
  <c r="D3700" i="7"/>
  <c r="O3699" i="7"/>
  <c r="N3699" i="7"/>
  <c r="D3699" i="7"/>
  <c r="O3698" i="7"/>
  <c r="N3698" i="7"/>
  <c r="D3698" i="7"/>
  <c r="O3697" i="7"/>
  <c r="N3697" i="7"/>
  <c r="D3697" i="7"/>
  <c r="O3696" i="7"/>
  <c r="N3696" i="7"/>
  <c r="D3696" i="7"/>
  <c r="O3695" i="7"/>
  <c r="N3695" i="7"/>
  <c r="D3695" i="7"/>
  <c r="O3694" i="7"/>
  <c r="N3694" i="7"/>
  <c r="D3694" i="7"/>
  <c r="O3693" i="7"/>
  <c r="N3693" i="7"/>
  <c r="D3693" i="7"/>
  <c r="O3692" i="7"/>
  <c r="N3692" i="7"/>
  <c r="D3692" i="7"/>
  <c r="O3691" i="7"/>
  <c r="N3691" i="7"/>
  <c r="D3691" i="7"/>
  <c r="O3690" i="7"/>
  <c r="N3690" i="7"/>
  <c r="D3690" i="7"/>
  <c r="O3689" i="7"/>
  <c r="N3689" i="7"/>
  <c r="D3689" i="7"/>
  <c r="O3688" i="7"/>
  <c r="N3688" i="7"/>
  <c r="D3688" i="7"/>
  <c r="O3687" i="7"/>
  <c r="N3687" i="7"/>
  <c r="D3687" i="7"/>
  <c r="O3686" i="7"/>
  <c r="N3686" i="7"/>
  <c r="D3686" i="7"/>
  <c r="O3720" i="7"/>
  <c r="N3720" i="7"/>
  <c r="D3720" i="7"/>
  <c r="O3719" i="7"/>
  <c r="N3719" i="7"/>
  <c r="D3719" i="7"/>
  <c r="O3718" i="7"/>
  <c r="N3718" i="7"/>
  <c r="D3718" i="7"/>
  <c r="O3717" i="7"/>
  <c r="N3717" i="7"/>
  <c r="D3717" i="7"/>
  <c r="O3716" i="7"/>
  <c r="N3716" i="7"/>
  <c r="D3716" i="7"/>
  <c r="O3715" i="7"/>
  <c r="N3715" i="7"/>
  <c r="D3715" i="7"/>
  <c r="O3714" i="7"/>
  <c r="N3714" i="7"/>
  <c r="D3714" i="7"/>
  <c r="O3713" i="7"/>
  <c r="N3713" i="7"/>
  <c r="D3713" i="7"/>
  <c r="O3712" i="7"/>
  <c r="N3712" i="7"/>
  <c r="D3712" i="7"/>
  <c r="O3711" i="7"/>
  <c r="N3711" i="7"/>
  <c r="D3711" i="7"/>
  <c r="O3710" i="7"/>
  <c r="N3710" i="7"/>
  <c r="D3710" i="7"/>
  <c r="O3709" i="7"/>
  <c r="N3709" i="7"/>
  <c r="D3709" i="7"/>
  <c r="O3708" i="7"/>
  <c r="N3708" i="7"/>
  <c r="D3708" i="7"/>
  <c r="O3707" i="7"/>
  <c r="N3707" i="7"/>
  <c r="D3707" i="7"/>
  <c r="O3706" i="7"/>
  <c r="N3706" i="7"/>
  <c r="D3706" i="7"/>
  <c r="O3705" i="7"/>
  <c r="N3705" i="7"/>
  <c r="D3705" i="7"/>
  <c r="O3704" i="7"/>
  <c r="N3704" i="7"/>
  <c r="D3704" i="7"/>
  <c r="O3703" i="7"/>
  <c r="N3703" i="7"/>
  <c r="D3703" i="7"/>
  <c r="O3734" i="7"/>
  <c r="N3734" i="7"/>
  <c r="D3734" i="7"/>
  <c r="O3733" i="7"/>
  <c r="N3733" i="7"/>
  <c r="D3733" i="7"/>
  <c r="O3732" i="7"/>
  <c r="N3732" i="7"/>
  <c r="D3732" i="7"/>
  <c r="O3731" i="7"/>
  <c r="N3731" i="7"/>
  <c r="D3731" i="7"/>
  <c r="O3730" i="7"/>
  <c r="N3730" i="7"/>
  <c r="D3730" i="7"/>
  <c r="O3729" i="7"/>
  <c r="N3729" i="7"/>
  <c r="D3729" i="7"/>
  <c r="O3728" i="7"/>
  <c r="N3728" i="7"/>
  <c r="D3728" i="7"/>
  <c r="O3727" i="7"/>
  <c r="N3727" i="7"/>
  <c r="D3727" i="7"/>
  <c r="O3726" i="7"/>
  <c r="N3726" i="7"/>
  <c r="D3726" i="7"/>
  <c r="O3725" i="7"/>
  <c r="N3725" i="7"/>
  <c r="D3725" i="7"/>
  <c r="O3724" i="7"/>
  <c r="N3724" i="7"/>
  <c r="D3724" i="7"/>
  <c r="O3723" i="7"/>
  <c r="N3723" i="7"/>
  <c r="D3723" i="7"/>
  <c r="O3722" i="7"/>
  <c r="N3722" i="7"/>
  <c r="D3722" i="7"/>
  <c r="O3721" i="7"/>
  <c r="N3721" i="7"/>
  <c r="D3721" i="7"/>
  <c r="O3753" i="7"/>
  <c r="N3753" i="7"/>
  <c r="D3753" i="7"/>
  <c r="O3752" i="7"/>
  <c r="N3752" i="7"/>
  <c r="D3752" i="7"/>
  <c r="O3751" i="7"/>
  <c r="N3751" i="7"/>
  <c r="D3751" i="7"/>
  <c r="O3750" i="7"/>
  <c r="N3750" i="7"/>
  <c r="D3750" i="7"/>
  <c r="O3749" i="7"/>
  <c r="N3749" i="7"/>
  <c r="D3749" i="7"/>
  <c r="O3748" i="7"/>
  <c r="N3748" i="7"/>
  <c r="D3748" i="7"/>
  <c r="O3747" i="7"/>
  <c r="N3747" i="7"/>
  <c r="D3747" i="7"/>
  <c r="O3746" i="7"/>
  <c r="N3746" i="7"/>
  <c r="D3746" i="7"/>
  <c r="O3745" i="7"/>
  <c r="N3745" i="7"/>
  <c r="D3745" i="7"/>
  <c r="O3744" i="7"/>
  <c r="N3744" i="7"/>
  <c r="D3744" i="7"/>
  <c r="O3743" i="7"/>
  <c r="N3743" i="7"/>
  <c r="D3743" i="7"/>
  <c r="O3742" i="7"/>
  <c r="N3742" i="7"/>
  <c r="D3742" i="7"/>
  <c r="O3741" i="7"/>
  <c r="N3741" i="7"/>
  <c r="D3741" i="7"/>
  <c r="O3740" i="7"/>
  <c r="N3740" i="7"/>
  <c r="D3740" i="7"/>
  <c r="O3739" i="7"/>
  <c r="N3739" i="7"/>
  <c r="D3739" i="7"/>
  <c r="O3738" i="7"/>
  <c r="N3738" i="7"/>
  <c r="D3738" i="7"/>
  <c r="O3737" i="7"/>
  <c r="N3737" i="7"/>
  <c r="D3737" i="7"/>
  <c r="O3736" i="7"/>
  <c r="N3736" i="7"/>
  <c r="D3736" i="7"/>
  <c r="O3735" i="7"/>
  <c r="N3735" i="7"/>
  <c r="D3735" i="7"/>
  <c r="O3768" i="7"/>
  <c r="N3768" i="7"/>
  <c r="D3768" i="7"/>
  <c r="O3767" i="7"/>
  <c r="N3767" i="7"/>
  <c r="D3767" i="7"/>
  <c r="O3766" i="7"/>
  <c r="N3766" i="7"/>
  <c r="D3766" i="7"/>
  <c r="O3765" i="7"/>
  <c r="N3765" i="7"/>
  <c r="D3765" i="7"/>
  <c r="O3764" i="7"/>
  <c r="N3764" i="7"/>
  <c r="D3764" i="7"/>
  <c r="O3763" i="7"/>
  <c r="N3763" i="7"/>
  <c r="D3763" i="7"/>
  <c r="O3762" i="7"/>
  <c r="N3762" i="7"/>
  <c r="D3762" i="7"/>
  <c r="O3761" i="7"/>
  <c r="N3761" i="7"/>
  <c r="D3761" i="7"/>
  <c r="O3760" i="7"/>
  <c r="N3760" i="7"/>
  <c r="D3760" i="7"/>
  <c r="O3759" i="7"/>
  <c r="N3759" i="7"/>
  <c r="D3759" i="7"/>
  <c r="O3758" i="7"/>
  <c r="N3758" i="7"/>
  <c r="D3758" i="7"/>
  <c r="O3757" i="7"/>
  <c r="N3757" i="7"/>
  <c r="D3757" i="7"/>
  <c r="O3756" i="7"/>
  <c r="N3756" i="7"/>
  <c r="D3756" i="7"/>
  <c r="O3755" i="7"/>
  <c r="N3755" i="7"/>
  <c r="D3755" i="7"/>
  <c r="O3754" i="7"/>
  <c r="N3754" i="7"/>
  <c r="D3754" i="7"/>
  <c r="O3784" i="7"/>
  <c r="N3784" i="7"/>
  <c r="D3784" i="7"/>
  <c r="O3783" i="7"/>
  <c r="N3783" i="7"/>
  <c r="D3783" i="7"/>
  <c r="O3782" i="7"/>
  <c r="N3782" i="7"/>
  <c r="D3782" i="7"/>
  <c r="O3781" i="7"/>
  <c r="N3781" i="7"/>
  <c r="D3781" i="7"/>
  <c r="O3780" i="7"/>
  <c r="N3780" i="7"/>
  <c r="D3780" i="7"/>
  <c r="O3779" i="7"/>
  <c r="N3779" i="7"/>
  <c r="D3779" i="7"/>
  <c r="O3778" i="7"/>
  <c r="N3778" i="7"/>
  <c r="D3778" i="7"/>
  <c r="O3777" i="7"/>
  <c r="N3777" i="7"/>
  <c r="D3777" i="7"/>
  <c r="O3776" i="7"/>
  <c r="N3776" i="7"/>
  <c r="D3776" i="7"/>
  <c r="O3775" i="7"/>
  <c r="N3775" i="7"/>
  <c r="D3775" i="7"/>
  <c r="O3774" i="7"/>
  <c r="N3774" i="7"/>
  <c r="D3774" i="7"/>
  <c r="O3773" i="7"/>
  <c r="N3773" i="7"/>
  <c r="D3773" i="7"/>
  <c r="O3772" i="7"/>
  <c r="N3772" i="7"/>
  <c r="D3772" i="7"/>
  <c r="O3771" i="7"/>
  <c r="N3771" i="7"/>
  <c r="D3771" i="7"/>
  <c r="O3770" i="7"/>
  <c r="N3770" i="7"/>
  <c r="D3770" i="7"/>
  <c r="O3769" i="7"/>
  <c r="N3769" i="7"/>
  <c r="D3769" i="7"/>
  <c r="O3802" i="7"/>
  <c r="N3802" i="7"/>
  <c r="D3802" i="7"/>
  <c r="O3801" i="7"/>
  <c r="N3801" i="7"/>
  <c r="D3801" i="7"/>
  <c r="O3800" i="7"/>
  <c r="N3800" i="7"/>
  <c r="D3800" i="7"/>
  <c r="O3799" i="7"/>
  <c r="N3799" i="7"/>
  <c r="D3799" i="7"/>
  <c r="O3798" i="7"/>
  <c r="N3798" i="7"/>
  <c r="D3798" i="7"/>
  <c r="O3797" i="7"/>
  <c r="N3797" i="7"/>
  <c r="D3797" i="7"/>
  <c r="O3796" i="7"/>
  <c r="N3796" i="7"/>
  <c r="D3796" i="7"/>
  <c r="O3795" i="7"/>
  <c r="N3795" i="7"/>
  <c r="D3795" i="7"/>
  <c r="O3794" i="7"/>
  <c r="N3794" i="7"/>
  <c r="D3794" i="7"/>
  <c r="O3793" i="7"/>
  <c r="N3793" i="7"/>
  <c r="D3793" i="7"/>
  <c r="O3792" i="7"/>
  <c r="N3792" i="7"/>
  <c r="D3792" i="7"/>
  <c r="O3791" i="7"/>
  <c r="N3791" i="7"/>
  <c r="D3791" i="7"/>
  <c r="O3790" i="7"/>
  <c r="N3790" i="7"/>
  <c r="D3790" i="7"/>
  <c r="O3789" i="7"/>
  <c r="N3789" i="7"/>
  <c r="D3789" i="7"/>
  <c r="O3788" i="7"/>
  <c r="N3788" i="7"/>
  <c r="D3788" i="7"/>
  <c r="O3787" i="7"/>
  <c r="N3787" i="7"/>
  <c r="D3787" i="7"/>
  <c r="O3786" i="7"/>
  <c r="N3786" i="7"/>
  <c r="D3786" i="7"/>
  <c r="O3785" i="7"/>
  <c r="N3785" i="7"/>
  <c r="D3785" i="7"/>
  <c r="O3818" i="7"/>
  <c r="N3818" i="7"/>
  <c r="D3818" i="7"/>
  <c r="O3817" i="7"/>
  <c r="N3817" i="7"/>
  <c r="D3817" i="7"/>
  <c r="O3816" i="7"/>
  <c r="N3816" i="7"/>
  <c r="D3816" i="7"/>
  <c r="O3815" i="7"/>
  <c r="N3815" i="7"/>
  <c r="D3815" i="7"/>
  <c r="O3814" i="7"/>
  <c r="N3814" i="7"/>
  <c r="D3814" i="7"/>
  <c r="O3813" i="7"/>
  <c r="N3813" i="7"/>
  <c r="D3813" i="7"/>
  <c r="O3812" i="7"/>
  <c r="N3812" i="7"/>
  <c r="D3812" i="7"/>
  <c r="O3811" i="7"/>
  <c r="N3811" i="7"/>
  <c r="D3811" i="7"/>
  <c r="O3810" i="7"/>
  <c r="N3810" i="7"/>
  <c r="D3810" i="7"/>
  <c r="O3809" i="7"/>
  <c r="N3809" i="7"/>
  <c r="D3809" i="7"/>
  <c r="O3808" i="7"/>
  <c r="N3808" i="7"/>
  <c r="D3808" i="7"/>
  <c r="O3807" i="7"/>
  <c r="N3807" i="7"/>
  <c r="D3807" i="7"/>
  <c r="O3806" i="7"/>
  <c r="N3806" i="7"/>
  <c r="D3806" i="7"/>
  <c r="O3805" i="7"/>
  <c r="N3805" i="7"/>
  <c r="D3805" i="7"/>
  <c r="O3804" i="7"/>
  <c r="N3804" i="7"/>
  <c r="D3804" i="7"/>
  <c r="O3803" i="7"/>
  <c r="N3803" i="7"/>
  <c r="D3803" i="7"/>
  <c r="O3834" i="7"/>
  <c r="N3834" i="7"/>
  <c r="D3834" i="7"/>
  <c r="O3833" i="7"/>
  <c r="N3833" i="7"/>
  <c r="D3833" i="7"/>
  <c r="O3832" i="7"/>
  <c r="N3832" i="7"/>
  <c r="D3832" i="7"/>
  <c r="O3831" i="7"/>
  <c r="N3831" i="7"/>
  <c r="D3831" i="7"/>
  <c r="O3830" i="7"/>
  <c r="N3830" i="7"/>
  <c r="D3830" i="7"/>
  <c r="O3829" i="7"/>
  <c r="N3829" i="7"/>
  <c r="D3829" i="7"/>
  <c r="O3828" i="7"/>
  <c r="N3828" i="7"/>
  <c r="D3828" i="7"/>
  <c r="O3827" i="7"/>
  <c r="N3827" i="7"/>
  <c r="D3827" i="7"/>
  <c r="O3826" i="7"/>
  <c r="N3826" i="7"/>
  <c r="D3826" i="7"/>
  <c r="O3825" i="7"/>
  <c r="N3825" i="7"/>
  <c r="D3825" i="7"/>
  <c r="O3824" i="7"/>
  <c r="N3824" i="7"/>
  <c r="D3824" i="7"/>
  <c r="O3823" i="7"/>
  <c r="N3823" i="7"/>
  <c r="D3823" i="7"/>
  <c r="O3822" i="7"/>
  <c r="N3822" i="7"/>
  <c r="D3822" i="7"/>
  <c r="O3821" i="7"/>
  <c r="N3821" i="7"/>
  <c r="D3821" i="7"/>
  <c r="O3820" i="7"/>
  <c r="N3820" i="7"/>
  <c r="D3820" i="7"/>
  <c r="O3819" i="7"/>
  <c r="N3819" i="7"/>
  <c r="D3819" i="7"/>
  <c r="O3856" i="7"/>
  <c r="N3856" i="7"/>
  <c r="D3856" i="7"/>
  <c r="O3855" i="7"/>
  <c r="N3855" i="7"/>
  <c r="D3855" i="7"/>
  <c r="O3854" i="7"/>
  <c r="N3854" i="7"/>
  <c r="D3854" i="7"/>
  <c r="O3853" i="7"/>
  <c r="N3853" i="7"/>
  <c r="D3853" i="7"/>
  <c r="O3852" i="7"/>
  <c r="N3852" i="7"/>
  <c r="D3852" i="7"/>
  <c r="O3851" i="7"/>
  <c r="N3851" i="7"/>
  <c r="D3851" i="7"/>
  <c r="O3850" i="7"/>
  <c r="N3850" i="7"/>
  <c r="D3850" i="7"/>
  <c r="O3849" i="7"/>
  <c r="N3849" i="7"/>
  <c r="D3849" i="7"/>
  <c r="O3848" i="7"/>
  <c r="N3848" i="7"/>
  <c r="D3848" i="7"/>
  <c r="O3847" i="7"/>
  <c r="N3847" i="7"/>
  <c r="D3847" i="7"/>
  <c r="O3846" i="7"/>
  <c r="N3846" i="7"/>
  <c r="D3846" i="7"/>
  <c r="O3845" i="7"/>
  <c r="N3845" i="7"/>
  <c r="D3845" i="7"/>
  <c r="O3844" i="7"/>
  <c r="N3844" i="7"/>
  <c r="D3844" i="7"/>
  <c r="O3843" i="7"/>
  <c r="N3843" i="7"/>
  <c r="D3843" i="7"/>
  <c r="O3842" i="7"/>
  <c r="N3842" i="7"/>
  <c r="D3842" i="7"/>
  <c r="O3841" i="7"/>
  <c r="N3841" i="7"/>
  <c r="D3841" i="7"/>
  <c r="O3840" i="7"/>
  <c r="N3840" i="7"/>
  <c r="D3840" i="7"/>
  <c r="O3839" i="7"/>
  <c r="N3839" i="7"/>
  <c r="D3839" i="7"/>
  <c r="O3838" i="7"/>
  <c r="N3838" i="7"/>
  <c r="D3838" i="7"/>
  <c r="O3837" i="7"/>
  <c r="N3837" i="7"/>
  <c r="D3837" i="7"/>
  <c r="O3836" i="7"/>
  <c r="N3836" i="7"/>
  <c r="D3836" i="7"/>
  <c r="O3835" i="7"/>
  <c r="N3835" i="7"/>
  <c r="D3835" i="7"/>
  <c r="O3871" i="7"/>
  <c r="N3871" i="7"/>
  <c r="D3871" i="7"/>
  <c r="O3870" i="7"/>
  <c r="N3870" i="7"/>
  <c r="D3870" i="7"/>
  <c r="O3869" i="7"/>
  <c r="N3869" i="7"/>
  <c r="D3869" i="7"/>
  <c r="O3868" i="7"/>
  <c r="N3868" i="7"/>
  <c r="D3868" i="7"/>
  <c r="O3867" i="7"/>
  <c r="N3867" i="7"/>
  <c r="D3867" i="7"/>
  <c r="O3866" i="7"/>
  <c r="N3866" i="7"/>
  <c r="D3866" i="7"/>
  <c r="O3865" i="7"/>
  <c r="N3865" i="7"/>
  <c r="D3865" i="7"/>
  <c r="O3864" i="7"/>
  <c r="N3864" i="7"/>
  <c r="D3864" i="7"/>
  <c r="O3863" i="7"/>
  <c r="N3863" i="7"/>
  <c r="D3863" i="7"/>
  <c r="O3862" i="7"/>
  <c r="N3862" i="7"/>
  <c r="D3862" i="7"/>
  <c r="O3861" i="7"/>
  <c r="N3861" i="7"/>
  <c r="D3861" i="7"/>
  <c r="O3860" i="7"/>
  <c r="N3860" i="7"/>
  <c r="D3860" i="7"/>
  <c r="O3859" i="7"/>
  <c r="N3859" i="7"/>
  <c r="D3859" i="7"/>
  <c r="O3858" i="7"/>
  <c r="N3858" i="7"/>
  <c r="D3858" i="7"/>
  <c r="O3857" i="7"/>
  <c r="N3857" i="7"/>
  <c r="D3857" i="7"/>
  <c r="O3887" i="7"/>
  <c r="N3887" i="7"/>
  <c r="D3887" i="7"/>
  <c r="O3886" i="7"/>
  <c r="N3886" i="7"/>
  <c r="D3886" i="7"/>
  <c r="O3885" i="7"/>
  <c r="N3885" i="7"/>
  <c r="D3885" i="7"/>
  <c r="O3884" i="7"/>
  <c r="N3884" i="7"/>
  <c r="D3884" i="7"/>
  <c r="O3883" i="7"/>
  <c r="N3883" i="7"/>
  <c r="D3883" i="7"/>
  <c r="O3882" i="7"/>
  <c r="N3882" i="7"/>
  <c r="D3882" i="7"/>
  <c r="O3881" i="7"/>
  <c r="N3881" i="7"/>
  <c r="D3881" i="7"/>
  <c r="O3880" i="7"/>
  <c r="N3880" i="7"/>
  <c r="D3880" i="7"/>
  <c r="O3879" i="7"/>
  <c r="N3879" i="7"/>
  <c r="D3879" i="7"/>
  <c r="O3878" i="7"/>
  <c r="N3878" i="7"/>
  <c r="D3878" i="7"/>
  <c r="O3877" i="7"/>
  <c r="N3877" i="7"/>
  <c r="D3877" i="7"/>
  <c r="O3876" i="7"/>
  <c r="N3876" i="7"/>
  <c r="D3876" i="7"/>
  <c r="O3875" i="7"/>
  <c r="N3875" i="7"/>
  <c r="D3875" i="7"/>
  <c r="O3874" i="7"/>
  <c r="N3874" i="7"/>
  <c r="D3874" i="7"/>
  <c r="O3873" i="7"/>
  <c r="N3873" i="7"/>
  <c r="D3873" i="7"/>
  <c r="O3872" i="7"/>
  <c r="N3872" i="7"/>
  <c r="D3872" i="7"/>
  <c r="O3901" i="7"/>
  <c r="N3901" i="7"/>
  <c r="D3901" i="7"/>
  <c r="O3900" i="7"/>
  <c r="N3900" i="7"/>
  <c r="D3900" i="7"/>
  <c r="O3899" i="7"/>
  <c r="N3899" i="7"/>
  <c r="D3899" i="7"/>
  <c r="O3898" i="7"/>
  <c r="N3898" i="7"/>
  <c r="D3898" i="7"/>
  <c r="O3897" i="7"/>
  <c r="N3897" i="7"/>
  <c r="D3897" i="7"/>
  <c r="O3896" i="7"/>
  <c r="N3896" i="7"/>
  <c r="D3896" i="7"/>
  <c r="O3895" i="7"/>
  <c r="N3895" i="7"/>
  <c r="D3895" i="7"/>
  <c r="O3894" i="7"/>
  <c r="N3894" i="7"/>
  <c r="D3894" i="7"/>
  <c r="O3893" i="7"/>
  <c r="N3893" i="7"/>
  <c r="D3893" i="7"/>
  <c r="O3892" i="7"/>
  <c r="N3892" i="7"/>
  <c r="D3892" i="7"/>
  <c r="O3891" i="7"/>
  <c r="N3891" i="7"/>
  <c r="D3891" i="7"/>
  <c r="O3890" i="7"/>
  <c r="N3890" i="7"/>
  <c r="D3890" i="7"/>
  <c r="O3889" i="7"/>
  <c r="N3889" i="7"/>
  <c r="D3889" i="7"/>
  <c r="O3888" i="7"/>
  <c r="N3888" i="7"/>
  <c r="D3888" i="7"/>
  <c r="O3917" i="7"/>
  <c r="N3917" i="7"/>
  <c r="D3917" i="7"/>
  <c r="O3916" i="7"/>
  <c r="N3916" i="7"/>
  <c r="D3916" i="7"/>
  <c r="O3915" i="7"/>
  <c r="N3915" i="7"/>
  <c r="D3915" i="7"/>
  <c r="O3914" i="7"/>
  <c r="N3914" i="7"/>
  <c r="D3914" i="7"/>
  <c r="O3913" i="7"/>
  <c r="N3913" i="7"/>
  <c r="D3913" i="7"/>
  <c r="O3912" i="7"/>
  <c r="N3912" i="7"/>
  <c r="D3912" i="7"/>
  <c r="O3911" i="7"/>
  <c r="N3911" i="7"/>
  <c r="D3911" i="7"/>
  <c r="O3910" i="7"/>
  <c r="N3910" i="7"/>
  <c r="D3910" i="7"/>
  <c r="O3909" i="7"/>
  <c r="N3909" i="7"/>
  <c r="D3909" i="7"/>
  <c r="O3908" i="7"/>
  <c r="N3908" i="7"/>
  <c r="D3908" i="7"/>
  <c r="O3907" i="7"/>
  <c r="N3907" i="7"/>
  <c r="D3907" i="7"/>
  <c r="O3906" i="7"/>
  <c r="N3906" i="7"/>
  <c r="D3906" i="7"/>
  <c r="O3905" i="7"/>
  <c r="N3905" i="7"/>
  <c r="D3905" i="7"/>
  <c r="O3904" i="7"/>
  <c r="N3904" i="7"/>
  <c r="D3904" i="7"/>
  <c r="O3903" i="7"/>
  <c r="N3903" i="7"/>
  <c r="D3903" i="7"/>
  <c r="O3902" i="7"/>
  <c r="N3902" i="7"/>
  <c r="D3902" i="7"/>
  <c r="O3932" i="7"/>
  <c r="N3932" i="7"/>
  <c r="D3932" i="7"/>
  <c r="O3931" i="7"/>
  <c r="N3931" i="7"/>
  <c r="D3931" i="7"/>
  <c r="O3930" i="7"/>
  <c r="N3930" i="7"/>
  <c r="D3930" i="7"/>
  <c r="O3929" i="7"/>
  <c r="N3929" i="7"/>
  <c r="D3929" i="7"/>
  <c r="O3928" i="7"/>
  <c r="N3928" i="7"/>
  <c r="D3928" i="7"/>
  <c r="O3927" i="7"/>
  <c r="N3927" i="7"/>
  <c r="D3927" i="7"/>
  <c r="O3926" i="7"/>
  <c r="N3926" i="7"/>
  <c r="D3926" i="7"/>
  <c r="O3925" i="7"/>
  <c r="N3925" i="7"/>
  <c r="D3925" i="7"/>
  <c r="O3924" i="7"/>
  <c r="N3924" i="7"/>
  <c r="D3924" i="7"/>
  <c r="O3923" i="7"/>
  <c r="N3923" i="7"/>
  <c r="D3923" i="7"/>
  <c r="O3922" i="7"/>
  <c r="N3922" i="7"/>
  <c r="D3922" i="7"/>
  <c r="O3921" i="7"/>
  <c r="N3921" i="7"/>
  <c r="D3921" i="7"/>
  <c r="O3920" i="7"/>
  <c r="N3920" i="7"/>
  <c r="D3920" i="7"/>
  <c r="O3919" i="7"/>
  <c r="N3919" i="7"/>
  <c r="D3919" i="7"/>
  <c r="O3918" i="7"/>
  <c r="N3918" i="7"/>
  <c r="D3918" i="7"/>
  <c r="O3948" i="7"/>
  <c r="N3948" i="7"/>
  <c r="D3948" i="7"/>
  <c r="O3947" i="7"/>
  <c r="N3947" i="7"/>
  <c r="D3947" i="7"/>
  <c r="O3946" i="7"/>
  <c r="N3946" i="7"/>
  <c r="D3946" i="7"/>
  <c r="O3945" i="7"/>
  <c r="N3945" i="7"/>
  <c r="D3945" i="7"/>
  <c r="O3944" i="7"/>
  <c r="N3944" i="7"/>
  <c r="D3944" i="7"/>
  <c r="O3943" i="7"/>
  <c r="N3943" i="7"/>
  <c r="D3943" i="7"/>
  <c r="O3942" i="7"/>
  <c r="N3942" i="7"/>
  <c r="D3942" i="7"/>
  <c r="O3941" i="7"/>
  <c r="N3941" i="7"/>
  <c r="D3941" i="7"/>
  <c r="O3940" i="7"/>
  <c r="N3940" i="7"/>
  <c r="D3940" i="7"/>
  <c r="O3939" i="7"/>
  <c r="N3939" i="7"/>
  <c r="D3939" i="7"/>
  <c r="O3938" i="7"/>
  <c r="N3938" i="7"/>
  <c r="D3938" i="7"/>
  <c r="O3937" i="7"/>
  <c r="N3937" i="7"/>
  <c r="D3937" i="7"/>
  <c r="O3936" i="7"/>
  <c r="N3936" i="7"/>
  <c r="D3936" i="7"/>
  <c r="O3935" i="7"/>
  <c r="N3935" i="7"/>
  <c r="D3935" i="7"/>
  <c r="O3934" i="7"/>
  <c r="N3934" i="7"/>
  <c r="D3934" i="7"/>
  <c r="O3933" i="7"/>
  <c r="N3933" i="7"/>
  <c r="D3933" i="7"/>
  <c r="O3963" i="7"/>
  <c r="N3963" i="7"/>
  <c r="D3963" i="7"/>
  <c r="O3962" i="7"/>
  <c r="N3962" i="7"/>
  <c r="D3962" i="7"/>
  <c r="O3961" i="7"/>
  <c r="N3961" i="7"/>
  <c r="D3961" i="7"/>
  <c r="O3960" i="7"/>
  <c r="N3960" i="7"/>
  <c r="D3960" i="7"/>
  <c r="O3959" i="7"/>
  <c r="N3959" i="7"/>
  <c r="D3959" i="7"/>
  <c r="O3958" i="7"/>
  <c r="N3958" i="7"/>
  <c r="D3958" i="7"/>
  <c r="O3957" i="7"/>
  <c r="N3957" i="7"/>
  <c r="D3957" i="7"/>
  <c r="O3956" i="7"/>
  <c r="N3956" i="7"/>
  <c r="D3956" i="7"/>
  <c r="O3955" i="7"/>
  <c r="N3955" i="7"/>
  <c r="D3955" i="7"/>
  <c r="O3954" i="7"/>
  <c r="N3954" i="7"/>
  <c r="D3954" i="7"/>
  <c r="O3953" i="7"/>
  <c r="N3953" i="7"/>
  <c r="D3953" i="7"/>
  <c r="O3952" i="7"/>
  <c r="N3952" i="7"/>
  <c r="D3952" i="7"/>
  <c r="O3951" i="7"/>
  <c r="N3951" i="7"/>
  <c r="D3951" i="7"/>
  <c r="O3950" i="7"/>
  <c r="N3950" i="7"/>
  <c r="D3950" i="7"/>
  <c r="O3949" i="7"/>
  <c r="N3949" i="7"/>
  <c r="D3949" i="7"/>
  <c r="O3976" i="7"/>
  <c r="N3976" i="7"/>
  <c r="D3976" i="7"/>
  <c r="O3975" i="7"/>
  <c r="N3975" i="7"/>
  <c r="D3975" i="7"/>
  <c r="O3974" i="7"/>
  <c r="N3974" i="7"/>
  <c r="D3974" i="7"/>
  <c r="O3973" i="7"/>
  <c r="N3973" i="7"/>
  <c r="D3973" i="7"/>
  <c r="O3972" i="7"/>
  <c r="N3972" i="7"/>
  <c r="D3972" i="7"/>
  <c r="O3971" i="7"/>
  <c r="N3971" i="7"/>
  <c r="D3971" i="7"/>
  <c r="O3970" i="7"/>
  <c r="N3970" i="7"/>
  <c r="D3970" i="7"/>
  <c r="O3969" i="7"/>
  <c r="N3969" i="7"/>
  <c r="D3969" i="7"/>
  <c r="O3968" i="7"/>
  <c r="N3968" i="7"/>
  <c r="D3968" i="7"/>
  <c r="O3967" i="7"/>
  <c r="N3967" i="7"/>
  <c r="D3967" i="7"/>
  <c r="O3966" i="7"/>
  <c r="N3966" i="7"/>
  <c r="D3966" i="7"/>
  <c r="O3965" i="7"/>
  <c r="N3965" i="7"/>
  <c r="D3965" i="7"/>
  <c r="O3964" i="7"/>
  <c r="N3964" i="7"/>
  <c r="D3964" i="7"/>
  <c r="O3988" i="7"/>
  <c r="N3988" i="7"/>
  <c r="D3988" i="7"/>
  <c r="O3987" i="7"/>
  <c r="N3987" i="7"/>
  <c r="D3987" i="7"/>
  <c r="O3986" i="7"/>
  <c r="N3986" i="7"/>
  <c r="D3986" i="7"/>
  <c r="O3985" i="7"/>
  <c r="N3985" i="7"/>
  <c r="D3985" i="7"/>
  <c r="O3984" i="7"/>
  <c r="N3984" i="7"/>
  <c r="D3984" i="7"/>
  <c r="O3983" i="7"/>
  <c r="N3983" i="7"/>
  <c r="D3983" i="7"/>
  <c r="O3982" i="7"/>
  <c r="N3982" i="7"/>
  <c r="D3982" i="7"/>
  <c r="O3981" i="7"/>
  <c r="N3981" i="7"/>
  <c r="D3981" i="7"/>
  <c r="O3980" i="7"/>
  <c r="N3980" i="7"/>
  <c r="D3980" i="7"/>
  <c r="O3979" i="7"/>
  <c r="N3979" i="7"/>
  <c r="D3979" i="7"/>
  <c r="O3978" i="7"/>
  <c r="N3978" i="7"/>
  <c r="D3978" i="7"/>
  <c r="O3977" i="7"/>
  <c r="N3977" i="7"/>
  <c r="D3977" i="7"/>
  <c r="O4001" i="7"/>
  <c r="N4001" i="7"/>
  <c r="D4001" i="7"/>
  <c r="O4000" i="7"/>
  <c r="N4000" i="7"/>
  <c r="D4000" i="7"/>
  <c r="O3999" i="7"/>
  <c r="N3999" i="7"/>
  <c r="D3999" i="7"/>
  <c r="O3998" i="7"/>
  <c r="N3998" i="7"/>
  <c r="D3998" i="7"/>
  <c r="O3997" i="7"/>
  <c r="N3997" i="7"/>
  <c r="D3997" i="7"/>
  <c r="O3996" i="7"/>
  <c r="N3996" i="7"/>
  <c r="D3996" i="7"/>
  <c r="O3995" i="7"/>
  <c r="N3995" i="7"/>
  <c r="D3995" i="7"/>
  <c r="O3994" i="7"/>
  <c r="N3994" i="7"/>
  <c r="D3994" i="7"/>
  <c r="O3993" i="7"/>
  <c r="N3993" i="7"/>
  <c r="D3993" i="7"/>
  <c r="O3992" i="7"/>
  <c r="N3992" i="7"/>
  <c r="D3992" i="7"/>
  <c r="O3991" i="7"/>
  <c r="N3991" i="7"/>
  <c r="D3991" i="7"/>
  <c r="O3990" i="7"/>
  <c r="N3990" i="7"/>
  <c r="D3990" i="7"/>
  <c r="O3989" i="7"/>
  <c r="N3989" i="7"/>
  <c r="D3989" i="7"/>
  <c r="O4014" i="7"/>
  <c r="N4014" i="7"/>
  <c r="D4014" i="7"/>
  <c r="O4013" i="7"/>
  <c r="N4013" i="7"/>
  <c r="D4013" i="7"/>
  <c r="O4012" i="7"/>
  <c r="N4012" i="7"/>
  <c r="D4012" i="7"/>
  <c r="O4011" i="7"/>
  <c r="N4011" i="7"/>
  <c r="D4011" i="7"/>
  <c r="O4010" i="7"/>
  <c r="N4010" i="7"/>
  <c r="D4010" i="7"/>
  <c r="O4009" i="7"/>
  <c r="N4009" i="7"/>
  <c r="D4009" i="7"/>
  <c r="O4008" i="7"/>
  <c r="N4008" i="7"/>
  <c r="D4008" i="7"/>
  <c r="O4007" i="7"/>
  <c r="N4007" i="7"/>
  <c r="D4007" i="7"/>
  <c r="O4006" i="7"/>
  <c r="N4006" i="7"/>
  <c r="D4006" i="7"/>
  <c r="O4005" i="7"/>
  <c r="N4005" i="7"/>
  <c r="D4005" i="7"/>
  <c r="O4004" i="7"/>
  <c r="N4004" i="7"/>
  <c r="D4004" i="7"/>
  <c r="O4003" i="7"/>
  <c r="N4003" i="7"/>
  <c r="D4003" i="7"/>
  <c r="O4002" i="7"/>
  <c r="N4002" i="7"/>
  <c r="D4002" i="7"/>
  <c r="O4027" i="7"/>
  <c r="N4027" i="7"/>
  <c r="D4027" i="7"/>
  <c r="O4026" i="7"/>
  <c r="N4026" i="7"/>
  <c r="D4026" i="7"/>
  <c r="O4025" i="7"/>
  <c r="N4025" i="7"/>
  <c r="D4025" i="7"/>
  <c r="O4024" i="7"/>
  <c r="N4024" i="7"/>
  <c r="D4024" i="7"/>
  <c r="O4023" i="7"/>
  <c r="N4023" i="7"/>
  <c r="D4023" i="7"/>
  <c r="O4022" i="7"/>
  <c r="N4022" i="7"/>
  <c r="D4022" i="7"/>
  <c r="O4021" i="7"/>
  <c r="N4021" i="7"/>
  <c r="D4021" i="7"/>
  <c r="O4020" i="7"/>
  <c r="N4020" i="7"/>
  <c r="D4020" i="7"/>
  <c r="O4019" i="7"/>
  <c r="N4019" i="7"/>
  <c r="D4019" i="7"/>
  <c r="O4018" i="7"/>
  <c r="N4018" i="7"/>
  <c r="D4018" i="7"/>
  <c r="O4017" i="7"/>
  <c r="N4017" i="7"/>
  <c r="D4017" i="7"/>
  <c r="O4016" i="7"/>
  <c r="N4016" i="7"/>
  <c r="D4016" i="7"/>
  <c r="O4015" i="7"/>
  <c r="N4015" i="7"/>
  <c r="D4015" i="7"/>
  <c r="O4043" i="7"/>
  <c r="N4043" i="7"/>
  <c r="D4043" i="7"/>
  <c r="O4042" i="7"/>
  <c r="N4042" i="7"/>
  <c r="D4042" i="7"/>
  <c r="O4041" i="7"/>
  <c r="N4041" i="7"/>
  <c r="D4041" i="7"/>
  <c r="O4040" i="7"/>
  <c r="N4040" i="7"/>
  <c r="D4040" i="7"/>
  <c r="O4039" i="7"/>
  <c r="N4039" i="7"/>
  <c r="D4039" i="7"/>
  <c r="O4038" i="7"/>
  <c r="N4038" i="7"/>
  <c r="D4038" i="7"/>
  <c r="O4037" i="7"/>
  <c r="N4037" i="7"/>
  <c r="D4037" i="7"/>
  <c r="O4036" i="7"/>
  <c r="N4036" i="7"/>
  <c r="D4036" i="7"/>
  <c r="O4035" i="7"/>
  <c r="N4035" i="7"/>
  <c r="D4035" i="7"/>
  <c r="O4034" i="7"/>
  <c r="N4034" i="7"/>
  <c r="D4034" i="7"/>
  <c r="O4033" i="7"/>
  <c r="N4033" i="7"/>
  <c r="D4033" i="7"/>
  <c r="O4032" i="7"/>
  <c r="N4032" i="7"/>
  <c r="D4032" i="7"/>
  <c r="O4031" i="7"/>
  <c r="N4031" i="7"/>
  <c r="D4031" i="7"/>
  <c r="O4030" i="7"/>
  <c r="N4030" i="7"/>
  <c r="D4030" i="7"/>
  <c r="O4029" i="7"/>
  <c r="N4029" i="7"/>
  <c r="D4029" i="7"/>
  <c r="O4028" i="7"/>
  <c r="N4028" i="7"/>
  <c r="D4028" i="7"/>
  <c r="O4058" i="7"/>
  <c r="N4058" i="7"/>
  <c r="D4058" i="7"/>
  <c r="O4057" i="7"/>
  <c r="N4057" i="7"/>
  <c r="D4057" i="7"/>
  <c r="O4056" i="7"/>
  <c r="N4056" i="7"/>
  <c r="D4056" i="7"/>
  <c r="O4055" i="7"/>
  <c r="N4055" i="7"/>
  <c r="D4055" i="7"/>
  <c r="O4054" i="7"/>
  <c r="N4054" i="7"/>
  <c r="D4054" i="7"/>
  <c r="O4053" i="7"/>
  <c r="N4053" i="7"/>
  <c r="D4053" i="7"/>
  <c r="O4052" i="7"/>
  <c r="N4052" i="7"/>
  <c r="D4052" i="7"/>
  <c r="O4051" i="7"/>
  <c r="N4051" i="7"/>
  <c r="D4051" i="7"/>
  <c r="O4050" i="7"/>
  <c r="N4050" i="7"/>
  <c r="D4050" i="7"/>
  <c r="O4049" i="7"/>
  <c r="N4049" i="7"/>
  <c r="D4049" i="7"/>
  <c r="O4048" i="7"/>
  <c r="N4048" i="7"/>
  <c r="D4048" i="7"/>
  <c r="O4047" i="7"/>
  <c r="N4047" i="7"/>
  <c r="D4047" i="7"/>
  <c r="O4046" i="7"/>
  <c r="N4046" i="7"/>
  <c r="D4046" i="7"/>
  <c r="O4045" i="7"/>
  <c r="N4045" i="7"/>
  <c r="D4045" i="7"/>
  <c r="O4044" i="7"/>
  <c r="N4044" i="7"/>
  <c r="D4044" i="7"/>
  <c r="O4073" i="7"/>
  <c r="N4073" i="7"/>
  <c r="D4073" i="7"/>
  <c r="O4072" i="7"/>
  <c r="N4072" i="7"/>
  <c r="D4072" i="7"/>
  <c r="O4071" i="7"/>
  <c r="N4071" i="7"/>
  <c r="D4071" i="7"/>
  <c r="O4070" i="7"/>
  <c r="N4070" i="7"/>
  <c r="D4070" i="7"/>
  <c r="O4069" i="7"/>
  <c r="N4069" i="7"/>
  <c r="D4069" i="7"/>
  <c r="O4068" i="7"/>
  <c r="N4068" i="7"/>
  <c r="D4068" i="7"/>
  <c r="O4067" i="7"/>
  <c r="N4067" i="7"/>
  <c r="D4067" i="7"/>
  <c r="O4066" i="7"/>
  <c r="N4066" i="7"/>
  <c r="D4066" i="7"/>
  <c r="O4065" i="7"/>
  <c r="N4065" i="7"/>
  <c r="D4065" i="7"/>
  <c r="O4064" i="7"/>
  <c r="N4064" i="7"/>
  <c r="D4064" i="7"/>
  <c r="O4063" i="7"/>
  <c r="N4063" i="7"/>
  <c r="D4063" i="7"/>
  <c r="O4062" i="7"/>
  <c r="N4062" i="7"/>
  <c r="D4062" i="7"/>
  <c r="O4061" i="7"/>
  <c r="N4061" i="7"/>
  <c r="D4061" i="7"/>
  <c r="O4060" i="7"/>
  <c r="N4060" i="7"/>
  <c r="D4060" i="7"/>
  <c r="O4059" i="7"/>
  <c r="N4059" i="7"/>
  <c r="D4059" i="7"/>
  <c r="O4090" i="7"/>
  <c r="N4090" i="7"/>
  <c r="D4090" i="7"/>
  <c r="O4089" i="7"/>
  <c r="N4089" i="7"/>
  <c r="D4089" i="7"/>
  <c r="O4088" i="7"/>
  <c r="N4088" i="7"/>
  <c r="D4088" i="7"/>
  <c r="O4087" i="7"/>
  <c r="N4087" i="7"/>
  <c r="D4087" i="7"/>
  <c r="O4086" i="7"/>
  <c r="N4086" i="7"/>
  <c r="D4086" i="7"/>
  <c r="O4085" i="7"/>
  <c r="N4085" i="7"/>
  <c r="D4085" i="7"/>
  <c r="O4084" i="7"/>
  <c r="N4084" i="7"/>
  <c r="D4084" i="7"/>
  <c r="O4083" i="7"/>
  <c r="N4083" i="7"/>
  <c r="D4083" i="7"/>
  <c r="O4082" i="7"/>
  <c r="N4082" i="7"/>
  <c r="D4082" i="7"/>
  <c r="O4081" i="7"/>
  <c r="N4081" i="7"/>
  <c r="D4081" i="7"/>
  <c r="O4080" i="7"/>
  <c r="N4080" i="7"/>
  <c r="D4080" i="7"/>
  <c r="O4079" i="7"/>
  <c r="N4079" i="7"/>
  <c r="D4079" i="7"/>
  <c r="O4078" i="7"/>
  <c r="N4078" i="7"/>
  <c r="D4078" i="7"/>
  <c r="O4077" i="7"/>
  <c r="N4077" i="7"/>
  <c r="D4077" i="7"/>
  <c r="O4076" i="7"/>
  <c r="N4076" i="7"/>
  <c r="D4076" i="7"/>
  <c r="O4075" i="7"/>
  <c r="N4075" i="7"/>
  <c r="D4075" i="7"/>
  <c r="O4074" i="7"/>
  <c r="N4074" i="7"/>
  <c r="D4074" i="7"/>
  <c r="O4108" i="7"/>
  <c r="N4108" i="7"/>
  <c r="D4108" i="7"/>
  <c r="O4107" i="7"/>
  <c r="N4107" i="7"/>
  <c r="D4107" i="7"/>
  <c r="O4106" i="7"/>
  <c r="N4106" i="7"/>
  <c r="D4106" i="7"/>
  <c r="O4105" i="7"/>
  <c r="N4105" i="7"/>
  <c r="D4105" i="7"/>
  <c r="O4104" i="7"/>
  <c r="N4104" i="7"/>
  <c r="D4104" i="7"/>
  <c r="O4103" i="7"/>
  <c r="N4103" i="7"/>
  <c r="D4103" i="7"/>
  <c r="O4102" i="7"/>
  <c r="N4102" i="7"/>
  <c r="D4102" i="7"/>
  <c r="O4101" i="7"/>
  <c r="N4101" i="7"/>
  <c r="D4101" i="7"/>
  <c r="O4100" i="7"/>
  <c r="N4100" i="7"/>
  <c r="D4100" i="7"/>
  <c r="O4099" i="7"/>
  <c r="N4099" i="7"/>
  <c r="D4099" i="7"/>
  <c r="O4098" i="7"/>
  <c r="N4098" i="7"/>
  <c r="D4098" i="7"/>
  <c r="O4097" i="7"/>
  <c r="N4097" i="7"/>
  <c r="D4097" i="7"/>
  <c r="O4096" i="7"/>
  <c r="N4096" i="7"/>
  <c r="D4096" i="7"/>
  <c r="O4095" i="7"/>
  <c r="N4095" i="7"/>
  <c r="D4095" i="7"/>
  <c r="O4094" i="7"/>
  <c r="N4094" i="7"/>
  <c r="D4094" i="7"/>
  <c r="O4093" i="7"/>
  <c r="N4093" i="7"/>
  <c r="D4093" i="7"/>
  <c r="O4092" i="7"/>
  <c r="N4092" i="7"/>
  <c r="D4092" i="7"/>
  <c r="O4091" i="7"/>
  <c r="N4091" i="7"/>
  <c r="D4091" i="7"/>
  <c r="O4124" i="7"/>
  <c r="N4124" i="7"/>
  <c r="D4124" i="7"/>
  <c r="O4123" i="7"/>
  <c r="N4123" i="7"/>
  <c r="D4123" i="7"/>
  <c r="O4122" i="7"/>
  <c r="N4122" i="7"/>
  <c r="D4122" i="7"/>
  <c r="O4121" i="7"/>
  <c r="N4121" i="7"/>
  <c r="D4121" i="7"/>
  <c r="O4120" i="7"/>
  <c r="N4120" i="7"/>
  <c r="D4120" i="7"/>
  <c r="O4119" i="7"/>
  <c r="N4119" i="7"/>
  <c r="D4119" i="7"/>
  <c r="O4118" i="7"/>
  <c r="N4118" i="7"/>
  <c r="D4118" i="7"/>
  <c r="O4117" i="7"/>
  <c r="N4117" i="7"/>
  <c r="D4117" i="7"/>
  <c r="O4116" i="7"/>
  <c r="N4116" i="7"/>
  <c r="D4116" i="7"/>
  <c r="O4115" i="7"/>
  <c r="N4115" i="7"/>
  <c r="D4115" i="7"/>
  <c r="O4114" i="7"/>
  <c r="N4114" i="7"/>
  <c r="D4114" i="7"/>
  <c r="O4113" i="7"/>
  <c r="N4113" i="7"/>
  <c r="D4113" i="7"/>
  <c r="O4112" i="7"/>
  <c r="N4112" i="7"/>
  <c r="D4112" i="7"/>
  <c r="O4111" i="7"/>
  <c r="N4111" i="7"/>
  <c r="D4111" i="7"/>
  <c r="O4110" i="7"/>
  <c r="N4110" i="7"/>
  <c r="D4110" i="7"/>
  <c r="O4109" i="7"/>
  <c r="N4109" i="7"/>
  <c r="D4109" i="7"/>
  <c r="O4141" i="7"/>
  <c r="N4141" i="7"/>
  <c r="D4141" i="7"/>
  <c r="O4140" i="7"/>
  <c r="N4140" i="7"/>
  <c r="D4140" i="7"/>
  <c r="O4139" i="7"/>
  <c r="N4139" i="7"/>
  <c r="D4139" i="7"/>
  <c r="O4138" i="7"/>
  <c r="N4138" i="7"/>
  <c r="D4138" i="7"/>
  <c r="O4137" i="7"/>
  <c r="N4137" i="7"/>
  <c r="D4137" i="7"/>
  <c r="O4136" i="7"/>
  <c r="N4136" i="7"/>
  <c r="D4136" i="7"/>
  <c r="O4135" i="7"/>
  <c r="N4135" i="7"/>
  <c r="D4135" i="7"/>
  <c r="O4134" i="7"/>
  <c r="N4134" i="7"/>
  <c r="D4134" i="7"/>
  <c r="O4133" i="7"/>
  <c r="N4133" i="7"/>
  <c r="D4133" i="7"/>
  <c r="O4132" i="7"/>
  <c r="N4132" i="7"/>
  <c r="D4132" i="7"/>
  <c r="O4131" i="7"/>
  <c r="N4131" i="7"/>
  <c r="D4131" i="7"/>
  <c r="O4130" i="7"/>
  <c r="N4130" i="7"/>
  <c r="D4130" i="7"/>
  <c r="O4129" i="7"/>
  <c r="N4129" i="7"/>
  <c r="D4129" i="7"/>
  <c r="O4128" i="7"/>
  <c r="N4128" i="7"/>
  <c r="D4128" i="7"/>
  <c r="O4127" i="7"/>
  <c r="N4127" i="7"/>
  <c r="D4127" i="7"/>
  <c r="O4126" i="7"/>
  <c r="N4126" i="7"/>
  <c r="D4126" i="7"/>
  <c r="O4125" i="7"/>
  <c r="N4125" i="7"/>
  <c r="D4125" i="7"/>
  <c r="O4155" i="7"/>
  <c r="N4155" i="7"/>
  <c r="D4155" i="7"/>
  <c r="O4154" i="7"/>
  <c r="N4154" i="7"/>
  <c r="D4154" i="7"/>
  <c r="O4153" i="7"/>
  <c r="N4153" i="7"/>
  <c r="D4153" i="7"/>
  <c r="O4152" i="7"/>
  <c r="N4152" i="7"/>
  <c r="D4152" i="7"/>
  <c r="O4151" i="7"/>
  <c r="N4151" i="7"/>
  <c r="D4151" i="7"/>
  <c r="O4150" i="7"/>
  <c r="N4150" i="7"/>
  <c r="D4150" i="7"/>
  <c r="O4149" i="7"/>
  <c r="N4149" i="7"/>
  <c r="D4149" i="7"/>
  <c r="O4148" i="7"/>
  <c r="N4148" i="7"/>
  <c r="D4148" i="7"/>
  <c r="O4147" i="7"/>
  <c r="N4147" i="7"/>
  <c r="D4147" i="7"/>
  <c r="O4146" i="7"/>
  <c r="N4146" i="7"/>
  <c r="D4146" i="7"/>
  <c r="O4145" i="7"/>
  <c r="N4145" i="7"/>
  <c r="D4145" i="7"/>
  <c r="O4144" i="7"/>
  <c r="N4144" i="7"/>
  <c r="D4144" i="7"/>
  <c r="O4143" i="7"/>
  <c r="N4143" i="7"/>
  <c r="D4143" i="7"/>
  <c r="O4142" i="7"/>
  <c r="N4142" i="7"/>
  <c r="D4142" i="7"/>
  <c r="O4171" i="7"/>
  <c r="N4171" i="7"/>
  <c r="D4171" i="7"/>
  <c r="O4170" i="7"/>
  <c r="N4170" i="7"/>
  <c r="D4170" i="7"/>
  <c r="O4169" i="7"/>
  <c r="N4169" i="7"/>
  <c r="D4169" i="7"/>
  <c r="O4168" i="7"/>
  <c r="N4168" i="7"/>
  <c r="D4168" i="7"/>
  <c r="O4167" i="7"/>
  <c r="N4167" i="7"/>
  <c r="D4167" i="7"/>
  <c r="O4166" i="7"/>
  <c r="N4166" i="7"/>
  <c r="D4166" i="7"/>
  <c r="O4165" i="7"/>
  <c r="N4165" i="7"/>
  <c r="D4165" i="7"/>
  <c r="O4164" i="7"/>
  <c r="N4164" i="7"/>
  <c r="D4164" i="7"/>
  <c r="O4163" i="7"/>
  <c r="N4163" i="7"/>
  <c r="D4163" i="7"/>
  <c r="O4162" i="7"/>
  <c r="N4162" i="7"/>
  <c r="D4162" i="7"/>
  <c r="O4161" i="7"/>
  <c r="N4161" i="7"/>
  <c r="D4161" i="7"/>
  <c r="O4160" i="7"/>
  <c r="N4160" i="7"/>
  <c r="D4160" i="7"/>
  <c r="O4159" i="7"/>
  <c r="N4159" i="7"/>
  <c r="D4159" i="7"/>
  <c r="O4158" i="7"/>
  <c r="N4158" i="7"/>
  <c r="D4158" i="7"/>
  <c r="O4157" i="7"/>
  <c r="N4157" i="7"/>
  <c r="D4157" i="7"/>
  <c r="O4156" i="7"/>
  <c r="N4156" i="7"/>
  <c r="D4156" i="7"/>
  <c r="O4185" i="7"/>
  <c r="N4185" i="7"/>
  <c r="D4185" i="7"/>
  <c r="O4184" i="7"/>
  <c r="N4184" i="7"/>
  <c r="D4184" i="7"/>
  <c r="O4183" i="7"/>
  <c r="N4183" i="7"/>
  <c r="D4183" i="7"/>
  <c r="O4182" i="7"/>
  <c r="N4182" i="7"/>
  <c r="D4182" i="7"/>
  <c r="O4181" i="7"/>
  <c r="N4181" i="7"/>
  <c r="D4181" i="7"/>
  <c r="O4180" i="7"/>
  <c r="N4180" i="7"/>
  <c r="D4180" i="7"/>
  <c r="O4179" i="7"/>
  <c r="N4179" i="7"/>
  <c r="D4179" i="7"/>
  <c r="O4178" i="7"/>
  <c r="N4178" i="7"/>
  <c r="D4178" i="7"/>
  <c r="O4177" i="7"/>
  <c r="N4177" i="7"/>
  <c r="D4177" i="7"/>
  <c r="O4176" i="7"/>
  <c r="N4176" i="7"/>
  <c r="D4176" i="7"/>
  <c r="O4175" i="7"/>
  <c r="N4175" i="7"/>
  <c r="D4175" i="7"/>
  <c r="O4174" i="7"/>
  <c r="N4174" i="7"/>
  <c r="D4174" i="7"/>
  <c r="O4173" i="7"/>
  <c r="N4173" i="7"/>
  <c r="D4173" i="7"/>
  <c r="O4172" i="7"/>
  <c r="N4172" i="7"/>
  <c r="D4172" i="7"/>
  <c r="O4203" i="7"/>
  <c r="N4203" i="7"/>
  <c r="D4203" i="7"/>
  <c r="O4202" i="7"/>
  <c r="N4202" i="7"/>
  <c r="D4202" i="7"/>
  <c r="O4201" i="7"/>
  <c r="N4201" i="7"/>
  <c r="D4201" i="7"/>
  <c r="O4200" i="7"/>
  <c r="N4200" i="7"/>
  <c r="D4200" i="7"/>
  <c r="O4199" i="7"/>
  <c r="N4199" i="7"/>
  <c r="D4199" i="7"/>
  <c r="O4198" i="7"/>
  <c r="N4198" i="7"/>
  <c r="D4198" i="7"/>
  <c r="O4197" i="7"/>
  <c r="N4197" i="7"/>
  <c r="D4197" i="7"/>
  <c r="O4196" i="7"/>
  <c r="N4196" i="7"/>
  <c r="D4196" i="7"/>
  <c r="O4195" i="7"/>
  <c r="N4195" i="7"/>
  <c r="D4195" i="7"/>
  <c r="O4194" i="7"/>
  <c r="N4194" i="7"/>
  <c r="D4194" i="7"/>
  <c r="O4193" i="7"/>
  <c r="N4193" i="7"/>
  <c r="D4193" i="7"/>
  <c r="O4192" i="7"/>
  <c r="N4192" i="7"/>
  <c r="D4192" i="7"/>
  <c r="O4191" i="7"/>
  <c r="N4191" i="7"/>
  <c r="D4191" i="7"/>
  <c r="O4190" i="7"/>
  <c r="N4190" i="7"/>
  <c r="D4190" i="7"/>
  <c r="O4189" i="7"/>
  <c r="N4189" i="7"/>
  <c r="D4189" i="7"/>
  <c r="O4188" i="7"/>
  <c r="N4188" i="7"/>
  <c r="D4188" i="7"/>
  <c r="O4187" i="7"/>
  <c r="N4187" i="7"/>
  <c r="D4187" i="7"/>
  <c r="O4186" i="7"/>
  <c r="N4186" i="7"/>
  <c r="D4186" i="7"/>
  <c r="O4218" i="7"/>
  <c r="N4218" i="7"/>
  <c r="D4218" i="7"/>
  <c r="O4217" i="7"/>
  <c r="N4217" i="7"/>
  <c r="D4217" i="7"/>
  <c r="O4216" i="7"/>
  <c r="N4216" i="7"/>
  <c r="D4216" i="7"/>
  <c r="O4215" i="7"/>
  <c r="N4215" i="7"/>
  <c r="D4215" i="7"/>
  <c r="O4214" i="7"/>
  <c r="N4214" i="7"/>
  <c r="D4214" i="7"/>
  <c r="O4213" i="7"/>
  <c r="N4213" i="7"/>
  <c r="D4213" i="7"/>
  <c r="O4212" i="7"/>
  <c r="N4212" i="7"/>
  <c r="D4212" i="7"/>
  <c r="O4211" i="7"/>
  <c r="N4211" i="7"/>
  <c r="D4211" i="7"/>
  <c r="O4210" i="7"/>
  <c r="N4210" i="7"/>
  <c r="D4210" i="7"/>
  <c r="O4209" i="7"/>
  <c r="N4209" i="7"/>
  <c r="D4209" i="7"/>
  <c r="O4208" i="7"/>
  <c r="N4208" i="7"/>
  <c r="D4208" i="7"/>
  <c r="O4207" i="7"/>
  <c r="N4207" i="7"/>
  <c r="D4207" i="7"/>
  <c r="O4206" i="7"/>
  <c r="N4206" i="7"/>
  <c r="D4206" i="7"/>
  <c r="O4205" i="7"/>
  <c r="N4205" i="7"/>
  <c r="D4205" i="7"/>
  <c r="O4204" i="7"/>
  <c r="N4204" i="7"/>
  <c r="D4204" i="7"/>
  <c r="O4232" i="7"/>
  <c r="N4232" i="7"/>
  <c r="D4232" i="7"/>
  <c r="O4231" i="7"/>
  <c r="N4231" i="7"/>
  <c r="D4231" i="7"/>
  <c r="O4230" i="7"/>
  <c r="N4230" i="7"/>
  <c r="D4230" i="7"/>
  <c r="O4229" i="7"/>
  <c r="N4229" i="7"/>
  <c r="D4229" i="7"/>
  <c r="O4228" i="7"/>
  <c r="N4228" i="7"/>
  <c r="D4228" i="7"/>
  <c r="O4227" i="7"/>
  <c r="N4227" i="7"/>
  <c r="D4227" i="7"/>
  <c r="O4226" i="7"/>
  <c r="N4226" i="7"/>
  <c r="D4226" i="7"/>
  <c r="O4225" i="7"/>
  <c r="N4225" i="7"/>
  <c r="D4225" i="7"/>
  <c r="O4224" i="7"/>
  <c r="N4224" i="7"/>
  <c r="D4224" i="7"/>
  <c r="O4223" i="7"/>
  <c r="N4223" i="7"/>
  <c r="D4223" i="7"/>
  <c r="O4222" i="7"/>
  <c r="N4222" i="7"/>
  <c r="D4222" i="7"/>
  <c r="O4221" i="7"/>
  <c r="N4221" i="7"/>
  <c r="D4221" i="7"/>
  <c r="O4220" i="7"/>
  <c r="N4220" i="7"/>
  <c r="D4220" i="7"/>
  <c r="O4219" i="7"/>
  <c r="N4219" i="7"/>
  <c r="D4219" i="7"/>
  <c r="O4245" i="7"/>
  <c r="N4245" i="7"/>
  <c r="D4245" i="7"/>
  <c r="O4244" i="7"/>
  <c r="N4244" i="7"/>
  <c r="D4244" i="7"/>
  <c r="O4243" i="7"/>
  <c r="N4243" i="7"/>
  <c r="D4243" i="7"/>
  <c r="O4242" i="7"/>
  <c r="N4242" i="7"/>
  <c r="D4242" i="7"/>
  <c r="O4241" i="7"/>
  <c r="N4241" i="7"/>
  <c r="D4241" i="7"/>
  <c r="O4240" i="7"/>
  <c r="N4240" i="7"/>
  <c r="D4240" i="7"/>
  <c r="O4239" i="7"/>
  <c r="N4239" i="7"/>
  <c r="D4239" i="7"/>
  <c r="O4238" i="7"/>
  <c r="N4238" i="7"/>
  <c r="D4238" i="7"/>
  <c r="O4237" i="7"/>
  <c r="N4237" i="7"/>
  <c r="D4237" i="7"/>
  <c r="O4236" i="7"/>
  <c r="N4236" i="7"/>
  <c r="D4236" i="7"/>
  <c r="O4235" i="7"/>
  <c r="N4235" i="7"/>
  <c r="D4235" i="7"/>
  <c r="O4234" i="7"/>
  <c r="N4234" i="7"/>
  <c r="D4234" i="7"/>
  <c r="O4233" i="7"/>
  <c r="N4233" i="7"/>
  <c r="D4233" i="7"/>
  <c r="O4260" i="7"/>
  <c r="N4260" i="7"/>
  <c r="D4260" i="7"/>
  <c r="O4259" i="7"/>
  <c r="N4259" i="7"/>
  <c r="D4259" i="7"/>
  <c r="O4258" i="7"/>
  <c r="N4258" i="7"/>
  <c r="D4258" i="7"/>
  <c r="O4257" i="7"/>
  <c r="N4257" i="7"/>
  <c r="D4257" i="7"/>
  <c r="O4256" i="7"/>
  <c r="N4256" i="7"/>
  <c r="D4256" i="7"/>
  <c r="O4255" i="7"/>
  <c r="N4255" i="7"/>
  <c r="D4255" i="7"/>
  <c r="O4254" i="7"/>
  <c r="N4254" i="7"/>
  <c r="D4254" i="7"/>
  <c r="O4253" i="7"/>
  <c r="N4253" i="7"/>
  <c r="D4253" i="7"/>
  <c r="O4252" i="7"/>
  <c r="N4252" i="7"/>
  <c r="D4252" i="7"/>
  <c r="O4251" i="7"/>
  <c r="N4251" i="7"/>
  <c r="D4251" i="7"/>
  <c r="O4250" i="7"/>
  <c r="N4250" i="7"/>
  <c r="D4250" i="7"/>
  <c r="O4249" i="7"/>
  <c r="N4249" i="7"/>
  <c r="D4249" i="7"/>
  <c r="O4248" i="7"/>
  <c r="N4248" i="7"/>
  <c r="D4248" i="7"/>
  <c r="O4247" i="7"/>
  <c r="N4247" i="7"/>
  <c r="D4247" i="7"/>
  <c r="O4246" i="7"/>
  <c r="N4246" i="7"/>
  <c r="D4246" i="7"/>
  <c r="O4278" i="7"/>
  <c r="N4278" i="7"/>
  <c r="D4278" i="7"/>
  <c r="O4277" i="7"/>
  <c r="N4277" i="7"/>
  <c r="D4277" i="7"/>
  <c r="O4276" i="7"/>
  <c r="N4276" i="7"/>
  <c r="D4276" i="7"/>
  <c r="O4275" i="7"/>
  <c r="N4275" i="7"/>
  <c r="D4275" i="7"/>
  <c r="O4274" i="7"/>
  <c r="N4274" i="7"/>
  <c r="D4274" i="7"/>
  <c r="O4273" i="7"/>
  <c r="N4273" i="7"/>
  <c r="D4273" i="7"/>
  <c r="O4272" i="7"/>
  <c r="N4272" i="7"/>
  <c r="D4272" i="7"/>
  <c r="O4271" i="7"/>
  <c r="N4271" i="7"/>
  <c r="D4271" i="7"/>
  <c r="O4270" i="7"/>
  <c r="N4270" i="7"/>
  <c r="D4270" i="7"/>
  <c r="O4269" i="7"/>
  <c r="N4269" i="7"/>
  <c r="D4269" i="7"/>
  <c r="O4268" i="7"/>
  <c r="N4268" i="7"/>
  <c r="D4268" i="7"/>
  <c r="O4267" i="7"/>
  <c r="N4267" i="7"/>
  <c r="D4267" i="7"/>
  <c r="O4266" i="7"/>
  <c r="N4266" i="7"/>
  <c r="D4266" i="7"/>
  <c r="O4265" i="7"/>
  <c r="N4265" i="7"/>
  <c r="D4265" i="7"/>
  <c r="O4264" i="7"/>
  <c r="N4264" i="7"/>
  <c r="D4264" i="7"/>
  <c r="O4263" i="7"/>
  <c r="N4263" i="7"/>
  <c r="D4263" i="7"/>
  <c r="O4262" i="7"/>
  <c r="N4262" i="7"/>
  <c r="D4262" i="7"/>
  <c r="O4261" i="7"/>
  <c r="N4261" i="7"/>
  <c r="D4261" i="7"/>
  <c r="O4293" i="7"/>
  <c r="N4293" i="7"/>
  <c r="D4293" i="7"/>
  <c r="O4292" i="7"/>
  <c r="N4292" i="7"/>
  <c r="D4292" i="7"/>
  <c r="O4291" i="7"/>
  <c r="N4291" i="7"/>
  <c r="D4291" i="7"/>
  <c r="O4290" i="7"/>
  <c r="N4290" i="7"/>
  <c r="D4290" i="7"/>
  <c r="O4289" i="7"/>
  <c r="N4289" i="7"/>
  <c r="D4289" i="7"/>
  <c r="O4288" i="7"/>
  <c r="N4288" i="7"/>
  <c r="D4288" i="7"/>
  <c r="O4287" i="7"/>
  <c r="N4287" i="7"/>
  <c r="D4287" i="7"/>
  <c r="O4286" i="7"/>
  <c r="N4286" i="7"/>
  <c r="D4286" i="7"/>
  <c r="O4285" i="7"/>
  <c r="N4285" i="7"/>
  <c r="D4285" i="7"/>
  <c r="O4284" i="7"/>
  <c r="N4284" i="7"/>
  <c r="D4284" i="7"/>
  <c r="O4283" i="7"/>
  <c r="N4283" i="7"/>
  <c r="D4283" i="7"/>
  <c r="O4282" i="7"/>
  <c r="N4282" i="7"/>
  <c r="D4282" i="7"/>
  <c r="O4281" i="7"/>
  <c r="N4281" i="7"/>
  <c r="D4281" i="7"/>
  <c r="O4280" i="7"/>
  <c r="N4280" i="7"/>
  <c r="D4280" i="7"/>
  <c r="O4279" i="7"/>
  <c r="N4279" i="7"/>
  <c r="D4279" i="7"/>
  <c r="O4314" i="7"/>
  <c r="N4314" i="7"/>
  <c r="D4314" i="7"/>
  <c r="O4313" i="7"/>
  <c r="N4313" i="7"/>
  <c r="D4313" i="7"/>
  <c r="O4312" i="7"/>
  <c r="N4312" i="7"/>
  <c r="D4312" i="7"/>
  <c r="O4311" i="7"/>
  <c r="N4311" i="7"/>
  <c r="D4311" i="7"/>
  <c r="O4310" i="7"/>
  <c r="N4310" i="7"/>
  <c r="D4310" i="7"/>
  <c r="O4309" i="7"/>
  <c r="N4309" i="7"/>
  <c r="D4309" i="7"/>
  <c r="O4308" i="7"/>
  <c r="N4308" i="7"/>
  <c r="D4308" i="7"/>
  <c r="O4307" i="7"/>
  <c r="N4307" i="7"/>
  <c r="D4307" i="7"/>
  <c r="O4306" i="7"/>
  <c r="N4306" i="7"/>
  <c r="D4306" i="7"/>
  <c r="O4305" i="7"/>
  <c r="N4305" i="7"/>
  <c r="D4305" i="7"/>
  <c r="O4304" i="7"/>
  <c r="N4304" i="7"/>
  <c r="D4304" i="7"/>
  <c r="O4303" i="7"/>
  <c r="N4303" i="7"/>
  <c r="D4303" i="7"/>
  <c r="O4302" i="7"/>
  <c r="N4302" i="7"/>
  <c r="D4302" i="7"/>
  <c r="O4301" i="7"/>
  <c r="N4301" i="7"/>
  <c r="D4301" i="7"/>
  <c r="O4300" i="7"/>
  <c r="N4300" i="7"/>
  <c r="D4300" i="7"/>
  <c r="O4299" i="7"/>
  <c r="N4299" i="7"/>
  <c r="D4299" i="7"/>
  <c r="O4298" i="7"/>
  <c r="N4298" i="7"/>
  <c r="D4298" i="7"/>
  <c r="O4297" i="7"/>
  <c r="N4297" i="7"/>
  <c r="D4297" i="7"/>
  <c r="O4296" i="7"/>
  <c r="N4296" i="7"/>
  <c r="D4296" i="7"/>
  <c r="O4295" i="7"/>
  <c r="N4295" i="7"/>
  <c r="D4295" i="7"/>
  <c r="O4294" i="7"/>
  <c r="N4294" i="7"/>
  <c r="D4294" i="7"/>
  <c r="O4340" i="7"/>
  <c r="N4340" i="7"/>
  <c r="D4340" i="7"/>
  <c r="O4339" i="7"/>
  <c r="N4339" i="7"/>
  <c r="D4339" i="7"/>
  <c r="O4338" i="7"/>
  <c r="N4338" i="7"/>
  <c r="D4338" i="7"/>
  <c r="O4337" i="7"/>
  <c r="N4337" i="7"/>
  <c r="D4337" i="7"/>
  <c r="O4336" i="7"/>
  <c r="N4336" i="7"/>
  <c r="D4336" i="7"/>
  <c r="O4335" i="7"/>
  <c r="N4335" i="7"/>
  <c r="D4335" i="7"/>
  <c r="O4334" i="7"/>
  <c r="N4334" i="7"/>
  <c r="D4334" i="7"/>
  <c r="O4333" i="7"/>
  <c r="N4333" i="7"/>
  <c r="D4333" i="7"/>
  <c r="O4332" i="7"/>
  <c r="N4332" i="7"/>
  <c r="D4332" i="7"/>
  <c r="O4331" i="7"/>
  <c r="N4331" i="7"/>
  <c r="D4331" i="7"/>
  <c r="O4330" i="7"/>
  <c r="N4330" i="7"/>
  <c r="D4330" i="7"/>
  <c r="O4329" i="7"/>
  <c r="N4329" i="7"/>
  <c r="D4329" i="7"/>
  <c r="O4328" i="7"/>
  <c r="N4328" i="7"/>
  <c r="D4328" i="7"/>
  <c r="O4327" i="7"/>
  <c r="N4327" i="7"/>
  <c r="D4327" i="7"/>
  <c r="O4326" i="7"/>
  <c r="N4326" i="7"/>
  <c r="D4326" i="7"/>
  <c r="O4325" i="7"/>
  <c r="N4325" i="7"/>
  <c r="D4325" i="7"/>
  <c r="O4324" i="7"/>
  <c r="N4324" i="7"/>
  <c r="D4324" i="7"/>
  <c r="O4323" i="7"/>
  <c r="N4323" i="7"/>
  <c r="D4323" i="7"/>
  <c r="O4322" i="7"/>
  <c r="N4322" i="7"/>
  <c r="D4322" i="7"/>
  <c r="O4321" i="7"/>
  <c r="N4321" i="7"/>
  <c r="D4321" i="7"/>
  <c r="O4320" i="7"/>
  <c r="N4320" i="7"/>
  <c r="D4320" i="7"/>
  <c r="O4319" i="7"/>
  <c r="N4319" i="7"/>
  <c r="D4319" i="7"/>
  <c r="O4318" i="7"/>
  <c r="N4318" i="7"/>
  <c r="D4318" i="7"/>
  <c r="O4317" i="7"/>
  <c r="N4317" i="7"/>
  <c r="D4317" i="7"/>
  <c r="O4316" i="7"/>
  <c r="N4316" i="7"/>
  <c r="D4316" i="7"/>
  <c r="O4315" i="7"/>
  <c r="N4315" i="7"/>
  <c r="D4315" i="7"/>
  <c r="O4356" i="7"/>
  <c r="N4356" i="7"/>
  <c r="D4356" i="7"/>
  <c r="O4355" i="7"/>
  <c r="N4355" i="7"/>
  <c r="D4355" i="7"/>
  <c r="O4354" i="7"/>
  <c r="N4354" i="7"/>
  <c r="D4354" i="7"/>
  <c r="O4353" i="7"/>
  <c r="N4353" i="7"/>
  <c r="D4353" i="7"/>
  <c r="O4352" i="7"/>
  <c r="N4352" i="7"/>
  <c r="D4352" i="7"/>
  <c r="O4351" i="7"/>
  <c r="N4351" i="7"/>
  <c r="D4351" i="7"/>
  <c r="O4350" i="7"/>
  <c r="N4350" i="7"/>
  <c r="D4350" i="7"/>
  <c r="O4349" i="7"/>
  <c r="N4349" i="7"/>
  <c r="D4349" i="7"/>
  <c r="O4348" i="7"/>
  <c r="N4348" i="7"/>
  <c r="D4348" i="7"/>
  <c r="O4347" i="7"/>
  <c r="N4347" i="7"/>
  <c r="D4347" i="7"/>
  <c r="O4346" i="7"/>
  <c r="N4346" i="7"/>
  <c r="D4346" i="7"/>
  <c r="O4345" i="7"/>
  <c r="N4345" i="7"/>
  <c r="D4345" i="7"/>
  <c r="O4344" i="7"/>
  <c r="N4344" i="7"/>
  <c r="D4344" i="7"/>
  <c r="O4343" i="7"/>
  <c r="N4343" i="7"/>
  <c r="D4343" i="7"/>
  <c r="O4342" i="7"/>
  <c r="N4342" i="7"/>
  <c r="D4342" i="7"/>
  <c r="O4341" i="7"/>
  <c r="N4341" i="7"/>
  <c r="D4341" i="7"/>
  <c r="O4372" i="7"/>
  <c r="N4372" i="7"/>
  <c r="D4372" i="7"/>
  <c r="O4371" i="7"/>
  <c r="N4371" i="7"/>
  <c r="D4371" i="7"/>
  <c r="O4370" i="7"/>
  <c r="N4370" i="7"/>
  <c r="D4370" i="7"/>
  <c r="O4369" i="7"/>
  <c r="N4369" i="7"/>
  <c r="D4369" i="7"/>
  <c r="O4368" i="7"/>
  <c r="N4368" i="7"/>
  <c r="D4368" i="7"/>
  <c r="O4367" i="7"/>
  <c r="N4367" i="7"/>
  <c r="D4367" i="7"/>
  <c r="O4366" i="7"/>
  <c r="N4366" i="7"/>
  <c r="D4366" i="7"/>
  <c r="O4365" i="7"/>
  <c r="N4365" i="7"/>
  <c r="D4365" i="7"/>
  <c r="O4364" i="7"/>
  <c r="N4364" i="7"/>
  <c r="D4364" i="7"/>
  <c r="O4363" i="7"/>
  <c r="N4363" i="7"/>
  <c r="D4363" i="7"/>
  <c r="O4362" i="7"/>
  <c r="N4362" i="7"/>
  <c r="D4362" i="7"/>
  <c r="O4361" i="7"/>
  <c r="N4361" i="7"/>
  <c r="D4361" i="7"/>
  <c r="O4360" i="7"/>
  <c r="N4360" i="7"/>
  <c r="D4360" i="7"/>
  <c r="O4359" i="7"/>
  <c r="N4359" i="7"/>
  <c r="D4359" i="7"/>
  <c r="O4358" i="7"/>
  <c r="N4358" i="7"/>
  <c r="D4358" i="7"/>
  <c r="O4357" i="7"/>
  <c r="N4357" i="7"/>
  <c r="D4357" i="7"/>
  <c r="O4385" i="7"/>
  <c r="N4385" i="7"/>
  <c r="D4385" i="7"/>
  <c r="O4384" i="7"/>
  <c r="N4384" i="7"/>
  <c r="D4384" i="7"/>
  <c r="O4383" i="7"/>
  <c r="N4383" i="7"/>
  <c r="D4383" i="7"/>
  <c r="O4382" i="7"/>
  <c r="N4382" i="7"/>
  <c r="D4382" i="7"/>
  <c r="O4381" i="7"/>
  <c r="N4381" i="7"/>
  <c r="D4381" i="7"/>
  <c r="O4380" i="7"/>
  <c r="N4380" i="7"/>
  <c r="D4380" i="7"/>
  <c r="O4379" i="7"/>
  <c r="N4379" i="7"/>
  <c r="D4379" i="7"/>
  <c r="O4378" i="7"/>
  <c r="N4378" i="7"/>
  <c r="D4378" i="7"/>
  <c r="O4377" i="7"/>
  <c r="N4377" i="7"/>
  <c r="D4377" i="7"/>
  <c r="O4376" i="7"/>
  <c r="N4376" i="7"/>
  <c r="D4376" i="7"/>
  <c r="O4375" i="7"/>
  <c r="N4375" i="7"/>
  <c r="D4375" i="7"/>
  <c r="O4374" i="7"/>
  <c r="N4374" i="7"/>
  <c r="D4374" i="7"/>
  <c r="O4373" i="7"/>
  <c r="N4373" i="7"/>
  <c r="D4373" i="7"/>
  <c r="O4400" i="7"/>
  <c r="N4400" i="7"/>
  <c r="D4400" i="7"/>
  <c r="O4399" i="7"/>
  <c r="N4399" i="7"/>
  <c r="D4399" i="7"/>
  <c r="O4398" i="7"/>
  <c r="N4398" i="7"/>
  <c r="D4398" i="7"/>
  <c r="O4397" i="7"/>
  <c r="N4397" i="7"/>
  <c r="D4397" i="7"/>
  <c r="O4396" i="7"/>
  <c r="N4396" i="7"/>
  <c r="D4396" i="7"/>
  <c r="O4395" i="7"/>
  <c r="N4395" i="7"/>
  <c r="D4395" i="7"/>
  <c r="O4394" i="7"/>
  <c r="N4394" i="7"/>
  <c r="D4394" i="7"/>
  <c r="O4393" i="7"/>
  <c r="N4393" i="7"/>
  <c r="D4393" i="7"/>
  <c r="O4392" i="7"/>
  <c r="N4392" i="7"/>
  <c r="D4392" i="7"/>
  <c r="O4391" i="7"/>
  <c r="N4391" i="7"/>
  <c r="D4391" i="7"/>
  <c r="O4390" i="7"/>
  <c r="N4390" i="7"/>
  <c r="D4390" i="7"/>
  <c r="O4389" i="7"/>
  <c r="N4389" i="7"/>
  <c r="D4389" i="7"/>
  <c r="O4388" i="7"/>
  <c r="N4388" i="7"/>
  <c r="D4388" i="7"/>
  <c r="O4387" i="7"/>
  <c r="N4387" i="7"/>
  <c r="D4387" i="7"/>
  <c r="O4386" i="7"/>
  <c r="N4386" i="7"/>
  <c r="D4386" i="7"/>
  <c r="O4413" i="7"/>
  <c r="N4413" i="7"/>
  <c r="D4413" i="7"/>
  <c r="O4412" i="7"/>
  <c r="N4412" i="7"/>
  <c r="D4412" i="7"/>
  <c r="O4411" i="7"/>
  <c r="N4411" i="7"/>
  <c r="D4411" i="7"/>
  <c r="O4410" i="7"/>
  <c r="N4410" i="7"/>
  <c r="D4410" i="7"/>
  <c r="O4409" i="7"/>
  <c r="N4409" i="7"/>
  <c r="D4409" i="7"/>
  <c r="O4408" i="7"/>
  <c r="N4408" i="7"/>
  <c r="D4408" i="7"/>
  <c r="O4407" i="7"/>
  <c r="N4407" i="7"/>
  <c r="D4407" i="7"/>
  <c r="O4406" i="7"/>
  <c r="N4406" i="7"/>
  <c r="D4406" i="7"/>
  <c r="O4405" i="7"/>
  <c r="N4405" i="7"/>
  <c r="D4405" i="7"/>
  <c r="O4404" i="7"/>
  <c r="N4404" i="7"/>
  <c r="D4404" i="7"/>
  <c r="O4403" i="7"/>
  <c r="N4403" i="7"/>
  <c r="D4403" i="7"/>
  <c r="O4402" i="7"/>
  <c r="N4402" i="7"/>
  <c r="D4402" i="7"/>
  <c r="O4401" i="7"/>
  <c r="N4401" i="7"/>
  <c r="D4401" i="7"/>
  <c r="O4425" i="7"/>
  <c r="N4425" i="7"/>
  <c r="D4425" i="7"/>
  <c r="O4424" i="7"/>
  <c r="N4424" i="7"/>
  <c r="D4424" i="7"/>
  <c r="O4423" i="7"/>
  <c r="N4423" i="7"/>
  <c r="D4423" i="7"/>
  <c r="O4422" i="7"/>
  <c r="N4422" i="7"/>
  <c r="D4422" i="7"/>
  <c r="O4421" i="7"/>
  <c r="N4421" i="7"/>
  <c r="D4421" i="7"/>
  <c r="O4420" i="7"/>
  <c r="N4420" i="7"/>
  <c r="D4420" i="7"/>
  <c r="O4419" i="7"/>
  <c r="N4419" i="7"/>
  <c r="D4419" i="7"/>
  <c r="O4418" i="7"/>
  <c r="N4418" i="7"/>
  <c r="D4418" i="7"/>
  <c r="O4417" i="7"/>
  <c r="N4417" i="7"/>
  <c r="D4417" i="7"/>
  <c r="O4416" i="7"/>
  <c r="N4416" i="7"/>
  <c r="D4416" i="7"/>
  <c r="O4415" i="7"/>
  <c r="N4415" i="7"/>
  <c r="D4415" i="7"/>
  <c r="O4414" i="7"/>
  <c r="N4414" i="7"/>
  <c r="D4414" i="7"/>
  <c r="O4433" i="7"/>
  <c r="N4433" i="7"/>
  <c r="D4433" i="7"/>
  <c r="O4432" i="7"/>
  <c r="N4432" i="7"/>
  <c r="D4432" i="7"/>
  <c r="O4431" i="7"/>
  <c r="N4431" i="7"/>
  <c r="D4431" i="7"/>
  <c r="O4430" i="7"/>
  <c r="N4430" i="7"/>
  <c r="D4430" i="7"/>
  <c r="O4429" i="7"/>
  <c r="N4429" i="7"/>
  <c r="D4429" i="7"/>
  <c r="O4428" i="7"/>
  <c r="N4428" i="7"/>
  <c r="D4428" i="7"/>
  <c r="O4427" i="7"/>
  <c r="N4427" i="7"/>
  <c r="D4427" i="7"/>
  <c r="O4426" i="7"/>
  <c r="N4426" i="7"/>
  <c r="D4426" i="7"/>
  <c r="O4445" i="7"/>
  <c r="N4445" i="7"/>
  <c r="D4445" i="7"/>
  <c r="O4444" i="7"/>
  <c r="N4444" i="7"/>
  <c r="D4444" i="7"/>
  <c r="O4443" i="7"/>
  <c r="N4443" i="7"/>
  <c r="D4443" i="7"/>
  <c r="O4442" i="7"/>
  <c r="N4442" i="7"/>
  <c r="D4442" i="7"/>
  <c r="O4441" i="7"/>
  <c r="N4441" i="7"/>
  <c r="D4441" i="7"/>
  <c r="O4440" i="7"/>
  <c r="N4440" i="7"/>
  <c r="D4440" i="7"/>
  <c r="O4439" i="7"/>
  <c r="N4439" i="7"/>
  <c r="D4439" i="7"/>
  <c r="O4438" i="7"/>
  <c r="N4438" i="7"/>
  <c r="D4438" i="7"/>
  <c r="O4437" i="7"/>
  <c r="N4437" i="7"/>
  <c r="D4437" i="7"/>
  <c r="O4436" i="7"/>
  <c r="N4436" i="7"/>
  <c r="D4436" i="7"/>
  <c r="O4435" i="7"/>
  <c r="N4435" i="7"/>
  <c r="D4435" i="7"/>
  <c r="O4434" i="7"/>
  <c r="N4434" i="7"/>
  <c r="D4434" i="7"/>
  <c r="O4455" i="7"/>
  <c r="N4455" i="7"/>
  <c r="D4455" i="7"/>
  <c r="O4454" i="7"/>
  <c r="N4454" i="7"/>
  <c r="D4454" i="7"/>
  <c r="O4453" i="7"/>
  <c r="N4453" i="7"/>
  <c r="D4453" i="7"/>
  <c r="O4452" i="7"/>
  <c r="N4452" i="7"/>
  <c r="D4452" i="7"/>
  <c r="O4451" i="7"/>
  <c r="N4451" i="7"/>
  <c r="D4451" i="7"/>
  <c r="O4450" i="7"/>
  <c r="N4450" i="7"/>
  <c r="D4450" i="7"/>
  <c r="O4449" i="7"/>
  <c r="N4449" i="7"/>
  <c r="D4449" i="7"/>
  <c r="O4448" i="7"/>
  <c r="N4448" i="7"/>
  <c r="D4448" i="7"/>
  <c r="O4447" i="7"/>
  <c r="N4447" i="7"/>
  <c r="D4447" i="7"/>
  <c r="O4446" i="7"/>
  <c r="N4446" i="7"/>
  <c r="D4446" i="7"/>
  <c r="O4467" i="7"/>
  <c r="N4467" i="7"/>
  <c r="D4467" i="7"/>
  <c r="O4466" i="7"/>
  <c r="N4466" i="7"/>
  <c r="D4466" i="7"/>
  <c r="O4465" i="7"/>
  <c r="N4465" i="7"/>
  <c r="D4465" i="7"/>
  <c r="O4464" i="7"/>
  <c r="N4464" i="7"/>
  <c r="D4464" i="7"/>
  <c r="O4463" i="7"/>
  <c r="N4463" i="7"/>
  <c r="D4463" i="7"/>
  <c r="O4462" i="7"/>
  <c r="N4462" i="7"/>
  <c r="D4462" i="7"/>
  <c r="O4461" i="7"/>
  <c r="N4461" i="7"/>
  <c r="D4461" i="7"/>
  <c r="O4460" i="7"/>
  <c r="N4460" i="7"/>
  <c r="D4460" i="7"/>
  <c r="O4459" i="7"/>
  <c r="N4459" i="7"/>
  <c r="D4459" i="7"/>
  <c r="O4458" i="7"/>
  <c r="N4458" i="7"/>
  <c r="D4458" i="7"/>
  <c r="O4457" i="7"/>
  <c r="N4457" i="7"/>
  <c r="D4457" i="7"/>
  <c r="O4456" i="7"/>
  <c r="N4456" i="7"/>
  <c r="D4456" i="7"/>
  <c r="O4473" i="7"/>
  <c r="N4473" i="7"/>
  <c r="D4473" i="7"/>
  <c r="O4472" i="7"/>
  <c r="N4472" i="7"/>
  <c r="D4472" i="7"/>
  <c r="O4471" i="7"/>
  <c r="N4471" i="7"/>
  <c r="D4471" i="7"/>
  <c r="O4470" i="7"/>
  <c r="N4470" i="7"/>
  <c r="D4470" i="7"/>
  <c r="O4469" i="7"/>
  <c r="N4469" i="7"/>
  <c r="D4469" i="7"/>
  <c r="O4468" i="7"/>
  <c r="N4468" i="7"/>
  <c r="D4468" i="7"/>
  <c r="O4483" i="7"/>
  <c r="N4483" i="7"/>
  <c r="D4483" i="7"/>
  <c r="O4482" i="7"/>
  <c r="N4482" i="7"/>
  <c r="D4482" i="7"/>
  <c r="O4481" i="7"/>
  <c r="N4481" i="7"/>
  <c r="D4481" i="7"/>
  <c r="O4480" i="7"/>
  <c r="N4480" i="7"/>
  <c r="D4480" i="7"/>
  <c r="O4479" i="7"/>
  <c r="N4479" i="7"/>
  <c r="D4479" i="7"/>
  <c r="O4478" i="7"/>
  <c r="N4478" i="7"/>
  <c r="D4478" i="7"/>
  <c r="O4477" i="7"/>
  <c r="N4477" i="7"/>
  <c r="D4477" i="7"/>
  <c r="O4476" i="7"/>
  <c r="N4476" i="7"/>
  <c r="D4476" i="7"/>
  <c r="O4475" i="7"/>
  <c r="N4475" i="7"/>
  <c r="D4475" i="7"/>
  <c r="O4474" i="7"/>
  <c r="N4474" i="7"/>
  <c r="D4474" i="7"/>
  <c r="O4491" i="7"/>
  <c r="N4491" i="7"/>
  <c r="D4491" i="7"/>
  <c r="O4490" i="7"/>
  <c r="N4490" i="7"/>
  <c r="M4490" i="7"/>
  <c r="D4490" i="7"/>
  <c r="O4489" i="7"/>
  <c r="N4489" i="7"/>
  <c r="D4489" i="7"/>
  <c r="O4488" i="7"/>
  <c r="N4488" i="7"/>
  <c r="D4488" i="7"/>
  <c r="O4487" i="7"/>
  <c r="N4487" i="7"/>
  <c r="D4487" i="7"/>
  <c r="O4486" i="7"/>
  <c r="N4486" i="7"/>
  <c r="D4486" i="7"/>
  <c r="O4485" i="7"/>
  <c r="N4485" i="7"/>
  <c r="D4485" i="7"/>
  <c r="O4484" i="7"/>
  <c r="N4484" i="7"/>
  <c r="D4484" i="7"/>
  <c r="O4496" i="7"/>
  <c r="N4496" i="7"/>
  <c r="D4496" i="7"/>
  <c r="O4495" i="7"/>
  <c r="N4495" i="7"/>
  <c r="D4495" i="7"/>
  <c r="O4494" i="7"/>
  <c r="N4494" i="7"/>
  <c r="D4494" i="7"/>
  <c r="N4493" i="7"/>
  <c r="D4493" i="7"/>
  <c r="O4492" i="7"/>
  <c r="N4492" i="7"/>
  <c r="D4492" i="7"/>
  <c r="O4501" i="7"/>
  <c r="N4501" i="7"/>
  <c r="D4501" i="7"/>
  <c r="O4500" i="7"/>
  <c r="N4500" i="7"/>
  <c r="D4500" i="7"/>
  <c r="O4499" i="7"/>
  <c r="N4499" i="7"/>
  <c r="D4499" i="7"/>
  <c r="O4498" i="7"/>
  <c r="N4498" i="7"/>
  <c r="D4498" i="7"/>
  <c r="O4497" i="7"/>
  <c r="N4497" i="7"/>
  <c r="D4497" i="7"/>
  <c r="O4507" i="7"/>
  <c r="N4507" i="7"/>
  <c r="D4507" i="7"/>
  <c r="O4506" i="7"/>
  <c r="N4506" i="7"/>
  <c r="D4506" i="7"/>
  <c r="O4505" i="7"/>
  <c r="N4505" i="7"/>
  <c r="D4505" i="7"/>
  <c r="O4504" i="7"/>
  <c r="N4504" i="7"/>
  <c r="D4504" i="7"/>
  <c r="O4503" i="7"/>
  <c r="N4503" i="7"/>
  <c r="D4503" i="7"/>
  <c r="O4502" i="7"/>
  <c r="N4502" i="7"/>
  <c r="D4502" i="7"/>
  <c r="E489" i="7" l="1"/>
  <c r="E2762" i="7"/>
  <c r="E1674" i="7"/>
  <c r="E439" i="7"/>
  <c r="E468" i="7"/>
  <c r="E490" i="7"/>
  <c r="E581" i="7"/>
  <c r="E599" i="7"/>
  <c r="E769" i="7"/>
  <c r="E816" i="7"/>
  <c r="E1008" i="7"/>
  <c r="E1152" i="7"/>
  <c r="E1151" i="7"/>
  <c r="E1178" i="7"/>
  <c r="E1213" i="7"/>
  <c r="E1346" i="7"/>
  <c r="E1506" i="7"/>
  <c r="E1630" i="7"/>
  <c r="E1679" i="7"/>
  <c r="E1729" i="7"/>
  <c r="E2174" i="7"/>
  <c r="E2658" i="7"/>
  <c r="E2800" i="7"/>
  <c r="E2777" i="7"/>
  <c r="E2809" i="7"/>
  <c r="E2824" i="7"/>
  <c r="E3915" i="7"/>
  <c r="E3959" i="7"/>
  <c r="E4285" i="7"/>
  <c r="E4311" i="7"/>
  <c r="E4305" i="7"/>
  <c r="E4299" i="7"/>
  <c r="E4332" i="7"/>
  <c r="E4348" i="7"/>
  <c r="E4344" i="7"/>
  <c r="E4371" i="7"/>
  <c r="E4365" i="7"/>
  <c r="E4381" i="7"/>
  <c r="E4376" i="7"/>
  <c r="E4419" i="7"/>
  <c r="E4454" i="7"/>
  <c r="E4456" i="7"/>
  <c r="E4497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0" i="7"/>
  <c r="E19" i="7"/>
  <c r="E18" i="7"/>
  <c r="M54" i="7"/>
  <c r="J54" i="7" a="1"/>
  <c r="I54" i="7"/>
  <c r="J39" i="7" a="1"/>
  <c r="M39" i="7"/>
  <c r="I39" i="7"/>
  <c r="M68" i="7"/>
  <c r="I68" i="7"/>
  <c r="J68" i="7" a="1"/>
  <c r="I91" i="7"/>
  <c r="J91" i="7" a="1"/>
  <c r="M91" i="7"/>
  <c r="J88" i="7" a="1"/>
  <c r="I88" i="7"/>
  <c r="M88" i="7"/>
  <c r="I96" i="7"/>
  <c r="M96" i="7"/>
  <c r="J96" i="7" a="1"/>
  <c r="M176" i="7"/>
  <c r="J176" i="7" a="1"/>
  <c r="I176" i="7"/>
  <c r="I196" i="7"/>
  <c r="J196" i="7" a="1"/>
  <c r="M196" i="7"/>
  <c r="J203" i="7" a="1"/>
  <c r="M203" i="7"/>
  <c r="I203" i="7"/>
  <c r="M238" i="7"/>
  <c r="I238" i="7"/>
  <c r="J238" i="7" a="1"/>
  <c r="M257" i="7"/>
  <c r="I257" i="7"/>
  <c r="J257" i="7" a="1"/>
  <c r="I345" i="7"/>
  <c r="J345" i="7" a="1"/>
  <c r="M345" i="7"/>
  <c r="I363" i="7"/>
  <c r="J363" i="7" a="1"/>
  <c r="M363" i="7"/>
  <c r="M397" i="7"/>
  <c r="J397" i="7" a="1"/>
  <c r="I397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8" i="7"/>
  <c r="E437" i="7"/>
  <c r="E474" i="7"/>
  <c r="E473" i="7"/>
  <c r="E472" i="7"/>
  <c r="E471" i="7"/>
  <c r="E470" i="7"/>
  <c r="E469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92" i="7"/>
  <c r="E491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512" i="7"/>
  <c r="E511" i="7"/>
  <c r="E510" i="7"/>
  <c r="E509" i="7"/>
  <c r="E508" i="7"/>
  <c r="E507" i="7"/>
  <c r="E506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4" i="7"/>
  <c r="E553" i="7"/>
  <c r="E552" i="7"/>
  <c r="E587" i="7"/>
  <c r="E586" i="7"/>
  <c r="E585" i="7"/>
  <c r="E584" i="7"/>
  <c r="E583" i="7"/>
  <c r="E582" i="7"/>
  <c r="E580" i="7"/>
  <c r="E579" i="7"/>
  <c r="E578" i="7"/>
  <c r="E577" i="7"/>
  <c r="E576" i="7"/>
  <c r="E575" i="7"/>
  <c r="E574" i="7"/>
  <c r="E573" i="7"/>
  <c r="E572" i="7"/>
  <c r="E571" i="7"/>
  <c r="E570" i="7"/>
  <c r="E603" i="7"/>
  <c r="E602" i="7"/>
  <c r="E601" i="7"/>
  <c r="E600" i="7"/>
  <c r="E598" i="7"/>
  <c r="E597" i="7"/>
  <c r="E596" i="7"/>
  <c r="E595" i="7"/>
  <c r="E594" i="7"/>
  <c r="E593" i="7"/>
  <c r="E592" i="7"/>
  <c r="E591" i="7"/>
  <c r="E590" i="7"/>
  <c r="E589" i="7"/>
  <c r="E588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44" i="7"/>
  <c r="E643" i="7"/>
  <c r="E642" i="7"/>
  <c r="E641" i="7"/>
  <c r="E640" i="7"/>
  <c r="E639" i="7"/>
  <c r="E638" i="7"/>
  <c r="E637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68" i="7"/>
  <c r="E667" i="7"/>
  <c r="E666" i="7"/>
  <c r="E665" i="7"/>
  <c r="E664" i="7"/>
  <c r="E663" i="7"/>
  <c r="E662" i="7"/>
  <c r="E661" i="7"/>
  <c r="E660" i="7"/>
  <c r="E659" i="7"/>
  <c r="E658" i="7"/>
  <c r="E657" i="7"/>
  <c r="E656" i="7"/>
  <c r="E655" i="7"/>
  <c r="E654" i="7"/>
  <c r="E653" i="7"/>
  <c r="E652" i="7"/>
  <c r="E651" i="7"/>
  <c r="E650" i="7"/>
  <c r="E649" i="7"/>
  <c r="E648" i="7"/>
  <c r="E647" i="7"/>
  <c r="E646" i="7"/>
  <c r="E645" i="7"/>
  <c r="E688" i="7"/>
  <c r="E687" i="7"/>
  <c r="E686" i="7"/>
  <c r="E685" i="7"/>
  <c r="E684" i="7"/>
  <c r="E683" i="7"/>
  <c r="E682" i="7"/>
  <c r="E681" i="7"/>
  <c r="E680" i="7"/>
  <c r="E679" i="7"/>
  <c r="E678" i="7"/>
  <c r="E677" i="7"/>
  <c r="E676" i="7"/>
  <c r="E675" i="7"/>
  <c r="E674" i="7"/>
  <c r="E673" i="7"/>
  <c r="E672" i="7"/>
  <c r="E671" i="7"/>
  <c r="E670" i="7"/>
  <c r="E669" i="7"/>
  <c r="E708" i="7"/>
  <c r="E707" i="7"/>
  <c r="E706" i="7"/>
  <c r="E705" i="7"/>
  <c r="E704" i="7"/>
  <c r="E703" i="7"/>
  <c r="E702" i="7"/>
  <c r="E701" i="7"/>
  <c r="E700" i="7"/>
  <c r="E698" i="7"/>
  <c r="E697" i="7"/>
  <c r="E696" i="7"/>
  <c r="E695" i="7"/>
  <c r="E694" i="7"/>
  <c r="E693" i="7"/>
  <c r="E692" i="7"/>
  <c r="E691" i="7"/>
  <c r="E690" i="7"/>
  <c r="E689" i="7"/>
  <c r="E729" i="7"/>
  <c r="E728" i="7"/>
  <c r="E727" i="7"/>
  <c r="E726" i="7"/>
  <c r="E725" i="7"/>
  <c r="E724" i="7"/>
  <c r="E723" i="7"/>
  <c r="E722" i="7"/>
  <c r="E721" i="7"/>
  <c r="E720" i="7"/>
  <c r="E719" i="7"/>
  <c r="E718" i="7"/>
  <c r="E717" i="7"/>
  <c r="E716" i="7"/>
  <c r="E715" i="7"/>
  <c r="E714" i="7"/>
  <c r="E713" i="7"/>
  <c r="E712" i="7"/>
  <c r="E711" i="7"/>
  <c r="E710" i="7"/>
  <c r="E709" i="7"/>
  <c r="E749" i="7"/>
  <c r="E748" i="7"/>
  <c r="E747" i="7"/>
  <c r="E746" i="7"/>
  <c r="E745" i="7"/>
  <c r="E744" i="7"/>
  <c r="E743" i="7"/>
  <c r="E742" i="7"/>
  <c r="E741" i="7"/>
  <c r="E740" i="7"/>
  <c r="E739" i="7"/>
  <c r="E738" i="7"/>
  <c r="E737" i="7"/>
  <c r="E736" i="7"/>
  <c r="E735" i="7"/>
  <c r="E734" i="7"/>
  <c r="E733" i="7"/>
  <c r="E732" i="7"/>
  <c r="E731" i="7"/>
  <c r="E730" i="7"/>
  <c r="E768" i="7"/>
  <c r="E767" i="7"/>
  <c r="E766" i="7"/>
  <c r="E765" i="7"/>
  <c r="E764" i="7"/>
  <c r="E763" i="7"/>
  <c r="E762" i="7"/>
  <c r="E761" i="7"/>
  <c r="E760" i="7"/>
  <c r="E759" i="7"/>
  <c r="E758" i="7"/>
  <c r="E757" i="7"/>
  <c r="E756" i="7"/>
  <c r="E755" i="7"/>
  <c r="E753" i="7"/>
  <c r="E752" i="7"/>
  <c r="E751" i="7"/>
  <c r="E750" i="7"/>
  <c r="E783" i="7"/>
  <c r="E782" i="7"/>
  <c r="E781" i="7"/>
  <c r="E780" i="7"/>
  <c r="E779" i="7"/>
  <c r="E778" i="7"/>
  <c r="E777" i="7"/>
  <c r="E776" i="7"/>
  <c r="E775" i="7"/>
  <c r="E774" i="7"/>
  <c r="E773" i="7"/>
  <c r="E772" i="7"/>
  <c r="E771" i="7"/>
  <c r="E770" i="7"/>
  <c r="E801" i="7"/>
  <c r="E800" i="7"/>
  <c r="E799" i="7"/>
  <c r="E798" i="7"/>
  <c r="E797" i="7"/>
  <c r="E796" i="7"/>
  <c r="E795" i="7"/>
  <c r="E794" i="7"/>
  <c r="E793" i="7"/>
  <c r="E792" i="7"/>
  <c r="E791" i="7"/>
  <c r="E790" i="7"/>
  <c r="E789" i="7"/>
  <c r="E788" i="7"/>
  <c r="E787" i="7"/>
  <c r="E786" i="7"/>
  <c r="E785" i="7"/>
  <c r="E784" i="7"/>
  <c r="E819" i="7"/>
  <c r="E818" i="7"/>
  <c r="E817" i="7"/>
  <c r="E815" i="7"/>
  <c r="E814" i="7"/>
  <c r="E813" i="7"/>
  <c r="E812" i="7"/>
  <c r="E811" i="7"/>
  <c r="E810" i="7"/>
  <c r="E809" i="7"/>
  <c r="E808" i="7"/>
  <c r="E807" i="7"/>
  <c r="E806" i="7"/>
  <c r="E805" i="7"/>
  <c r="E804" i="7"/>
  <c r="E803" i="7"/>
  <c r="E802" i="7"/>
  <c r="E841" i="7"/>
  <c r="E840" i="7"/>
  <c r="E839" i="7"/>
  <c r="E838" i="7"/>
  <c r="E837" i="7"/>
  <c r="E836" i="7"/>
  <c r="E835" i="7"/>
  <c r="E834" i="7"/>
  <c r="E833" i="7"/>
  <c r="E832" i="7"/>
  <c r="E830" i="7"/>
  <c r="E829" i="7"/>
  <c r="E828" i="7"/>
  <c r="E827" i="7"/>
  <c r="E826" i="7"/>
  <c r="E825" i="7"/>
  <c r="E824" i="7"/>
  <c r="E823" i="7"/>
  <c r="E822" i="7"/>
  <c r="E821" i="7"/>
  <c r="E820" i="7"/>
  <c r="E860" i="7"/>
  <c r="E859" i="7"/>
  <c r="E858" i="7"/>
  <c r="E857" i="7"/>
  <c r="E856" i="7"/>
  <c r="E855" i="7"/>
  <c r="E854" i="7"/>
  <c r="E853" i="7"/>
  <c r="E852" i="7"/>
  <c r="E851" i="7"/>
  <c r="E850" i="7"/>
  <c r="E849" i="7"/>
  <c r="E848" i="7"/>
  <c r="E847" i="7"/>
  <c r="E846" i="7"/>
  <c r="E845" i="7"/>
  <c r="E844" i="7"/>
  <c r="E843" i="7"/>
  <c r="E842" i="7"/>
  <c r="E878" i="7"/>
  <c r="E877" i="7"/>
  <c r="E876" i="7"/>
  <c r="E875" i="7"/>
  <c r="E874" i="7"/>
  <c r="E873" i="7"/>
  <c r="E872" i="7"/>
  <c r="E871" i="7"/>
  <c r="E870" i="7"/>
  <c r="E869" i="7"/>
  <c r="E868" i="7"/>
  <c r="E867" i="7"/>
  <c r="E866" i="7"/>
  <c r="E865" i="7"/>
  <c r="E864" i="7"/>
  <c r="E863" i="7"/>
  <c r="E862" i="7"/>
  <c r="E861" i="7"/>
  <c r="E902" i="7"/>
  <c r="E901" i="7"/>
  <c r="E900" i="7"/>
  <c r="E899" i="7"/>
  <c r="E898" i="7"/>
  <c r="E897" i="7"/>
  <c r="E896" i="7"/>
  <c r="E895" i="7"/>
  <c r="E894" i="7"/>
  <c r="E893" i="7"/>
  <c r="E892" i="7"/>
  <c r="E891" i="7"/>
  <c r="E890" i="7"/>
  <c r="E889" i="7"/>
  <c r="E888" i="7"/>
  <c r="E887" i="7"/>
  <c r="E886" i="7"/>
  <c r="E884" i="7"/>
  <c r="E883" i="7"/>
  <c r="E882" i="7"/>
  <c r="E881" i="7"/>
  <c r="E880" i="7"/>
  <c r="E879" i="7"/>
  <c r="E926" i="7"/>
  <c r="E925" i="7"/>
  <c r="E924" i="7"/>
  <c r="E923" i="7"/>
  <c r="E922" i="7"/>
  <c r="E921" i="7"/>
  <c r="E920" i="7"/>
  <c r="E919" i="7"/>
  <c r="E918" i="7"/>
  <c r="E917" i="7"/>
  <c r="E916" i="7"/>
  <c r="E915" i="7"/>
  <c r="E914" i="7"/>
  <c r="E913" i="7"/>
  <c r="E912" i="7"/>
  <c r="E911" i="7"/>
  <c r="E910" i="7"/>
  <c r="E909" i="7"/>
  <c r="E908" i="7"/>
  <c r="E907" i="7"/>
  <c r="E906" i="7"/>
  <c r="E905" i="7"/>
  <c r="E904" i="7"/>
  <c r="E903" i="7"/>
  <c r="E946" i="7"/>
  <c r="E945" i="7"/>
  <c r="E944" i="7"/>
  <c r="E943" i="7"/>
  <c r="E942" i="7"/>
  <c r="E941" i="7"/>
  <c r="E940" i="7"/>
  <c r="E939" i="7"/>
  <c r="E938" i="7"/>
  <c r="E937" i="7"/>
  <c r="E936" i="7"/>
  <c r="E935" i="7"/>
  <c r="E934" i="7"/>
  <c r="E933" i="7"/>
  <c r="E932" i="7"/>
  <c r="E931" i="7"/>
  <c r="E930" i="7"/>
  <c r="E929" i="7"/>
  <c r="E928" i="7"/>
  <c r="E927" i="7"/>
  <c r="E966" i="7"/>
  <c r="E965" i="7"/>
  <c r="E964" i="7"/>
  <c r="E963" i="7"/>
  <c r="E962" i="7"/>
  <c r="E961" i="7"/>
  <c r="E960" i="7"/>
  <c r="E959" i="7"/>
  <c r="E958" i="7"/>
  <c r="E957" i="7"/>
  <c r="E956" i="7"/>
  <c r="E955" i="7"/>
  <c r="E954" i="7"/>
  <c r="E953" i="7"/>
  <c r="E952" i="7"/>
  <c r="E950" i="7"/>
  <c r="E949" i="7"/>
  <c r="E948" i="7"/>
  <c r="E947" i="7"/>
  <c r="E983" i="7"/>
  <c r="E982" i="7"/>
  <c r="E981" i="7"/>
  <c r="E980" i="7"/>
  <c r="E979" i="7"/>
  <c r="E978" i="7"/>
  <c r="E977" i="7"/>
  <c r="E976" i="7"/>
  <c r="E975" i="7"/>
  <c r="E974" i="7"/>
  <c r="E973" i="7"/>
  <c r="E972" i="7"/>
  <c r="E971" i="7"/>
  <c r="E970" i="7"/>
  <c r="E969" i="7"/>
  <c r="E968" i="7"/>
  <c r="E967" i="7"/>
  <c r="E999" i="7"/>
  <c r="E998" i="7"/>
  <c r="E997" i="7"/>
  <c r="E996" i="7"/>
  <c r="E995" i="7"/>
  <c r="E994" i="7"/>
  <c r="E993" i="7"/>
  <c r="E992" i="7"/>
  <c r="E991" i="7"/>
  <c r="E990" i="7"/>
  <c r="E989" i="7"/>
  <c r="E988" i="7"/>
  <c r="E987" i="7"/>
  <c r="E986" i="7"/>
  <c r="E985" i="7"/>
  <c r="E984" i="7"/>
  <c r="E1015" i="7"/>
  <c r="E1014" i="7"/>
  <c r="E1013" i="7"/>
  <c r="E1012" i="7"/>
  <c r="E1011" i="7"/>
  <c r="E1010" i="7"/>
  <c r="E1009" i="7"/>
  <c r="E1007" i="7"/>
  <c r="E1006" i="7"/>
  <c r="E1005" i="7"/>
  <c r="E1004" i="7"/>
  <c r="E1003" i="7"/>
  <c r="E1002" i="7"/>
  <c r="E1001" i="7"/>
  <c r="E1000" i="7"/>
  <c r="E1030" i="7"/>
  <c r="E1029" i="7"/>
  <c r="E1028" i="7"/>
  <c r="E1027" i="7"/>
  <c r="E1026" i="7"/>
  <c r="E1025" i="7"/>
  <c r="E1024" i="7"/>
  <c r="E1023" i="7"/>
  <c r="E1022" i="7"/>
  <c r="E1021" i="7"/>
  <c r="E1020" i="7"/>
  <c r="E1019" i="7"/>
  <c r="E1017" i="7"/>
  <c r="E1016" i="7"/>
  <c r="E1043" i="7"/>
  <c r="E1042" i="7"/>
  <c r="E1041" i="7"/>
  <c r="E1040" i="7"/>
  <c r="E1039" i="7"/>
  <c r="E1038" i="7"/>
  <c r="E1037" i="7"/>
  <c r="E1036" i="7"/>
  <c r="E1035" i="7"/>
  <c r="E1034" i="7"/>
  <c r="E1033" i="7"/>
  <c r="E1032" i="7"/>
  <c r="E1031" i="7"/>
  <c r="E1053" i="7"/>
  <c r="E1052" i="7"/>
  <c r="E1051" i="7"/>
  <c r="E1050" i="7"/>
  <c r="E1049" i="7"/>
  <c r="E1048" i="7"/>
  <c r="E1047" i="7"/>
  <c r="E1046" i="7"/>
  <c r="E1045" i="7"/>
  <c r="E1044" i="7"/>
  <c r="E1062" i="7"/>
  <c r="E1061" i="7"/>
  <c r="E1060" i="7"/>
  <c r="E1059" i="7"/>
  <c r="E1058" i="7"/>
  <c r="E1057" i="7"/>
  <c r="E1056" i="7"/>
  <c r="E1055" i="7"/>
  <c r="E1054" i="7"/>
  <c r="E1072" i="7"/>
  <c r="E1071" i="7"/>
  <c r="E1070" i="7"/>
  <c r="E1069" i="7"/>
  <c r="E1068" i="7"/>
  <c r="E1067" i="7"/>
  <c r="E1066" i="7"/>
  <c r="E1065" i="7"/>
  <c r="E1064" i="7"/>
  <c r="E1063" i="7"/>
  <c r="E1082" i="7"/>
  <c r="E1081" i="7"/>
  <c r="E1080" i="7"/>
  <c r="E1079" i="7"/>
  <c r="E1078" i="7"/>
  <c r="E1077" i="7"/>
  <c r="E1076" i="7"/>
  <c r="E1075" i="7"/>
  <c r="E1074" i="7"/>
  <c r="E1073" i="7"/>
  <c r="E1093" i="7"/>
  <c r="E1092" i="7"/>
  <c r="E1091" i="7"/>
  <c r="E1090" i="7"/>
  <c r="E1089" i="7"/>
  <c r="E1088" i="7"/>
  <c r="E1087" i="7"/>
  <c r="E1086" i="7"/>
  <c r="E1085" i="7"/>
  <c r="E1084" i="7"/>
  <c r="E1083" i="7"/>
  <c r="I1103" i="7"/>
  <c r="J1103" i="7" a="1"/>
  <c r="M1103" i="7"/>
  <c r="E1102" i="7"/>
  <c r="E1101" i="7"/>
  <c r="E1100" i="7"/>
  <c r="E1099" i="7"/>
  <c r="E1098" i="7"/>
  <c r="E1097" i="7"/>
  <c r="E1096" i="7"/>
  <c r="E1095" i="7"/>
  <c r="E1094" i="7"/>
  <c r="E1115" i="7"/>
  <c r="E1114" i="7"/>
  <c r="E1113" i="7"/>
  <c r="E1112" i="7"/>
  <c r="E1111" i="7"/>
  <c r="E1110" i="7"/>
  <c r="E1109" i="7"/>
  <c r="E1108" i="7"/>
  <c r="E1107" i="7"/>
  <c r="E1106" i="7"/>
  <c r="E1105" i="7"/>
  <c r="E1104" i="7"/>
  <c r="E1126" i="7"/>
  <c r="E1125" i="7"/>
  <c r="E1124" i="7"/>
  <c r="E1123" i="7"/>
  <c r="E1122" i="7"/>
  <c r="E1121" i="7"/>
  <c r="E1120" i="7"/>
  <c r="E1119" i="7"/>
  <c r="E1118" i="7"/>
  <c r="E1117" i="7"/>
  <c r="E1116" i="7"/>
  <c r="E1137" i="7"/>
  <c r="E1136" i="7"/>
  <c r="E1135" i="7"/>
  <c r="E1134" i="7"/>
  <c r="E1133" i="7"/>
  <c r="E1132" i="7"/>
  <c r="E1131" i="7"/>
  <c r="E1130" i="7"/>
  <c r="E1129" i="7"/>
  <c r="E1128" i="7"/>
  <c r="E1127" i="7"/>
  <c r="E1146" i="7"/>
  <c r="E1145" i="7"/>
  <c r="E1144" i="7"/>
  <c r="E1143" i="7"/>
  <c r="E1142" i="7"/>
  <c r="E1141" i="7"/>
  <c r="E1140" i="7"/>
  <c r="E1139" i="7"/>
  <c r="E1138" i="7"/>
  <c r="E1156" i="7"/>
  <c r="E1155" i="7"/>
  <c r="E1154" i="7"/>
  <c r="E1153" i="7"/>
  <c r="E1150" i="7"/>
  <c r="E1149" i="7"/>
  <c r="E1148" i="7"/>
  <c r="E1147" i="7"/>
  <c r="E1167" i="7"/>
  <c r="E1166" i="7"/>
  <c r="E1165" i="7"/>
  <c r="E1164" i="7"/>
  <c r="E1163" i="7"/>
  <c r="E1162" i="7"/>
  <c r="E1161" i="7"/>
  <c r="E1160" i="7"/>
  <c r="E1159" i="7"/>
  <c r="E1158" i="7"/>
  <c r="E1157" i="7"/>
  <c r="E1172" i="7"/>
  <c r="E1171" i="7"/>
  <c r="E1170" i="7"/>
  <c r="E1169" i="7"/>
  <c r="E1168" i="7"/>
  <c r="E1177" i="7"/>
  <c r="E1176" i="7"/>
  <c r="E1175" i="7"/>
  <c r="E1174" i="7"/>
  <c r="E1173" i="7"/>
  <c r="E1182" i="7"/>
  <c r="E1181" i="7"/>
  <c r="E1180" i="7"/>
  <c r="E1179" i="7"/>
  <c r="E1186" i="7"/>
  <c r="E1185" i="7"/>
  <c r="E1184" i="7"/>
  <c r="E1183" i="7"/>
  <c r="E1192" i="7"/>
  <c r="E1191" i="7"/>
  <c r="E1190" i="7"/>
  <c r="E1189" i="7"/>
  <c r="E1188" i="7"/>
  <c r="E1187" i="7"/>
  <c r="E1206" i="7"/>
  <c r="E1205" i="7"/>
  <c r="E1204" i="7"/>
  <c r="E1203" i="7"/>
  <c r="E1202" i="7"/>
  <c r="E1201" i="7"/>
  <c r="E1200" i="7"/>
  <c r="E1199" i="7"/>
  <c r="E1198" i="7"/>
  <c r="E1197" i="7"/>
  <c r="E1196" i="7"/>
  <c r="E1195" i="7"/>
  <c r="E1194" i="7"/>
  <c r="E1193" i="7"/>
  <c r="E1220" i="7"/>
  <c r="E1219" i="7"/>
  <c r="E1218" i="7"/>
  <c r="E1217" i="7"/>
  <c r="E1216" i="7"/>
  <c r="E1215" i="7"/>
  <c r="E1214" i="7"/>
  <c r="E1212" i="7"/>
  <c r="E1211" i="7"/>
  <c r="E1210" i="7"/>
  <c r="E1209" i="7"/>
  <c r="E1208" i="7"/>
  <c r="E1207" i="7"/>
  <c r="E1249" i="7"/>
  <c r="E1248" i="7"/>
  <c r="E1247" i="7"/>
  <c r="E1246" i="7"/>
  <c r="E1245" i="7"/>
  <c r="E1244" i="7"/>
  <c r="E1243" i="7"/>
  <c r="E1242" i="7"/>
  <c r="E1241" i="7"/>
  <c r="E1240" i="7"/>
  <c r="E1239" i="7"/>
  <c r="E1238" i="7"/>
  <c r="E1237" i="7"/>
  <c r="E1236" i="7"/>
  <c r="E1235" i="7"/>
  <c r="E1234" i="7"/>
  <c r="E1233" i="7"/>
  <c r="E1232" i="7"/>
  <c r="E1231" i="7"/>
  <c r="E1230" i="7"/>
  <c r="E1229" i="7"/>
  <c r="E1228" i="7"/>
  <c r="E1227" i="7"/>
  <c r="E1226" i="7"/>
  <c r="E1225" i="7"/>
  <c r="E1224" i="7"/>
  <c r="E1223" i="7"/>
  <c r="E1222" i="7"/>
  <c r="E1221" i="7"/>
  <c r="E1279" i="7"/>
  <c r="E1278" i="7"/>
  <c r="E1277" i="7"/>
  <c r="E1276" i="7"/>
  <c r="E1275" i="7"/>
  <c r="E1274" i="7"/>
  <c r="E1273" i="7"/>
  <c r="E1272" i="7"/>
  <c r="E1271" i="7"/>
  <c r="E1270" i="7"/>
  <c r="E1269" i="7"/>
  <c r="E1268" i="7"/>
  <c r="E1267" i="7"/>
  <c r="E1266" i="7"/>
  <c r="E1265" i="7"/>
  <c r="E1264" i="7"/>
  <c r="E1263" i="7"/>
  <c r="E1262" i="7"/>
  <c r="E1261" i="7"/>
  <c r="E1260" i="7"/>
  <c r="E1259" i="7"/>
  <c r="E1258" i="7"/>
  <c r="E1257" i="7"/>
  <c r="E1256" i="7"/>
  <c r="E1255" i="7"/>
  <c r="E1254" i="7"/>
  <c r="E1253" i="7"/>
  <c r="E1252" i="7"/>
  <c r="E1251" i="7"/>
  <c r="E1250" i="7"/>
  <c r="E1308" i="7"/>
  <c r="E1307" i="7"/>
  <c r="E1306" i="7"/>
  <c r="E1305" i="7"/>
  <c r="E1304" i="7"/>
  <c r="E1303" i="7"/>
  <c r="E1302" i="7"/>
  <c r="E1301" i="7"/>
  <c r="E1300" i="7"/>
  <c r="E1298" i="7"/>
  <c r="E1297" i="7"/>
  <c r="E1296" i="7"/>
  <c r="E1295" i="7"/>
  <c r="E1294" i="7"/>
  <c r="E1293" i="7"/>
  <c r="E1292" i="7"/>
  <c r="E1291" i="7"/>
  <c r="E1290" i="7"/>
  <c r="E1289" i="7"/>
  <c r="E1288" i="7"/>
  <c r="E1287" i="7"/>
  <c r="E1286" i="7"/>
  <c r="E1285" i="7"/>
  <c r="E1284" i="7"/>
  <c r="E1283" i="7"/>
  <c r="E1282" i="7"/>
  <c r="E1281" i="7"/>
  <c r="E1280" i="7"/>
  <c r="E1333" i="7"/>
  <c r="E1332" i="7"/>
  <c r="E1331" i="7"/>
  <c r="E1330" i="7"/>
  <c r="E1329" i="7"/>
  <c r="E1328" i="7"/>
  <c r="E1327" i="7"/>
  <c r="E1326" i="7"/>
  <c r="E1325" i="7"/>
  <c r="E1324" i="7"/>
  <c r="E1323" i="7"/>
  <c r="E1322" i="7"/>
  <c r="E1321" i="7"/>
  <c r="E1320" i="7"/>
  <c r="E1319" i="7"/>
  <c r="E1318" i="7"/>
  <c r="E1317" i="7"/>
  <c r="E1316" i="7"/>
  <c r="E1315" i="7"/>
  <c r="E1314" i="7"/>
  <c r="E1313" i="7"/>
  <c r="E1312" i="7"/>
  <c r="E1311" i="7"/>
  <c r="E1310" i="7"/>
  <c r="E1309" i="7"/>
  <c r="E1364" i="7"/>
  <c r="E1363" i="7"/>
  <c r="E1362" i="7"/>
  <c r="E1361" i="7"/>
  <c r="E1360" i="7"/>
  <c r="E1359" i="7"/>
  <c r="E1358" i="7"/>
  <c r="E1357" i="7"/>
  <c r="E1356" i="7"/>
  <c r="E1355" i="7"/>
  <c r="E1354" i="7"/>
  <c r="E1353" i="7"/>
  <c r="E1352" i="7"/>
  <c r="E1351" i="7"/>
  <c r="E1350" i="7"/>
  <c r="E1349" i="7"/>
  <c r="E1348" i="7"/>
  <c r="E1347" i="7"/>
  <c r="E1345" i="7"/>
  <c r="E1344" i="7"/>
  <c r="E1342" i="7"/>
  <c r="E1341" i="7"/>
  <c r="E1340" i="7"/>
  <c r="E1339" i="7"/>
  <c r="E1338" i="7"/>
  <c r="E1337" i="7"/>
  <c r="E1336" i="7"/>
  <c r="E1335" i="7"/>
  <c r="E1334" i="7"/>
  <c r="E1396" i="7"/>
  <c r="E1395" i="7"/>
  <c r="E1394" i="7"/>
  <c r="E1393" i="7"/>
  <c r="E1392" i="7"/>
  <c r="E1391" i="7"/>
  <c r="E1390" i="7"/>
  <c r="E1389" i="7"/>
  <c r="E1388" i="7"/>
  <c r="E1387" i="7"/>
  <c r="E1386" i="7"/>
  <c r="E1385" i="7"/>
  <c r="E1384" i="7"/>
  <c r="E1383" i="7"/>
  <c r="E1382" i="7"/>
  <c r="E1381" i="7"/>
  <c r="E1380" i="7"/>
  <c r="E1379" i="7"/>
  <c r="E1378" i="7"/>
  <c r="E1377" i="7"/>
  <c r="E1376" i="7"/>
  <c r="E1375" i="7"/>
  <c r="E1374" i="7"/>
  <c r="E1373" i="7"/>
  <c r="E1372" i="7"/>
  <c r="E1371" i="7"/>
  <c r="E1370" i="7"/>
  <c r="E1369" i="7"/>
  <c r="E1368" i="7"/>
  <c r="E1367" i="7"/>
  <c r="E1366" i="7"/>
  <c r="E1365" i="7"/>
  <c r="E1426" i="7"/>
  <c r="E1425" i="7"/>
  <c r="E1424" i="7"/>
  <c r="E1423" i="7"/>
  <c r="E1422" i="7"/>
  <c r="E1421" i="7"/>
  <c r="E1420" i="7"/>
  <c r="E1419" i="7"/>
  <c r="E1418" i="7"/>
  <c r="E1417" i="7"/>
  <c r="E1416" i="7"/>
  <c r="E1415" i="7"/>
  <c r="E1414" i="7"/>
  <c r="E1413" i="7"/>
  <c r="E1412" i="7"/>
  <c r="E1411" i="7"/>
  <c r="E1410" i="7"/>
  <c r="E1409" i="7"/>
  <c r="E1408" i="7"/>
  <c r="E1407" i="7"/>
  <c r="E1406" i="7"/>
  <c r="E1405" i="7"/>
  <c r="E1404" i="7"/>
  <c r="E1403" i="7"/>
  <c r="E1401" i="7"/>
  <c r="E1400" i="7"/>
  <c r="E1399" i="7"/>
  <c r="E1398" i="7"/>
  <c r="E1397" i="7"/>
  <c r="E1451" i="7"/>
  <c r="E1450" i="7"/>
  <c r="E1449" i="7"/>
  <c r="E1448" i="7"/>
  <c r="E1447" i="7"/>
  <c r="E1446" i="7"/>
  <c r="E1445" i="7"/>
  <c r="E1444" i="7"/>
  <c r="E1443" i="7"/>
  <c r="E1442" i="7"/>
  <c r="E1441" i="7"/>
  <c r="E1440" i="7"/>
  <c r="E1439" i="7"/>
  <c r="E1438" i="7"/>
  <c r="E1437" i="7"/>
  <c r="E1436" i="7"/>
  <c r="E1435" i="7"/>
  <c r="E1434" i="7"/>
  <c r="E1433" i="7"/>
  <c r="E1432" i="7"/>
  <c r="E1431" i="7"/>
  <c r="E1430" i="7"/>
  <c r="E1429" i="7"/>
  <c r="E1428" i="7"/>
  <c r="E1427" i="7"/>
  <c r="E1470" i="7"/>
  <c r="E1469" i="7"/>
  <c r="E1468" i="7"/>
  <c r="E1467" i="7"/>
  <c r="E1466" i="7"/>
  <c r="E1465" i="7"/>
  <c r="E1464" i="7"/>
  <c r="E1463" i="7"/>
  <c r="E1462" i="7"/>
  <c r="E1461" i="7"/>
  <c r="E1460" i="7"/>
  <c r="E1459" i="7"/>
  <c r="E1458" i="7"/>
  <c r="E1457" i="7"/>
  <c r="E1456" i="7"/>
  <c r="E1455" i="7"/>
  <c r="E1454" i="7"/>
  <c r="E1453" i="7"/>
  <c r="E1452" i="7"/>
  <c r="E1495" i="7"/>
  <c r="E1494" i="7"/>
  <c r="E1493" i="7"/>
  <c r="E1492" i="7"/>
  <c r="E1491" i="7"/>
  <c r="E1490" i="7"/>
  <c r="E1489" i="7"/>
  <c r="E1488" i="7"/>
  <c r="E1487" i="7"/>
  <c r="E1486" i="7"/>
  <c r="E1485" i="7"/>
  <c r="E1484" i="7"/>
  <c r="E1483" i="7"/>
  <c r="E1482" i="7"/>
  <c r="E1481" i="7"/>
  <c r="E1480" i="7"/>
  <c r="E1478" i="7"/>
  <c r="E1477" i="7"/>
  <c r="E1476" i="7"/>
  <c r="E1475" i="7"/>
  <c r="E1474" i="7"/>
  <c r="E1473" i="7"/>
  <c r="E1472" i="7"/>
  <c r="E1471" i="7"/>
  <c r="E1526" i="7"/>
  <c r="E1525" i="7"/>
  <c r="E1524" i="7"/>
  <c r="E1523" i="7"/>
  <c r="E1522" i="7"/>
  <c r="E1521" i="7"/>
  <c r="E1520" i="7"/>
  <c r="E1519" i="7"/>
  <c r="E1518" i="7"/>
  <c r="E1517" i="7"/>
  <c r="E1516" i="7"/>
  <c r="E1515" i="7"/>
  <c r="E1514" i="7"/>
  <c r="E1513" i="7"/>
  <c r="E1512" i="7"/>
  <c r="E1511" i="7"/>
  <c r="E1510" i="7"/>
  <c r="E1509" i="7"/>
  <c r="E1508" i="7"/>
  <c r="E1507" i="7"/>
  <c r="E1505" i="7"/>
  <c r="E1504" i="7"/>
  <c r="E1503" i="7"/>
  <c r="E1502" i="7"/>
  <c r="E1501" i="7"/>
  <c r="E1500" i="7"/>
  <c r="E1499" i="7"/>
  <c r="E1498" i="7"/>
  <c r="E1497" i="7"/>
  <c r="E1496" i="7"/>
  <c r="E1554" i="7"/>
  <c r="E1553" i="7"/>
  <c r="E1552" i="7"/>
  <c r="E1551" i="7"/>
  <c r="E1550" i="7"/>
  <c r="E1549" i="7"/>
  <c r="E1548" i="7"/>
  <c r="E1547" i="7"/>
  <c r="E1546" i="7"/>
  <c r="E1545" i="7"/>
  <c r="E1544" i="7"/>
  <c r="E1543" i="7"/>
  <c r="E1542" i="7"/>
  <c r="E1541" i="7"/>
  <c r="E1540" i="7"/>
  <c r="E1539" i="7"/>
  <c r="E1538" i="7"/>
  <c r="E1537" i="7"/>
  <c r="E1536" i="7"/>
  <c r="E1535" i="7"/>
  <c r="E1534" i="7"/>
  <c r="E1533" i="7"/>
  <c r="E1532" i="7"/>
  <c r="E1531" i="7"/>
  <c r="E1530" i="7"/>
  <c r="E1529" i="7"/>
  <c r="E1528" i="7"/>
  <c r="E1527" i="7"/>
  <c r="E1579" i="7"/>
  <c r="E1578" i="7"/>
  <c r="E1577" i="7"/>
  <c r="E1576" i="7"/>
  <c r="E1575" i="7"/>
  <c r="E1574" i="7"/>
  <c r="E1573" i="7"/>
  <c r="E1572" i="7"/>
  <c r="E1571" i="7"/>
  <c r="E1570" i="7"/>
  <c r="E1569" i="7"/>
  <c r="E1568" i="7"/>
  <c r="E1567" i="7"/>
  <c r="E1566" i="7"/>
  <c r="E1565" i="7"/>
  <c r="E1564" i="7"/>
  <c r="E1563" i="7"/>
  <c r="E1562" i="7"/>
  <c r="E1561" i="7"/>
  <c r="E1560" i="7"/>
  <c r="E1559" i="7"/>
  <c r="E1558" i="7"/>
  <c r="E1557" i="7"/>
  <c r="E1556" i="7"/>
  <c r="E1555" i="7"/>
  <c r="E1605" i="7"/>
  <c r="E1604" i="7"/>
  <c r="E1603" i="7"/>
  <c r="E1602" i="7"/>
  <c r="E1601" i="7"/>
  <c r="E1600" i="7"/>
  <c r="E1599" i="7"/>
  <c r="E1598" i="7"/>
  <c r="E1597" i="7"/>
  <c r="E1596" i="7"/>
  <c r="E1595" i="7"/>
  <c r="E1594" i="7"/>
  <c r="E1593" i="7"/>
  <c r="E1592" i="7"/>
  <c r="E1591" i="7"/>
  <c r="E1590" i="7"/>
  <c r="E1589" i="7"/>
  <c r="E1588" i="7"/>
  <c r="E1587" i="7"/>
  <c r="E1586" i="7"/>
  <c r="E1585" i="7"/>
  <c r="E1584" i="7"/>
  <c r="E1583" i="7"/>
  <c r="E1582" i="7"/>
  <c r="E1581" i="7"/>
  <c r="E1580" i="7"/>
  <c r="E1628" i="7"/>
  <c r="E1627" i="7"/>
  <c r="E1626" i="7"/>
  <c r="E1625" i="7"/>
  <c r="E1624" i="7"/>
  <c r="E1623" i="7"/>
  <c r="E1622" i="7"/>
  <c r="E1621" i="7"/>
  <c r="E1620" i="7"/>
  <c r="E1619" i="7"/>
  <c r="E1618" i="7"/>
  <c r="E1617" i="7"/>
  <c r="E1616" i="7"/>
  <c r="E1615" i="7"/>
  <c r="E1614" i="7"/>
  <c r="E1613" i="7"/>
  <c r="E1612" i="7"/>
  <c r="E1611" i="7"/>
  <c r="E1610" i="7"/>
  <c r="E1609" i="7"/>
  <c r="E1608" i="7"/>
  <c r="E1607" i="7"/>
  <c r="E1606" i="7"/>
  <c r="E1652" i="7"/>
  <c r="E1651" i="7"/>
  <c r="E1650" i="7"/>
  <c r="E1649" i="7"/>
  <c r="E1648" i="7"/>
  <c r="E1647" i="7"/>
  <c r="E1646" i="7"/>
  <c r="E1645" i="7"/>
  <c r="E1644" i="7"/>
  <c r="E1643" i="7"/>
  <c r="E1642" i="7"/>
  <c r="E1641" i="7"/>
  <c r="E1640" i="7"/>
  <c r="E1639" i="7"/>
  <c r="E1638" i="7"/>
  <c r="E1637" i="7"/>
  <c r="E1636" i="7"/>
  <c r="E1635" i="7"/>
  <c r="E1634" i="7"/>
  <c r="E1633" i="7"/>
  <c r="E1632" i="7"/>
  <c r="E1631" i="7"/>
  <c r="E1629" i="7"/>
  <c r="E1681" i="7"/>
  <c r="E1680" i="7"/>
  <c r="E1678" i="7"/>
  <c r="E1677" i="7"/>
  <c r="E1676" i="7"/>
  <c r="E1675" i="7"/>
  <c r="E1673" i="7"/>
  <c r="E1672" i="7"/>
  <c r="E1671" i="7"/>
  <c r="E1670" i="7"/>
  <c r="E1669" i="7"/>
  <c r="E1668" i="7"/>
  <c r="E1667" i="7"/>
  <c r="E1666" i="7"/>
  <c r="E1665" i="7"/>
  <c r="E1664" i="7"/>
  <c r="E1663" i="7"/>
  <c r="E1662" i="7"/>
  <c r="E1661" i="7"/>
  <c r="E1660" i="7"/>
  <c r="E1659" i="7"/>
  <c r="E1658" i="7"/>
  <c r="E1657" i="7"/>
  <c r="E1656" i="7"/>
  <c r="E1655" i="7"/>
  <c r="E1654" i="7"/>
  <c r="E1653" i="7"/>
  <c r="E1707" i="7"/>
  <c r="E1706" i="7"/>
  <c r="E1705" i="7"/>
  <c r="E1703" i="7"/>
  <c r="E1702" i="7"/>
  <c r="E1701" i="7"/>
  <c r="E1700" i="7"/>
  <c r="E1699" i="7"/>
  <c r="E1698" i="7"/>
  <c r="E1697" i="7"/>
  <c r="E1696" i="7"/>
  <c r="E1695" i="7"/>
  <c r="E1694" i="7"/>
  <c r="E1693" i="7"/>
  <c r="E1692" i="7"/>
  <c r="E1691" i="7"/>
  <c r="E1690" i="7"/>
  <c r="E1689" i="7"/>
  <c r="E1688" i="7"/>
  <c r="E1687" i="7"/>
  <c r="E1686" i="7"/>
  <c r="E1685" i="7"/>
  <c r="E1684" i="7"/>
  <c r="E1683" i="7"/>
  <c r="E1682" i="7"/>
  <c r="E1733" i="7"/>
  <c r="E1732" i="7"/>
  <c r="E1731" i="7"/>
  <c r="E1730" i="7"/>
  <c r="E1728" i="7"/>
  <c r="E1727" i="7"/>
  <c r="E1726" i="7"/>
  <c r="E1725" i="7"/>
  <c r="E1724" i="7"/>
  <c r="E1723" i="7"/>
  <c r="E1722" i="7"/>
  <c r="E1721" i="7"/>
  <c r="E1720" i="7"/>
  <c r="E1719" i="7"/>
  <c r="E1718" i="7"/>
  <c r="E1717" i="7"/>
  <c r="E1716" i="7"/>
  <c r="E1715" i="7"/>
  <c r="E1714" i="7"/>
  <c r="E1713" i="7"/>
  <c r="E1712" i="7"/>
  <c r="E1711" i="7"/>
  <c r="E1710" i="7"/>
  <c r="E1709" i="7"/>
  <c r="E1708" i="7"/>
  <c r="E1753" i="7"/>
  <c r="E1752" i="7"/>
  <c r="E1751" i="7"/>
  <c r="E1750" i="7"/>
  <c r="E1749" i="7"/>
  <c r="E1748" i="7"/>
  <c r="E1747" i="7"/>
  <c r="E1746" i="7"/>
  <c r="E1745" i="7"/>
  <c r="E1744" i="7"/>
  <c r="E1743" i="7"/>
  <c r="E1742" i="7"/>
  <c r="E1741" i="7"/>
  <c r="E1740" i="7"/>
  <c r="E1739" i="7"/>
  <c r="E1738" i="7"/>
  <c r="E1737" i="7"/>
  <c r="E1735" i="7"/>
  <c r="E1734" i="7"/>
  <c r="E1775" i="7"/>
  <c r="E1774" i="7"/>
  <c r="E1773" i="7"/>
  <c r="E1772" i="7"/>
  <c r="E1771" i="7"/>
  <c r="E1770" i="7"/>
  <c r="E1769" i="7"/>
  <c r="E1768" i="7"/>
  <c r="E1767" i="7"/>
  <c r="E1766" i="7"/>
  <c r="E1765" i="7"/>
  <c r="E1764" i="7"/>
  <c r="E1763" i="7"/>
  <c r="E1762" i="7"/>
  <c r="E1761" i="7"/>
  <c r="E1760" i="7"/>
  <c r="E1759" i="7"/>
  <c r="E1758" i="7"/>
  <c r="E1757" i="7"/>
  <c r="E1756" i="7"/>
  <c r="E1755" i="7"/>
  <c r="E1754" i="7"/>
  <c r="E1794" i="7"/>
  <c r="E1793" i="7"/>
  <c r="E1792" i="7"/>
  <c r="E1791" i="7"/>
  <c r="E1790" i="7"/>
  <c r="E1789" i="7"/>
  <c r="E1788" i="7"/>
  <c r="E1787" i="7"/>
  <c r="E1786" i="7"/>
  <c r="E1785" i="7"/>
  <c r="E1784" i="7"/>
  <c r="E1783" i="7"/>
  <c r="E1782" i="7"/>
  <c r="E1781" i="7"/>
  <c r="E1780" i="7"/>
  <c r="E1779" i="7"/>
  <c r="E1778" i="7"/>
  <c r="E1777" i="7"/>
  <c r="E1776" i="7"/>
  <c r="E1823" i="7"/>
  <c r="E1822" i="7"/>
  <c r="E1821" i="7"/>
  <c r="E1820" i="7"/>
  <c r="E1819" i="7"/>
  <c r="E1818" i="7"/>
  <c r="E1817" i="7"/>
  <c r="E1816" i="7"/>
  <c r="E1815" i="7"/>
  <c r="E1814" i="7"/>
  <c r="E1813" i="7"/>
  <c r="E1812" i="7"/>
  <c r="E1811" i="7"/>
  <c r="E1810" i="7"/>
  <c r="E1809" i="7"/>
  <c r="E1808" i="7"/>
  <c r="E1807" i="7"/>
  <c r="E1806" i="7"/>
  <c r="E1805" i="7"/>
  <c r="E1804" i="7"/>
  <c r="E1803" i="7"/>
  <c r="E1802" i="7"/>
  <c r="E1800" i="7"/>
  <c r="E1799" i="7"/>
  <c r="E1798" i="7"/>
  <c r="E1797" i="7"/>
  <c r="E1796" i="7"/>
  <c r="E1795" i="7"/>
  <c r="E1847" i="7"/>
  <c r="E1846" i="7"/>
  <c r="E1845" i="7"/>
  <c r="E1844" i="7"/>
  <c r="E1843" i="7"/>
  <c r="E1842" i="7"/>
  <c r="E1841" i="7"/>
  <c r="E1840" i="7"/>
  <c r="E1839" i="7"/>
  <c r="E1838" i="7"/>
  <c r="E1837" i="7"/>
  <c r="E1836" i="7"/>
  <c r="E1835" i="7"/>
  <c r="E1834" i="7"/>
  <c r="E1833" i="7"/>
  <c r="E1832" i="7"/>
  <c r="E1831" i="7"/>
  <c r="E1830" i="7"/>
  <c r="E1829" i="7"/>
  <c r="E1828" i="7"/>
  <c r="E1827" i="7"/>
  <c r="E1826" i="7"/>
  <c r="E1825" i="7"/>
  <c r="E1824" i="7"/>
  <c r="E1864" i="7"/>
  <c r="E1863" i="7"/>
  <c r="E1862" i="7"/>
  <c r="E1861" i="7"/>
  <c r="E1860" i="7"/>
  <c r="E1859" i="7"/>
  <c r="E1858" i="7"/>
  <c r="E1857" i="7"/>
  <c r="E1856" i="7"/>
  <c r="E1855" i="7"/>
  <c r="E1854" i="7"/>
  <c r="E1853" i="7"/>
  <c r="E1852" i="7"/>
  <c r="E1851" i="7"/>
  <c r="E1850" i="7"/>
  <c r="E1849" i="7"/>
  <c r="E1848" i="7"/>
  <c r="E1885" i="7"/>
  <c r="E1884" i="7"/>
  <c r="E1883" i="7"/>
  <c r="E1882" i="7"/>
  <c r="E1881" i="7"/>
  <c r="E1880" i="7"/>
  <c r="E1879" i="7"/>
  <c r="E1878" i="7"/>
  <c r="E1877" i="7"/>
  <c r="E1876" i="7"/>
  <c r="E1875" i="7"/>
  <c r="E1874" i="7"/>
  <c r="E1873" i="7"/>
  <c r="E1872" i="7"/>
  <c r="E1871" i="7"/>
  <c r="E1870" i="7"/>
  <c r="E1869" i="7"/>
  <c r="E1868" i="7"/>
  <c r="E1866" i="7"/>
  <c r="E1865" i="7"/>
  <c r="E1905" i="7"/>
  <c r="E1904" i="7"/>
  <c r="E1903" i="7"/>
  <c r="E1902" i="7"/>
  <c r="E1901" i="7"/>
  <c r="E1900" i="7"/>
  <c r="E1899" i="7"/>
  <c r="E1898" i="7"/>
  <c r="E1897" i="7"/>
  <c r="E1896" i="7"/>
  <c r="E1895" i="7"/>
  <c r="E1894" i="7"/>
  <c r="E1893" i="7"/>
  <c r="E1892" i="7"/>
  <c r="E1891" i="7"/>
  <c r="E1890" i="7"/>
  <c r="E1889" i="7"/>
  <c r="E1888" i="7"/>
  <c r="E1887" i="7"/>
  <c r="E1886" i="7"/>
  <c r="E1924" i="7"/>
  <c r="E1923" i="7"/>
  <c r="E1922" i="7"/>
  <c r="E1921" i="7"/>
  <c r="E1920" i="7"/>
  <c r="E1919" i="7"/>
  <c r="E1918" i="7"/>
  <c r="E1917" i="7"/>
  <c r="E1916" i="7"/>
  <c r="E1915" i="7"/>
  <c r="E1914" i="7"/>
  <c r="E1913" i="7"/>
  <c r="E1912" i="7"/>
  <c r="E1911" i="7"/>
  <c r="E1910" i="7"/>
  <c r="E1909" i="7"/>
  <c r="E1908" i="7"/>
  <c r="E1907" i="7"/>
  <c r="E1906" i="7"/>
  <c r="E1943" i="7"/>
  <c r="E1942" i="7"/>
  <c r="E1941" i="7"/>
  <c r="E1940" i="7"/>
  <c r="E1939" i="7"/>
  <c r="E1938" i="7"/>
  <c r="E1937" i="7"/>
  <c r="E1936" i="7"/>
  <c r="E1935" i="7"/>
  <c r="E1934" i="7"/>
  <c r="E1933" i="7"/>
  <c r="E1932" i="7"/>
  <c r="E1931" i="7"/>
  <c r="E1930" i="7"/>
  <c r="E1929" i="7"/>
  <c r="E1928" i="7"/>
  <c r="E1927" i="7"/>
  <c r="E1926" i="7"/>
  <c r="E1925" i="7"/>
  <c r="E1963" i="7"/>
  <c r="E1962" i="7"/>
  <c r="E1961" i="7"/>
  <c r="E1960" i="7"/>
  <c r="E1959" i="7"/>
  <c r="E1957" i="7"/>
  <c r="E1956" i="7"/>
  <c r="E1955" i="7"/>
  <c r="E1954" i="7"/>
  <c r="E1953" i="7"/>
  <c r="E1952" i="7"/>
  <c r="E1951" i="7"/>
  <c r="E1950" i="7"/>
  <c r="E1949" i="7"/>
  <c r="E1948" i="7"/>
  <c r="E1947" i="7"/>
  <c r="E1946" i="7"/>
  <c r="E1945" i="7"/>
  <c r="E1944" i="7"/>
  <c r="E1984" i="7"/>
  <c r="E1983" i="7"/>
  <c r="E1982" i="7"/>
  <c r="E1981" i="7"/>
  <c r="E1980" i="7"/>
  <c r="E1979" i="7"/>
  <c r="E1978" i="7"/>
  <c r="E1977" i="7"/>
  <c r="E1976" i="7"/>
  <c r="E1975" i="7"/>
  <c r="E1974" i="7"/>
  <c r="E1973" i="7"/>
  <c r="E1972" i="7"/>
  <c r="E1971" i="7"/>
  <c r="E1970" i="7"/>
  <c r="E1969" i="7"/>
  <c r="E1968" i="7"/>
  <c r="E1967" i="7"/>
  <c r="E1966" i="7"/>
  <c r="E1965" i="7"/>
  <c r="E1964" i="7"/>
  <c r="E2000" i="7"/>
  <c r="E1999" i="7"/>
  <c r="E1998" i="7"/>
  <c r="E1997" i="7"/>
  <c r="E1996" i="7"/>
  <c r="E1995" i="7"/>
  <c r="E1994" i="7"/>
  <c r="E1993" i="7"/>
  <c r="E1992" i="7"/>
  <c r="E1991" i="7"/>
  <c r="E1990" i="7"/>
  <c r="E1989" i="7"/>
  <c r="E1988" i="7"/>
  <c r="E1987" i="7"/>
  <c r="E1986" i="7"/>
  <c r="E1985" i="7"/>
  <c r="E2018" i="7"/>
  <c r="E2017" i="7"/>
  <c r="E2016" i="7"/>
  <c r="E2015" i="7"/>
  <c r="E2014" i="7"/>
  <c r="E2013" i="7"/>
  <c r="E2012" i="7"/>
  <c r="E2011" i="7"/>
  <c r="E2010" i="7"/>
  <c r="E2009" i="7"/>
  <c r="E2008" i="7"/>
  <c r="E2007" i="7"/>
  <c r="E2006" i="7"/>
  <c r="E2005" i="7"/>
  <c r="E2004" i="7"/>
  <c r="E2003" i="7"/>
  <c r="E2002" i="7"/>
  <c r="E2001" i="7"/>
  <c r="E2055" i="7"/>
  <c r="E2054" i="7"/>
  <c r="E2053" i="7"/>
  <c r="E2052" i="7"/>
  <c r="E2051" i="7"/>
  <c r="E2050" i="7"/>
  <c r="E2049" i="7"/>
  <c r="E2048" i="7"/>
  <c r="E2047" i="7"/>
  <c r="E2046" i="7"/>
  <c r="E2045" i="7"/>
  <c r="E2044" i="7"/>
  <c r="E2043" i="7"/>
  <c r="E2042" i="7"/>
  <c r="E2041" i="7"/>
  <c r="E2040" i="7"/>
  <c r="E2039" i="7"/>
  <c r="E2038" i="7"/>
  <c r="E2037" i="7"/>
  <c r="E2036" i="7"/>
  <c r="E2035" i="7"/>
  <c r="E2034" i="7"/>
  <c r="E2033" i="7"/>
  <c r="E2032" i="7"/>
  <c r="E2031" i="7"/>
  <c r="E2030" i="7"/>
  <c r="E2029" i="7"/>
  <c r="E2028" i="7"/>
  <c r="E2027" i="7"/>
  <c r="E2026" i="7"/>
  <c r="E2025" i="7"/>
  <c r="E2024" i="7"/>
  <c r="E2023" i="7"/>
  <c r="E2022" i="7"/>
  <c r="E2021" i="7"/>
  <c r="E2020" i="7"/>
  <c r="E2019" i="7"/>
  <c r="E2090" i="7"/>
  <c r="E2089" i="7"/>
  <c r="E2088" i="7"/>
  <c r="E2087" i="7"/>
  <c r="E2086" i="7"/>
  <c r="E2085" i="7"/>
  <c r="E2084" i="7"/>
  <c r="E2083" i="7"/>
  <c r="E2082" i="7"/>
  <c r="E2081" i="7"/>
  <c r="E2080" i="7"/>
  <c r="E2078" i="7"/>
  <c r="E2077" i="7"/>
  <c r="E2076" i="7"/>
  <c r="E2075" i="7"/>
  <c r="E2074" i="7"/>
  <c r="E2072" i="7"/>
  <c r="E2071" i="7"/>
  <c r="E2070" i="7"/>
  <c r="E2069" i="7"/>
  <c r="E2068" i="7"/>
  <c r="E2067" i="7"/>
  <c r="E2066" i="7"/>
  <c r="E2065" i="7"/>
  <c r="E2064" i="7"/>
  <c r="E2063" i="7"/>
  <c r="E2062" i="7"/>
  <c r="E2061" i="7"/>
  <c r="E2060" i="7"/>
  <c r="E2059" i="7"/>
  <c r="E2058" i="7"/>
  <c r="E2057" i="7"/>
  <c r="E2056" i="7"/>
  <c r="E2107" i="7"/>
  <c r="E2106" i="7"/>
  <c r="E2105" i="7"/>
  <c r="E2104" i="7"/>
  <c r="E2103" i="7"/>
  <c r="E2102" i="7"/>
  <c r="E2101" i="7"/>
  <c r="E2100" i="7"/>
  <c r="E2099" i="7"/>
  <c r="E2098" i="7"/>
  <c r="E2097" i="7"/>
  <c r="E2096" i="7"/>
  <c r="E2095" i="7"/>
  <c r="E2094" i="7"/>
  <c r="E2093" i="7"/>
  <c r="E2092" i="7"/>
  <c r="E2091" i="7"/>
  <c r="E2124" i="7"/>
  <c r="E2123" i="7"/>
  <c r="E2122" i="7"/>
  <c r="E2121" i="7"/>
  <c r="E2120" i="7"/>
  <c r="E2119" i="7"/>
  <c r="E2118" i="7"/>
  <c r="E2117" i="7"/>
  <c r="E2116" i="7"/>
  <c r="E2115" i="7"/>
  <c r="E2114" i="7"/>
  <c r="E2113" i="7"/>
  <c r="E2112" i="7"/>
  <c r="E2111" i="7"/>
  <c r="E2110" i="7"/>
  <c r="E2109" i="7"/>
  <c r="E2108" i="7"/>
  <c r="E2161" i="7"/>
  <c r="E2160" i="7"/>
  <c r="E2159" i="7"/>
  <c r="E2158" i="7"/>
  <c r="E2157" i="7"/>
  <c r="E2156" i="7"/>
  <c r="E2155" i="7"/>
  <c r="E2154" i="7"/>
  <c r="E2153" i="7"/>
  <c r="E2152" i="7"/>
  <c r="E2151" i="7"/>
  <c r="E2150" i="7"/>
  <c r="E2149" i="7"/>
  <c r="E2148" i="7"/>
  <c r="E2147" i="7"/>
  <c r="E2146" i="7"/>
  <c r="E2145" i="7"/>
  <c r="E2144" i="7"/>
  <c r="E2143" i="7"/>
  <c r="E2142" i="7"/>
  <c r="E2141" i="7"/>
  <c r="E2140" i="7"/>
  <c r="E2139" i="7"/>
  <c r="E2138" i="7"/>
  <c r="E2137" i="7"/>
  <c r="E2136" i="7"/>
  <c r="E2135" i="7"/>
  <c r="E2134" i="7"/>
  <c r="E2133" i="7"/>
  <c r="E2132" i="7"/>
  <c r="E2131" i="7"/>
  <c r="E2130" i="7"/>
  <c r="E2129" i="7"/>
  <c r="E2128" i="7"/>
  <c r="E2127" i="7"/>
  <c r="E2126" i="7"/>
  <c r="E2125" i="7"/>
  <c r="E2179" i="7"/>
  <c r="E2178" i="7"/>
  <c r="E2177" i="7"/>
  <c r="E2176" i="7"/>
  <c r="E2175" i="7"/>
  <c r="E2173" i="7"/>
  <c r="E2172" i="7"/>
  <c r="E2171" i="7"/>
  <c r="E2170" i="7"/>
  <c r="E2169" i="7"/>
  <c r="E2168" i="7"/>
  <c r="E2167" i="7"/>
  <c r="E2166" i="7"/>
  <c r="E2165" i="7"/>
  <c r="E2164" i="7"/>
  <c r="E2163" i="7"/>
  <c r="E2162" i="7"/>
  <c r="E2199" i="7"/>
  <c r="E2198" i="7"/>
  <c r="E2197" i="7"/>
  <c r="E2196" i="7"/>
  <c r="E2195" i="7"/>
  <c r="E2194" i="7"/>
  <c r="E2193" i="7"/>
  <c r="E2192" i="7"/>
  <c r="E2191" i="7"/>
  <c r="E2190" i="7"/>
  <c r="E2189" i="7"/>
  <c r="E2187" i="7"/>
  <c r="E2186" i="7"/>
  <c r="E2185" i="7"/>
  <c r="E2184" i="7"/>
  <c r="E2183" i="7"/>
  <c r="E2182" i="7"/>
  <c r="E2181" i="7"/>
  <c r="E2180" i="7"/>
  <c r="E2242" i="7"/>
  <c r="E2241" i="7"/>
  <c r="E2240" i="7"/>
  <c r="E2239" i="7"/>
  <c r="E2238" i="7"/>
  <c r="E2237" i="7"/>
  <c r="E2236" i="7"/>
  <c r="E2235" i="7"/>
  <c r="E2234" i="7"/>
  <c r="E2232" i="7"/>
  <c r="E2231" i="7"/>
  <c r="E2230" i="7"/>
  <c r="E2229" i="7"/>
  <c r="E2228" i="7"/>
  <c r="E2227" i="7"/>
  <c r="E2226" i="7"/>
  <c r="E2225" i="7"/>
  <c r="E2224" i="7"/>
  <c r="E2223" i="7"/>
  <c r="E2222" i="7"/>
  <c r="E2221" i="7"/>
  <c r="E2220" i="7"/>
  <c r="E2219" i="7"/>
  <c r="E2218" i="7"/>
  <c r="E2217" i="7"/>
  <c r="E2216" i="7"/>
  <c r="E2215" i="7"/>
  <c r="E2214" i="7"/>
  <c r="E2213" i="7"/>
  <c r="E2212" i="7"/>
  <c r="E2211" i="7"/>
  <c r="E2210" i="7"/>
  <c r="E2209" i="7"/>
  <c r="E2208" i="7"/>
  <c r="E2207" i="7"/>
  <c r="E2206" i="7"/>
  <c r="E2205" i="7"/>
  <c r="E2204" i="7"/>
  <c r="E2203" i="7"/>
  <c r="E2202" i="7"/>
  <c r="E2201" i="7"/>
  <c r="E2200" i="7"/>
  <c r="E2280" i="7"/>
  <c r="E2279" i="7"/>
  <c r="E2278" i="7"/>
  <c r="E2277" i="7"/>
  <c r="E2276" i="7"/>
  <c r="E2275" i="7"/>
  <c r="E2274" i="7"/>
  <c r="E2273" i="7"/>
  <c r="E2272" i="7"/>
  <c r="E2271" i="7"/>
  <c r="E2270" i="7"/>
  <c r="E2269" i="7"/>
  <c r="E2268" i="7"/>
  <c r="E2267" i="7"/>
  <c r="E2266" i="7"/>
  <c r="E2265" i="7"/>
  <c r="E2264" i="7"/>
  <c r="E2263" i="7"/>
  <c r="E2262" i="7"/>
  <c r="E2261" i="7"/>
  <c r="E2260" i="7"/>
  <c r="E2259" i="7"/>
  <c r="E2258" i="7"/>
  <c r="E2257" i="7"/>
  <c r="E2256" i="7"/>
  <c r="E2255" i="7"/>
  <c r="E2254" i="7"/>
  <c r="E2253" i="7"/>
  <c r="E2252" i="7"/>
  <c r="E2251" i="7"/>
  <c r="E2250" i="7"/>
  <c r="E2249" i="7"/>
  <c r="E2248" i="7"/>
  <c r="E2247" i="7"/>
  <c r="E2246" i="7"/>
  <c r="E2245" i="7"/>
  <c r="E2244" i="7"/>
  <c r="E2243" i="7"/>
  <c r="E2297" i="7"/>
  <c r="E2296" i="7"/>
  <c r="E2295" i="7"/>
  <c r="E2294" i="7"/>
  <c r="E2293" i="7"/>
  <c r="E2292" i="7"/>
  <c r="E2291" i="7"/>
  <c r="E2290" i="7"/>
  <c r="E2289" i="7"/>
  <c r="E2288" i="7"/>
  <c r="E2287" i="7"/>
  <c r="E2286" i="7"/>
  <c r="E2285" i="7"/>
  <c r="E2284" i="7"/>
  <c r="E2283" i="7"/>
  <c r="E2282" i="7"/>
  <c r="E2281" i="7"/>
  <c r="E2316" i="7"/>
  <c r="E2315" i="7"/>
  <c r="E2314" i="7"/>
  <c r="E2313" i="7"/>
  <c r="E2312" i="7"/>
  <c r="E2311" i="7"/>
  <c r="E2310" i="7"/>
  <c r="E2309" i="7"/>
  <c r="E2308" i="7"/>
  <c r="E2307" i="7"/>
  <c r="E2306" i="7"/>
  <c r="E2305" i="7"/>
  <c r="E2304" i="7"/>
  <c r="E2303" i="7"/>
  <c r="E2302" i="7"/>
  <c r="E2301" i="7"/>
  <c r="E2300" i="7"/>
  <c r="E2299" i="7"/>
  <c r="E2298" i="7"/>
  <c r="E2355" i="7"/>
  <c r="E2354" i="7"/>
  <c r="E2352" i="7"/>
  <c r="E2351" i="7"/>
  <c r="E2350" i="7"/>
  <c r="E2349" i="7"/>
  <c r="E2348" i="7"/>
  <c r="E2347" i="7"/>
  <c r="E2346" i="7"/>
  <c r="E2345" i="7"/>
  <c r="E2344" i="7"/>
  <c r="E2343" i="7"/>
  <c r="E2342" i="7"/>
  <c r="E2341" i="7"/>
  <c r="E2340" i="7"/>
  <c r="E2339" i="7"/>
  <c r="E2338" i="7"/>
  <c r="E2337" i="7"/>
  <c r="E2336" i="7"/>
  <c r="E2335" i="7"/>
  <c r="E2334" i="7"/>
  <c r="E2333" i="7"/>
  <c r="E2332" i="7"/>
  <c r="E2331" i="7"/>
  <c r="E2330" i="7"/>
  <c r="E2329" i="7"/>
  <c r="E2328" i="7"/>
  <c r="E2327" i="7"/>
  <c r="E2326" i="7"/>
  <c r="E2325" i="7"/>
  <c r="E2324" i="7"/>
  <c r="E2323" i="7"/>
  <c r="E2321" i="7"/>
  <c r="E2320" i="7"/>
  <c r="E2319" i="7"/>
  <c r="E2318" i="7"/>
  <c r="E2317" i="7"/>
  <c r="E2374" i="7"/>
  <c r="E2373" i="7"/>
  <c r="E2372" i="7"/>
  <c r="E2371" i="7"/>
  <c r="E2370" i="7"/>
  <c r="E2369" i="7"/>
  <c r="E2368" i="7"/>
  <c r="E2367" i="7"/>
  <c r="E2366" i="7"/>
  <c r="E2365" i="7"/>
  <c r="E2364" i="7"/>
  <c r="E2363" i="7"/>
  <c r="E2362" i="7"/>
  <c r="E2361" i="7"/>
  <c r="E2360" i="7"/>
  <c r="E2359" i="7"/>
  <c r="E2358" i="7"/>
  <c r="E2357" i="7"/>
  <c r="E2356" i="7"/>
  <c r="E2394" i="7"/>
  <c r="E2393" i="7"/>
  <c r="E2392" i="7"/>
  <c r="E2391" i="7"/>
  <c r="E2390" i="7"/>
  <c r="E2389" i="7"/>
  <c r="E2388" i="7"/>
  <c r="E2387" i="7"/>
  <c r="E2386" i="7"/>
  <c r="E2385" i="7"/>
  <c r="E2384" i="7"/>
  <c r="E2383" i="7"/>
  <c r="E2382" i="7"/>
  <c r="E2381" i="7"/>
  <c r="E2380" i="7"/>
  <c r="E2379" i="7"/>
  <c r="E2378" i="7"/>
  <c r="E2377" i="7"/>
  <c r="E2376" i="7"/>
  <c r="E2375" i="7"/>
  <c r="E2429" i="7"/>
  <c r="E2428" i="7"/>
  <c r="E2427" i="7"/>
  <c r="E2426" i="7"/>
  <c r="E2425" i="7"/>
  <c r="E2424" i="7"/>
  <c r="E2423" i="7"/>
  <c r="E2422" i="7"/>
  <c r="E2421" i="7"/>
  <c r="E2420" i="7"/>
  <c r="E2419" i="7"/>
  <c r="E2418" i="7"/>
  <c r="E2417" i="7"/>
  <c r="E2416" i="7"/>
  <c r="E2415" i="7"/>
  <c r="E2414" i="7"/>
  <c r="E2413" i="7"/>
  <c r="E2412" i="7"/>
  <c r="E2411" i="7"/>
  <c r="E2410" i="7"/>
  <c r="E2409" i="7"/>
  <c r="E2408" i="7"/>
  <c r="E2407" i="7"/>
  <c r="E2406" i="7"/>
  <c r="E2405" i="7"/>
  <c r="E2404" i="7"/>
  <c r="E2403" i="7"/>
  <c r="E2402" i="7"/>
  <c r="E2401" i="7"/>
  <c r="E2400" i="7"/>
  <c r="E2399" i="7"/>
  <c r="E2398" i="7"/>
  <c r="E2397" i="7"/>
  <c r="E2396" i="7"/>
  <c r="E2395" i="7"/>
  <c r="E2465" i="7"/>
  <c r="E2464" i="7"/>
  <c r="E2463" i="7"/>
  <c r="E2462" i="7"/>
  <c r="E2461" i="7"/>
  <c r="E2460" i="7"/>
  <c r="E2459" i="7"/>
  <c r="E2458" i="7"/>
  <c r="E2457" i="7"/>
  <c r="E2456" i="7"/>
  <c r="E2455" i="7"/>
  <c r="E2454" i="7"/>
  <c r="E2453" i="7"/>
  <c r="E2452" i="7"/>
  <c r="E2451" i="7"/>
  <c r="E2450" i="7"/>
  <c r="E2449" i="7"/>
  <c r="E2448" i="7"/>
  <c r="E2447" i="7"/>
  <c r="E2446" i="7"/>
  <c r="E2445" i="7"/>
  <c r="E2444" i="7"/>
  <c r="E2442" i="7"/>
  <c r="E2441" i="7"/>
  <c r="E2440" i="7"/>
  <c r="E2439" i="7"/>
  <c r="E2438" i="7"/>
  <c r="E2437" i="7"/>
  <c r="E2436" i="7"/>
  <c r="E2435" i="7"/>
  <c r="E2434" i="7"/>
  <c r="E2433" i="7"/>
  <c r="E2432" i="7"/>
  <c r="E2431" i="7"/>
  <c r="E2430" i="7"/>
  <c r="E2482" i="7"/>
  <c r="E2481" i="7"/>
  <c r="E2480" i="7"/>
  <c r="E2479" i="7"/>
  <c r="E2478" i="7"/>
  <c r="E2477" i="7"/>
  <c r="E2476" i="7"/>
  <c r="E2475" i="7"/>
  <c r="E2474" i="7"/>
  <c r="E2473" i="7"/>
  <c r="E2472" i="7"/>
  <c r="E2471" i="7"/>
  <c r="E2469" i="7"/>
  <c r="E2468" i="7"/>
  <c r="E2467" i="7"/>
  <c r="E2466" i="7"/>
  <c r="E2502" i="7"/>
  <c r="E2501" i="7"/>
  <c r="E2500" i="7"/>
  <c r="E2499" i="7"/>
  <c r="E2498" i="7"/>
  <c r="E2497" i="7"/>
  <c r="E2496" i="7"/>
  <c r="E2495" i="7"/>
  <c r="E2494" i="7"/>
  <c r="E2493" i="7"/>
  <c r="E2492" i="7"/>
  <c r="E2491" i="7"/>
  <c r="E2490" i="7"/>
  <c r="E2489" i="7"/>
  <c r="E2488" i="7"/>
  <c r="E2487" i="7"/>
  <c r="E2486" i="7"/>
  <c r="E2485" i="7"/>
  <c r="E2484" i="7"/>
  <c r="E2483" i="7"/>
  <c r="E2539" i="7"/>
  <c r="E2538" i="7"/>
  <c r="E2537" i="7"/>
  <c r="E2536" i="7"/>
  <c r="E2535" i="7"/>
  <c r="E2534" i="7"/>
  <c r="E2533" i="7"/>
  <c r="E2532" i="7"/>
  <c r="E2531" i="7"/>
  <c r="E2530" i="7"/>
  <c r="E2529" i="7"/>
  <c r="E2528" i="7"/>
  <c r="E2527" i="7"/>
  <c r="E2526" i="7"/>
  <c r="E2525" i="7"/>
  <c r="E2524" i="7"/>
  <c r="E2523" i="7"/>
  <c r="E2522" i="7"/>
  <c r="E2521" i="7"/>
  <c r="E2520" i="7"/>
  <c r="E2519" i="7"/>
  <c r="E2518" i="7"/>
  <c r="E2517" i="7"/>
  <c r="E2516" i="7"/>
  <c r="E2515" i="7"/>
  <c r="E2514" i="7"/>
  <c r="E2513" i="7"/>
  <c r="E2512" i="7"/>
  <c r="E2511" i="7"/>
  <c r="E2510" i="7"/>
  <c r="E2509" i="7"/>
  <c r="E2508" i="7"/>
  <c r="E2507" i="7"/>
  <c r="E2506" i="7"/>
  <c r="E2505" i="7"/>
  <c r="E2504" i="7"/>
  <c r="E2503" i="7"/>
  <c r="E2556" i="7"/>
  <c r="E2555" i="7"/>
  <c r="E2554" i="7"/>
  <c r="E2553" i="7"/>
  <c r="E2552" i="7"/>
  <c r="E2551" i="7"/>
  <c r="E2550" i="7"/>
  <c r="E2549" i="7"/>
  <c r="E2548" i="7"/>
  <c r="E2547" i="7"/>
  <c r="E2546" i="7"/>
  <c r="E2545" i="7"/>
  <c r="E2544" i="7"/>
  <c r="E2543" i="7"/>
  <c r="E2542" i="7"/>
  <c r="E2541" i="7"/>
  <c r="E2540" i="7"/>
  <c r="E2575" i="7"/>
  <c r="E2574" i="7"/>
  <c r="E2573" i="7"/>
  <c r="E2572" i="7"/>
  <c r="E2571" i="7"/>
  <c r="E2570" i="7"/>
  <c r="E2569" i="7"/>
  <c r="E2568" i="7"/>
  <c r="E2567" i="7"/>
  <c r="E2566" i="7"/>
  <c r="E2565" i="7"/>
  <c r="E2564" i="7"/>
  <c r="E2563" i="7"/>
  <c r="E2562" i="7"/>
  <c r="E2561" i="7"/>
  <c r="E2559" i="7"/>
  <c r="E2558" i="7"/>
  <c r="E2557" i="7"/>
  <c r="E2612" i="7"/>
  <c r="E2611" i="7"/>
  <c r="E2610" i="7"/>
  <c r="E2609" i="7"/>
  <c r="E2608" i="7"/>
  <c r="E2607" i="7"/>
  <c r="E2606" i="7"/>
  <c r="E2605" i="7"/>
  <c r="E2604" i="7"/>
  <c r="E2603" i="7"/>
  <c r="E2602" i="7"/>
  <c r="E2601" i="7"/>
  <c r="E2600" i="7"/>
  <c r="E2599" i="7"/>
  <c r="E2598" i="7"/>
  <c r="E2597" i="7"/>
  <c r="E2596" i="7"/>
  <c r="E2595" i="7"/>
  <c r="E2594" i="7"/>
  <c r="E2593" i="7"/>
  <c r="E2592" i="7"/>
  <c r="E2591" i="7"/>
  <c r="E2590" i="7"/>
  <c r="E2589" i="7"/>
  <c r="E2588" i="7"/>
  <c r="E2587" i="7"/>
  <c r="E2586" i="7"/>
  <c r="E2585" i="7"/>
  <c r="E2584" i="7"/>
  <c r="E2583" i="7"/>
  <c r="E2582" i="7"/>
  <c r="E2581" i="7"/>
  <c r="E2580" i="7"/>
  <c r="E2579" i="7"/>
  <c r="E2578" i="7"/>
  <c r="E2577" i="7"/>
  <c r="E2576" i="7"/>
  <c r="E2648" i="7"/>
  <c r="E2647" i="7"/>
  <c r="E2646" i="7"/>
  <c r="E2645" i="7"/>
  <c r="E2644" i="7"/>
  <c r="E2643" i="7"/>
  <c r="E2642" i="7"/>
  <c r="E2640" i="7"/>
  <c r="E2639" i="7"/>
  <c r="E2638" i="7"/>
  <c r="E2637" i="7"/>
  <c r="E2636" i="7"/>
  <c r="E2635" i="7"/>
  <c r="E2634" i="7"/>
  <c r="E2633" i="7"/>
  <c r="E2632" i="7"/>
  <c r="E2631" i="7"/>
  <c r="E2630" i="7"/>
  <c r="E2629" i="7"/>
  <c r="E2628" i="7"/>
  <c r="E2627" i="7"/>
  <c r="E2626" i="7"/>
  <c r="E2625" i="7"/>
  <c r="E2624" i="7"/>
  <c r="E2623" i="7"/>
  <c r="E2622" i="7"/>
  <c r="E2621" i="7"/>
  <c r="E2620" i="7"/>
  <c r="E2619" i="7"/>
  <c r="E2618" i="7"/>
  <c r="E2617" i="7"/>
  <c r="E2616" i="7"/>
  <c r="E2615" i="7"/>
  <c r="E2614" i="7"/>
  <c r="E2613" i="7"/>
  <c r="E2665" i="7"/>
  <c r="E2664" i="7"/>
  <c r="E2663" i="7"/>
  <c r="E2662" i="7"/>
  <c r="E2661" i="7"/>
  <c r="E2660" i="7"/>
  <c r="E2659" i="7"/>
  <c r="E2657" i="7"/>
  <c r="E2656" i="7"/>
  <c r="E2655" i="7"/>
  <c r="E2654" i="7"/>
  <c r="E2653" i="7"/>
  <c r="E2652" i="7"/>
  <c r="E2651" i="7"/>
  <c r="E2650" i="7"/>
  <c r="E2649" i="7"/>
  <c r="E2682" i="7"/>
  <c r="E2681" i="7"/>
  <c r="E2680" i="7"/>
  <c r="E2679" i="7"/>
  <c r="E2678" i="7"/>
  <c r="E2677" i="7"/>
  <c r="E2676" i="7"/>
  <c r="E2675" i="7"/>
  <c r="E2674" i="7"/>
  <c r="E2673" i="7"/>
  <c r="E2672" i="7"/>
  <c r="E2671" i="7"/>
  <c r="E2670" i="7"/>
  <c r="E2669" i="7"/>
  <c r="E2668" i="7"/>
  <c r="E2667" i="7"/>
  <c r="E2666" i="7"/>
  <c r="E2717" i="7"/>
  <c r="E2716" i="7"/>
  <c r="E2715" i="7"/>
  <c r="E2714" i="7"/>
  <c r="E2713" i="7"/>
  <c r="E2712" i="7"/>
  <c r="E2711" i="7"/>
  <c r="E2710" i="7"/>
  <c r="E2709" i="7"/>
  <c r="E2708" i="7"/>
  <c r="E2707" i="7"/>
  <c r="E2706" i="7"/>
  <c r="E2705" i="7"/>
  <c r="E2704" i="7"/>
  <c r="E2703" i="7"/>
  <c r="E2702" i="7"/>
  <c r="E2701" i="7"/>
  <c r="E2700" i="7"/>
  <c r="E2699" i="7"/>
  <c r="E2698" i="7"/>
  <c r="E2697" i="7"/>
  <c r="E2696" i="7"/>
  <c r="E2695" i="7"/>
  <c r="E2694" i="7"/>
  <c r="E2693" i="7"/>
  <c r="E2692" i="7"/>
  <c r="E2691" i="7"/>
  <c r="E2690" i="7"/>
  <c r="E2689" i="7"/>
  <c r="E2688" i="7"/>
  <c r="E2687" i="7"/>
  <c r="E2686" i="7"/>
  <c r="E2685" i="7"/>
  <c r="E2684" i="7"/>
  <c r="E2683" i="7"/>
  <c r="E2738" i="7"/>
  <c r="E2737" i="7"/>
  <c r="E2736" i="7"/>
  <c r="E2735" i="7"/>
  <c r="E2734" i="7"/>
  <c r="E2732" i="7"/>
  <c r="E2731" i="7"/>
  <c r="E2730" i="7"/>
  <c r="E2729" i="7"/>
  <c r="E2728" i="7"/>
  <c r="E2727" i="7"/>
  <c r="E2726" i="7"/>
  <c r="E2725" i="7"/>
  <c r="E2724" i="7"/>
  <c r="E2723" i="7"/>
  <c r="E2722" i="7"/>
  <c r="E2721" i="7"/>
  <c r="E2720" i="7"/>
  <c r="E2719" i="7"/>
  <c r="E2718" i="7"/>
  <c r="E2761" i="7"/>
  <c r="E2760" i="7"/>
  <c r="E2759" i="7"/>
  <c r="E2758" i="7"/>
  <c r="E2757" i="7"/>
  <c r="E2756" i="7"/>
  <c r="E2755" i="7"/>
  <c r="E2754" i="7"/>
  <c r="E2753" i="7"/>
  <c r="E2752" i="7"/>
  <c r="E2751" i="7"/>
  <c r="E2750" i="7"/>
  <c r="E2749" i="7"/>
  <c r="E2748" i="7"/>
  <c r="E2747" i="7"/>
  <c r="E2746" i="7"/>
  <c r="E2745" i="7"/>
  <c r="E2744" i="7"/>
  <c r="E2743" i="7"/>
  <c r="E2742" i="7"/>
  <c r="E2741" i="7"/>
  <c r="E2740" i="7"/>
  <c r="E2739" i="7"/>
  <c r="E2799" i="7"/>
  <c r="E2798" i="7"/>
  <c r="E2797" i="7"/>
  <c r="E2796" i="7"/>
  <c r="E2794" i="7"/>
  <c r="E2793" i="7"/>
  <c r="E2792" i="7"/>
  <c r="E2791" i="7"/>
  <c r="E2790" i="7"/>
  <c r="E2789" i="7"/>
  <c r="E2788" i="7"/>
  <c r="E2787" i="7"/>
  <c r="E2786" i="7"/>
  <c r="E2785" i="7"/>
  <c r="E2784" i="7"/>
  <c r="E2783" i="7"/>
  <c r="E2782" i="7"/>
  <c r="E2781" i="7"/>
  <c r="E2780" i="7"/>
  <c r="E2779" i="7"/>
  <c r="E2778" i="7"/>
  <c r="E2776" i="7"/>
  <c r="E2775" i="7"/>
  <c r="E2774" i="7"/>
  <c r="E2773" i="7"/>
  <c r="E2772" i="7"/>
  <c r="E2771" i="7"/>
  <c r="E2770" i="7"/>
  <c r="E2769" i="7"/>
  <c r="E2768" i="7"/>
  <c r="E2767" i="7"/>
  <c r="E2766" i="7"/>
  <c r="E2765" i="7"/>
  <c r="E2764" i="7"/>
  <c r="E2763" i="7"/>
  <c r="E2818" i="7"/>
  <c r="E2817" i="7"/>
  <c r="E2816" i="7"/>
  <c r="E2815" i="7"/>
  <c r="E2814" i="7"/>
  <c r="E2813" i="7"/>
  <c r="E2811" i="7"/>
  <c r="E2810" i="7"/>
  <c r="E2808" i="7"/>
  <c r="E2807" i="7"/>
  <c r="E2806" i="7"/>
  <c r="E2805" i="7"/>
  <c r="E2804" i="7"/>
  <c r="E2803" i="7"/>
  <c r="E2802" i="7"/>
  <c r="E2801" i="7"/>
  <c r="E2838" i="7"/>
  <c r="E2837" i="7"/>
  <c r="E2836" i="7"/>
  <c r="E2835" i="7"/>
  <c r="E2834" i="7"/>
  <c r="E2833" i="7"/>
  <c r="E2832" i="7"/>
  <c r="E2831" i="7"/>
  <c r="E2830" i="7"/>
  <c r="E2829" i="7"/>
  <c r="E2828" i="7"/>
  <c r="E2827" i="7"/>
  <c r="E2826" i="7"/>
  <c r="E2825" i="7"/>
  <c r="E2823" i="7"/>
  <c r="E2822" i="7"/>
  <c r="E2821" i="7"/>
  <c r="E2820" i="7"/>
  <c r="E2819" i="7"/>
  <c r="E2854" i="7"/>
  <c r="E2853" i="7"/>
  <c r="E2852" i="7"/>
  <c r="E2851" i="7"/>
  <c r="E2850" i="7"/>
  <c r="E2849" i="7"/>
  <c r="E2848" i="7"/>
  <c r="E2847" i="7"/>
  <c r="E2846" i="7"/>
  <c r="E2845" i="7"/>
  <c r="E2844" i="7"/>
  <c r="E2843" i="7"/>
  <c r="E2842" i="7"/>
  <c r="E2841" i="7"/>
  <c r="E2840" i="7"/>
  <c r="E2839" i="7"/>
  <c r="E2869" i="7"/>
  <c r="E2868" i="7"/>
  <c r="E2867" i="7"/>
  <c r="E2866" i="7"/>
  <c r="E2865" i="7"/>
  <c r="E2864" i="7"/>
  <c r="E2863" i="7"/>
  <c r="E2862" i="7"/>
  <c r="E2861" i="7"/>
  <c r="E2860" i="7"/>
  <c r="E2859" i="7"/>
  <c r="E2858" i="7"/>
  <c r="E2857" i="7"/>
  <c r="E2856" i="7"/>
  <c r="E2855" i="7"/>
  <c r="E2886" i="7"/>
  <c r="E2885" i="7"/>
  <c r="E2884" i="7"/>
  <c r="E2883" i="7"/>
  <c r="E2882" i="7"/>
  <c r="E2881" i="7"/>
  <c r="E2880" i="7"/>
  <c r="E2879" i="7"/>
  <c r="E2878" i="7"/>
  <c r="E2877" i="7"/>
  <c r="E2876" i="7"/>
  <c r="E2875" i="7"/>
  <c r="E2874" i="7"/>
  <c r="E2873" i="7"/>
  <c r="E2872" i="7"/>
  <c r="E2871" i="7"/>
  <c r="E2870" i="7"/>
  <c r="E2902" i="7"/>
  <c r="E2901" i="7"/>
  <c r="E2900" i="7"/>
  <c r="E2899" i="7"/>
  <c r="E2898" i="7"/>
  <c r="E2897" i="7"/>
  <c r="E2896" i="7"/>
  <c r="E2895" i="7"/>
  <c r="E2894" i="7"/>
  <c r="E2893" i="7"/>
  <c r="E2892" i="7"/>
  <c r="E2891" i="7"/>
  <c r="E2890" i="7"/>
  <c r="E2889" i="7"/>
  <c r="E2888" i="7"/>
  <c r="E2887" i="7"/>
  <c r="E2918" i="7"/>
  <c r="E2917" i="7"/>
  <c r="E2916" i="7"/>
  <c r="E2915" i="7"/>
  <c r="E2914" i="7"/>
  <c r="E2913" i="7"/>
  <c r="E2912" i="7"/>
  <c r="E2911" i="7"/>
  <c r="E2910" i="7"/>
  <c r="E2909" i="7"/>
  <c r="E2908" i="7"/>
  <c r="E2907" i="7"/>
  <c r="E2906" i="7"/>
  <c r="E2905" i="7"/>
  <c r="E2904" i="7"/>
  <c r="E2903" i="7"/>
  <c r="E2935" i="7"/>
  <c r="E2934" i="7"/>
  <c r="E2933" i="7"/>
  <c r="E2932" i="7"/>
  <c r="E2931" i="7"/>
  <c r="E2930" i="7"/>
  <c r="E2929" i="7"/>
  <c r="E2928" i="7"/>
  <c r="E2927" i="7"/>
  <c r="E2926" i="7"/>
  <c r="E2925" i="7"/>
  <c r="E2924" i="7"/>
  <c r="E2923" i="7"/>
  <c r="E2922" i="7"/>
  <c r="E2921" i="7"/>
  <c r="E2920" i="7"/>
  <c r="E2919" i="7"/>
  <c r="E2953" i="7"/>
  <c r="E2952" i="7"/>
  <c r="E2951" i="7"/>
  <c r="E2950" i="7"/>
  <c r="E2949" i="7"/>
  <c r="E2948" i="7"/>
  <c r="E2947" i="7"/>
  <c r="E2946" i="7"/>
  <c r="E2945" i="7"/>
  <c r="E2944" i="7"/>
  <c r="E2943" i="7"/>
  <c r="E2942" i="7"/>
  <c r="E2941" i="7"/>
  <c r="E2940" i="7"/>
  <c r="E2939" i="7"/>
  <c r="E2938" i="7"/>
  <c r="E2937" i="7"/>
  <c r="E2936" i="7"/>
  <c r="E2970" i="7"/>
  <c r="E2969" i="7"/>
  <c r="E2968" i="7"/>
  <c r="E2967" i="7"/>
  <c r="E2966" i="7"/>
  <c r="E2965" i="7"/>
  <c r="E2964" i="7"/>
  <c r="E2963" i="7"/>
  <c r="E2962" i="7"/>
  <c r="E2961" i="7"/>
  <c r="E2960" i="7"/>
  <c r="E2959" i="7"/>
  <c r="E2958" i="7"/>
  <c r="E2957" i="7"/>
  <c r="E2956" i="7"/>
  <c r="E2955" i="7"/>
  <c r="E2954" i="7"/>
  <c r="E2987" i="7"/>
  <c r="E2986" i="7"/>
  <c r="E2985" i="7"/>
  <c r="E2984" i="7"/>
  <c r="E2983" i="7"/>
  <c r="E2982" i="7"/>
  <c r="E2981" i="7"/>
  <c r="E2980" i="7"/>
  <c r="E2979" i="7"/>
  <c r="E2978" i="7"/>
  <c r="E2977" i="7"/>
  <c r="E2976" i="7"/>
  <c r="E2975" i="7"/>
  <c r="E2974" i="7"/>
  <c r="E2973" i="7"/>
  <c r="E2972" i="7"/>
  <c r="E2971" i="7"/>
  <c r="E3003" i="7"/>
  <c r="E3002" i="7"/>
  <c r="E3001" i="7"/>
  <c r="E3000" i="7"/>
  <c r="E2999" i="7"/>
  <c r="E2998" i="7"/>
  <c r="E2997" i="7"/>
  <c r="E2996" i="7"/>
  <c r="E2995" i="7"/>
  <c r="E2994" i="7"/>
  <c r="E2993" i="7"/>
  <c r="E2992" i="7"/>
  <c r="E2991" i="7"/>
  <c r="E2990" i="7"/>
  <c r="E2988" i="7"/>
  <c r="E3023" i="7"/>
  <c r="E3022" i="7"/>
  <c r="E3021" i="7"/>
  <c r="E3020" i="7"/>
  <c r="E3019" i="7"/>
  <c r="E3018" i="7"/>
  <c r="E3017" i="7"/>
  <c r="E3016" i="7"/>
  <c r="E3015" i="7"/>
  <c r="E3014" i="7"/>
  <c r="E3013" i="7"/>
  <c r="E3012" i="7"/>
  <c r="E3011" i="7"/>
  <c r="E3010" i="7"/>
  <c r="E3009" i="7"/>
  <c r="E3008" i="7"/>
  <c r="E3007" i="7"/>
  <c r="E3006" i="7"/>
  <c r="E3005" i="7"/>
  <c r="E3004" i="7"/>
  <c r="E3039" i="7"/>
  <c r="E3038" i="7"/>
  <c r="E3037" i="7"/>
  <c r="E3036" i="7"/>
  <c r="E3035" i="7"/>
  <c r="E3034" i="7"/>
  <c r="E3033" i="7"/>
  <c r="E3032" i="7"/>
  <c r="E3031" i="7"/>
  <c r="E3030" i="7"/>
  <c r="E3029" i="7"/>
  <c r="E3028" i="7"/>
  <c r="E3027" i="7"/>
  <c r="E3026" i="7"/>
  <c r="E3025" i="7"/>
  <c r="E3024" i="7"/>
  <c r="E3054" i="7"/>
  <c r="E3053" i="7"/>
  <c r="E3052" i="7"/>
  <c r="E3051" i="7"/>
  <c r="E3050" i="7"/>
  <c r="E3049" i="7"/>
  <c r="E3048" i="7"/>
  <c r="E3047" i="7"/>
  <c r="E3046" i="7"/>
  <c r="E3045" i="7"/>
  <c r="E3044" i="7"/>
  <c r="E3043" i="7"/>
  <c r="E3042" i="7"/>
  <c r="E3041" i="7"/>
  <c r="E3040" i="7"/>
  <c r="E3071" i="7"/>
  <c r="E3070" i="7"/>
  <c r="E3069" i="7"/>
  <c r="E3068" i="7"/>
  <c r="E3067" i="7"/>
  <c r="E3066" i="7"/>
  <c r="E3065" i="7"/>
  <c r="E3064" i="7"/>
  <c r="E3063" i="7"/>
  <c r="E3062" i="7"/>
  <c r="E3061" i="7"/>
  <c r="E3060" i="7"/>
  <c r="E3059" i="7"/>
  <c r="E3057" i="7"/>
  <c r="E3056" i="7"/>
  <c r="E3055" i="7"/>
  <c r="E3087" i="7"/>
  <c r="E3086" i="7"/>
  <c r="E3085" i="7"/>
  <c r="E3084" i="7"/>
  <c r="E3083" i="7"/>
  <c r="E3082" i="7"/>
  <c r="E3081" i="7"/>
  <c r="E3080" i="7"/>
  <c r="E3079" i="7"/>
  <c r="E3078" i="7"/>
  <c r="E3077" i="7"/>
  <c r="E3076" i="7"/>
  <c r="E3075" i="7"/>
  <c r="E3074" i="7"/>
  <c r="E3073" i="7"/>
  <c r="E3072" i="7"/>
  <c r="E3104" i="7"/>
  <c r="E3103" i="7"/>
  <c r="E3102" i="7"/>
  <c r="E3101" i="7"/>
  <c r="E3100" i="7"/>
  <c r="E3099" i="7"/>
  <c r="E3098" i="7"/>
  <c r="E3097" i="7"/>
  <c r="E3096" i="7"/>
  <c r="E3095" i="7"/>
  <c r="E3094" i="7"/>
  <c r="E3093" i="7"/>
  <c r="E3092" i="7"/>
  <c r="E3091" i="7"/>
  <c r="E3090" i="7"/>
  <c r="E3089" i="7"/>
  <c r="E3088" i="7"/>
  <c r="E3121" i="7"/>
  <c r="E3120" i="7"/>
  <c r="E3119" i="7"/>
  <c r="E3118" i="7"/>
  <c r="E3117" i="7"/>
  <c r="E3116" i="7"/>
  <c r="E3115" i="7"/>
  <c r="E3114" i="7"/>
  <c r="E3113" i="7"/>
  <c r="E3112" i="7"/>
  <c r="E3111" i="7"/>
  <c r="E3110" i="7"/>
  <c r="E3109" i="7"/>
  <c r="E3108" i="7"/>
  <c r="E3107" i="7"/>
  <c r="E3106" i="7"/>
  <c r="E3105" i="7"/>
  <c r="E3139" i="7"/>
  <c r="E3138" i="7"/>
  <c r="E3137" i="7"/>
  <c r="E3136" i="7"/>
  <c r="E3135" i="7"/>
  <c r="E3134" i="7"/>
  <c r="E3133" i="7"/>
  <c r="E3132" i="7"/>
  <c r="E3131" i="7"/>
  <c r="E3130" i="7"/>
  <c r="E3129" i="7"/>
  <c r="E3128" i="7"/>
  <c r="E3126" i="7"/>
  <c r="E3125" i="7"/>
  <c r="E3124" i="7"/>
  <c r="E3123" i="7"/>
  <c r="E3122" i="7"/>
  <c r="E3154" i="7"/>
  <c r="E3153" i="7"/>
  <c r="E3152" i="7"/>
  <c r="E3151" i="7"/>
  <c r="E3150" i="7"/>
  <c r="E3149" i="7"/>
  <c r="E3148" i="7"/>
  <c r="E3147" i="7"/>
  <c r="E3146" i="7"/>
  <c r="E3145" i="7"/>
  <c r="E3144" i="7"/>
  <c r="E3143" i="7"/>
  <c r="E3142" i="7"/>
  <c r="E3141" i="7"/>
  <c r="E3140" i="7"/>
  <c r="E3171" i="7"/>
  <c r="E3170" i="7"/>
  <c r="E3169" i="7"/>
  <c r="E3168" i="7"/>
  <c r="E3167" i="7"/>
  <c r="E3166" i="7"/>
  <c r="E3165" i="7"/>
  <c r="E3164" i="7"/>
  <c r="E3163" i="7"/>
  <c r="E3162" i="7"/>
  <c r="E3161" i="7"/>
  <c r="E3160" i="7"/>
  <c r="E3159" i="7"/>
  <c r="E3158" i="7"/>
  <c r="E3157" i="7"/>
  <c r="E3156" i="7"/>
  <c r="E3155" i="7"/>
  <c r="E3187" i="7"/>
  <c r="E3186" i="7"/>
  <c r="E3185" i="7"/>
  <c r="E3184" i="7"/>
  <c r="E3183" i="7"/>
  <c r="E3182" i="7"/>
  <c r="E3181" i="7"/>
  <c r="E3180" i="7"/>
  <c r="E3179" i="7"/>
  <c r="E3178" i="7"/>
  <c r="E3177" i="7"/>
  <c r="E3176" i="7"/>
  <c r="E3175" i="7"/>
  <c r="E3174" i="7"/>
  <c r="E3173" i="7"/>
  <c r="E3172" i="7"/>
  <c r="E3206" i="7"/>
  <c r="E3205" i="7"/>
  <c r="E3204" i="7"/>
  <c r="E3203" i="7"/>
  <c r="E3202" i="7"/>
  <c r="E3201" i="7"/>
  <c r="E3200" i="7"/>
  <c r="E3199" i="7"/>
  <c r="E3198" i="7"/>
  <c r="E3197" i="7"/>
  <c r="E3196" i="7"/>
  <c r="E3195" i="7"/>
  <c r="E3193" i="7"/>
  <c r="E3192" i="7"/>
  <c r="E3191" i="7"/>
  <c r="E3190" i="7"/>
  <c r="E3189" i="7"/>
  <c r="E3188" i="7"/>
  <c r="E3220" i="7"/>
  <c r="E3219" i="7"/>
  <c r="E3218" i="7"/>
  <c r="E3217" i="7"/>
  <c r="E3216" i="7"/>
  <c r="E3215" i="7"/>
  <c r="E3214" i="7"/>
  <c r="E3213" i="7"/>
  <c r="E3212" i="7"/>
  <c r="E3211" i="7"/>
  <c r="E3210" i="7"/>
  <c r="E3209" i="7"/>
  <c r="E3208" i="7"/>
  <c r="E3207" i="7"/>
  <c r="E3235" i="7"/>
  <c r="E3234" i="7"/>
  <c r="E3233" i="7"/>
  <c r="E3232" i="7"/>
  <c r="E3231" i="7"/>
  <c r="E3230" i="7"/>
  <c r="E3229" i="7"/>
  <c r="E3228" i="7"/>
  <c r="E3227" i="7"/>
  <c r="E3226" i="7"/>
  <c r="E3225" i="7"/>
  <c r="E3224" i="7"/>
  <c r="E3223" i="7"/>
  <c r="E3222" i="7"/>
  <c r="E3221" i="7"/>
  <c r="E3251" i="7"/>
  <c r="E3250" i="7"/>
  <c r="E3249" i="7"/>
  <c r="E3248" i="7"/>
  <c r="E3247" i="7"/>
  <c r="E3246" i="7"/>
  <c r="E3245" i="7"/>
  <c r="E3244" i="7"/>
  <c r="E3243" i="7"/>
  <c r="E3242" i="7"/>
  <c r="E3241" i="7"/>
  <c r="E3240" i="7"/>
  <c r="E3239" i="7"/>
  <c r="E3238" i="7"/>
  <c r="E3237" i="7"/>
  <c r="E3236" i="7"/>
  <c r="E3268" i="7"/>
  <c r="E3267" i="7"/>
  <c r="E3266" i="7"/>
  <c r="E3265" i="7"/>
  <c r="E3264" i="7"/>
  <c r="E3263" i="7"/>
  <c r="E3262" i="7"/>
  <c r="E3261" i="7"/>
  <c r="E3260" i="7"/>
  <c r="E3259" i="7"/>
  <c r="E3258" i="7"/>
  <c r="E3257" i="7"/>
  <c r="E3256" i="7"/>
  <c r="E3255" i="7"/>
  <c r="E3254" i="7"/>
  <c r="E3253" i="7"/>
  <c r="E3252" i="7"/>
  <c r="E3282" i="7"/>
  <c r="E3281" i="7"/>
  <c r="E3280" i="7"/>
  <c r="E3279" i="7"/>
  <c r="E3278" i="7"/>
  <c r="E3277" i="7"/>
  <c r="E3276" i="7"/>
  <c r="E3275" i="7"/>
  <c r="E3274" i="7"/>
  <c r="E3273" i="7"/>
  <c r="E3272" i="7"/>
  <c r="E3271" i="7"/>
  <c r="E3270" i="7"/>
  <c r="E3269" i="7"/>
  <c r="E3298" i="7"/>
  <c r="E3297" i="7"/>
  <c r="E3296" i="7"/>
  <c r="E3295" i="7"/>
  <c r="E3294" i="7"/>
  <c r="E3293" i="7"/>
  <c r="E3292" i="7"/>
  <c r="E3291" i="7"/>
  <c r="E3290" i="7"/>
  <c r="E3289" i="7"/>
  <c r="E3288" i="7"/>
  <c r="E3287" i="7"/>
  <c r="E3286" i="7"/>
  <c r="E3285" i="7"/>
  <c r="E3284" i="7"/>
  <c r="E3283" i="7"/>
  <c r="E3316" i="7"/>
  <c r="E3315" i="7"/>
  <c r="E3314" i="7"/>
  <c r="E3313" i="7"/>
  <c r="E3312" i="7"/>
  <c r="E3311" i="7"/>
  <c r="E3310" i="7"/>
  <c r="E3309" i="7"/>
  <c r="E3308" i="7"/>
  <c r="E3307" i="7"/>
  <c r="E3306" i="7"/>
  <c r="E3305" i="7"/>
  <c r="E3304" i="7"/>
  <c r="E3303" i="7"/>
  <c r="E3302" i="7"/>
  <c r="E3301" i="7"/>
  <c r="E3300" i="7"/>
  <c r="E3299" i="7"/>
  <c r="E3340" i="7"/>
  <c r="E3339" i="7"/>
  <c r="E3338" i="7"/>
  <c r="E3337" i="7"/>
  <c r="E3336" i="7"/>
  <c r="E3335" i="7"/>
  <c r="E3334" i="7"/>
  <c r="E3333" i="7"/>
  <c r="E3332" i="7"/>
  <c r="E3331" i="7"/>
  <c r="E3330" i="7"/>
  <c r="E3329" i="7"/>
  <c r="E3328" i="7"/>
  <c r="E3327" i="7"/>
  <c r="E3326" i="7"/>
  <c r="E3325" i="7"/>
  <c r="E3324" i="7"/>
  <c r="E3323" i="7"/>
  <c r="E3322" i="7"/>
  <c r="E3321" i="7"/>
  <c r="E3320" i="7"/>
  <c r="E3319" i="7"/>
  <c r="E3318" i="7"/>
  <c r="E3317" i="7"/>
  <c r="E3357" i="7"/>
  <c r="E3356" i="7"/>
  <c r="E3355" i="7"/>
  <c r="E3354" i="7"/>
  <c r="E3353" i="7"/>
  <c r="E3352" i="7"/>
  <c r="E3351" i="7"/>
  <c r="E3350" i="7"/>
  <c r="E3349" i="7"/>
  <c r="E3348" i="7"/>
  <c r="E3347" i="7"/>
  <c r="E3346" i="7"/>
  <c r="E3345" i="7"/>
  <c r="E3344" i="7"/>
  <c r="E3343" i="7"/>
  <c r="E3342" i="7"/>
  <c r="E3341" i="7"/>
  <c r="E3378" i="7"/>
  <c r="E3377" i="7"/>
  <c r="E3376" i="7"/>
  <c r="E3375" i="7"/>
  <c r="E3374" i="7"/>
  <c r="E3373" i="7"/>
  <c r="E3372" i="7"/>
  <c r="E3371" i="7"/>
  <c r="E3370" i="7"/>
  <c r="E3369" i="7"/>
  <c r="E3368" i="7"/>
  <c r="E3367" i="7"/>
  <c r="E3366" i="7"/>
  <c r="E3365" i="7"/>
  <c r="E3364" i="7"/>
  <c r="E3363" i="7"/>
  <c r="E3362" i="7"/>
  <c r="E3361" i="7"/>
  <c r="E3360" i="7"/>
  <c r="E3359" i="7"/>
  <c r="E3358" i="7"/>
  <c r="E3392" i="7"/>
  <c r="E3391" i="7"/>
  <c r="E3390" i="7"/>
  <c r="E3389" i="7"/>
  <c r="E3388" i="7"/>
  <c r="E3387" i="7"/>
  <c r="E3386" i="7"/>
  <c r="E3385" i="7"/>
  <c r="E3384" i="7"/>
  <c r="E3383" i="7"/>
  <c r="E3382" i="7"/>
  <c r="E3381" i="7"/>
  <c r="E3380" i="7"/>
  <c r="E3379" i="7"/>
  <c r="E3407" i="7"/>
  <c r="E3406" i="7"/>
  <c r="E3405" i="7"/>
  <c r="E3404" i="7"/>
  <c r="E3403" i="7"/>
  <c r="E3401" i="7"/>
  <c r="E3400" i="7"/>
  <c r="E3399" i="7"/>
  <c r="E3398" i="7"/>
  <c r="E3397" i="7"/>
  <c r="E3396" i="7"/>
  <c r="E3395" i="7"/>
  <c r="E3394" i="7"/>
  <c r="E3393" i="7"/>
  <c r="E3423" i="7"/>
  <c r="E3422" i="7"/>
  <c r="E3421" i="7"/>
  <c r="E3420" i="7"/>
  <c r="E3419" i="7"/>
  <c r="E3418" i="7"/>
  <c r="E3417" i="7"/>
  <c r="E3416" i="7"/>
  <c r="E3415" i="7"/>
  <c r="E3414" i="7"/>
  <c r="E3413" i="7"/>
  <c r="E3412" i="7"/>
  <c r="E3411" i="7"/>
  <c r="E3410" i="7"/>
  <c r="E3409" i="7"/>
  <c r="E3408" i="7"/>
  <c r="E3439" i="7"/>
  <c r="E3438" i="7"/>
  <c r="E3437" i="7"/>
  <c r="E3436" i="7"/>
  <c r="E3435" i="7"/>
  <c r="E3434" i="7"/>
  <c r="E3433" i="7"/>
  <c r="E3432" i="7"/>
  <c r="E3431" i="7"/>
  <c r="E3430" i="7"/>
  <c r="E3429" i="7"/>
  <c r="E3428" i="7"/>
  <c r="E3427" i="7"/>
  <c r="E3426" i="7"/>
  <c r="E3425" i="7"/>
  <c r="E3424" i="7"/>
  <c r="E3458" i="7"/>
  <c r="E3457" i="7"/>
  <c r="E3456" i="7"/>
  <c r="E3455" i="7"/>
  <c r="E3454" i="7"/>
  <c r="E3453" i="7"/>
  <c r="E3452" i="7"/>
  <c r="E3451" i="7"/>
  <c r="E3450" i="7"/>
  <c r="E3449" i="7"/>
  <c r="E3448" i="7"/>
  <c r="E3447" i="7"/>
  <c r="E3446" i="7"/>
  <c r="E3445" i="7"/>
  <c r="E3444" i="7"/>
  <c r="E3443" i="7"/>
  <c r="E3442" i="7"/>
  <c r="E3441" i="7"/>
  <c r="E3440" i="7"/>
  <c r="E3476" i="7"/>
  <c r="E3475" i="7"/>
  <c r="E3474" i="7"/>
  <c r="E3473" i="7"/>
  <c r="E3472" i="7"/>
  <c r="E3470" i="7"/>
  <c r="E3469" i="7"/>
  <c r="E3468" i="7"/>
  <c r="E3467" i="7"/>
  <c r="E3466" i="7"/>
  <c r="E3465" i="7"/>
  <c r="E3464" i="7"/>
  <c r="E3463" i="7"/>
  <c r="E3462" i="7"/>
  <c r="E3461" i="7"/>
  <c r="E3460" i="7"/>
  <c r="E3459" i="7"/>
  <c r="E3494" i="7"/>
  <c r="E3493" i="7"/>
  <c r="E3492" i="7"/>
  <c r="E3491" i="7"/>
  <c r="E3490" i="7"/>
  <c r="E3489" i="7"/>
  <c r="E3488" i="7"/>
  <c r="E3487" i="7"/>
  <c r="E3486" i="7"/>
  <c r="E3485" i="7"/>
  <c r="E3484" i="7"/>
  <c r="E3483" i="7"/>
  <c r="E3482" i="7"/>
  <c r="E3481" i="7"/>
  <c r="E3480" i="7"/>
  <c r="E3479" i="7"/>
  <c r="E3478" i="7"/>
  <c r="E3477" i="7"/>
  <c r="E3514" i="7"/>
  <c r="E3513" i="7"/>
  <c r="E3512" i="7"/>
  <c r="E3511" i="7"/>
  <c r="E3510" i="7"/>
  <c r="E3509" i="7"/>
  <c r="E3508" i="7"/>
  <c r="E3507" i="7"/>
  <c r="E3506" i="7"/>
  <c r="E3505" i="7"/>
  <c r="E3504" i="7"/>
  <c r="E3503" i="7"/>
  <c r="E3502" i="7"/>
  <c r="E3501" i="7"/>
  <c r="E3500" i="7"/>
  <c r="E3499" i="7"/>
  <c r="E3498" i="7"/>
  <c r="E3497" i="7"/>
  <c r="E3496" i="7"/>
  <c r="E3495" i="7"/>
  <c r="E3531" i="7"/>
  <c r="E3530" i="7"/>
  <c r="E3529" i="7"/>
  <c r="E3528" i="7"/>
  <c r="E3527" i="7"/>
  <c r="E3526" i="7"/>
  <c r="E3525" i="7"/>
  <c r="E3524" i="7"/>
  <c r="E3523" i="7"/>
  <c r="E3522" i="7"/>
  <c r="E3521" i="7"/>
  <c r="E3520" i="7"/>
  <c r="E3519" i="7"/>
  <c r="E3518" i="7"/>
  <c r="E3517" i="7"/>
  <c r="E3515" i="7"/>
  <c r="E3550" i="7"/>
  <c r="E3549" i="7"/>
  <c r="E3548" i="7"/>
  <c r="E3547" i="7"/>
  <c r="E3546" i="7"/>
  <c r="E3545" i="7"/>
  <c r="E3544" i="7"/>
  <c r="E3543" i="7"/>
  <c r="E3542" i="7"/>
  <c r="E3541" i="7"/>
  <c r="E3540" i="7"/>
  <c r="E3539" i="7"/>
  <c r="E3538" i="7"/>
  <c r="E3537" i="7"/>
  <c r="E3536" i="7"/>
  <c r="E3535" i="7"/>
  <c r="E3534" i="7"/>
  <c r="E3533" i="7"/>
  <c r="E3532" i="7"/>
  <c r="E3568" i="7"/>
  <c r="E3567" i="7"/>
  <c r="E3566" i="7"/>
  <c r="E3565" i="7"/>
  <c r="E3564" i="7"/>
  <c r="E3563" i="7"/>
  <c r="E3562" i="7"/>
  <c r="E3561" i="7"/>
  <c r="E3560" i="7"/>
  <c r="E3559" i="7"/>
  <c r="E3558" i="7"/>
  <c r="E3557" i="7"/>
  <c r="E3556" i="7"/>
  <c r="E3555" i="7"/>
  <c r="E3554" i="7"/>
  <c r="E3553" i="7"/>
  <c r="E3552" i="7"/>
  <c r="E3551" i="7"/>
  <c r="E3581" i="7"/>
  <c r="E3580" i="7"/>
  <c r="E3579" i="7"/>
  <c r="E3578" i="7"/>
  <c r="E3577" i="7"/>
  <c r="E3576" i="7"/>
  <c r="E3575" i="7"/>
  <c r="E3574" i="7"/>
  <c r="E3573" i="7"/>
  <c r="E3572" i="7"/>
  <c r="E3571" i="7"/>
  <c r="E3570" i="7"/>
  <c r="E3569" i="7"/>
  <c r="E3596" i="7"/>
  <c r="E3595" i="7"/>
  <c r="E3594" i="7"/>
  <c r="E3593" i="7"/>
  <c r="E3592" i="7"/>
  <c r="E3591" i="7"/>
  <c r="E3590" i="7"/>
  <c r="E3589" i="7"/>
  <c r="E3588" i="7"/>
  <c r="E3587" i="7"/>
  <c r="E3586" i="7"/>
  <c r="E3585" i="7"/>
  <c r="E3584" i="7"/>
  <c r="E3583" i="7"/>
  <c r="E3615" i="7"/>
  <c r="E3614" i="7"/>
  <c r="E3613" i="7"/>
  <c r="E3612" i="7"/>
  <c r="E3611" i="7"/>
  <c r="E3610" i="7"/>
  <c r="E3609" i="7"/>
  <c r="E3608" i="7"/>
  <c r="E3607" i="7"/>
  <c r="E3606" i="7"/>
  <c r="E3605" i="7"/>
  <c r="E3604" i="7"/>
  <c r="E3603" i="7"/>
  <c r="E3602" i="7"/>
  <c r="E3601" i="7"/>
  <c r="E3600" i="7"/>
  <c r="E3599" i="7"/>
  <c r="E3598" i="7"/>
  <c r="E3597" i="7"/>
  <c r="E3634" i="7"/>
  <c r="E3633" i="7"/>
  <c r="E3632" i="7"/>
  <c r="E3631" i="7"/>
  <c r="E3630" i="7"/>
  <c r="E3629" i="7"/>
  <c r="E3628" i="7"/>
  <c r="E3627" i="7"/>
  <c r="E3626" i="7"/>
  <c r="E3625" i="7"/>
  <c r="E3624" i="7"/>
  <c r="E3623" i="7"/>
  <c r="E3622" i="7"/>
  <c r="E3621" i="7"/>
  <c r="E3620" i="7"/>
  <c r="E3619" i="7"/>
  <c r="E3618" i="7"/>
  <c r="E3617" i="7"/>
  <c r="E3616" i="7"/>
  <c r="E3653" i="7"/>
  <c r="E3652" i="7"/>
  <c r="E3651" i="7"/>
  <c r="E3650" i="7"/>
  <c r="E3649" i="7"/>
  <c r="E3648" i="7"/>
  <c r="E3647" i="7"/>
  <c r="E3646" i="7"/>
  <c r="E3645" i="7"/>
  <c r="E3644" i="7"/>
  <c r="E3643" i="7"/>
  <c r="E3642" i="7"/>
  <c r="E3641" i="7"/>
  <c r="E3640" i="7"/>
  <c r="E3639" i="7"/>
  <c r="E3638" i="7"/>
  <c r="E3637" i="7"/>
  <c r="E3636" i="7"/>
  <c r="E3635" i="7"/>
  <c r="E3670" i="7"/>
  <c r="E3669" i="7"/>
  <c r="E3668" i="7"/>
  <c r="E3667" i="7"/>
  <c r="E3666" i="7"/>
  <c r="E3665" i="7"/>
  <c r="E3664" i="7"/>
  <c r="E3663" i="7"/>
  <c r="E3661" i="7"/>
  <c r="E3660" i="7"/>
  <c r="E3659" i="7"/>
  <c r="E3658" i="7"/>
  <c r="E3657" i="7"/>
  <c r="E3656" i="7"/>
  <c r="E3655" i="7"/>
  <c r="E3654" i="7"/>
  <c r="E3685" i="7"/>
  <c r="E3684" i="7"/>
  <c r="E3683" i="7"/>
  <c r="E3682" i="7"/>
  <c r="E3681" i="7"/>
  <c r="E3680" i="7"/>
  <c r="E3679" i="7"/>
  <c r="E3678" i="7"/>
  <c r="E3677" i="7"/>
  <c r="E3676" i="7"/>
  <c r="E3675" i="7"/>
  <c r="E3674" i="7"/>
  <c r="E3673" i="7"/>
  <c r="E3672" i="7"/>
  <c r="E3671" i="7"/>
  <c r="E3702" i="7"/>
  <c r="E3701" i="7"/>
  <c r="E3700" i="7"/>
  <c r="E3699" i="7"/>
  <c r="E3698" i="7"/>
  <c r="E3697" i="7"/>
  <c r="E3696" i="7"/>
  <c r="E3695" i="7"/>
  <c r="E3694" i="7"/>
  <c r="E3693" i="7"/>
  <c r="E3692" i="7"/>
  <c r="E3691" i="7"/>
  <c r="E3690" i="7"/>
  <c r="E3689" i="7"/>
  <c r="E3688" i="7"/>
  <c r="E3687" i="7"/>
  <c r="E3686" i="7"/>
  <c r="E3720" i="7"/>
  <c r="E3719" i="7"/>
  <c r="E3718" i="7"/>
  <c r="E3717" i="7"/>
  <c r="E3716" i="7"/>
  <c r="E3715" i="7"/>
  <c r="E3714" i="7"/>
  <c r="E3713" i="7"/>
  <c r="E3712" i="7"/>
  <c r="E3711" i="7"/>
  <c r="E3710" i="7"/>
  <c r="E3709" i="7"/>
  <c r="E3708" i="7"/>
  <c r="E3707" i="7"/>
  <c r="E3706" i="7"/>
  <c r="E3705" i="7"/>
  <c r="E3704" i="7"/>
  <c r="E3703" i="7"/>
  <c r="E3734" i="7"/>
  <c r="E3733" i="7"/>
  <c r="E3732" i="7"/>
  <c r="E3731" i="7"/>
  <c r="E3730" i="7"/>
  <c r="E3729" i="7"/>
  <c r="E3728" i="7"/>
  <c r="E3726" i="7"/>
  <c r="E3725" i="7"/>
  <c r="E3724" i="7"/>
  <c r="E3723" i="7"/>
  <c r="E3722" i="7"/>
  <c r="E3721" i="7"/>
  <c r="E3753" i="7"/>
  <c r="E3752" i="7"/>
  <c r="E3751" i="7"/>
  <c r="E3750" i="7"/>
  <c r="E3749" i="7"/>
  <c r="E3748" i="7"/>
  <c r="E3747" i="7"/>
  <c r="E3746" i="7"/>
  <c r="E3745" i="7"/>
  <c r="E3744" i="7"/>
  <c r="E3743" i="7"/>
  <c r="E3742" i="7"/>
  <c r="E3741" i="7"/>
  <c r="E3740" i="7"/>
  <c r="E3739" i="7"/>
  <c r="E3738" i="7"/>
  <c r="E3737" i="7"/>
  <c r="E3736" i="7"/>
  <c r="E3735" i="7"/>
  <c r="E3768" i="7"/>
  <c r="E3767" i="7"/>
  <c r="E3766" i="7"/>
  <c r="E3765" i="7"/>
  <c r="E3764" i="7"/>
  <c r="E3763" i="7"/>
  <c r="E3762" i="7"/>
  <c r="E3761" i="7"/>
  <c r="E3760" i="7"/>
  <c r="E3759" i="7"/>
  <c r="E3758" i="7"/>
  <c r="E3757" i="7"/>
  <c r="E3756" i="7"/>
  <c r="E3755" i="7"/>
  <c r="E3754" i="7"/>
  <c r="E3784" i="7"/>
  <c r="E3783" i="7"/>
  <c r="E3782" i="7"/>
  <c r="E3781" i="7"/>
  <c r="E3780" i="7"/>
  <c r="E3779" i="7"/>
  <c r="E3778" i="7"/>
  <c r="E3777" i="7"/>
  <c r="E3776" i="7"/>
  <c r="E3775" i="7"/>
  <c r="E3774" i="7"/>
  <c r="E3773" i="7"/>
  <c r="E3772" i="7"/>
  <c r="E3771" i="7"/>
  <c r="E3770" i="7"/>
  <c r="E3769" i="7"/>
  <c r="E3802" i="7"/>
  <c r="E3801" i="7"/>
  <c r="E3800" i="7"/>
  <c r="E3799" i="7"/>
  <c r="E3798" i="7"/>
  <c r="E3797" i="7"/>
  <c r="E3796" i="7"/>
  <c r="E3795" i="7"/>
  <c r="E3794" i="7"/>
  <c r="E3792" i="7"/>
  <c r="E3791" i="7"/>
  <c r="E3790" i="7"/>
  <c r="E3789" i="7"/>
  <c r="E3788" i="7"/>
  <c r="E3787" i="7"/>
  <c r="E3786" i="7"/>
  <c r="E3785" i="7"/>
  <c r="E3818" i="7"/>
  <c r="E3817" i="7"/>
  <c r="E3816" i="7"/>
  <c r="E3815" i="7"/>
  <c r="E3814" i="7"/>
  <c r="E3813" i="7"/>
  <c r="E3812" i="7"/>
  <c r="E3811" i="7"/>
  <c r="E3810" i="7"/>
  <c r="E3809" i="7"/>
  <c r="E3808" i="7"/>
  <c r="E3807" i="7"/>
  <c r="E3806" i="7"/>
  <c r="E3805" i="7"/>
  <c r="E3804" i="7"/>
  <c r="E3803" i="7"/>
  <c r="E3834" i="7"/>
  <c r="E3833" i="7"/>
  <c r="E3832" i="7"/>
  <c r="E3831" i="7"/>
  <c r="E3830" i="7"/>
  <c r="E3829" i="7"/>
  <c r="E3828" i="7"/>
  <c r="E3827" i="7"/>
  <c r="E3826" i="7"/>
  <c r="E3825" i="7"/>
  <c r="E3824" i="7"/>
  <c r="E3823" i="7"/>
  <c r="E3822" i="7"/>
  <c r="E3821" i="7"/>
  <c r="E3820" i="7"/>
  <c r="E3819" i="7"/>
  <c r="E3856" i="7"/>
  <c r="E3855" i="7"/>
  <c r="E3854" i="7"/>
  <c r="E3853" i="7"/>
  <c r="E3852" i="7"/>
  <c r="E3851" i="7"/>
  <c r="E3850" i="7"/>
  <c r="E3849" i="7"/>
  <c r="E3848" i="7"/>
  <c r="E3847" i="7"/>
  <c r="E3846" i="7"/>
  <c r="E3845" i="7"/>
  <c r="E3844" i="7"/>
  <c r="E3843" i="7"/>
  <c r="E3842" i="7"/>
  <c r="E3841" i="7"/>
  <c r="E3840" i="7"/>
  <c r="E3839" i="7"/>
  <c r="E3838" i="7"/>
  <c r="E3837" i="7"/>
  <c r="E3836" i="7"/>
  <c r="E3835" i="7"/>
  <c r="E3871" i="7"/>
  <c r="E3870" i="7"/>
  <c r="E3869" i="7"/>
  <c r="E3867" i="7"/>
  <c r="E3866" i="7"/>
  <c r="E3865" i="7"/>
  <c r="E3864" i="7"/>
  <c r="E3863" i="7"/>
  <c r="E3862" i="7"/>
  <c r="E3861" i="7"/>
  <c r="E3860" i="7"/>
  <c r="E3859" i="7"/>
  <c r="E3858" i="7"/>
  <c r="E3857" i="7"/>
  <c r="E3887" i="7"/>
  <c r="E3886" i="7"/>
  <c r="E3885" i="7"/>
  <c r="E3884" i="7"/>
  <c r="E3883" i="7"/>
  <c r="E3882" i="7"/>
  <c r="E3881" i="7"/>
  <c r="E3880" i="7"/>
  <c r="E3879" i="7"/>
  <c r="E3878" i="7"/>
  <c r="E3877" i="7"/>
  <c r="E3876" i="7"/>
  <c r="E3875" i="7"/>
  <c r="E3874" i="7"/>
  <c r="E3873" i="7"/>
  <c r="E3872" i="7"/>
  <c r="E3901" i="7"/>
  <c r="E3900" i="7"/>
  <c r="E3899" i="7"/>
  <c r="E3898" i="7"/>
  <c r="E3897" i="7"/>
  <c r="E3896" i="7"/>
  <c r="E3895" i="7"/>
  <c r="E3894" i="7"/>
  <c r="E3893" i="7"/>
  <c r="E3892" i="7"/>
  <c r="E3891" i="7"/>
  <c r="E3890" i="7"/>
  <c r="E3889" i="7"/>
  <c r="E3888" i="7"/>
  <c r="E3917" i="7"/>
  <c r="E3916" i="7"/>
  <c r="E3914" i="7"/>
  <c r="E3913" i="7"/>
  <c r="E3912" i="7"/>
  <c r="E3911" i="7"/>
  <c r="E3910" i="7"/>
  <c r="E3909" i="7"/>
  <c r="E3908" i="7"/>
  <c r="E3907" i="7"/>
  <c r="E3906" i="7"/>
  <c r="E3905" i="7"/>
  <c r="E3904" i="7"/>
  <c r="E3903" i="7"/>
  <c r="E3902" i="7"/>
  <c r="E3932" i="7"/>
  <c r="E3931" i="7"/>
  <c r="E3930" i="7"/>
  <c r="E3929" i="7"/>
  <c r="E3928" i="7"/>
  <c r="E3927" i="7"/>
  <c r="E3926" i="7"/>
  <c r="E3925" i="7"/>
  <c r="E3923" i="7"/>
  <c r="E3922" i="7"/>
  <c r="E3921" i="7"/>
  <c r="E3920" i="7"/>
  <c r="E3919" i="7"/>
  <c r="E3918" i="7"/>
  <c r="E3948" i="7"/>
  <c r="E3947" i="7"/>
  <c r="E3946" i="7"/>
  <c r="E3945" i="7"/>
  <c r="E3944" i="7"/>
  <c r="E3943" i="7"/>
  <c r="E3942" i="7"/>
  <c r="E3941" i="7"/>
  <c r="E3940" i="7"/>
  <c r="E3939" i="7"/>
  <c r="E3938" i="7"/>
  <c r="E3937" i="7"/>
  <c r="E3936" i="7"/>
  <c r="E3935" i="7"/>
  <c r="E3934" i="7"/>
  <c r="E3933" i="7"/>
  <c r="E3963" i="7"/>
  <c r="E3962" i="7"/>
  <c r="E3961" i="7"/>
  <c r="E3960" i="7"/>
  <c r="E3958" i="7"/>
  <c r="E3957" i="7"/>
  <c r="E3956" i="7"/>
  <c r="E3955" i="7"/>
  <c r="E3954" i="7"/>
  <c r="E3953" i="7"/>
  <c r="E3952" i="7"/>
  <c r="E3951" i="7"/>
  <c r="E3950" i="7"/>
  <c r="E3949" i="7"/>
  <c r="E3976" i="7"/>
  <c r="E3975" i="7"/>
  <c r="E3974" i="7"/>
  <c r="E3973" i="7"/>
  <c r="E3972" i="7"/>
  <c r="E3971" i="7"/>
  <c r="E3970" i="7"/>
  <c r="E3969" i="7"/>
  <c r="E3968" i="7"/>
  <c r="E3967" i="7"/>
  <c r="E3966" i="7"/>
  <c r="E3965" i="7"/>
  <c r="E3964" i="7"/>
  <c r="E3988" i="7"/>
  <c r="E3987" i="7"/>
  <c r="E3986" i="7"/>
  <c r="E3985" i="7"/>
  <c r="E3984" i="7"/>
  <c r="E3983" i="7"/>
  <c r="E3982" i="7"/>
  <c r="E3981" i="7"/>
  <c r="E3980" i="7"/>
  <c r="E3979" i="7"/>
  <c r="E3978" i="7"/>
  <c r="E3977" i="7"/>
  <c r="E4001" i="7"/>
  <c r="E4000" i="7"/>
  <c r="E3999" i="7"/>
  <c r="E3997" i="7"/>
  <c r="E3996" i="7"/>
  <c r="E3995" i="7"/>
  <c r="E3994" i="7"/>
  <c r="E3993" i="7"/>
  <c r="E3992" i="7"/>
  <c r="E3991" i="7"/>
  <c r="E3990" i="7"/>
  <c r="E3989" i="7"/>
  <c r="E4014" i="7"/>
  <c r="E4013" i="7"/>
  <c r="E4012" i="7"/>
  <c r="E4011" i="7"/>
  <c r="E4010" i="7"/>
  <c r="E4009" i="7"/>
  <c r="E4008" i="7"/>
  <c r="E4007" i="7"/>
  <c r="E4006" i="7"/>
  <c r="E4005" i="7"/>
  <c r="E4004" i="7"/>
  <c r="E4003" i="7"/>
  <c r="E4002" i="7"/>
  <c r="E4027" i="7"/>
  <c r="E4026" i="7"/>
  <c r="E4025" i="7"/>
  <c r="E4024" i="7"/>
  <c r="E4023" i="7"/>
  <c r="E4022" i="7"/>
  <c r="E4021" i="7"/>
  <c r="E4020" i="7"/>
  <c r="E4019" i="7"/>
  <c r="E4018" i="7"/>
  <c r="E4017" i="7"/>
  <c r="E4016" i="7"/>
  <c r="E4015" i="7"/>
  <c r="E4043" i="7"/>
  <c r="E4042" i="7"/>
  <c r="E4041" i="7"/>
  <c r="E4040" i="7"/>
  <c r="E4039" i="7"/>
  <c r="E4038" i="7"/>
  <c r="E4037" i="7"/>
  <c r="E4036" i="7"/>
  <c r="E4035" i="7"/>
  <c r="E4034" i="7"/>
  <c r="E4033" i="7"/>
  <c r="E4032" i="7"/>
  <c r="E4031" i="7"/>
  <c r="E4030" i="7"/>
  <c r="E4029" i="7"/>
  <c r="E4028" i="7"/>
  <c r="E4058" i="7"/>
  <c r="E4057" i="7"/>
  <c r="E4056" i="7"/>
  <c r="E4055" i="7"/>
  <c r="E4054" i="7"/>
  <c r="E4053" i="7"/>
  <c r="E4052" i="7"/>
  <c r="E4051" i="7"/>
  <c r="E4050" i="7"/>
  <c r="E4049" i="7"/>
  <c r="E4048" i="7"/>
  <c r="E4047" i="7"/>
  <c r="E4046" i="7"/>
  <c r="E4045" i="7"/>
  <c r="E4073" i="7"/>
  <c r="E4072" i="7"/>
  <c r="E4071" i="7"/>
  <c r="E4070" i="7"/>
  <c r="E4069" i="7"/>
  <c r="E4068" i="7"/>
  <c r="E4067" i="7"/>
  <c r="E4066" i="7"/>
  <c r="E4065" i="7"/>
  <c r="E4064" i="7"/>
  <c r="E4063" i="7"/>
  <c r="E4062" i="7"/>
  <c r="E4061" i="7"/>
  <c r="E4060" i="7"/>
  <c r="E4059" i="7"/>
  <c r="E4090" i="7"/>
  <c r="E4089" i="7"/>
  <c r="E4088" i="7"/>
  <c r="E4087" i="7"/>
  <c r="E4086" i="7"/>
  <c r="E4085" i="7"/>
  <c r="E4084" i="7"/>
  <c r="E4083" i="7"/>
  <c r="E4082" i="7"/>
  <c r="E4081" i="7"/>
  <c r="E4080" i="7"/>
  <c r="E4079" i="7"/>
  <c r="E4078" i="7"/>
  <c r="E4077" i="7"/>
  <c r="E4076" i="7"/>
  <c r="E4075" i="7"/>
  <c r="E4074" i="7"/>
  <c r="E4108" i="7"/>
  <c r="E4107" i="7"/>
  <c r="E4106" i="7"/>
  <c r="E4105" i="7"/>
  <c r="E4104" i="7"/>
  <c r="E4103" i="7"/>
  <c r="E4102" i="7"/>
  <c r="E4101" i="7"/>
  <c r="E4100" i="7"/>
  <c r="E4099" i="7"/>
  <c r="E4098" i="7"/>
  <c r="E4097" i="7"/>
  <c r="E4096" i="7"/>
  <c r="E4095" i="7"/>
  <c r="E4094" i="7"/>
  <c r="E4093" i="7"/>
  <c r="E4092" i="7"/>
  <c r="E4124" i="7"/>
  <c r="E4123" i="7"/>
  <c r="E4122" i="7"/>
  <c r="E4121" i="7"/>
  <c r="E4120" i="7"/>
  <c r="E4119" i="7"/>
  <c r="E4118" i="7"/>
  <c r="E4117" i="7"/>
  <c r="E4116" i="7"/>
  <c r="E4115" i="7"/>
  <c r="E4114" i="7"/>
  <c r="E4113" i="7"/>
  <c r="E4112" i="7"/>
  <c r="E4111" i="7"/>
  <c r="E4110" i="7"/>
  <c r="E4109" i="7"/>
  <c r="E4141" i="7"/>
  <c r="E4140" i="7"/>
  <c r="E4139" i="7"/>
  <c r="E4138" i="7"/>
  <c r="E4137" i="7"/>
  <c r="E4136" i="7"/>
  <c r="E4135" i="7"/>
  <c r="E4134" i="7"/>
  <c r="E4133" i="7"/>
  <c r="E4132" i="7"/>
  <c r="E4131" i="7"/>
  <c r="E4130" i="7"/>
  <c r="E4129" i="7"/>
  <c r="E4128" i="7"/>
  <c r="E4127" i="7"/>
  <c r="E4126" i="7"/>
  <c r="E4125" i="7"/>
  <c r="E4155" i="7"/>
  <c r="E4154" i="7"/>
  <c r="E4153" i="7"/>
  <c r="E4152" i="7"/>
  <c r="E4151" i="7"/>
  <c r="E4150" i="7"/>
  <c r="E4149" i="7"/>
  <c r="E4148" i="7"/>
  <c r="E4147" i="7"/>
  <c r="E4146" i="7"/>
  <c r="E4145" i="7"/>
  <c r="E4144" i="7"/>
  <c r="E4143" i="7"/>
  <c r="E4142" i="7"/>
  <c r="E4171" i="7"/>
  <c r="E4170" i="7"/>
  <c r="E4169" i="7"/>
  <c r="E4168" i="7"/>
  <c r="E4167" i="7"/>
  <c r="E4166" i="7"/>
  <c r="E4165" i="7"/>
  <c r="E4164" i="7"/>
  <c r="E4163" i="7"/>
  <c r="E4162" i="7"/>
  <c r="E4161" i="7"/>
  <c r="E4160" i="7"/>
  <c r="E4159" i="7"/>
  <c r="E4158" i="7"/>
  <c r="E4157" i="7"/>
  <c r="E4156" i="7"/>
  <c r="E4185" i="7"/>
  <c r="E4184" i="7"/>
  <c r="E4182" i="7"/>
  <c r="E4181" i="7"/>
  <c r="E4180" i="7"/>
  <c r="E4179" i="7"/>
  <c r="E4178" i="7"/>
  <c r="E4177" i="7"/>
  <c r="E4176" i="7"/>
  <c r="E4175" i="7"/>
  <c r="E4174" i="7"/>
  <c r="E4173" i="7"/>
  <c r="E4172" i="7"/>
  <c r="E4203" i="7"/>
  <c r="E4202" i="7"/>
  <c r="E4201" i="7"/>
  <c r="E4200" i="7"/>
  <c r="E4199" i="7"/>
  <c r="E4198" i="7"/>
  <c r="E4197" i="7"/>
  <c r="E4196" i="7"/>
  <c r="E4195" i="7"/>
  <c r="E4194" i="7"/>
  <c r="E4193" i="7"/>
  <c r="E4192" i="7"/>
  <c r="E4191" i="7"/>
  <c r="E4190" i="7"/>
  <c r="E4189" i="7"/>
  <c r="E4188" i="7"/>
  <c r="E4187" i="7"/>
  <c r="E4186" i="7"/>
  <c r="E4218" i="7"/>
  <c r="E4217" i="7"/>
  <c r="E4216" i="7"/>
  <c r="E4215" i="7"/>
  <c r="E4214" i="7"/>
  <c r="E4213" i="7"/>
  <c r="E4212" i="7"/>
  <c r="E4211" i="7"/>
  <c r="E4210" i="7"/>
  <c r="E4209" i="7"/>
  <c r="E4208" i="7"/>
  <c r="E4207" i="7"/>
  <c r="E4206" i="7"/>
  <c r="E4205" i="7"/>
  <c r="E4204" i="7"/>
  <c r="E4232" i="7"/>
  <c r="E4231" i="7"/>
  <c r="E4230" i="7"/>
  <c r="E4229" i="7"/>
  <c r="E4228" i="7"/>
  <c r="E4227" i="7"/>
  <c r="E4226" i="7"/>
  <c r="E4225" i="7"/>
  <c r="E4224" i="7"/>
  <c r="E4223" i="7"/>
  <c r="E4222" i="7"/>
  <c r="E4221" i="7"/>
  <c r="E4220" i="7"/>
  <c r="E4219" i="7"/>
  <c r="E4245" i="7"/>
  <c r="E4244" i="7"/>
  <c r="E4243" i="7"/>
  <c r="E4242" i="7"/>
  <c r="E4241" i="7"/>
  <c r="E4240" i="7"/>
  <c r="E4239" i="7"/>
  <c r="E4237" i="7"/>
  <c r="E4236" i="7"/>
  <c r="E4235" i="7"/>
  <c r="E4234" i="7"/>
  <c r="E4233" i="7"/>
  <c r="E4260" i="7"/>
  <c r="E4259" i="7"/>
  <c r="E4258" i="7"/>
  <c r="E4257" i="7"/>
  <c r="E4256" i="7"/>
  <c r="E4255" i="7"/>
  <c r="E4254" i="7"/>
  <c r="E4253" i="7"/>
  <c r="E4252" i="7"/>
  <c r="E4251" i="7"/>
  <c r="E4250" i="7"/>
  <c r="E4249" i="7"/>
  <c r="E4248" i="7"/>
  <c r="E4247" i="7"/>
  <c r="E4246" i="7"/>
  <c r="E4278" i="7"/>
  <c r="E4277" i="7"/>
  <c r="E4276" i="7"/>
  <c r="E4275" i="7"/>
  <c r="E4274" i="7"/>
  <c r="E4273" i="7"/>
  <c r="E4272" i="7"/>
  <c r="E4271" i="7"/>
  <c r="E4270" i="7"/>
  <c r="E4269" i="7"/>
  <c r="E4268" i="7"/>
  <c r="E4267" i="7"/>
  <c r="E4266" i="7"/>
  <c r="E4265" i="7"/>
  <c r="E4264" i="7"/>
  <c r="E4263" i="7"/>
  <c r="E4262" i="7"/>
  <c r="E4261" i="7"/>
  <c r="E4293" i="7"/>
  <c r="E4292" i="7"/>
  <c r="E4291" i="7"/>
  <c r="E4290" i="7"/>
  <c r="E4289" i="7"/>
  <c r="E4288" i="7"/>
  <c r="E4287" i="7"/>
  <c r="E4286" i="7"/>
  <c r="E4284" i="7"/>
  <c r="E4283" i="7"/>
  <c r="E4282" i="7"/>
  <c r="E4281" i="7"/>
  <c r="E4280" i="7"/>
  <c r="E4279" i="7"/>
  <c r="E4314" i="7"/>
  <c r="E4313" i="7"/>
  <c r="E4312" i="7"/>
  <c r="E4310" i="7"/>
  <c r="E4309" i="7"/>
  <c r="E4308" i="7"/>
  <c r="E4307" i="7"/>
  <c r="E4306" i="7"/>
  <c r="E4304" i="7"/>
  <c r="E4303" i="7"/>
  <c r="E4301" i="7"/>
  <c r="E4300" i="7"/>
  <c r="E4298" i="7"/>
  <c r="E4297" i="7"/>
  <c r="E4296" i="7"/>
  <c r="E4295" i="7"/>
  <c r="E4294" i="7"/>
  <c r="E4340" i="7"/>
  <c r="E4339" i="7"/>
  <c r="E4338" i="7"/>
  <c r="E4337" i="7"/>
  <c r="E4336" i="7"/>
  <c r="E4335" i="7"/>
  <c r="E4334" i="7"/>
  <c r="E4333" i="7"/>
  <c r="E4331" i="7"/>
  <c r="E4330" i="7"/>
  <c r="E4329" i="7"/>
  <c r="E4328" i="7"/>
  <c r="E4327" i="7"/>
  <c r="E4326" i="7"/>
  <c r="E4325" i="7"/>
  <c r="E4324" i="7"/>
  <c r="E4323" i="7"/>
  <c r="E4322" i="7"/>
  <c r="E4321" i="7"/>
  <c r="E4320" i="7"/>
  <c r="E4319" i="7"/>
  <c r="E4318" i="7"/>
  <c r="E4317" i="7"/>
  <c r="E4316" i="7"/>
  <c r="E4315" i="7"/>
  <c r="E4356" i="7"/>
  <c r="E4355" i="7"/>
  <c r="E4354" i="7"/>
  <c r="E4353" i="7"/>
  <c r="E4352" i="7"/>
  <c r="E4351" i="7"/>
  <c r="E4350" i="7"/>
  <c r="E4349" i="7"/>
  <c r="E4347" i="7"/>
  <c r="E4346" i="7"/>
  <c r="E4345" i="7"/>
  <c r="E4343" i="7"/>
  <c r="E4342" i="7"/>
  <c r="E4341" i="7"/>
  <c r="E4372" i="7"/>
  <c r="E4370" i="7"/>
  <c r="E4369" i="7"/>
  <c r="E4368" i="7"/>
  <c r="E4367" i="7"/>
  <c r="E4366" i="7"/>
  <c r="E4364" i="7"/>
  <c r="E4363" i="7"/>
  <c r="E4362" i="7"/>
  <c r="E4361" i="7"/>
  <c r="E4360" i="7"/>
  <c r="E4359" i="7"/>
  <c r="E4358" i="7"/>
  <c r="E4357" i="7"/>
  <c r="E4385" i="7"/>
  <c r="E4384" i="7"/>
  <c r="E4383" i="7"/>
  <c r="E4382" i="7"/>
  <c r="E4380" i="7"/>
  <c r="E4379" i="7"/>
  <c r="E4378" i="7"/>
  <c r="E4377" i="7"/>
  <c r="E4375" i="7"/>
  <c r="E4374" i="7"/>
  <c r="E4373" i="7"/>
  <c r="E4400" i="7"/>
  <c r="E4399" i="7"/>
  <c r="E4398" i="7"/>
  <c r="E4397" i="7"/>
  <c r="E4396" i="7"/>
  <c r="E4395" i="7"/>
  <c r="E4394" i="7"/>
  <c r="E4393" i="7"/>
  <c r="E4392" i="7"/>
  <c r="E4391" i="7"/>
  <c r="E4390" i="7"/>
  <c r="E4389" i="7"/>
  <c r="E4388" i="7"/>
  <c r="E4387" i="7"/>
  <c r="E4386" i="7"/>
  <c r="E4413" i="7"/>
  <c r="E4412" i="7"/>
  <c r="E4411" i="7"/>
  <c r="E4410" i="7"/>
  <c r="E4409" i="7"/>
  <c r="E4408" i="7"/>
  <c r="E4407" i="7"/>
  <c r="E4406" i="7"/>
  <c r="E4405" i="7"/>
  <c r="E4404" i="7"/>
  <c r="E4403" i="7"/>
  <c r="E4402" i="7"/>
  <c r="E4401" i="7"/>
  <c r="E4425" i="7"/>
  <c r="E4424" i="7"/>
  <c r="E4423" i="7"/>
  <c r="E4422" i="7"/>
  <c r="E4421" i="7"/>
  <c r="M4420" i="7"/>
  <c r="E4418" i="7"/>
  <c r="E4417" i="7"/>
  <c r="E4416" i="7"/>
  <c r="E4415" i="7"/>
  <c r="E4414" i="7"/>
  <c r="E4433" i="7"/>
  <c r="E4432" i="7"/>
  <c r="E4431" i="7"/>
  <c r="E4430" i="7"/>
  <c r="E4429" i="7"/>
  <c r="E4428" i="7"/>
  <c r="E4427" i="7"/>
  <c r="E4426" i="7"/>
  <c r="E4445" i="7"/>
  <c r="E4444" i="7"/>
  <c r="E4443" i="7"/>
  <c r="E4442" i="7"/>
  <c r="E4441" i="7"/>
  <c r="E4440" i="7"/>
  <c r="E4439" i="7"/>
  <c r="E4438" i="7"/>
  <c r="E4437" i="7"/>
  <c r="E4436" i="7"/>
  <c r="E4435" i="7"/>
  <c r="E4434" i="7"/>
  <c r="E4455" i="7"/>
  <c r="E4453" i="7"/>
  <c r="E4452" i="7"/>
  <c r="E4451" i="7"/>
  <c r="E4450" i="7"/>
  <c r="E4449" i="7"/>
  <c r="E4448" i="7"/>
  <c r="E4447" i="7"/>
  <c r="E4446" i="7"/>
  <c r="E4467" i="7"/>
  <c r="E4466" i="7"/>
  <c r="E4465" i="7"/>
  <c r="E4464" i="7"/>
  <c r="E4463" i="7"/>
  <c r="E4462" i="7"/>
  <c r="E4461" i="7"/>
  <c r="E4460" i="7"/>
  <c r="E4459" i="7"/>
  <c r="E4458" i="7"/>
  <c r="E4457" i="7"/>
  <c r="E4473" i="7"/>
  <c r="E4472" i="7"/>
  <c r="E4471" i="7"/>
  <c r="E4470" i="7"/>
  <c r="E4469" i="7"/>
  <c r="E4468" i="7"/>
  <c r="E4483" i="7"/>
  <c r="E4482" i="7"/>
  <c r="E4481" i="7"/>
  <c r="E4480" i="7"/>
  <c r="E4479" i="7"/>
  <c r="E4478" i="7"/>
  <c r="E4477" i="7"/>
  <c r="E4476" i="7"/>
  <c r="E4475" i="7"/>
  <c r="E4474" i="7"/>
  <c r="E4491" i="7"/>
  <c r="E4489" i="7"/>
  <c r="E4488" i="7"/>
  <c r="E4487" i="7"/>
  <c r="E4486" i="7"/>
  <c r="E4485" i="7"/>
  <c r="E4484" i="7"/>
  <c r="E4496" i="7"/>
  <c r="E4495" i="7"/>
  <c r="E4494" i="7"/>
  <c r="E4493" i="7"/>
  <c r="E4492" i="7"/>
  <c r="E4501" i="7"/>
  <c r="E4500" i="7"/>
  <c r="E4499" i="7"/>
  <c r="E4498" i="7"/>
  <c r="E4507" i="7"/>
  <c r="E4506" i="7"/>
  <c r="E4505" i="7"/>
  <c r="E4504" i="7"/>
  <c r="E4503" i="7"/>
  <c r="E4502" i="7"/>
  <c r="H4497" i="7" l="1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0" i="7"/>
  <c r="H19" i="7"/>
  <c r="H18" i="7"/>
  <c r="I53" i="7"/>
  <c r="J53" i="7" a="1"/>
  <c r="M53" i="7"/>
  <c r="I52" i="7"/>
  <c r="J52" i="7" a="1"/>
  <c r="M52" i="7"/>
  <c r="I51" i="7"/>
  <c r="J51" i="7" a="1"/>
  <c r="M51" i="7"/>
  <c r="I50" i="7"/>
  <c r="J50" i="7" a="1"/>
  <c r="M50" i="7"/>
  <c r="I49" i="7"/>
  <c r="J49" i="7" a="1"/>
  <c r="M49" i="7"/>
  <c r="I48" i="7"/>
  <c r="J48" i="7" a="1"/>
  <c r="M48" i="7"/>
  <c r="I47" i="7"/>
  <c r="J47" i="7" a="1"/>
  <c r="M47" i="7"/>
  <c r="I46" i="7"/>
  <c r="J46" i="7" a="1"/>
  <c r="M46" i="7"/>
  <c r="I45" i="7"/>
  <c r="M45" i="7"/>
  <c r="J45" i="7" a="1"/>
  <c r="I44" i="7"/>
  <c r="M44" i="7"/>
  <c r="J44" i="7" a="1"/>
  <c r="I43" i="7"/>
  <c r="J43" i="7" a="1"/>
  <c r="M43" i="7"/>
  <c r="J42" i="7" a="1"/>
  <c r="M42" i="7"/>
  <c r="I42" i="7"/>
  <c r="I41" i="7"/>
  <c r="M41" i="7"/>
  <c r="J41" i="7" a="1"/>
  <c r="I40" i="7"/>
  <c r="J40" i="7" a="1"/>
  <c r="M40" i="7"/>
  <c r="I38" i="7"/>
  <c r="J38" i="7" a="1"/>
  <c r="M38" i="7"/>
  <c r="I37" i="7"/>
  <c r="J37" i="7" a="1"/>
  <c r="M37" i="7"/>
  <c r="I73" i="7"/>
  <c r="M73" i="7"/>
  <c r="J73" i="7" a="1"/>
  <c r="I72" i="7"/>
  <c r="M72" i="7"/>
  <c r="J72" i="7" a="1"/>
  <c r="I71" i="7"/>
  <c r="J71" i="7" a="1"/>
  <c r="M71" i="7"/>
  <c r="I70" i="7"/>
  <c r="J70" i="7" a="1"/>
  <c r="M70" i="7"/>
  <c r="J69" i="7" a="1"/>
  <c r="M69" i="7"/>
  <c r="I69" i="7"/>
  <c r="I67" i="7"/>
  <c r="M67" i="7"/>
  <c r="J67" i="7" a="1"/>
  <c r="I66" i="7"/>
  <c r="M66" i="7"/>
  <c r="J66" i="7" a="1"/>
  <c r="I65" i="7"/>
  <c r="J65" i="7" a="1"/>
  <c r="M65" i="7"/>
  <c r="J64" i="7" a="1"/>
  <c r="I64" i="7"/>
  <c r="M64" i="7"/>
  <c r="I63" i="7"/>
  <c r="M63" i="7"/>
  <c r="J63" i="7" a="1"/>
  <c r="M62" i="7"/>
  <c r="I62" i="7"/>
  <c r="J62" i="7" a="1"/>
  <c r="I61" i="7"/>
  <c r="J61" i="7" a="1"/>
  <c r="M61" i="7"/>
  <c r="J60" i="7" a="1"/>
  <c r="I60" i="7"/>
  <c r="M60" i="7"/>
  <c r="I59" i="7"/>
  <c r="J59" i="7" a="1"/>
  <c r="M59" i="7"/>
  <c r="I58" i="7"/>
  <c r="J58" i="7" a="1"/>
  <c r="M58" i="7"/>
  <c r="M57" i="7"/>
  <c r="I57" i="7"/>
  <c r="J57" i="7" a="1"/>
  <c r="J56" i="7" a="1"/>
  <c r="M56" i="7"/>
  <c r="I56" i="7"/>
  <c r="I55" i="7"/>
  <c r="J55" i="7" a="1"/>
  <c r="M55" i="7"/>
  <c r="I93" i="7"/>
  <c r="J93" i="7" a="1"/>
  <c r="M93" i="7"/>
  <c r="J92" i="7" a="1"/>
  <c r="I92" i="7"/>
  <c r="M92" i="7"/>
  <c r="I90" i="7"/>
  <c r="J90" i="7" a="1"/>
  <c r="M90" i="7"/>
  <c r="J89" i="7" a="1"/>
  <c r="I89" i="7"/>
  <c r="M89" i="7"/>
  <c r="J87" i="7" a="1"/>
  <c r="I87" i="7"/>
  <c r="M87" i="7"/>
  <c r="I86" i="7"/>
  <c r="J86" i="7" a="1"/>
  <c r="M86" i="7"/>
  <c r="M85" i="7"/>
  <c r="I85" i="7"/>
  <c r="J85" i="7" a="1"/>
  <c r="I84" i="7"/>
  <c r="J84" i="7" a="1"/>
  <c r="M84" i="7"/>
  <c r="I83" i="7"/>
  <c r="M83" i="7"/>
  <c r="J83" i="7" a="1"/>
  <c r="J82" i="7" a="1"/>
  <c r="I82" i="7"/>
  <c r="M82" i="7"/>
  <c r="I81" i="7"/>
  <c r="M81" i="7"/>
  <c r="J81" i="7" a="1"/>
  <c r="I80" i="7"/>
  <c r="J80" i="7" a="1"/>
  <c r="M80" i="7"/>
  <c r="J79" i="7" a="1"/>
  <c r="I79" i="7"/>
  <c r="M79" i="7"/>
  <c r="I78" i="7"/>
  <c r="J78" i="7" a="1"/>
  <c r="M78" i="7"/>
  <c r="I77" i="7"/>
  <c r="J77" i="7" a="1"/>
  <c r="M77" i="7"/>
  <c r="J76" i="7" a="1"/>
  <c r="M76" i="7"/>
  <c r="I76" i="7"/>
  <c r="I75" i="7"/>
  <c r="J75" i="7" a="1"/>
  <c r="M75" i="7"/>
  <c r="I74" i="7"/>
  <c r="M74" i="7"/>
  <c r="J74" i="7" a="1"/>
  <c r="I108" i="7"/>
  <c r="J108" i="7" a="1"/>
  <c r="M108" i="7"/>
  <c r="I107" i="7"/>
  <c r="J107" i="7" a="1"/>
  <c r="M107" i="7"/>
  <c r="I106" i="7"/>
  <c r="J106" i="7" a="1"/>
  <c r="M106" i="7"/>
  <c r="I105" i="7"/>
  <c r="J105" i="7" a="1"/>
  <c r="M105" i="7"/>
  <c r="J104" i="7" a="1"/>
  <c r="M104" i="7"/>
  <c r="I104" i="7"/>
  <c r="I103" i="7"/>
  <c r="J103" i="7" a="1"/>
  <c r="M103" i="7"/>
  <c r="I102" i="7"/>
  <c r="J102" i="7" a="1"/>
  <c r="M102" i="7"/>
  <c r="I101" i="7"/>
  <c r="J101" i="7" a="1"/>
  <c r="M101" i="7"/>
  <c r="I100" i="7"/>
  <c r="J100" i="7" a="1"/>
  <c r="M100" i="7"/>
  <c r="I99" i="7"/>
  <c r="M99" i="7"/>
  <c r="J99" i="7" a="1"/>
  <c r="I98" i="7"/>
  <c r="J98" i="7" a="1"/>
  <c r="M98" i="7"/>
  <c r="I97" i="7"/>
  <c r="J97" i="7" a="1"/>
  <c r="M97" i="7"/>
  <c r="I95" i="7"/>
  <c r="J95" i="7" a="1"/>
  <c r="M95" i="7"/>
  <c r="I94" i="7"/>
  <c r="J94" i="7" a="1"/>
  <c r="M94" i="7"/>
  <c r="I128" i="7"/>
  <c r="M128" i="7"/>
  <c r="J128" i="7" a="1"/>
  <c r="I127" i="7"/>
  <c r="J127" i="7" a="1"/>
  <c r="M127" i="7"/>
  <c r="I126" i="7"/>
  <c r="M126" i="7"/>
  <c r="J126" i="7" a="1"/>
  <c r="I125" i="7"/>
  <c r="J125" i="7" a="1"/>
  <c r="M125" i="7"/>
  <c r="J124" i="7" a="1"/>
  <c r="I124" i="7"/>
  <c r="M124" i="7"/>
  <c r="I123" i="7"/>
  <c r="J123" i="7" a="1"/>
  <c r="M123" i="7"/>
  <c r="I122" i="7"/>
  <c r="J122" i="7" a="1"/>
  <c r="M122" i="7"/>
  <c r="J121" i="7" a="1"/>
  <c r="M121" i="7"/>
  <c r="I121" i="7"/>
  <c r="I120" i="7"/>
  <c r="J120" i="7" a="1"/>
  <c r="M120" i="7"/>
  <c r="I119" i="7"/>
  <c r="J119" i="7" a="1"/>
  <c r="M119" i="7"/>
  <c r="I118" i="7"/>
  <c r="J118" i="7" a="1"/>
  <c r="M118" i="7"/>
  <c r="I117" i="7"/>
  <c r="J117" i="7" a="1"/>
  <c r="M117" i="7"/>
  <c r="I116" i="7"/>
  <c r="J116" i="7" a="1"/>
  <c r="M116" i="7"/>
  <c r="J115" i="7" a="1"/>
  <c r="M115" i="7"/>
  <c r="I115" i="7"/>
  <c r="I114" i="7"/>
  <c r="J114" i="7" a="1"/>
  <c r="M114" i="7"/>
  <c r="J113" i="7" a="1"/>
  <c r="M113" i="7"/>
  <c r="I113" i="7"/>
  <c r="I112" i="7"/>
  <c r="M112" i="7"/>
  <c r="J112" i="7" a="1"/>
  <c r="I111" i="7"/>
  <c r="J111" i="7" a="1"/>
  <c r="M111" i="7"/>
  <c r="I110" i="7"/>
  <c r="J110" i="7" a="1"/>
  <c r="M110" i="7"/>
  <c r="I109" i="7"/>
  <c r="J109" i="7" a="1"/>
  <c r="M109" i="7"/>
  <c r="I148" i="7"/>
  <c r="J148" i="7" a="1"/>
  <c r="M148" i="7"/>
  <c r="I147" i="7"/>
  <c r="J147" i="7" a="1"/>
  <c r="M147" i="7"/>
  <c r="I146" i="7"/>
  <c r="J146" i="7" a="1"/>
  <c r="M146" i="7"/>
  <c r="I145" i="7"/>
  <c r="J145" i="7" a="1"/>
  <c r="M145" i="7"/>
  <c r="I144" i="7"/>
  <c r="J144" i="7" a="1"/>
  <c r="M144" i="7"/>
  <c r="J143" i="7" a="1"/>
  <c r="I143" i="7"/>
  <c r="M143" i="7"/>
  <c r="I142" i="7"/>
  <c r="M142" i="7"/>
  <c r="J142" i="7" a="1"/>
  <c r="I141" i="7"/>
  <c r="M141" i="7"/>
  <c r="J141" i="7" a="1"/>
  <c r="I140" i="7"/>
  <c r="M140" i="7"/>
  <c r="J140" i="7" a="1"/>
  <c r="J139" i="7" a="1"/>
  <c r="I139" i="7"/>
  <c r="M139" i="7"/>
  <c r="J138" i="7" a="1"/>
  <c r="I138" i="7"/>
  <c r="M138" i="7"/>
  <c r="J137" i="7" a="1"/>
  <c r="I137" i="7"/>
  <c r="M137" i="7"/>
  <c r="J136" i="7" a="1"/>
  <c r="M136" i="7"/>
  <c r="I136" i="7"/>
  <c r="I135" i="7"/>
  <c r="M135" i="7"/>
  <c r="J135" i="7" a="1"/>
  <c r="J134" i="7" a="1"/>
  <c r="M134" i="7"/>
  <c r="I134" i="7"/>
  <c r="J133" i="7" a="1"/>
  <c r="I133" i="7"/>
  <c r="M133" i="7"/>
  <c r="J132" i="7" a="1"/>
  <c r="I132" i="7"/>
  <c r="M132" i="7"/>
  <c r="J131" i="7" a="1"/>
  <c r="M131" i="7"/>
  <c r="I131" i="7"/>
  <c r="J130" i="7" a="1"/>
  <c r="M130" i="7"/>
  <c r="I130" i="7"/>
  <c r="M129" i="7"/>
  <c r="I129" i="7"/>
  <c r="J129" i="7" a="1"/>
  <c r="J165" i="7" a="1"/>
  <c r="M165" i="7"/>
  <c r="I165" i="7"/>
  <c r="I164" i="7"/>
  <c r="J164" i="7" a="1"/>
  <c r="M164" i="7"/>
  <c r="I163" i="7"/>
  <c r="J163" i="7" a="1"/>
  <c r="M163" i="7"/>
  <c r="I162" i="7"/>
  <c r="J162" i="7" a="1"/>
  <c r="M162" i="7"/>
  <c r="I161" i="7"/>
  <c r="J161" i="7" a="1"/>
  <c r="M161" i="7"/>
  <c r="J160" i="7" a="1"/>
  <c r="I160" i="7"/>
  <c r="M160" i="7"/>
  <c r="I159" i="7"/>
  <c r="J159" i="7" a="1"/>
  <c r="M159" i="7"/>
  <c r="I158" i="7"/>
  <c r="J158" i="7" a="1"/>
  <c r="M158" i="7"/>
  <c r="I157" i="7"/>
  <c r="J157" i="7" a="1"/>
  <c r="M157" i="7"/>
  <c r="J156" i="7" a="1"/>
  <c r="M156" i="7"/>
  <c r="I156" i="7"/>
  <c r="I155" i="7"/>
  <c r="J155" i="7" a="1"/>
  <c r="M155" i="7"/>
  <c r="J154" i="7" a="1"/>
  <c r="M154" i="7"/>
  <c r="I154" i="7"/>
  <c r="I153" i="7"/>
  <c r="J153" i="7" a="1"/>
  <c r="M153" i="7"/>
  <c r="I152" i="7"/>
  <c r="J152" i="7" a="1"/>
  <c r="M152" i="7"/>
  <c r="I151" i="7"/>
  <c r="J151" i="7" a="1"/>
  <c r="M151" i="7"/>
  <c r="I150" i="7"/>
  <c r="M150" i="7"/>
  <c r="J150" i="7" a="1"/>
  <c r="J149" i="7" a="1"/>
  <c r="I149" i="7"/>
  <c r="M149" i="7"/>
  <c r="I182" i="7"/>
  <c r="J182" i="7" a="1"/>
  <c r="M182" i="7"/>
  <c r="I181" i="7"/>
  <c r="M181" i="7"/>
  <c r="J181" i="7" a="1"/>
  <c r="J180" i="7" a="1"/>
  <c r="M180" i="7"/>
  <c r="I180" i="7"/>
  <c r="I179" i="7"/>
  <c r="J179" i="7" a="1"/>
  <c r="M179" i="7"/>
  <c r="I178" i="7"/>
  <c r="J178" i="7" a="1"/>
  <c r="M178" i="7"/>
  <c r="I177" i="7"/>
  <c r="J177" i="7" a="1"/>
  <c r="M177" i="7"/>
  <c r="J175" i="7" a="1"/>
  <c r="M175" i="7"/>
  <c r="I175" i="7"/>
  <c r="I174" i="7"/>
  <c r="J174" i="7" a="1"/>
  <c r="M174" i="7"/>
  <c r="I173" i="7"/>
  <c r="J173" i="7" a="1"/>
  <c r="M173" i="7"/>
  <c r="I172" i="7"/>
  <c r="J172" i="7" a="1"/>
  <c r="M172" i="7"/>
  <c r="I171" i="7"/>
  <c r="J171" i="7" a="1"/>
  <c r="M171" i="7"/>
  <c r="I170" i="7"/>
  <c r="J170" i="7" a="1"/>
  <c r="M170" i="7"/>
  <c r="J169" i="7" a="1"/>
  <c r="M169" i="7"/>
  <c r="I169" i="7"/>
  <c r="J168" i="7" a="1"/>
  <c r="M168" i="7"/>
  <c r="I168" i="7"/>
  <c r="I167" i="7"/>
  <c r="J167" i="7" a="1"/>
  <c r="M167" i="7"/>
  <c r="I166" i="7"/>
  <c r="J166" i="7" a="1"/>
  <c r="M166" i="7"/>
  <c r="J195" i="7" a="1"/>
  <c r="I195" i="7"/>
  <c r="M195" i="7"/>
  <c r="M194" i="7"/>
  <c r="I194" i="7"/>
  <c r="J194" i="7" a="1"/>
  <c r="I193" i="7"/>
  <c r="J193" i="7" a="1"/>
  <c r="M193" i="7"/>
  <c r="I192" i="7"/>
  <c r="J192" i="7" a="1"/>
  <c r="M192" i="7"/>
  <c r="I191" i="7"/>
  <c r="J191" i="7" a="1"/>
  <c r="M191" i="7"/>
  <c r="M190" i="7"/>
  <c r="I190" i="7"/>
  <c r="J190" i="7" a="1"/>
  <c r="I189" i="7"/>
  <c r="J189" i="7" a="1"/>
  <c r="M189" i="7"/>
  <c r="M188" i="7"/>
  <c r="I188" i="7"/>
  <c r="J188" i="7" a="1"/>
  <c r="I187" i="7"/>
  <c r="J187" i="7" a="1"/>
  <c r="M187" i="7"/>
  <c r="I186" i="7"/>
  <c r="J186" i="7" a="1"/>
  <c r="M186" i="7"/>
  <c r="I185" i="7"/>
  <c r="J185" i="7" a="1"/>
  <c r="M185" i="7"/>
  <c r="J184" i="7" a="1"/>
  <c r="M184" i="7"/>
  <c r="I184" i="7"/>
  <c r="I183" i="7"/>
  <c r="J183" i="7" a="1"/>
  <c r="M183" i="7"/>
  <c r="I211" i="7"/>
  <c r="J211" i="7" a="1"/>
  <c r="M211" i="7"/>
  <c r="I210" i="7"/>
  <c r="J210" i="7" a="1"/>
  <c r="M210" i="7"/>
  <c r="I209" i="7"/>
  <c r="J209" i="7" a="1"/>
  <c r="M209" i="7"/>
  <c r="I208" i="7"/>
  <c r="J208" i="7" a="1"/>
  <c r="M208" i="7"/>
  <c r="I207" i="7"/>
  <c r="J207" i="7" a="1"/>
  <c r="M207" i="7"/>
  <c r="I206" i="7"/>
  <c r="J206" i="7" a="1"/>
  <c r="M206" i="7"/>
  <c r="I205" i="7"/>
  <c r="J205" i="7" a="1"/>
  <c r="M205" i="7"/>
  <c r="I204" i="7"/>
  <c r="J204" i="7" a="1"/>
  <c r="M204" i="7"/>
  <c r="J202" i="7" a="1"/>
  <c r="I202" i="7"/>
  <c r="M202" i="7"/>
  <c r="I201" i="7"/>
  <c r="J201" i="7" a="1"/>
  <c r="M201" i="7"/>
  <c r="I200" i="7"/>
  <c r="J200" i="7" a="1"/>
  <c r="M200" i="7"/>
  <c r="I199" i="7"/>
  <c r="J199" i="7" a="1"/>
  <c r="M199" i="7"/>
  <c r="I198" i="7"/>
  <c r="J198" i="7" a="1"/>
  <c r="M198" i="7"/>
  <c r="I197" i="7"/>
  <c r="J197" i="7" a="1"/>
  <c r="M197" i="7"/>
  <c r="J231" i="7" a="1"/>
  <c r="M231" i="7"/>
  <c r="I231" i="7"/>
  <c r="J230" i="7" a="1"/>
  <c r="I230" i="7"/>
  <c r="M230" i="7"/>
  <c r="I229" i="7"/>
  <c r="J229" i="7" a="1"/>
  <c r="M229" i="7"/>
  <c r="I228" i="7"/>
  <c r="J228" i="7" a="1"/>
  <c r="M228" i="7"/>
  <c r="J227" i="7" a="1"/>
  <c r="I227" i="7"/>
  <c r="M227" i="7"/>
  <c r="I226" i="7"/>
  <c r="J226" i="7" a="1"/>
  <c r="M226" i="7"/>
  <c r="J225" i="7" a="1"/>
  <c r="M225" i="7"/>
  <c r="I225" i="7"/>
  <c r="I224" i="7"/>
  <c r="J224" i="7" a="1"/>
  <c r="M224" i="7"/>
  <c r="I223" i="7"/>
  <c r="M223" i="7"/>
  <c r="J223" i="7" a="1"/>
  <c r="J222" i="7" a="1"/>
  <c r="M222" i="7"/>
  <c r="I222" i="7"/>
  <c r="J221" i="7" a="1"/>
  <c r="I221" i="7"/>
  <c r="M221" i="7"/>
  <c r="J220" i="7" a="1"/>
  <c r="M220" i="7"/>
  <c r="I220" i="7"/>
  <c r="I219" i="7"/>
  <c r="M219" i="7"/>
  <c r="J219" i="7" a="1"/>
  <c r="J218" i="7" a="1"/>
  <c r="I218" i="7"/>
  <c r="M218" i="7"/>
  <c r="M217" i="7"/>
  <c r="I217" i="7"/>
  <c r="J217" i="7" a="1"/>
  <c r="I216" i="7"/>
  <c r="J216" i="7" a="1"/>
  <c r="M216" i="7"/>
  <c r="J215" i="7" a="1"/>
  <c r="I215" i="7"/>
  <c r="M215" i="7"/>
  <c r="I214" i="7"/>
  <c r="J214" i="7" a="1"/>
  <c r="M214" i="7"/>
  <c r="I213" i="7"/>
  <c r="J213" i="7" a="1"/>
  <c r="M213" i="7"/>
  <c r="I212" i="7"/>
  <c r="J212" i="7" a="1"/>
  <c r="M212" i="7"/>
  <c r="J251" i="7" a="1"/>
  <c r="M251" i="7"/>
  <c r="I251" i="7"/>
  <c r="I250" i="7"/>
  <c r="J250" i="7" a="1"/>
  <c r="M250" i="7"/>
  <c r="I249" i="7"/>
  <c r="J249" i="7" a="1"/>
  <c r="M249" i="7"/>
  <c r="J248" i="7" a="1"/>
  <c r="M248" i="7"/>
  <c r="I248" i="7"/>
  <c r="I247" i="7"/>
  <c r="J247" i="7" a="1"/>
  <c r="M247" i="7"/>
  <c r="I246" i="7"/>
  <c r="J246" i="7" a="1"/>
  <c r="M246" i="7"/>
  <c r="I245" i="7"/>
  <c r="J245" i="7" a="1"/>
  <c r="M245" i="7"/>
  <c r="I244" i="7"/>
  <c r="J244" i="7" a="1"/>
  <c r="M244" i="7"/>
  <c r="J243" i="7" a="1"/>
  <c r="M243" i="7"/>
  <c r="I243" i="7"/>
  <c r="J242" i="7" a="1"/>
  <c r="M242" i="7"/>
  <c r="I242" i="7"/>
  <c r="I241" i="7"/>
  <c r="J241" i="7" a="1"/>
  <c r="M241" i="7"/>
  <c r="I240" i="7"/>
  <c r="J240" i="7" a="1"/>
  <c r="M240" i="7"/>
  <c r="I239" i="7"/>
  <c r="J239" i="7" a="1"/>
  <c r="M239" i="7"/>
  <c r="I237" i="7"/>
  <c r="J237" i="7" a="1"/>
  <c r="M237" i="7"/>
  <c r="J236" i="7" a="1"/>
  <c r="M236" i="7"/>
  <c r="I236" i="7"/>
  <c r="I235" i="7"/>
  <c r="J235" i="7" a="1"/>
  <c r="M235" i="7"/>
  <c r="I234" i="7"/>
  <c r="J234" i="7" a="1"/>
  <c r="M234" i="7"/>
  <c r="I233" i="7"/>
  <c r="J233" i="7" a="1"/>
  <c r="M233" i="7"/>
  <c r="I232" i="7"/>
  <c r="J232" i="7" a="1"/>
  <c r="M232" i="7"/>
  <c r="I271" i="7"/>
  <c r="J271" i="7" a="1"/>
  <c r="M271" i="7"/>
  <c r="I270" i="7"/>
  <c r="M270" i="7"/>
  <c r="J270" i="7" a="1"/>
  <c r="I269" i="7"/>
  <c r="J269" i="7" a="1"/>
  <c r="M269" i="7"/>
  <c r="I268" i="7"/>
  <c r="J268" i="7" a="1"/>
  <c r="M268" i="7"/>
  <c r="J267" i="7" a="1"/>
  <c r="M267" i="7"/>
  <c r="I267" i="7"/>
  <c r="I266" i="7"/>
  <c r="J266" i="7" a="1"/>
  <c r="M266" i="7"/>
  <c r="I265" i="7"/>
  <c r="M265" i="7"/>
  <c r="J265" i="7" a="1"/>
  <c r="I264" i="7"/>
  <c r="J264" i="7" a="1"/>
  <c r="M264" i="7"/>
  <c r="J263" i="7" a="1"/>
  <c r="I263" i="7"/>
  <c r="M263" i="7"/>
  <c r="I262" i="7"/>
  <c r="J262" i="7" a="1"/>
  <c r="M262" i="7"/>
  <c r="I261" i="7"/>
  <c r="J261" i="7" a="1"/>
  <c r="M261" i="7"/>
  <c r="I260" i="7"/>
  <c r="J260" i="7" a="1"/>
  <c r="M260" i="7"/>
  <c r="I259" i="7"/>
  <c r="J259" i="7" a="1"/>
  <c r="M259" i="7"/>
  <c r="I258" i="7"/>
  <c r="J258" i="7" a="1"/>
  <c r="M258" i="7"/>
  <c r="I256" i="7"/>
  <c r="M256" i="7"/>
  <c r="J256" i="7" a="1"/>
  <c r="I255" i="7"/>
  <c r="J255" i="7" a="1"/>
  <c r="M255" i="7"/>
  <c r="I254" i="7"/>
  <c r="J254" i="7" a="1"/>
  <c r="M254" i="7"/>
  <c r="J253" i="7" a="1"/>
  <c r="M253" i="7"/>
  <c r="I253" i="7"/>
  <c r="I252" i="7"/>
  <c r="J252" i="7" a="1"/>
  <c r="M252" i="7"/>
  <c r="I293" i="7"/>
  <c r="J293" i="7" a="1"/>
  <c r="M293" i="7"/>
  <c r="I292" i="7"/>
  <c r="J292" i="7" a="1"/>
  <c r="M292" i="7"/>
  <c r="I291" i="7"/>
  <c r="J291" i="7" a="1"/>
  <c r="M291" i="7"/>
  <c r="I290" i="7"/>
  <c r="M290" i="7"/>
  <c r="J290" i="7" a="1"/>
  <c r="I289" i="7"/>
  <c r="J289" i="7" a="1"/>
  <c r="M289" i="7"/>
  <c r="I288" i="7"/>
  <c r="J288" i="7" a="1"/>
  <c r="M288" i="7"/>
  <c r="I287" i="7"/>
  <c r="J287" i="7" a="1"/>
  <c r="M287" i="7"/>
  <c r="I286" i="7"/>
  <c r="J286" i="7" a="1"/>
  <c r="M286" i="7"/>
  <c r="I285" i="7"/>
  <c r="J285" i="7" a="1"/>
  <c r="M285" i="7"/>
  <c r="I284" i="7"/>
  <c r="J284" i="7" a="1"/>
  <c r="M284" i="7"/>
  <c r="I283" i="7"/>
  <c r="J283" i="7" a="1"/>
  <c r="M283" i="7"/>
  <c r="I282" i="7"/>
  <c r="J282" i="7" a="1"/>
  <c r="M282" i="7"/>
  <c r="I281" i="7"/>
  <c r="J281" i="7" a="1"/>
  <c r="M281" i="7"/>
  <c r="J280" i="7" a="1"/>
  <c r="M280" i="7"/>
  <c r="I280" i="7"/>
  <c r="I279" i="7"/>
  <c r="J279" i="7" a="1"/>
  <c r="M279" i="7"/>
  <c r="I278" i="7"/>
  <c r="J278" i="7" a="1"/>
  <c r="M278" i="7"/>
  <c r="J277" i="7" a="1"/>
  <c r="I277" i="7"/>
  <c r="M277" i="7"/>
  <c r="I276" i="7"/>
  <c r="M276" i="7"/>
  <c r="J276" i="7" a="1"/>
  <c r="I275" i="7"/>
  <c r="J275" i="7" a="1"/>
  <c r="M275" i="7"/>
  <c r="I274" i="7"/>
  <c r="J274" i="7" a="1"/>
  <c r="M274" i="7"/>
  <c r="J273" i="7" a="1"/>
  <c r="M273" i="7"/>
  <c r="I273" i="7"/>
  <c r="I272" i="7"/>
  <c r="J272" i="7" a="1"/>
  <c r="M272" i="7"/>
  <c r="I314" i="7"/>
  <c r="J314" i="7" a="1"/>
  <c r="M314" i="7"/>
  <c r="J313" i="7" a="1"/>
  <c r="M313" i="7"/>
  <c r="I313" i="7"/>
  <c r="I312" i="7"/>
  <c r="J312" i="7" a="1"/>
  <c r="M312" i="7"/>
  <c r="M311" i="7"/>
  <c r="J311" i="7" a="1"/>
  <c r="I311" i="7"/>
  <c r="I310" i="7"/>
  <c r="J310" i="7" a="1"/>
  <c r="M310" i="7"/>
  <c r="I309" i="7"/>
  <c r="J309" i="7" a="1"/>
  <c r="M309" i="7"/>
  <c r="J308" i="7" a="1"/>
  <c r="I308" i="7"/>
  <c r="M308" i="7"/>
  <c r="I307" i="7"/>
  <c r="J307" i="7" a="1"/>
  <c r="M307" i="7"/>
  <c r="J306" i="7" a="1"/>
  <c r="I306" i="7"/>
  <c r="M306" i="7"/>
  <c r="I305" i="7"/>
  <c r="J305" i="7" a="1"/>
  <c r="M305" i="7"/>
  <c r="I304" i="7"/>
  <c r="J304" i="7" a="1"/>
  <c r="M304" i="7"/>
  <c r="I303" i="7"/>
  <c r="M303" i="7"/>
  <c r="J303" i="7" a="1"/>
  <c r="J302" i="7" a="1"/>
  <c r="M302" i="7"/>
  <c r="I302" i="7"/>
  <c r="I301" i="7"/>
  <c r="J301" i="7" a="1"/>
  <c r="M301" i="7"/>
  <c r="I300" i="7"/>
  <c r="J300" i="7" a="1"/>
  <c r="M300" i="7"/>
  <c r="J299" i="7" a="1"/>
  <c r="M299" i="7"/>
  <c r="I299" i="7"/>
  <c r="J298" i="7" a="1"/>
  <c r="M298" i="7"/>
  <c r="I298" i="7"/>
  <c r="I297" i="7"/>
  <c r="J297" i="7" a="1"/>
  <c r="M297" i="7"/>
  <c r="I296" i="7"/>
  <c r="J296" i="7" a="1"/>
  <c r="M296" i="7"/>
  <c r="I295" i="7"/>
  <c r="J295" i="7" a="1"/>
  <c r="M295" i="7"/>
  <c r="J294" i="7" a="1"/>
  <c r="I294" i="7"/>
  <c r="M294" i="7"/>
  <c r="J338" i="7" a="1"/>
  <c r="M338" i="7"/>
  <c r="I338" i="7"/>
  <c r="I337" i="7"/>
  <c r="M337" i="7"/>
  <c r="J337" i="7" a="1"/>
  <c r="J336" i="7" a="1"/>
  <c r="I336" i="7"/>
  <c r="M336" i="7"/>
  <c r="I335" i="7"/>
  <c r="J335" i="7" a="1"/>
  <c r="M335" i="7"/>
  <c r="I334" i="7"/>
  <c r="J334" i="7" a="1"/>
  <c r="M334" i="7"/>
  <c r="I333" i="7"/>
  <c r="J333" i="7" a="1"/>
  <c r="M333" i="7"/>
  <c r="I332" i="7"/>
  <c r="M332" i="7"/>
  <c r="J332" i="7" a="1"/>
  <c r="J331" i="7" a="1"/>
  <c r="I331" i="7"/>
  <c r="M331" i="7"/>
  <c r="I330" i="7"/>
  <c r="M330" i="7"/>
  <c r="J330" i="7" a="1"/>
  <c r="J329" i="7" a="1"/>
  <c r="I329" i="7"/>
  <c r="M329" i="7"/>
  <c r="I328" i="7"/>
  <c r="J328" i="7" a="1"/>
  <c r="M328" i="7"/>
  <c r="I327" i="7"/>
  <c r="J327" i="7" a="1"/>
  <c r="M327" i="7"/>
  <c r="J326" i="7" a="1"/>
  <c r="I326" i="7"/>
  <c r="M326" i="7"/>
  <c r="J325" i="7" a="1"/>
  <c r="I325" i="7"/>
  <c r="M325" i="7"/>
  <c r="J324" i="7" a="1"/>
  <c r="M324" i="7"/>
  <c r="I324" i="7"/>
  <c r="I323" i="7"/>
  <c r="J323" i="7" a="1"/>
  <c r="M323" i="7"/>
  <c r="J322" i="7" a="1"/>
  <c r="M322" i="7"/>
  <c r="I322" i="7"/>
  <c r="I321" i="7"/>
  <c r="J321" i="7" a="1"/>
  <c r="M321" i="7"/>
  <c r="J320" i="7" a="1"/>
  <c r="I320" i="7"/>
  <c r="M320" i="7"/>
  <c r="I319" i="7"/>
  <c r="J319" i="7" a="1"/>
  <c r="M319" i="7"/>
  <c r="I318" i="7"/>
  <c r="J318" i="7" a="1"/>
  <c r="M318" i="7"/>
  <c r="J317" i="7" a="1"/>
  <c r="M317" i="7"/>
  <c r="I317" i="7"/>
  <c r="J316" i="7" a="1"/>
  <c r="M316" i="7"/>
  <c r="I316" i="7"/>
  <c r="I315" i="7"/>
  <c r="J315" i="7" a="1"/>
  <c r="M315" i="7"/>
  <c r="I358" i="7"/>
  <c r="J358" i="7" a="1"/>
  <c r="M358" i="7"/>
  <c r="J357" i="7" a="1"/>
  <c r="I357" i="7"/>
  <c r="M357" i="7"/>
  <c r="M356" i="7"/>
  <c r="I356" i="7"/>
  <c r="J356" i="7" a="1"/>
  <c r="J355" i="7" a="1"/>
  <c r="I355" i="7"/>
  <c r="M355" i="7"/>
  <c r="I354" i="7"/>
  <c r="J354" i="7" a="1"/>
  <c r="M354" i="7"/>
  <c r="I353" i="7"/>
  <c r="J353" i="7" a="1"/>
  <c r="M353" i="7"/>
  <c r="I352" i="7"/>
  <c r="M352" i="7"/>
  <c r="J352" i="7" a="1"/>
  <c r="J351" i="7" a="1"/>
  <c r="I351" i="7"/>
  <c r="M351" i="7"/>
  <c r="J350" i="7" a="1"/>
  <c r="M350" i="7"/>
  <c r="I350" i="7"/>
  <c r="I349" i="7"/>
  <c r="M349" i="7"/>
  <c r="J349" i="7" a="1"/>
  <c r="J348" i="7" a="1"/>
  <c r="M348" i="7"/>
  <c r="I348" i="7"/>
  <c r="J347" i="7" a="1"/>
  <c r="I347" i="7"/>
  <c r="M347" i="7"/>
  <c r="I346" i="7"/>
  <c r="M346" i="7"/>
  <c r="J346" i="7" a="1"/>
  <c r="I344" i="7"/>
  <c r="J344" i="7" a="1"/>
  <c r="M344" i="7"/>
  <c r="I343" i="7"/>
  <c r="J343" i="7" a="1"/>
  <c r="M343" i="7"/>
  <c r="J342" i="7" a="1"/>
  <c r="M342" i="7"/>
  <c r="I342" i="7"/>
  <c r="I341" i="7"/>
  <c r="M341" i="7"/>
  <c r="J341" i="7" a="1"/>
  <c r="J340" i="7" a="1"/>
  <c r="I340" i="7"/>
  <c r="M340" i="7"/>
  <c r="I339" i="7"/>
  <c r="J339" i="7" a="1"/>
  <c r="M339" i="7"/>
  <c r="I377" i="7"/>
  <c r="J377" i="7" a="1"/>
  <c r="M377" i="7"/>
  <c r="I376" i="7"/>
  <c r="J376" i="7" a="1"/>
  <c r="M376" i="7"/>
  <c r="I375" i="7"/>
  <c r="M375" i="7"/>
  <c r="J375" i="7" a="1"/>
  <c r="I374" i="7"/>
  <c r="J374" i="7" a="1"/>
  <c r="M374" i="7"/>
  <c r="J373" i="7" a="1"/>
  <c r="M373" i="7"/>
  <c r="I373" i="7"/>
  <c r="I372" i="7"/>
  <c r="J372" i="7" a="1"/>
  <c r="M372" i="7"/>
  <c r="I371" i="7"/>
  <c r="M371" i="7"/>
  <c r="J371" i="7" a="1"/>
  <c r="J370" i="7" a="1"/>
  <c r="M370" i="7"/>
  <c r="I370" i="7"/>
  <c r="J369" i="7" a="1"/>
  <c r="M369" i="7"/>
  <c r="I369" i="7"/>
  <c r="I368" i="7"/>
  <c r="J368" i="7" a="1"/>
  <c r="M368" i="7"/>
  <c r="J367" i="7" a="1"/>
  <c r="M367" i="7"/>
  <c r="I367" i="7"/>
  <c r="I366" i="7"/>
  <c r="J366" i="7" a="1"/>
  <c r="M366" i="7"/>
  <c r="I365" i="7"/>
  <c r="J365" i="7" a="1"/>
  <c r="M365" i="7"/>
  <c r="I364" i="7"/>
  <c r="J364" i="7" a="1"/>
  <c r="M364" i="7"/>
  <c r="I362" i="7"/>
  <c r="J362" i="7" a="1"/>
  <c r="M362" i="7"/>
  <c r="I361" i="7"/>
  <c r="J361" i="7" a="1"/>
  <c r="M361" i="7"/>
  <c r="J360" i="7" a="1"/>
  <c r="I360" i="7"/>
  <c r="M360" i="7"/>
  <c r="J359" i="7" a="1"/>
  <c r="M359" i="7"/>
  <c r="I359" i="7"/>
  <c r="I395" i="7"/>
  <c r="J395" i="7" a="1"/>
  <c r="M395" i="7"/>
  <c r="I394" i="7"/>
  <c r="M394" i="7"/>
  <c r="J394" i="7" a="1"/>
  <c r="I393" i="7"/>
  <c r="M393" i="7"/>
  <c r="J393" i="7" a="1"/>
  <c r="J392" i="7" a="1"/>
  <c r="I392" i="7"/>
  <c r="M392" i="7"/>
  <c r="I391" i="7"/>
  <c r="J391" i="7" a="1"/>
  <c r="M391" i="7"/>
  <c r="I390" i="7"/>
  <c r="J390" i="7" a="1"/>
  <c r="M390" i="7"/>
  <c r="J389" i="7" a="1"/>
  <c r="M389" i="7"/>
  <c r="I389" i="7"/>
  <c r="J388" i="7" a="1"/>
  <c r="I388" i="7"/>
  <c r="M388" i="7"/>
  <c r="J387" i="7" a="1"/>
  <c r="I387" i="7"/>
  <c r="M387" i="7"/>
  <c r="J386" i="7" a="1"/>
  <c r="I386" i="7"/>
  <c r="M386" i="7"/>
  <c r="I385" i="7"/>
  <c r="J385" i="7" a="1"/>
  <c r="M385" i="7"/>
  <c r="I384" i="7"/>
  <c r="M384" i="7"/>
  <c r="J384" i="7" a="1"/>
  <c r="I383" i="7"/>
  <c r="J383" i="7" a="1"/>
  <c r="M383" i="7"/>
  <c r="I382" i="7"/>
  <c r="M382" i="7"/>
  <c r="J382" i="7" a="1"/>
  <c r="I381" i="7"/>
  <c r="J381" i="7" a="1"/>
  <c r="M381" i="7"/>
  <c r="I380" i="7"/>
  <c r="M380" i="7"/>
  <c r="J380" i="7" a="1"/>
  <c r="J379" i="7" a="1"/>
  <c r="I379" i="7"/>
  <c r="M379" i="7"/>
  <c r="J378" i="7" a="1"/>
  <c r="M378" i="7"/>
  <c r="I378" i="7"/>
  <c r="J414" i="7" a="1"/>
  <c r="M414" i="7"/>
  <c r="I414" i="7"/>
  <c r="J413" i="7" a="1"/>
  <c r="M413" i="7"/>
  <c r="I413" i="7"/>
  <c r="I412" i="7"/>
  <c r="J412" i="7" a="1"/>
  <c r="M412" i="7"/>
  <c r="I411" i="7"/>
  <c r="M411" i="7"/>
  <c r="J411" i="7" a="1"/>
  <c r="I410" i="7"/>
  <c r="J410" i="7" a="1"/>
  <c r="M410" i="7"/>
  <c r="J409" i="7" a="1"/>
  <c r="M409" i="7"/>
  <c r="I409" i="7"/>
  <c r="J408" i="7" a="1"/>
  <c r="M408" i="7"/>
  <c r="I408" i="7"/>
  <c r="I407" i="7"/>
  <c r="J407" i="7" a="1"/>
  <c r="M407" i="7"/>
  <c r="J406" i="7" a="1"/>
  <c r="I406" i="7"/>
  <c r="M406" i="7"/>
  <c r="J405" i="7" a="1"/>
  <c r="M405" i="7"/>
  <c r="I405" i="7"/>
  <c r="J404" i="7" a="1"/>
  <c r="I404" i="7"/>
  <c r="M404" i="7"/>
  <c r="I403" i="7"/>
  <c r="J403" i="7" a="1"/>
  <c r="M403" i="7"/>
  <c r="I402" i="7"/>
  <c r="J402" i="7" a="1"/>
  <c r="M402" i="7"/>
  <c r="I401" i="7"/>
  <c r="M401" i="7"/>
  <c r="J401" i="7" a="1"/>
  <c r="I400" i="7"/>
  <c r="J400" i="7" a="1"/>
  <c r="M400" i="7"/>
  <c r="I399" i="7"/>
  <c r="J399" i="7" a="1"/>
  <c r="M399" i="7"/>
  <c r="I398" i="7"/>
  <c r="J398" i="7" a="1"/>
  <c r="M398" i="7"/>
  <c r="J396" i="7" a="1"/>
  <c r="M396" i="7"/>
  <c r="I396" i="7"/>
  <c r="I436" i="7"/>
  <c r="J436" i="7" a="1"/>
  <c r="M436" i="7"/>
  <c r="I435" i="7"/>
  <c r="J435" i="7" a="1"/>
  <c r="M435" i="7"/>
  <c r="I434" i="7"/>
  <c r="J434" i="7" a="1"/>
  <c r="M434" i="7"/>
  <c r="J433" i="7" a="1"/>
  <c r="M433" i="7"/>
  <c r="I433" i="7"/>
  <c r="I432" i="7"/>
  <c r="J432" i="7" a="1"/>
  <c r="M432" i="7"/>
  <c r="J431" i="7" a="1"/>
  <c r="M431" i="7"/>
  <c r="I431" i="7"/>
  <c r="I430" i="7"/>
  <c r="M430" i="7"/>
  <c r="J430" i="7" a="1"/>
  <c r="I429" i="7"/>
  <c r="J429" i="7" a="1"/>
  <c r="M429" i="7"/>
  <c r="I428" i="7"/>
  <c r="J428" i="7" a="1"/>
  <c r="M428" i="7"/>
  <c r="I427" i="7"/>
  <c r="J427" i="7" a="1"/>
  <c r="M427" i="7"/>
  <c r="I426" i="7"/>
  <c r="J426" i="7" a="1"/>
  <c r="M426" i="7"/>
  <c r="I425" i="7"/>
  <c r="J425" i="7" a="1"/>
  <c r="M425" i="7"/>
  <c r="I424" i="7"/>
  <c r="J424" i="7" a="1"/>
  <c r="M424" i="7"/>
  <c r="I423" i="7"/>
  <c r="J423" i="7" a="1"/>
  <c r="M423" i="7"/>
  <c r="I422" i="7"/>
  <c r="J422" i="7" a="1"/>
  <c r="M422" i="7"/>
  <c r="I421" i="7"/>
  <c r="J421" i="7" a="1"/>
  <c r="M421" i="7"/>
  <c r="J420" i="7" a="1"/>
  <c r="M420" i="7"/>
  <c r="I420" i="7"/>
  <c r="I419" i="7"/>
  <c r="J419" i="7" a="1"/>
  <c r="M419" i="7"/>
  <c r="I418" i="7"/>
  <c r="J418" i="7" a="1"/>
  <c r="M418" i="7"/>
  <c r="J417" i="7" a="1"/>
  <c r="M417" i="7"/>
  <c r="I417" i="7"/>
  <c r="I416" i="7"/>
  <c r="J416" i="7" a="1"/>
  <c r="M416" i="7"/>
  <c r="I415" i="7"/>
  <c r="M415" i="7"/>
  <c r="J415" i="7" a="1"/>
  <c r="I439" i="7"/>
  <c r="J439" i="7" a="1"/>
  <c r="M439" i="7"/>
  <c r="I468" i="7"/>
  <c r="J468" i="7" a="1"/>
  <c r="M468" i="7"/>
  <c r="I490" i="7"/>
  <c r="M490" i="7"/>
  <c r="J490" i="7" a="1"/>
  <c r="J489" i="7" a="1"/>
  <c r="M489" i="7"/>
  <c r="I489" i="7"/>
  <c r="I505" i="7"/>
  <c r="M505" i="7"/>
  <c r="J505" i="7" a="1"/>
  <c r="J555" i="7" a="1"/>
  <c r="I555" i="7"/>
  <c r="M555" i="7"/>
  <c r="I581" i="7"/>
  <c r="J581" i="7" a="1"/>
  <c r="M581" i="7"/>
  <c r="I599" i="7"/>
  <c r="J599" i="7" a="1"/>
  <c r="M599" i="7"/>
  <c r="I636" i="7"/>
  <c r="J636" i="7" a="1"/>
  <c r="M636" i="7"/>
  <c r="I699" i="7"/>
  <c r="J699" i="7" a="1"/>
  <c r="M699" i="7"/>
  <c r="J754" i="7" a="1"/>
  <c r="I754" i="7"/>
  <c r="M754" i="7"/>
  <c r="I816" i="7"/>
  <c r="M816" i="7"/>
  <c r="J816" i="7" a="1"/>
  <c r="J831" i="7" a="1"/>
  <c r="M831" i="7"/>
  <c r="I831" i="7"/>
  <c r="J885" i="7" a="1"/>
  <c r="I885" i="7"/>
  <c r="M885" i="7"/>
  <c r="I951" i="7"/>
  <c r="M951" i="7"/>
  <c r="J951" i="7" a="1"/>
  <c r="J1008" i="7" a="1"/>
  <c r="I1008" i="7"/>
  <c r="M1008" i="7"/>
  <c r="I1018" i="7"/>
  <c r="J1018" i="7" a="1"/>
  <c r="M1018" i="7"/>
  <c r="J1299" i="7" a="1"/>
  <c r="M1299" i="7"/>
  <c r="I1299" i="7"/>
  <c r="I1346" i="7"/>
  <c r="J1346" i="7" a="1"/>
  <c r="M1346" i="7"/>
  <c r="J1343" i="7" a="1"/>
  <c r="I1343" i="7"/>
  <c r="M1343" i="7"/>
  <c r="J1402" i="7" a="1"/>
  <c r="I1402" i="7"/>
  <c r="M1402" i="7"/>
  <c r="J1479" i="7" a="1"/>
  <c r="I1479" i="7"/>
  <c r="M1479" i="7"/>
  <c r="I1506" i="7"/>
  <c r="J1506" i="7" a="1"/>
  <c r="M1506" i="7"/>
  <c r="J1630" i="7" a="1"/>
  <c r="I1630" i="7"/>
  <c r="M1630" i="7"/>
  <c r="J1679" i="7" a="1"/>
  <c r="M1679" i="7"/>
  <c r="I1679" i="7"/>
  <c r="I1674" i="7"/>
  <c r="M1674" i="7"/>
  <c r="J1674" i="7" a="1"/>
  <c r="I1704" i="7"/>
  <c r="J1704" i="7" a="1"/>
  <c r="M1704" i="7"/>
  <c r="I1729" i="7"/>
  <c r="J1729" i="7" a="1"/>
  <c r="M1729" i="7"/>
  <c r="I1736" i="7"/>
  <c r="J1736" i="7" a="1"/>
  <c r="M1736" i="7"/>
  <c r="I1801" i="7"/>
  <c r="J1801" i="7" a="1"/>
  <c r="M1801" i="7"/>
  <c r="I1867" i="7"/>
  <c r="J1867" i="7" a="1"/>
  <c r="M1867" i="7"/>
  <c r="I1958" i="7"/>
  <c r="J1958" i="7" a="1"/>
  <c r="M1958" i="7"/>
  <c r="J2079" i="7" a="1"/>
  <c r="I2079" i="7"/>
  <c r="M2079" i="7"/>
  <c r="J2073" i="7" a="1"/>
  <c r="M2073" i="7"/>
  <c r="I2073" i="7"/>
  <c r="I2174" i="7"/>
  <c r="J2174" i="7" a="1"/>
  <c r="M2174" i="7"/>
  <c r="I2188" i="7"/>
  <c r="J2188" i="7" a="1"/>
  <c r="M2188" i="7"/>
  <c r="J2233" i="7" a="1"/>
  <c r="I2233" i="7"/>
  <c r="M2233" i="7"/>
  <c r="I2353" i="7"/>
  <c r="J2353" i="7" a="1"/>
  <c r="M2353" i="7"/>
  <c r="J2322" i="7" a="1"/>
  <c r="I2322" i="7"/>
  <c r="M2322" i="7"/>
  <c r="I2443" i="7"/>
  <c r="M2443" i="7"/>
  <c r="J2443" i="7" a="1"/>
  <c r="I2470" i="7"/>
  <c r="J2470" i="7" a="1"/>
  <c r="M2470" i="7"/>
  <c r="I2560" i="7"/>
  <c r="M2560" i="7"/>
  <c r="J2560" i="7" a="1"/>
  <c r="J2641" i="7" a="1"/>
  <c r="I2641" i="7"/>
  <c r="M2641" i="7"/>
  <c r="I2733" i="7"/>
  <c r="J2733" i="7" a="1"/>
  <c r="M2733" i="7"/>
  <c r="I2800" i="7"/>
  <c r="M2800" i="7"/>
  <c r="J2800" i="7" a="1"/>
  <c r="J2795" i="7" a="1"/>
  <c r="I2795" i="7"/>
  <c r="M2795" i="7"/>
  <c r="I2777" i="7"/>
  <c r="J2777" i="7" a="1"/>
  <c r="M2777" i="7"/>
  <c r="M2762" i="7"/>
  <c r="J2762" i="7" a="1"/>
  <c r="I2762" i="7"/>
  <c r="J2812" i="7" a="1"/>
  <c r="I2812" i="7"/>
  <c r="M2812" i="7"/>
  <c r="J2809" i="7" a="1"/>
  <c r="M2809" i="7"/>
  <c r="I2809" i="7"/>
  <c r="I2824" i="7"/>
  <c r="J2824" i="7" a="1"/>
  <c r="M2824" i="7"/>
  <c r="I2989" i="7"/>
  <c r="J2989" i="7" a="1"/>
  <c r="M2989" i="7"/>
  <c r="I3058" i="7"/>
  <c r="J3058" i="7" a="1"/>
  <c r="M3058" i="7"/>
  <c r="I3127" i="7"/>
  <c r="J3127" i="7" a="1"/>
  <c r="M3127" i="7"/>
  <c r="I3194" i="7"/>
  <c r="J3194" i="7" a="1"/>
  <c r="M3194" i="7"/>
  <c r="I3402" i="7"/>
  <c r="J3402" i="7" a="1"/>
  <c r="M3402" i="7"/>
  <c r="I3471" i="7"/>
  <c r="J3471" i="7" a="1"/>
  <c r="M3471" i="7"/>
  <c r="I3516" i="7"/>
  <c r="J3516" i="7" a="1"/>
  <c r="M3516" i="7"/>
  <c r="I3582" i="7"/>
  <c r="J3582" i="7" a="1"/>
  <c r="M3582" i="7"/>
  <c r="I3662" i="7"/>
  <c r="J3662" i="7" a="1"/>
  <c r="M3662" i="7"/>
  <c r="I3727" i="7"/>
  <c r="J3727" i="7" a="1"/>
  <c r="M3727" i="7"/>
  <c r="I3793" i="7"/>
  <c r="J3793" i="7" a="1"/>
  <c r="M3793" i="7"/>
  <c r="I3868" i="7"/>
  <c r="J3868" i="7" a="1"/>
  <c r="M3868" i="7"/>
  <c r="I3924" i="7"/>
  <c r="J3924" i="7" a="1"/>
  <c r="M3924" i="7"/>
  <c r="I3998" i="7"/>
  <c r="J3998" i="7" a="1"/>
  <c r="M3998" i="7"/>
  <c r="I4044" i="7"/>
  <c r="J4044" i="7" a="1"/>
  <c r="M4044" i="7"/>
  <c r="I4091" i="7"/>
  <c r="J4091" i="7" a="1"/>
  <c r="M4091" i="7"/>
  <c r="I4183" i="7"/>
  <c r="J4183" i="7" a="1"/>
  <c r="M4183" i="7"/>
  <c r="I4238" i="7"/>
  <c r="J4238" i="7" a="1"/>
  <c r="M4238" i="7"/>
  <c r="I4302" i="7"/>
  <c r="J4302" i="7" a="1"/>
  <c r="M4302" i="7"/>
  <c r="H4491" i="7"/>
  <c r="H4496" i="7"/>
  <c r="H4495" i="7"/>
  <c r="H4494" i="7"/>
  <c r="H4493" i="7"/>
  <c r="H4492" i="7"/>
  <c r="H4501" i="7"/>
  <c r="H4500" i="7"/>
  <c r="H4499" i="7"/>
  <c r="H4498" i="7"/>
  <c r="H4507" i="7"/>
  <c r="H4506" i="7"/>
  <c r="H4505" i="7"/>
  <c r="H4504" i="7"/>
  <c r="H4503" i="7"/>
  <c r="H4502" i="7"/>
  <c r="I1152" i="7" l="1"/>
  <c r="J1152" i="7" a="1"/>
  <c r="M1152" i="7"/>
  <c r="J1151" i="7" a="1"/>
  <c r="M1151" i="7"/>
  <c r="I1151" i="7"/>
  <c r="J1178" i="7" a="1"/>
  <c r="M1178" i="7"/>
  <c r="I1178" i="7"/>
  <c r="I1213" i="7"/>
  <c r="J1213" i="7" a="1"/>
  <c r="M1213" i="7"/>
  <c r="I4497" i="7"/>
  <c r="M4497" i="7"/>
  <c r="J4497" i="7" a="1"/>
  <c r="J4285" i="7" a="1"/>
  <c r="I4285" i="7"/>
  <c r="M4285" i="7"/>
  <c r="I4311" i="7"/>
  <c r="M4311" i="7"/>
  <c r="J4311" i="7" a="1"/>
  <c r="I4305" i="7"/>
  <c r="M4305" i="7"/>
  <c r="J4305" i="7" a="1"/>
  <c r="J4299" i="7" a="1"/>
  <c r="M4299" i="7"/>
  <c r="I4299" i="7"/>
  <c r="J4332" i="7" a="1"/>
  <c r="M4332" i="7"/>
  <c r="I4332" i="7"/>
  <c r="I4348" i="7"/>
  <c r="J4348" i="7" a="1"/>
  <c r="M4348" i="7"/>
  <c r="J4344" i="7" a="1"/>
  <c r="I4344" i="7"/>
  <c r="M4344" i="7"/>
  <c r="I4371" i="7"/>
  <c r="J4371" i="7" a="1"/>
  <c r="M4371" i="7"/>
  <c r="I4365" i="7"/>
  <c r="J4365" i="7" a="1"/>
  <c r="M4365" i="7"/>
  <c r="I4381" i="7"/>
  <c r="J4381" i="7" a="1"/>
  <c r="M4381" i="7"/>
  <c r="J4376" i="7" a="1"/>
  <c r="I4376" i="7"/>
  <c r="M4376" i="7"/>
  <c r="I4419" i="7"/>
  <c r="J4419" i="7" a="1"/>
  <c r="M4419" i="7"/>
  <c r="I4454" i="7"/>
  <c r="J4454" i="7" a="1"/>
  <c r="M4454" i="7"/>
  <c r="I4456" i="7"/>
  <c r="J4456" i="7" a="1"/>
  <c r="M4456" i="7"/>
  <c r="J3915" i="7" a="1"/>
  <c r="M3915" i="7"/>
  <c r="I3915" i="7"/>
  <c r="I2658" i="7"/>
  <c r="J2658" i="7" a="1"/>
  <c r="M2658" i="7"/>
  <c r="I3959" i="7"/>
  <c r="J3959" i="7" a="1"/>
  <c r="M3959" i="7"/>
  <c r="I769" i="7"/>
  <c r="J769" i="7" a="1"/>
  <c r="M769" i="7"/>
  <c r="I17" i="7"/>
  <c r="M17" i="7"/>
  <c r="J17" i="7" a="1"/>
  <c r="I16" i="7"/>
  <c r="J16" i="7" a="1"/>
  <c r="M16" i="7"/>
  <c r="I15" i="7"/>
  <c r="J15" i="7" a="1"/>
  <c r="M15" i="7"/>
  <c r="I14" i="7"/>
  <c r="J14" i="7" a="1"/>
  <c r="M14" i="7"/>
  <c r="I13" i="7"/>
  <c r="J13" i="7" a="1"/>
  <c r="M13" i="7"/>
  <c r="I12" i="7"/>
  <c r="M12" i="7"/>
  <c r="J12" i="7" a="1"/>
  <c r="I11" i="7"/>
  <c r="J11" i="7" a="1"/>
  <c r="M11" i="7"/>
  <c r="I10" i="7"/>
  <c r="J10" i="7" a="1"/>
  <c r="M10" i="7"/>
  <c r="J9" i="7" a="1"/>
  <c r="M9" i="7"/>
  <c r="I9" i="7"/>
  <c r="I8" i="7"/>
  <c r="J8" i="7" a="1"/>
  <c r="M8" i="7"/>
  <c r="I7" i="7"/>
  <c r="M7" i="7"/>
  <c r="J7" i="7" a="1"/>
  <c r="I6" i="7"/>
  <c r="J6" i="7" a="1"/>
  <c r="M6" i="7"/>
  <c r="I5" i="7"/>
  <c r="J5" i="7" a="1"/>
  <c r="M5" i="7"/>
  <c r="J4" i="7" a="1"/>
  <c r="M4" i="7"/>
  <c r="I4" i="7"/>
  <c r="I3" i="7"/>
  <c r="J3" i="7" a="1"/>
  <c r="M3" i="7"/>
  <c r="I2" i="7"/>
  <c r="J2" i="7" a="1"/>
  <c r="M2" i="7"/>
  <c r="I36" i="7"/>
  <c r="J36" i="7" a="1"/>
  <c r="M36" i="7"/>
  <c r="I35" i="7"/>
  <c r="J35" i="7" a="1"/>
  <c r="M35" i="7"/>
  <c r="I34" i="7"/>
  <c r="J34" i="7" a="1"/>
  <c r="M34" i="7"/>
  <c r="I33" i="7"/>
  <c r="J33" i="7" a="1"/>
  <c r="M33" i="7"/>
  <c r="I32" i="7"/>
  <c r="J32" i="7" a="1"/>
  <c r="M32" i="7"/>
  <c r="I31" i="7"/>
  <c r="J31" i="7" a="1"/>
  <c r="M31" i="7"/>
  <c r="I30" i="7"/>
  <c r="J30" i="7" a="1"/>
  <c r="M30" i="7"/>
  <c r="I29" i="7"/>
  <c r="J29" i="7" a="1"/>
  <c r="M29" i="7"/>
  <c r="J28" i="7" a="1"/>
  <c r="M28" i="7"/>
  <c r="I28" i="7"/>
  <c r="I27" i="7"/>
  <c r="J27" i="7" a="1"/>
  <c r="M27" i="7"/>
  <c r="I26" i="7"/>
  <c r="J26" i="7" a="1"/>
  <c r="M26" i="7"/>
  <c r="I25" i="7"/>
  <c r="J25" i="7" a="1"/>
  <c r="M25" i="7"/>
  <c r="I24" i="7"/>
  <c r="J24" i="7" a="1"/>
  <c r="M24" i="7"/>
  <c r="I23" i="7"/>
  <c r="J23" i="7" a="1"/>
  <c r="M23" i="7"/>
  <c r="J22" i="7" a="1"/>
  <c r="M22" i="7"/>
  <c r="I22" i="7"/>
  <c r="I20" i="7"/>
  <c r="J20" i="7" a="1"/>
  <c r="M20" i="7"/>
  <c r="I19" i="7"/>
  <c r="J19" i="7" a="1"/>
  <c r="M19" i="7"/>
  <c r="I18" i="7"/>
  <c r="J18" i="7" a="1"/>
  <c r="M18" i="7"/>
  <c r="I454" i="7"/>
  <c r="J454" i="7" a="1"/>
  <c r="M454" i="7"/>
  <c r="I453" i="7"/>
  <c r="J453" i="7" a="1"/>
  <c r="M453" i="7"/>
  <c r="I452" i="7"/>
  <c r="J452" i="7" a="1"/>
  <c r="M452" i="7"/>
  <c r="I451" i="7"/>
  <c r="J451" i="7" a="1"/>
  <c r="M451" i="7"/>
  <c r="I450" i="7"/>
  <c r="J450" i="7" a="1"/>
  <c r="M450" i="7"/>
  <c r="I449" i="7"/>
  <c r="J449" i="7" a="1"/>
  <c r="M449" i="7"/>
  <c r="I448" i="7"/>
  <c r="J448" i="7" a="1"/>
  <c r="M448" i="7"/>
  <c r="I447" i="7"/>
  <c r="J447" i="7" a="1"/>
  <c r="M447" i="7"/>
  <c r="I446" i="7"/>
  <c r="J446" i="7" a="1"/>
  <c r="M446" i="7"/>
  <c r="I445" i="7"/>
  <c r="J445" i="7" a="1"/>
  <c r="M445" i="7"/>
  <c r="I444" i="7"/>
  <c r="J444" i="7" a="1"/>
  <c r="M444" i="7"/>
  <c r="I443" i="7"/>
  <c r="J443" i="7" a="1"/>
  <c r="M443" i="7"/>
  <c r="I442" i="7"/>
  <c r="J442" i="7" a="1"/>
  <c r="M442" i="7"/>
  <c r="I441" i="7"/>
  <c r="J441" i="7" a="1"/>
  <c r="M441" i="7"/>
  <c r="I440" i="7"/>
  <c r="J440" i="7" a="1"/>
  <c r="M440" i="7"/>
  <c r="J438" i="7" a="1"/>
  <c r="M438" i="7"/>
  <c r="I438" i="7"/>
  <c r="I437" i="7"/>
  <c r="J437" i="7" a="1"/>
  <c r="M437" i="7"/>
  <c r="I474" i="7"/>
  <c r="J474" i="7" a="1"/>
  <c r="M474" i="7"/>
  <c r="J473" i="7" a="1"/>
  <c r="M473" i="7"/>
  <c r="I473" i="7"/>
  <c r="I472" i="7"/>
  <c r="J472" i="7" a="1"/>
  <c r="M472" i="7"/>
  <c r="I471" i="7"/>
  <c r="J471" i="7" a="1"/>
  <c r="M471" i="7"/>
  <c r="I470" i="7"/>
  <c r="J470" i="7" a="1"/>
  <c r="M470" i="7"/>
  <c r="I469" i="7"/>
  <c r="J469" i="7" a="1"/>
  <c r="M469" i="7"/>
  <c r="J467" i="7" a="1"/>
  <c r="M467" i="7"/>
  <c r="I467" i="7"/>
  <c r="I466" i="7"/>
  <c r="J466" i="7" a="1"/>
  <c r="M466" i="7"/>
  <c r="I465" i="7"/>
  <c r="J465" i="7" a="1"/>
  <c r="M465" i="7"/>
  <c r="J464" i="7" a="1"/>
  <c r="M464" i="7"/>
  <c r="I464" i="7"/>
  <c r="I463" i="7"/>
  <c r="J463" i="7" a="1"/>
  <c r="M463" i="7"/>
  <c r="I462" i="7"/>
  <c r="J462" i="7" a="1"/>
  <c r="M462" i="7"/>
  <c r="I461" i="7"/>
  <c r="J461" i="7" a="1"/>
  <c r="M461" i="7"/>
  <c r="I460" i="7"/>
  <c r="J460" i="7" a="1"/>
  <c r="M460" i="7"/>
  <c r="I459" i="7"/>
  <c r="J459" i="7" a="1"/>
  <c r="M459" i="7"/>
  <c r="I458" i="7"/>
  <c r="J458" i="7" a="1"/>
  <c r="M458" i="7"/>
  <c r="I457" i="7"/>
  <c r="J457" i="7" a="1"/>
  <c r="M457" i="7"/>
  <c r="I456" i="7"/>
  <c r="J456" i="7" a="1"/>
  <c r="M456" i="7"/>
  <c r="I455" i="7"/>
  <c r="J455" i="7" a="1"/>
  <c r="M455" i="7"/>
  <c r="I492" i="7"/>
  <c r="J492" i="7" a="1"/>
  <c r="M492" i="7"/>
  <c r="J491" i="7" a="1"/>
  <c r="M491" i="7"/>
  <c r="I491" i="7"/>
  <c r="I488" i="7"/>
  <c r="J488" i="7" a="1"/>
  <c r="M488" i="7"/>
  <c r="I487" i="7"/>
  <c r="J487" i="7" a="1"/>
  <c r="M487" i="7"/>
  <c r="I486" i="7"/>
  <c r="J486" i="7" a="1"/>
  <c r="M486" i="7"/>
  <c r="I485" i="7"/>
  <c r="J485" i="7" a="1"/>
  <c r="M485" i="7"/>
  <c r="I484" i="7"/>
  <c r="J484" i="7" a="1"/>
  <c r="M484" i="7"/>
  <c r="I483" i="7"/>
  <c r="J483" i="7" a="1"/>
  <c r="M483" i="7"/>
  <c r="J482" i="7" a="1"/>
  <c r="M482" i="7"/>
  <c r="I482" i="7"/>
  <c r="I481" i="7"/>
  <c r="J481" i="7" a="1"/>
  <c r="M481" i="7"/>
  <c r="I480" i="7"/>
  <c r="J480" i="7" a="1"/>
  <c r="M480" i="7"/>
  <c r="J479" i="7" a="1"/>
  <c r="M479" i="7"/>
  <c r="I479" i="7"/>
  <c r="I478" i="7"/>
  <c r="J478" i="7" a="1"/>
  <c r="M478" i="7"/>
  <c r="I477" i="7"/>
  <c r="J477" i="7" a="1"/>
  <c r="M477" i="7"/>
  <c r="I476" i="7"/>
  <c r="J476" i="7" a="1"/>
  <c r="M476" i="7"/>
  <c r="J475" i="7" a="1"/>
  <c r="M475" i="7"/>
  <c r="I475" i="7"/>
  <c r="I512" i="7"/>
  <c r="M512" i="7"/>
  <c r="J512" i="7" a="1"/>
  <c r="I511" i="7"/>
  <c r="J511" i="7" a="1"/>
  <c r="M511" i="7"/>
  <c r="I510" i="7"/>
  <c r="J510" i="7" a="1"/>
  <c r="M510" i="7"/>
  <c r="I509" i="7"/>
  <c r="J509" i="7" a="1"/>
  <c r="M509" i="7"/>
  <c r="I508" i="7"/>
  <c r="J508" i="7" a="1"/>
  <c r="M508" i="7"/>
  <c r="I507" i="7"/>
  <c r="J507" i="7" a="1"/>
  <c r="M507" i="7"/>
  <c r="I506" i="7"/>
  <c r="J506" i="7" a="1"/>
  <c r="M506" i="7"/>
  <c r="I504" i="7"/>
  <c r="J504" i="7" a="1"/>
  <c r="M504" i="7"/>
  <c r="J503" i="7" a="1"/>
  <c r="M503" i="7"/>
  <c r="I503" i="7"/>
  <c r="I502" i="7"/>
  <c r="J502" i="7" a="1"/>
  <c r="M502" i="7"/>
  <c r="I501" i="7"/>
  <c r="J501" i="7" a="1"/>
  <c r="M501" i="7"/>
  <c r="I500" i="7"/>
  <c r="J500" i="7" a="1"/>
  <c r="M500" i="7"/>
  <c r="I499" i="7"/>
  <c r="J499" i="7" a="1"/>
  <c r="M499" i="7"/>
  <c r="I498" i="7"/>
  <c r="M498" i="7"/>
  <c r="J498" i="7" a="1"/>
  <c r="I497" i="7"/>
  <c r="J497" i="7" a="1"/>
  <c r="M497" i="7"/>
  <c r="I496" i="7"/>
  <c r="J496" i="7" a="1"/>
  <c r="M496" i="7"/>
  <c r="I495" i="7"/>
  <c r="J495" i="7" a="1"/>
  <c r="M495" i="7"/>
  <c r="I494" i="7"/>
  <c r="J494" i="7" a="1"/>
  <c r="M494" i="7"/>
  <c r="I493" i="7"/>
  <c r="J493" i="7" a="1"/>
  <c r="M493" i="7"/>
  <c r="I531" i="7"/>
  <c r="J531" i="7" a="1"/>
  <c r="M531" i="7"/>
  <c r="I530" i="7"/>
  <c r="J530" i="7" a="1"/>
  <c r="M530" i="7"/>
  <c r="J529" i="7" a="1"/>
  <c r="I529" i="7"/>
  <c r="M529" i="7"/>
  <c r="J528" i="7" a="1"/>
  <c r="M528" i="7"/>
  <c r="I528" i="7"/>
  <c r="I527" i="7"/>
  <c r="J527" i="7" a="1"/>
  <c r="M527" i="7"/>
  <c r="I526" i="7"/>
  <c r="J526" i="7" a="1"/>
  <c r="M526" i="7"/>
  <c r="I525" i="7"/>
  <c r="J525" i="7" a="1"/>
  <c r="M525" i="7"/>
  <c r="I524" i="7"/>
  <c r="J524" i="7" a="1"/>
  <c r="M524" i="7"/>
  <c r="J523" i="7" a="1"/>
  <c r="M523" i="7"/>
  <c r="I523" i="7"/>
  <c r="I522" i="7"/>
  <c r="J522" i="7" a="1"/>
  <c r="M522" i="7"/>
  <c r="I521" i="7"/>
  <c r="M521" i="7"/>
  <c r="J521" i="7" a="1"/>
  <c r="I520" i="7"/>
  <c r="J520" i="7" a="1"/>
  <c r="M520" i="7"/>
  <c r="I519" i="7"/>
  <c r="J519" i="7" a="1"/>
  <c r="M519" i="7"/>
  <c r="J518" i="7" a="1"/>
  <c r="M518" i="7"/>
  <c r="I518" i="7"/>
  <c r="I517" i="7"/>
  <c r="J517" i="7" a="1"/>
  <c r="M517" i="7"/>
  <c r="I516" i="7"/>
  <c r="J516" i="7" a="1"/>
  <c r="M516" i="7"/>
  <c r="I515" i="7"/>
  <c r="J515" i="7" a="1"/>
  <c r="M515" i="7"/>
  <c r="I514" i="7"/>
  <c r="J514" i="7" a="1"/>
  <c r="M514" i="7"/>
  <c r="I513" i="7"/>
  <c r="J513" i="7" a="1"/>
  <c r="M513" i="7"/>
  <c r="I551" i="7"/>
  <c r="J551" i="7" a="1"/>
  <c r="M551" i="7"/>
  <c r="I550" i="7"/>
  <c r="J550" i="7" a="1"/>
  <c r="M550" i="7"/>
  <c r="I549" i="7"/>
  <c r="J549" i="7" a="1"/>
  <c r="M549" i="7"/>
  <c r="I548" i="7"/>
  <c r="J548" i="7" a="1"/>
  <c r="M548" i="7"/>
  <c r="I547" i="7"/>
  <c r="J547" i="7" a="1"/>
  <c r="M547" i="7"/>
  <c r="I546" i="7"/>
  <c r="J546" i="7" a="1"/>
  <c r="M546" i="7"/>
  <c r="I545" i="7"/>
  <c r="J545" i="7" a="1"/>
  <c r="M545" i="7"/>
  <c r="I544" i="7"/>
  <c r="J544" i="7" a="1"/>
  <c r="M544" i="7"/>
  <c r="I543" i="7"/>
  <c r="J543" i="7" a="1"/>
  <c r="M543" i="7"/>
  <c r="I542" i="7"/>
  <c r="J542" i="7" a="1"/>
  <c r="M542" i="7"/>
  <c r="J541" i="7" a="1"/>
  <c r="M541" i="7"/>
  <c r="I541" i="7"/>
  <c r="J540" i="7" a="1"/>
  <c r="M540" i="7"/>
  <c r="I540" i="7"/>
  <c r="I539" i="7"/>
  <c r="J539" i="7" a="1"/>
  <c r="M539" i="7"/>
  <c r="J538" i="7" a="1"/>
  <c r="M538" i="7"/>
  <c r="I538" i="7"/>
  <c r="I537" i="7"/>
  <c r="M537" i="7"/>
  <c r="J537" i="7" a="1"/>
  <c r="I536" i="7"/>
  <c r="J536" i="7" a="1"/>
  <c r="M536" i="7"/>
  <c r="I535" i="7"/>
  <c r="J535" i="7" a="1"/>
  <c r="M535" i="7"/>
  <c r="I534" i="7"/>
  <c r="J534" i="7" a="1"/>
  <c r="M534" i="7"/>
  <c r="I533" i="7"/>
  <c r="J533" i="7" a="1"/>
  <c r="M533" i="7"/>
  <c r="I532" i="7"/>
  <c r="J532" i="7" a="1"/>
  <c r="M532" i="7"/>
  <c r="J569" i="7" a="1"/>
  <c r="M569" i="7"/>
  <c r="I569" i="7"/>
  <c r="I568" i="7"/>
  <c r="J568" i="7" a="1"/>
  <c r="M568" i="7"/>
  <c r="I567" i="7"/>
  <c r="M567" i="7"/>
  <c r="J567" i="7" a="1"/>
  <c r="I566" i="7"/>
  <c r="J566" i="7" a="1"/>
  <c r="M566" i="7"/>
  <c r="I565" i="7"/>
  <c r="J565" i="7" a="1"/>
  <c r="M565" i="7"/>
  <c r="I564" i="7"/>
  <c r="J564" i="7" a="1"/>
  <c r="M564" i="7"/>
  <c r="I563" i="7"/>
  <c r="J563" i="7" a="1"/>
  <c r="M563" i="7"/>
  <c r="I562" i="7"/>
  <c r="J562" i="7" a="1"/>
  <c r="M562" i="7"/>
  <c r="I561" i="7"/>
  <c r="J561" i="7" a="1"/>
  <c r="M561" i="7"/>
  <c r="I560" i="7"/>
  <c r="J560" i="7" a="1"/>
  <c r="M560" i="7"/>
  <c r="I559" i="7"/>
  <c r="J559" i="7" a="1"/>
  <c r="M559" i="7"/>
  <c r="I558" i="7"/>
  <c r="J558" i="7" a="1"/>
  <c r="M558" i="7"/>
  <c r="I557" i="7"/>
  <c r="J557" i="7" a="1"/>
  <c r="M557" i="7"/>
  <c r="I556" i="7"/>
  <c r="J556" i="7" a="1"/>
  <c r="M556" i="7"/>
  <c r="I554" i="7"/>
  <c r="J554" i="7" a="1"/>
  <c r="M554" i="7"/>
  <c r="I553" i="7"/>
  <c r="J553" i="7" a="1"/>
  <c r="M553" i="7"/>
  <c r="I552" i="7"/>
  <c r="J552" i="7" a="1"/>
  <c r="M552" i="7"/>
  <c r="J587" i="7" a="1"/>
  <c r="M587" i="7"/>
  <c r="I587" i="7"/>
  <c r="I586" i="7"/>
  <c r="J586" i="7" a="1"/>
  <c r="M586" i="7"/>
  <c r="I585" i="7"/>
  <c r="J585" i="7" a="1"/>
  <c r="M585" i="7"/>
  <c r="I584" i="7"/>
  <c r="J584" i="7" a="1"/>
  <c r="M584" i="7"/>
  <c r="I583" i="7"/>
  <c r="J583" i="7" a="1"/>
  <c r="M583" i="7"/>
  <c r="I582" i="7"/>
  <c r="J582" i="7" a="1"/>
  <c r="M582" i="7"/>
  <c r="J580" i="7" a="1"/>
  <c r="M580" i="7"/>
  <c r="I580" i="7"/>
  <c r="I579" i="7"/>
  <c r="M579" i="7"/>
  <c r="J579" i="7" a="1"/>
  <c r="I578" i="7"/>
  <c r="J578" i="7" a="1"/>
  <c r="M578" i="7"/>
  <c r="I577" i="7"/>
  <c r="J577" i="7" a="1"/>
  <c r="M577" i="7"/>
  <c r="I576" i="7"/>
  <c r="J576" i="7" a="1"/>
  <c r="M576" i="7"/>
  <c r="I575" i="7"/>
  <c r="J575" i="7" a="1"/>
  <c r="M575" i="7"/>
  <c r="J574" i="7" a="1"/>
  <c r="M574" i="7"/>
  <c r="I574" i="7"/>
  <c r="I573" i="7"/>
  <c r="M573" i="7"/>
  <c r="J573" i="7" a="1"/>
  <c r="I572" i="7"/>
  <c r="J572" i="7" a="1"/>
  <c r="M572" i="7"/>
  <c r="I571" i="7"/>
  <c r="J571" i="7" a="1"/>
  <c r="M571" i="7"/>
  <c r="I570" i="7"/>
  <c r="J570" i="7" a="1"/>
  <c r="M570" i="7"/>
  <c r="I603" i="7"/>
  <c r="M603" i="7"/>
  <c r="J603" i="7" a="1"/>
  <c r="J602" i="7" a="1"/>
  <c r="I602" i="7"/>
  <c r="M602" i="7"/>
  <c r="I601" i="7"/>
  <c r="J601" i="7" a="1"/>
  <c r="M601" i="7"/>
  <c r="J600" i="7" a="1"/>
  <c r="M600" i="7"/>
  <c r="I600" i="7"/>
  <c r="I598" i="7"/>
  <c r="J598" i="7" a="1"/>
  <c r="M598" i="7"/>
  <c r="I597" i="7"/>
  <c r="J597" i="7" a="1"/>
  <c r="M597" i="7"/>
  <c r="I596" i="7"/>
  <c r="J596" i="7" a="1"/>
  <c r="M596" i="7"/>
  <c r="I595" i="7"/>
  <c r="J595" i="7" a="1"/>
  <c r="M595" i="7"/>
  <c r="I594" i="7"/>
  <c r="J594" i="7" a="1"/>
  <c r="M594" i="7"/>
  <c r="I593" i="7"/>
  <c r="J593" i="7" a="1"/>
  <c r="M593" i="7"/>
  <c r="I592" i="7"/>
  <c r="J592" i="7" a="1"/>
  <c r="M592" i="7"/>
  <c r="I591" i="7"/>
  <c r="J591" i="7" a="1"/>
  <c r="M591" i="7"/>
  <c r="I590" i="7"/>
  <c r="J590" i="7" a="1"/>
  <c r="M590" i="7"/>
  <c r="I589" i="7"/>
  <c r="J589" i="7" a="1"/>
  <c r="M589" i="7"/>
  <c r="I588" i="7"/>
  <c r="J588" i="7" a="1"/>
  <c r="M588" i="7"/>
  <c r="I623" i="7"/>
  <c r="J623" i="7" a="1"/>
  <c r="M623" i="7"/>
  <c r="I622" i="7"/>
  <c r="J622" i="7" a="1"/>
  <c r="M622" i="7"/>
  <c r="I621" i="7"/>
  <c r="J621" i="7" a="1"/>
  <c r="M621" i="7"/>
  <c r="I620" i="7"/>
  <c r="J620" i="7" a="1"/>
  <c r="M620" i="7"/>
  <c r="I619" i="7"/>
  <c r="J619" i="7" a="1"/>
  <c r="M619" i="7"/>
  <c r="I618" i="7"/>
  <c r="J618" i="7" a="1"/>
  <c r="M618" i="7"/>
  <c r="I617" i="7"/>
  <c r="J617" i="7" a="1"/>
  <c r="M617" i="7"/>
  <c r="I616" i="7"/>
  <c r="J616" i="7" a="1"/>
  <c r="M616" i="7"/>
  <c r="I615" i="7"/>
  <c r="J615" i="7" a="1"/>
  <c r="M615" i="7"/>
  <c r="I614" i="7"/>
  <c r="J614" i="7" a="1"/>
  <c r="M614" i="7"/>
  <c r="I613" i="7"/>
  <c r="J613" i="7" a="1"/>
  <c r="M613" i="7"/>
  <c r="I612" i="7"/>
  <c r="J612" i="7" a="1"/>
  <c r="M612" i="7"/>
  <c r="I611" i="7"/>
  <c r="J611" i="7" a="1"/>
  <c r="M611" i="7"/>
  <c r="I610" i="7"/>
  <c r="J610" i="7" a="1"/>
  <c r="M610" i="7"/>
  <c r="I609" i="7"/>
  <c r="J609" i="7" a="1"/>
  <c r="M609" i="7"/>
  <c r="I608" i="7"/>
  <c r="J608" i="7" a="1"/>
  <c r="M608" i="7"/>
  <c r="I607" i="7"/>
  <c r="J607" i="7" a="1"/>
  <c r="M607" i="7"/>
  <c r="I606" i="7"/>
  <c r="J606" i="7" a="1"/>
  <c r="M606" i="7"/>
  <c r="I605" i="7"/>
  <c r="J605" i="7" a="1"/>
  <c r="M605" i="7"/>
  <c r="I604" i="7"/>
  <c r="J604" i="7" a="1"/>
  <c r="M604" i="7"/>
  <c r="I644" i="7"/>
  <c r="J644" i="7" a="1"/>
  <c r="M644" i="7"/>
  <c r="I643" i="7"/>
  <c r="J643" i="7" a="1"/>
  <c r="M643" i="7"/>
  <c r="I642" i="7"/>
  <c r="J642" i="7" a="1"/>
  <c r="M642" i="7"/>
  <c r="I641" i="7"/>
  <c r="J641" i="7" a="1"/>
  <c r="M641" i="7"/>
  <c r="I640" i="7"/>
  <c r="J640" i="7" a="1"/>
  <c r="M640" i="7"/>
  <c r="I639" i="7"/>
  <c r="J639" i="7" a="1"/>
  <c r="M639" i="7"/>
  <c r="I638" i="7"/>
  <c r="J638" i="7" a="1"/>
  <c r="M638" i="7"/>
  <c r="I637" i="7"/>
  <c r="J637" i="7" a="1"/>
  <c r="M637" i="7"/>
  <c r="I635" i="7"/>
  <c r="J635" i="7" a="1"/>
  <c r="M635" i="7"/>
  <c r="I634" i="7"/>
  <c r="J634" i="7" a="1"/>
  <c r="M634" i="7"/>
  <c r="I633" i="7"/>
  <c r="J633" i="7" a="1"/>
  <c r="M633" i="7"/>
  <c r="I632" i="7"/>
  <c r="J632" i="7" a="1"/>
  <c r="M632" i="7"/>
  <c r="I631" i="7"/>
  <c r="J631" i="7" a="1"/>
  <c r="M631" i="7"/>
  <c r="I630" i="7"/>
  <c r="J630" i="7" a="1"/>
  <c r="M630" i="7"/>
  <c r="I629" i="7"/>
  <c r="J629" i="7" a="1"/>
  <c r="M629" i="7"/>
  <c r="I628" i="7"/>
  <c r="J628" i="7" a="1"/>
  <c r="M628" i="7"/>
  <c r="I627" i="7"/>
  <c r="J627" i="7" a="1"/>
  <c r="M627" i="7"/>
  <c r="I626" i="7"/>
  <c r="J626" i="7" a="1"/>
  <c r="M626" i="7"/>
  <c r="I625" i="7"/>
  <c r="J625" i="7" a="1"/>
  <c r="M625" i="7"/>
  <c r="I624" i="7"/>
  <c r="J624" i="7" a="1"/>
  <c r="M624" i="7"/>
  <c r="I668" i="7"/>
  <c r="J668" i="7" a="1"/>
  <c r="M668" i="7"/>
  <c r="I667" i="7"/>
  <c r="J667" i="7" a="1"/>
  <c r="M667" i="7"/>
  <c r="I666" i="7"/>
  <c r="J666" i="7" a="1"/>
  <c r="M666" i="7"/>
  <c r="I665" i="7"/>
  <c r="J665" i="7" a="1"/>
  <c r="M665" i="7"/>
  <c r="I664" i="7"/>
  <c r="J664" i="7" a="1"/>
  <c r="M664" i="7"/>
  <c r="I663" i="7"/>
  <c r="J663" i="7" a="1"/>
  <c r="M663" i="7"/>
  <c r="I662" i="7"/>
  <c r="J662" i="7" a="1"/>
  <c r="M662" i="7"/>
  <c r="I661" i="7"/>
  <c r="J661" i="7" a="1"/>
  <c r="M661" i="7"/>
  <c r="I660" i="7"/>
  <c r="J660" i="7" a="1"/>
  <c r="M660" i="7"/>
  <c r="I659" i="7"/>
  <c r="J659" i="7" a="1"/>
  <c r="M659" i="7"/>
  <c r="I658" i="7"/>
  <c r="J658" i="7" a="1"/>
  <c r="M658" i="7"/>
  <c r="I657" i="7"/>
  <c r="J657" i="7" a="1"/>
  <c r="M657" i="7"/>
  <c r="I656" i="7"/>
  <c r="J656" i="7" a="1"/>
  <c r="M656" i="7"/>
  <c r="I655" i="7"/>
  <c r="J655" i="7" a="1"/>
  <c r="M655" i="7"/>
  <c r="I654" i="7"/>
  <c r="J654" i="7" a="1"/>
  <c r="M654" i="7"/>
  <c r="I653" i="7"/>
  <c r="J653" i="7" a="1"/>
  <c r="M653" i="7"/>
  <c r="I652" i="7"/>
  <c r="J652" i="7" a="1"/>
  <c r="M652" i="7"/>
  <c r="I651" i="7"/>
  <c r="J651" i="7" a="1"/>
  <c r="M651" i="7"/>
  <c r="I650" i="7"/>
  <c r="J650" i="7" a="1"/>
  <c r="M650" i="7"/>
  <c r="I649" i="7"/>
  <c r="J649" i="7" a="1"/>
  <c r="M649" i="7"/>
  <c r="I648" i="7"/>
  <c r="J648" i="7" a="1"/>
  <c r="M648" i="7"/>
  <c r="I647" i="7"/>
  <c r="J647" i="7" a="1"/>
  <c r="M647" i="7"/>
  <c r="I646" i="7"/>
  <c r="J646" i="7" a="1"/>
  <c r="M646" i="7"/>
  <c r="I645" i="7"/>
  <c r="J645" i="7" a="1"/>
  <c r="M645" i="7"/>
  <c r="I688" i="7"/>
  <c r="J688" i="7" a="1"/>
  <c r="M688" i="7"/>
  <c r="I687" i="7"/>
  <c r="J687" i="7" a="1"/>
  <c r="M687" i="7"/>
  <c r="I686" i="7"/>
  <c r="J686" i="7" a="1"/>
  <c r="M686" i="7"/>
  <c r="I685" i="7"/>
  <c r="J685" i="7" a="1"/>
  <c r="M685" i="7"/>
  <c r="I684" i="7"/>
  <c r="J684" i="7" a="1"/>
  <c r="M684" i="7"/>
  <c r="I683" i="7"/>
  <c r="J683" i="7" a="1"/>
  <c r="M683" i="7"/>
  <c r="I682" i="7"/>
  <c r="J682" i="7" a="1"/>
  <c r="M682" i="7"/>
  <c r="I681" i="7"/>
  <c r="J681" i="7" a="1"/>
  <c r="M681" i="7"/>
  <c r="I680" i="7"/>
  <c r="J680" i="7" a="1"/>
  <c r="M680" i="7"/>
  <c r="I679" i="7"/>
  <c r="J679" i="7" a="1"/>
  <c r="M679" i="7"/>
  <c r="I678" i="7"/>
  <c r="J678" i="7" a="1"/>
  <c r="M678" i="7"/>
  <c r="I677" i="7"/>
  <c r="J677" i="7" a="1"/>
  <c r="M677" i="7"/>
  <c r="I676" i="7"/>
  <c r="J676" i="7" a="1"/>
  <c r="M676" i="7"/>
  <c r="I675" i="7"/>
  <c r="J675" i="7" a="1"/>
  <c r="M675" i="7"/>
  <c r="I674" i="7"/>
  <c r="J674" i="7" a="1"/>
  <c r="M674" i="7"/>
  <c r="I673" i="7"/>
  <c r="J673" i="7" a="1"/>
  <c r="M673" i="7"/>
  <c r="I672" i="7"/>
  <c r="J672" i="7" a="1"/>
  <c r="M672" i="7"/>
  <c r="I671" i="7"/>
  <c r="J671" i="7" a="1"/>
  <c r="M671" i="7"/>
  <c r="I670" i="7"/>
  <c r="J670" i="7" a="1"/>
  <c r="M670" i="7"/>
  <c r="I669" i="7"/>
  <c r="J669" i="7" a="1"/>
  <c r="M669" i="7"/>
  <c r="I708" i="7"/>
  <c r="J708" i="7" a="1"/>
  <c r="M708" i="7"/>
  <c r="I707" i="7"/>
  <c r="J707" i="7" a="1"/>
  <c r="M707" i="7"/>
  <c r="I706" i="7"/>
  <c r="J706" i="7" a="1"/>
  <c r="M706" i="7"/>
  <c r="I705" i="7"/>
  <c r="J705" i="7" a="1"/>
  <c r="M705" i="7"/>
  <c r="I704" i="7"/>
  <c r="J704" i="7" a="1"/>
  <c r="M704" i="7"/>
  <c r="I703" i="7"/>
  <c r="J703" i="7" a="1"/>
  <c r="M703" i="7"/>
  <c r="I702" i="7"/>
  <c r="J702" i="7" a="1"/>
  <c r="M702" i="7"/>
  <c r="I701" i="7"/>
  <c r="J701" i="7" a="1"/>
  <c r="M701" i="7"/>
  <c r="I700" i="7"/>
  <c r="J700" i="7" a="1"/>
  <c r="M700" i="7"/>
  <c r="I698" i="7"/>
  <c r="J698" i="7" a="1"/>
  <c r="M698" i="7"/>
  <c r="I697" i="7"/>
  <c r="J697" i="7" a="1"/>
  <c r="M697" i="7"/>
  <c r="I696" i="7"/>
  <c r="J696" i="7" a="1"/>
  <c r="M696" i="7"/>
  <c r="I695" i="7"/>
  <c r="J695" i="7" a="1"/>
  <c r="M695" i="7"/>
  <c r="I694" i="7"/>
  <c r="J694" i="7" a="1"/>
  <c r="M694" i="7"/>
  <c r="I693" i="7"/>
  <c r="J693" i="7" a="1"/>
  <c r="M693" i="7"/>
  <c r="I692" i="7"/>
  <c r="J692" i="7" a="1"/>
  <c r="M692" i="7"/>
  <c r="I691" i="7"/>
  <c r="J691" i="7" a="1"/>
  <c r="M691" i="7"/>
  <c r="I690" i="7"/>
  <c r="J690" i="7" a="1"/>
  <c r="M690" i="7"/>
  <c r="I689" i="7"/>
  <c r="J689" i="7" a="1"/>
  <c r="M689" i="7"/>
  <c r="I729" i="7"/>
  <c r="J729" i="7" a="1"/>
  <c r="M729" i="7"/>
  <c r="I728" i="7"/>
  <c r="J728" i="7" a="1"/>
  <c r="M728" i="7"/>
  <c r="I727" i="7"/>
  <c r="J727" i="7" a="1"/>
  <c r="M727" i="7"/>
  <c r="I726" i="7"/>
  <c r="J726" i="7" a="1"/>
  <c r="M726" i="7"/>
  <c r="I725" i="7"/>
  <c r="J725" i="7" a="1"/>
  <c r="M725" i="7"/>
  <c r="I724" i="7"/>
  <c r="J724" i="7" a="1"/>
  <c r="M724" i="7"/>
  <c r="I723" i="7"/>
  <c r="J723" i="7" a="1"/>
  <c r="M723" i="7"/>
  <c r="I722" i="7"/>
  <c r="J722" i="7" a="1"/>
  <c r="M722" i="7"/>
  <c r="I721" i="7"/>
  <c r="J721" i="7" a="1"/>
  <c r="M721" i="7"/>
  <c r="I720" i="7"/>
  <c r="J720" i="7" a="1"/>
  <c r="M720" i="7"/>
  <c r="I719" i="7"/>
  <c r="J719" i="7" a="1"/>
  <c r="M719" i="7"/>
  <c r="I718" i="7"/>
  <c r="J718" i="7" a="1"/>
  <c r="M718" i="7"/>
  <c r="I717" i="7"/>
  <c r="J717" i="7" a="1"/>
  <c r="M717" i="7"/>
  <c r="I716" i="7"/>
  <c r="J716" i="7" a="1"/>
  <c r="M716" i="7"/>
  <c r="I715" i="7"/>
  <c r="J715" i="7" a="1"/>
  <c r="M715" i="7"/>
  <c r="I714" i="7"/>
  <c r="J714" i="7" a="1"/>
  <c r="M714" i="7"/>
  <c r="I713" i="7"/>
  <c r="J713" i="7" a="1"/>
  <c r="M713" i="7"/>
  <c r="I712" i="7"/>
  <c r="J712" i="7" a="1"/>
  <c r="M712" i="7"/>
  <c r="I711" i="7"/>
  <c r="J711" i="7" a="1"/>
  <c r="M711" i="7"/>
  <c r="I710" i="7"/>
  <c r="J710" i="7" a="1"/>
  <c r="M710" i="7"/>
  <c r="I709" i="7"/>
  <c r="J709" i="7" a="1"/>
  <c r="M709" i="7"/>
  <c r="I749" i="7"/>
  <c r="J749" i="7" a="1"/>
  <c r="M749" i="7"/>
  <c r="I748" i="7"/>
  <c r="J748" i="7" a="1"/>
  <c r="M748" i="7"/>
  <c r="I747" i="7"/>
  <c r="J747" i="7" a="1"/>
  <c r="M747" i="7"/>
  <c r="I746" i="7"/>
  <c r="J746" i="7" a="1"/>
  <c r="M746" i="7"/>
  <c r="I745" i="7"/>
  <c r="J745" i="7" a="1"/>
  <c r="M745" i="7"/>
  <c r="I744" i="7"/>
  <c r="J744" i="7" a="1"/>
  <c r="M744" i="7"/>
  <c r="I743" i="7"/>
  <c r="J743" i="7" a="1"/>
  <c r="M743" i="7"/>
  <c r="I742" i="7"/>
  <c r="J742" i="7" a="1"/>
  <c r="M742" i="7"/>
  <c r="I741" i="7"/>
  <c r="J741" i="7" a="1"/>
  <c r="M741" i="7"/>
  <c r="I740" i="7"/>
  <c r="J740" i="7" a="1"/>
  <c r="M740" i="7"/>
  <c r="I739" i="7"/>
  <c r="J739" i="7" a="1"/>
  <c r="M739" i="7"/>
  <c r="I738" i="7"/>
  <c r="J738" i="7" a="1"/>
  <c r="M738" i="7"/>
  <c r="I737" i="7"/>
  <c r="J737" i="7" a="1"/>
  <c r="M737" i="7"/>
  <c r="I736" i="7"/>
  <c r="J736" i="7" a="1"/>
  <c r="M736" i="7"/>
  <c r="I735" i="7"/>
  <c r="J735" i="7" a="1"/>
  <c r="M735" i="7"/>
  <c r="I734" i="7"/>
  <c r="J734" i="7" a="1"/>
  <c r="M734" i="7"/>
  <c r="I733" i="7"/>
  <c r="J733" i="7" a="1"/>
  <c r="M733" i="7"/>
  <c r="I732" i="7"/>
  <c r="J732" i="7" a="1"/>
  <c r="M732" i="7"/>
  <c r="I731" i="7"/>
  <c r="J731" i="7" a="1"/>
  <c r="M731" i="7"/>
  <c r="I730" i="7"/>
  <c r="J730" i="7" a="1"/>
  <c r="M730" i="7"/>
  <c r="I768" i="7"/>
  <c r="J768" i="7" a="1"/>
  <c r="M768" i="7"/>
  <c r="I767" i="7"/>
  <c r="J767" i="7" a="1"/>
  <c r="M767" i="7"/>
  <c r="I766" i="7"/>
  <c r="J766" i="7" a="1"/>
  <c r="M766" i="7"/>
  <c r="I765" i="7"/>
  <c r="J765" i="7" a="1"/>
  <c r="M765" i="7"/>
  <c r="I764" i="7"/>
  <c r="J764" i="7" a="1"/>
  <c r="M764" i="7"/>
  <c r="I763" i="7"/>
  <c r="J763" i="7" a="1"/>
  <c r="M763" i="7"/>
  <c r="I762" i="7"/>
  <c r="J762" i="7" a="1"/>
  <c r="M762" i="7"/>
  <c r="I761" i="7"/>
  <c r="J761" i="7" a="1"/>
  <c r="M761" i="7"/>
  <c r="I760" i="7"/>
  <c r="J760" i="7" a="1"/>
  <c r="M760" i="7"/>
  <c r="I759" i="7"/>
  <c r="J759" i="7" a="1"/>
  <c r="M759" i="7"/>
  <c r="I758" i="7"/>
  <c r="J758" i="7" a="1"/>
  <c r="M758" i="7"/>
  <c r="I757" i="7"/>
  <c r="J757" i="7" a="1"/>
  <c r="M757" i="7"/>
  <c r="I756" i="7"/>
  <c r="J756" i="7" a="1"/>
  <c r="M756" i="7"/>
  <c r="I755" i="7"/>
  <c r="J755" i="7" a="1"/>
  <c r="M755" i="7"/>
  <c r="I753" i="7"/>
  <c r="M753" i="7"/>
  <c r="J753" i="7" a="1"/>
  <c r="I752" i="7"/>
  <c r="J752" i="7" a="1"/>
  <c r="M752" i="7"/>
  <c r="J751" i="7" a="1"/>
  <c r="M751" i="7"/>
  <c r="I751" i="7"/>
  <c r="J750" i="7" a="1"/>
  <c r="I750" i="7"/>
  <c r="M750" i="7"/>
  <c r="I783" i="7"/>
  <c r="M783" i="7"/>
  <c r="J783" i="7" a="1"/>
  <c r="M782" i="7"/>
  <c r="I782" i="7"/>
  <c r="J782" i="7" a="1"/>
  <c r="I781" i="7"/>
  <c r="J781" i="7" a="1"/>
  <c r="M781" i="7"/>
  <c r="I780" i="7"/>
  <c r="J780" i="7" a="1"/>
  <c r="M780" i="7"/>
  <c r="J779" i="7" a="1"/>
  <c r="M779" i="7"/>
  <c r="I779" i="7"/>
  <c r="I778" i="7"/>
  <c r="J778" i="7" a="1"/>
  <c r="M778" i="7"/>
  <c r="J777" i="7" a="1"/>
  <c r="M777" i="7"/>
  <c r="I777" i="7"/>
  <c r="I776" i="7"/>
  <c r="J776" i="7" a="1"/>
  <c r="M776" i="7"/>
  <c r="J775" i="7" a="1"/>
  <c r="I775" i="7"/>
  <c r="M775" i="7"/>
  <c r="I774" i="7"/>
  <c r="J774" i="7" a="1"/>
  <c r="M774" i="7"/>
  <c r="I773" i="7"/>
  <c r="J773" i="7" a="1"/>
  <c r="M773" i="7"/>
  <c r="J772" i="7" a="1"/>
  <c r="M772" i="7"/>
  <c r="I772" i="7"/>
  <c r="J771" i="7" a="1"/>
  <c r="I771" i="7"/>
  <c r="M771" i="7"/>
  <c r="J770" i="7" a="1"/>
  <c r="I770" i="7"/>
  <c r="M770" i="7"/>
  <c r="I801" i="7"/>
  <c r="M801" i="7"/>
  <c r="J801" i="7" a="1"/>
  <c r="J800" i="7" a="1"/>
  <c r="M800" i="7"/>
  <c r="I800" i="7"/>
  <c r="J799" i="7" a="1"/>
  <c r="I799" i="7"/>
  <c r="M799" i="7"/>
  <c r="I798" i="7"/>
  <c r="M798" i="7"/>
  <c r="J798" i="7" a="1"/>
  <c r="I797" i="7"/>
  <c r="J797" i="7" a="1"/>
  <c r="M797" i="7"/>
  <c r="J796" i="7" a="1"/>
  <c r="M796" i="7"/>
  <c r="I796" i="7"/>
  <c r="I795" i="7"/>
  <c r="J795" i="7" a="1"/>
  <c r="M795" i="7"/>
  <c r="J794" i="7" a="1"/>
  <c r="I794" i="7"/>
  <c r="M794" i="7"/>
  <c r="J793" i="7" a="1"/>
  <c r="M793" i="7"/>
  <c r="I793" i="7"/>
  <c r="I792" i="7"/>
  <c r="J792" i="7" a="1"/>
  <c r="M792" i="7"/>
  <c r="I791" i="7"/>
  <c r="J791" i="7" a="1"/>
  <c r="M791" i="7"/>
  <c r="I790" i="7"/>
  <c r="J790" i="7" a="1"/>
  <c r="M790" i="7"/>
  <c r="I789" i="7"/>
  <c r="J789" i="7" a="1"/>
  <c r="M789" i="7"/>
  <c r="J788" i="7" a="1"/>
  <c r="I788" i="7"/>
  <c r="M788" i="7"/>
  <c r="I787" i="7"/>
  <c r="M787" i="7"/>
  <c r="J787" i="7" a="1"/>
  <c r="I786" i="7"/>
  <c r="J786" i="7" a="1"/>
  <c r="M786" i="7"/>
  <c r="I785" i="7"/>
  <c r="J785" i="7" a="1"/>
  <c r="M785" i="7"/>
  <c r="J784" i="7" a="1"/>
  <c r="I784" i="7"/>
  <c r="M784" i="7"/>
  <c r="I819" i="7"/>
  <c r="J819" i="7" a="1"/>
  <c r="M819" i="7"/>
  <c r="I818" i="7"/>
  <c r="J818" i="7" a="1"/>
  <c r="M818" i="7"/>
  <c r="I817" i="7"/>
  <c r="J817" i="7" a="1"/>
  <c r="M817" i="7"/>
  <c r="J815" i="7" a="1"/>
  <c r="M815" i="7"/>
  <c r="I815" i="7"/>
  <c r="I814" i="7"/>
  <c r="J814" i="7" a="1"/>
  <c r="M814" i="7"/>
  <c r="I813" i="7"/>
  <c r="J813" i="7" a="1"/>
  <c r="M813" i="7"/>
  <c r="J812" i="7" a="1"/>
  <c r="M812" i="7"/>
  <c r="I812" i="7"/>
  <c r="I811" i="7"/>
  <c r="J811" i="7" a="1"/>
  <c r="M811" i="7"/>
  <c r="I810" i="7"/>
  <c r="J810" i="7" a="1"/>
  <c r="M810" i="7"/>
  <c r="I809" i="7"/>
  <c r="J809" i="7" a="1"/>
  <c r="M809" i="7"/>
  <c r="J808" i="7" a="1"/>
  <c r="M808" i="7"/>
  <c r="I808" i="7"/>
  <c r="I807" i="7"/>
  <c r="J807" i="7" a="1"/>
  <c r="M807" i="7"/>
  <c r="I806" i="7"/>
  <c r="J806" i="7" a="1"/>
  <c r="M806" i="7"/>
  <c r="J805" i="7" a="1"/>
  <c r="M805" i="7"/>
  <c r="I805" i="7"/>
  <c r="I804" i="7"/>
  <c r="J804" i="7" a="1"/>
  <c r="M804" i="7"/>
  <c r="J803" i="7" a="1"/>
  <c r="I803" i="7"/>
  <c r="M803" i="7"/>
  <c r="I802" i="7"/>
  <c r="J802" i="7" a="1"/>
  <c r="M802" i="7"/>
  <c r="I841" i="7"/>
  <c r="J841" i="7" a="1"/>
  <c r="M841" i="7"/>
  <c r="I840" i="7"/>
  <c r="J840" i="7" a="1"/>
  <c r="M840" i="7"/>
  <c r="I839" i="7"/>
  <c r="J839" i="7" a="1"/>
  <c r="M839" i="7"/>
  <c r="I838" i="7"/>
  <c r="J838" i="7" a="1"/>
  <c r="M838" i="7"/>
  <c r="J837" i="7" a="1"/>
  <c r="M837" i="7"/>
  <c r="I837" i="7"/>
  <c r="I836" i="7"/>
  <c r="J836" i="7" a="1"/>
  <c r="M836" i="7"/>
  <c r="J835" i="7" a="1"/>
  <c r="I835" i="7"/>
  <c r="M835" i="7"/>
  <c r="J834" i="7" a="1"/>
  <c r="M834" i="7"/>
  <c r="I834" i="7"/>
  <c r="J833" i="7" a="1"/>
  <c r="M833" i="7"/>
  <c r="I833" i="7"/>
  <c r="I832" i="7"/>
  <c r="M832" i="7"/>
  <c r="J832" i="7" a="1"/>
  <c r="I830" i="7"/>
  <c r="J830" i="7" a="1"/>
  <c r="M830" i="7"/>
  <c r="I829" i="7"/>
  <c r="J829" i="7" a="1"/>
  <c r="M829" i="7"/>
  <c r="I828" i="7"/>
  <c r="J828" i="7" a="1"/>
  <c r="M828" i="7"/>
  <c r="J827" i="7" a="1"/>
  <c r="M827" i="7"/>
  <c r="I827" i="7"/>
  <c r="I826" i="7"/>
  <c r="J826" i="7" a="1"/>
  <c r="M826" i="7"/>
  <c r="J825" i="7" a="1"/>
  <c r="M825" i="7"/>
  <c r="I825" i="7"/>
  <c r="I824" i="7"/>
  <c r="J824" i="7" a="1"/>
  <c r="M824" i="7"/>
  <c r="I823" i="7"/>
  <c r="J823" i="7" a="1"/>
  <c r="M823" i="7"/>
  <c r="J822" i="7" a="1"/>
  <c r="I822" i="7"/>
  <c r="M822" i="7"/>
  <c r="M821" i="7"/>
  <c r="I821" i="7"/>
  <c r="J821" i="7" a="1"/>
  <c r="J820" i="7" a="1"/>
  <c r="M820" i="7"/>
  <c r="I820" i="7"/>
  <c r="I860" i="7"/>
  <c r="J860" i="7" a="1"/>
  <c r="M860" i="7"/>
  <c r="I859" i="7"/>
  <c r="J859" i="7" a="1"/>
  <c r="M859" i="7"/>
  <c r="I858" i="7"/>
  <c r="J858" i="7" a="1"/>
  <c r="M858" i="7"/>
  <c r="I857" i="7"/>
  <c r="J857" i="7" a="1"/>
  <c r="M857" i="7"/>
  <c r="I856" i="7"/>
  <c r="J856" i="7" a="1"/>
  <c r="M856" i="7"/>
  <c r="I855" i="7"/>
  <c r="J855" i="7" a="1"/>
  <c r="M855" i="7"/>
  <c r="I854" i="7"/>
  <c r="J854" i="7" a="1"/>
  <c r="M854" i="7"/>
  <c r="I853" i="7"/>
  <c r="J853" i="7" a="1"/>
  <c r="M853" i="7"/>
  <c r="I852" i="7"/>
  <c r="J852" i="7" a="1"/>
  <c r="M852" i="7"/>
  <c r="J851" i="7" a="1"/>
  <c r="I851" i="7"/>
  <c r="M851" i="7"/>
  <c r="I850" i="7"/>
  <c r="M850" i="7"/>
  <c r="J850" i="7" a="1"/>
  <c r="I849" i="7"/>
  <c r="J849" i="7" a="1"/>
  <c r="M849" i="7"/>
  <c r="I848" i="7"/>
  <c r="J848" i="7" a="1"/>
  <c r="M848" i="7"/>
  <c r="I847" i="7"/>
  <c r="J847" i="7" a="1"/>
  <c r="M847" i="7"/>
  <c r="I846" i="7"/>
  <c r="J846" i="7" a="1"/>
  <c r="M846" i="7"/>
  <c r="I845" i="7"/>
  <c r="J845" i="7" a="1"/>
  <c r="M845" i="7"/>
  <c r="I844" i="7"/>
  <c r="J844" i="7" a="1"/>
  <c r="M844" i="7"/>
  <c r="I843" i="7"/>
  <c r="J843" i="7" a="1"/>
  <c r="M843" i="7"/>
  <c r="I842" i="7"/>
  <c r="J842" i="7" a="1"/>
  <c r="M842" i="7"/>
  <c r="J878" i="7" a="1"/>
  <c r="I878" i="7"/>
  <c r="M878" i="7"/>
  <c r="I877" i="7"/>
  <c r="J877" i="7" a="1"/>
  <c r="M877" i="7"/>
  <c r="I876" i="7"/>
  <c r="J876" i="7" a="1"/>
  <c r="M876" i="7"/>
  <c r="I875" i="7"/>
  <c r="J875" i="7" a="1"/>
  <c r="M875" i="7"/>
  <c r="J874" i="7" a="1"/>
  <c r="I874" i="7"/>
  <c r="M874" i="7"/>
  <c r="I873" i="7"/>
  <c r="J873" i="7" a="1"/>
  <c r="M873" i="7"/>
  <c r="I872" i="7"/>
  <c r="J872" i="7" a="1"/>
  <c r="M872" i="7"/>
  <c r="I871" i="7"/>
  <c r="M871" i="7"/>
  <c r="J871" i="7" a="1"/>
  <c r="I870" i="7"/>
  <c r="J870" i="7" a="1"/>
  <c r="M870" i="7"/>
  <c r="J869" i="7" a="1"/>
  <c r="M869" i="7"/>
  <c r="I869" i="7"/>
  <c r="J868" i="7" a="1"/>
  <c r="I868" i="7"/>
  <c r="M868" i="7"/>
  <c r="I867" i="7"/>
  <c r="M867" i="7"/>
  <c r="J867" i="7" a="1"/>
  <c r="J866" i="7" a="1"/>
  <c r="M866" i="7"/>
  <c r="I866" i="7"/>
  <c r="J865" i="7" a="1"/>
  <c r="I865" i="7"/>
  <c r="M865" i="7"/>
  <c r="I864" i="7"/>
  <c r="J864" i="7" a="1"/>
  <c r="M864" i="7"/>
  <c r="I863" i="7"/>
  <c r="J863" i="7" a="1"/>
  <c r="M863" i="7"/>
  <c r="I862" i="7"/>
  <c r="M862" i="7"/>
  <c r="J862" i="7" a="1"/>
  <c r="I861" i="7"/>
  <c r="J861" i="7" a="1"/>
  <c r="M861" i="7"/>
  <c r="J902" i="7" a="1"/>
  <c r="M902" i="7"/>
  <c r="I902" i="7"/>
  <c r="I901" i="7"/>
  <c r="J901" i="7" a="1"/>
  <c r="M901" i="7"/>
  <c r="J900" i="7" a="1"/>
  <c r="I900" i="7"/>
  <c r="M900" i="7"/>
  <c r="I899" i="7"/>
  <c r="J899" i="7" a="1"/>
  <c r="M899" i="7"/>
  <c r="I898" i="7"/>
  <c r="J898" i="7" a="1"/>
  <c r="M898" i="7"/>
  <c r="I897" i="7"/>
  <c r="M897" i="7"/>
  <c r="J897" i="7" a="1"/>
  <c r="J896" i="7" a="1"/>
  <c r="M896" i="7"/>
  <c r="I896" i="7"/>
  <c r="J895" i="7" a="1"/>
  <c r="M895" i="7"/>
  <c r="I895" i="7"/>
  <c r="I894" i="7"/>
  <c r="J894" i="7" a="1"/>
  <c r="M894" i="7"/>
  <c r="I893" i="7"/>
  <c r="J893" i="7" a="1"/>
  <c r="M893" i="7"/>
  <c r="I892" i="7"/>
  <c r="M892" i="7"/>
  <c r="J892" i="7" a="1"/>
  <c r="I891" i="7"/>
  <c r="J891" i="7" a="1"/>
  <c r="M891" i="7"/>
  <c r="I890" i="7"/>
  <c r="J890" i="7" a="1"/>
  <c r="M890" i="7"/>
  <c r="M889" i="7"/>
  <c r="J889" i="7" a="1"/>
  <c r="I889" i="7"/>
  <c r="I888" i="7"/>
  <c r="J888" i="7" a="1"/>
  <c r="M888" i="7"/>
  <c r="I887" i="7"/>
  <c r="J887" i="7" a="1"/>
  <c r="M887" i="7"/>
  <c r="J886" i="7" a="1"/>
  <c r="I886" i="7"/>
  <c r="M886" i="7"/>
  <c r="I884" i="7"/>
  <c r="M884" i="7"/>
  <c r="J884" i="7" a="1"/>
  <c r="I883" i="7"/>
  <c r="M883" i="7"/>
  <c r="J883" i="7" a="1"/>
  <c r="I882" i="7"/>
  <c r="J882" i="7" a="1"/>
  <c r="M882" i="7"/>
  <c r="J881" i="7" a="1"/>
  <c r="M881" i="7"/>
  <c r="I881" i="7"/>
  <c r="I880" i="7"/>
  <c r="J880" i="7" a="1"/>
  <c r="M880" i="7"/>
  <c r="I879" i="7"/>
  <c r="J879" i="7" a="1"/>
  <c r="M879" i="7"/>
  <c r="J926" i="7" a="1"/>
  <c r="M926" i="7"/>
  <c r="I926" i="7"/>
  <c r="I925" i="7"/>
  <c r="J925" i="7" a="1"/>
  <c r="M925" i="7"/>
  <c r="I924" i="7"/>
  <c r="J924" i="7" a="1"/>
  <c r="M924" i="7"/>
  <c r="J923" i="7" a="1"/>
  <c r="I923" i="7"/>
  <c r="M923" i="7"/>
  <c r="I922" i="7"/>
  <c r="J922" i="7" a="1"/>
  <c r="M922" i="7"/>
  <c r="J921" i="7" a="1"/>
  <c r="I921" i="7"/>
  <c r="M921" i="7"/>
  <c r="I920" i="7"/>
  <c r="J920" i="7" a="1"/>
  <c r="M920" i="7"/>
  <c r="J919" i="7" a="1"/>
  <c r="I919" i="7"/>
  <c r="M919" i="7"/>
  <c r="I918" i="7"/>
  <c r="J918" i="7" a="1"/>
  <c r="M918" i="7"/>
  <c r="I917" i="7"/>
  <c r="J917" i="7" a="1"/>
  <c r="M917" i="7"/>
  <c r="I916" i="7"/>
  <c r="J916" i="7" a="1"/>
  <c r="M916" i="7"/>
  <c r="M915" i="7"/>
  <c r="I915" i="7"/>
  <c r="J915" i="7" a="1"/>
  <c r="I914" i="7"/>
  <c r="J914" i="7" a="1"/>
  <c r="M914" i="7"/>
  <c r="I913" i="7"/>
  <c r="J913" i="7" a="1"/>
  <c r="M913" i="7"/>
  <c r="I912" i="7"/>
  <c r="J912" i="7" a="1"/>
  <c r="M912" i="7"/>
  <c r="J911" i="7" a="1"/>
  <c r="M911" i="7"/>
  <c r="I911" i="7"/>
  <c r="J910" i="7" a="1"/>
  <c r="M910" i="7"/>
  <c r="I910" i="7"/>
  <c r="I909" i="7"/>
  <c r="J909" i="7" a="1"/>
  <c r="M909" i="7"/>
  <c r="I908" i="7"/>
  <c r="J908" i="7" a="1"/>
  <c r="M908" i="7"/>
  <c r="I907" i="7"/>
  <c r="J907" i="7" a="1"/>
  <c r="M907" i="7"/>
  <c r="J906" i="7" a="1"/>
  <c r="M906" i="7"/>
  <c r="I906" i="7"/>
  <c r="I905" i="7"/>
  <c r="J905" i="7" a="1"/>
  <c r="M905" i="7"/>
  <c r="M904" i="7"/>
  <c r="I904" i="7"/>
  <c r="J904" i="7" a="1"/>
  <c r="I903" i="7"/>
  <c r="J903" i="7" a="1"/>
  <c r="M903" i="7"/>
  <c r="I946" i="7"/>
  <c r="J946" i="7" a="1"/>
  <c r="M946" i="7"/>
  <c r="I945" i="7"/>
  <c r="J945" i="7" a="1"/>
  <c r="M945" i="7"/>
  <c r="I944" i="7"/>
  <c r="J944" i="7" a="1"/>
  <c r="M944" i="7"/>
  <c r="J943" i="7" a="1"/>
  <c r="M943" i="7"/>
  <c r="I943" i="7"/>
  <c r="J942" i="7" a="1"/>
  <c r="M942" i="7"/>
  <c r="I942" i="7"/>
  <c r="I941" i="7"/>
  <c r="J941" i="7" a="1"/>
  <c r="M941" i="7"/>
  <c r="I940" i="7"/>
  <c r="J940" i="7" a="1"/>
  <c r="M940" i="7"/>
  <c r="I939" i="7"/>
  <c r="J939" i="7" a="1"/>
  <c r="M939" i="7"/>
  <c r="I938" i="7"/>
  <c r="J938" i="7" a="1"/>
  <c r="M938" i="7"/>
  <c r="I937" i="7"/>
  <c r="J937" i="7" a="1"/>
  <c r="M937" i="7"/>
  <c r="I936" i="7"/>
  <c r="J936" i="7" a="1"/>
  <c r="M936" i="7"/>
  <c r="I935" i="7"/>
  <c r="J935" i="7" a="1"/>
  <c r="M935" i="7"/>
  <c r="I934" i="7"/>
  <c r="J934" i="7" a="1"/>
  <c r="M934" i="7"/>
  <c r="J933" i="7" a="1"/>
  <c r="M933" i="7"/>
  <c r="I933" i="7"/>
  <c r="I932" i="7"/>
  <c r="J932" i="7" a="1"/>
  <c r="M932" i="7"/>
  <c r="I931" i="7"/>
  <c r="J931" i="7" a="1"/>
  <c r="M931" i="7"/>
  <c r="J930" i="7" a="1"/>
  <c r="M930" i="7"/>
  <c r="I930" i="7"/>
  <c r="I929" i="7"/>
  <c r="J929" i="7" a="1"/>
  <c r="M929" i="7"/>
  <c r="I928" i="7"/>
  <c r="J928" i="7" a="1"/>
  <c r="M928" i="7"/>
  <c r="I927" i="7"/>
  <c r="J927" i="7" a="1"/>
  <c r="M927" i="7"/>
  <c r="J966" i="7" a="1"/>
  <c r="M966" i="7"/>
  <c r="I966" i="7"/>
  <c r="J965" i="7" a="1"/>
  <c r="M965" i="7"/>
  <c r="I965" i="7"/>
  <c r="J964" i="7" a="1"/>
  <c r="M964" i="7"/>
  <c r="I964" i="7"/>
  <c r="I963" i="7"/>
  <c r="J963" i="7" a="1"/>
  <c r="M963" i="7"/>
  <c r="I962" i="7"/>
  <c r="J962" i="7" a="1"/>
  <c r="M962" i="7"/>
  <c r="J961" i="7" a="1"/>
  <c r="M961" i="7"/>
  <c r="I961" i="7"/>
  <c r="I960" i="7"/>
  <c r="J960" i="7" a="1"/>
  <c r="M960" i="7"/>
  <c r="I959" i="7"/>
  <c r="J959" i="7" a="1"/>
  <c r="M959" i="7"/>
  <c r="J958" i="7" a="1"/>
  <c r="M958" i="7"/>
  <c r="I958" i="7"/>
  <c r="J957" i="7" a="1"/>
  <c r="I957" i="7"/>
  <c r="M957" i="7"/>
  <c r="M956" i="7"/>
  <c r="I956" i="7"/>
  <c r="J956" i="7" a="1"/>
  <c r="J955" i="7" a="1"/>
  <c r="I955" i="7"/>
  <c r="M955" i="7"/>
  <c r="J954" i="7" a="1"/>
  <c r="I954" i="7"/>
  <c r="M954" i="7"/>
  <c r="J953" i="7" a="1"/>
  <c r="M953" i="7"/>
  <c r="I953" i="7"/>
  <c r="I952" i="7"/>
  <c r="J952" i="7" a="1"/>
  <c r="M952" i="7"/>
  <c r="I950" i="7"/>
  <c r="J950" i="7" a="1"/>
  <c r="M950" i="7"/>
  <c r="I949" i="7"/>
  <c r="J949" i="7" a="1"/>
  <c r="M949" i="7"/>
  <c r="J948" i="7" a="1"/>
  <c r="M948" i="7"/>
  <c r="I948" i="7"/>
  <c r="I947" i="7"/>
  <c r="J947" i="7" a="1"/>
  <c r="M947" i="7"/>
  <c r="I983" i="7"/>
  <c r="J983" i="7" a="1"/>
  <c r="M983" i="7"/>
  <c r="I982" i="7"/>
  <c r="J982" i="7" a="1"/>
  <c r="M982" i="7"/>
  <c r="J981" i="7" a="1"/>
  <c r="M981" i="7"/>
  <c r="I981" i="7"/>
  <c r="I980" i="7"/>
  <c r="J980" i="7" a="1"/>
  <c r="M980" i="7"/>
  <c r="I979" i="7"/>
  <c r="J979" i="7" a="1"/>
  <c r="M979" i="7"/>
  <c r="I978" i="7"/>
  <c r="J978" i="7" a="1"/>
  <c r="M978" i="7"/>
  <c r="I977" i="7"/>
  <c r="J977" i="7" a="1"/>
  <c r="M977" i="7"/>
  <c r="M976" i="7"/>
  <c r="I976" i="7"/>
  <c r="J976" i="7" a="1"/>
  <c r="I975" i="7"/>
  <c r="J975" i="7" a="1"/>
  <c r="M975" i="7"/>
  <c r="J974" i="7" a="1"/>
  <c r="M974" i="7"/>
  <c r="I974" i="7"/>
  <c r="I973" i="7"/>
  <c r="J973" i="7" a="1"/>
  <c r="M973" i="7"/>
  <c r="I972" i="7"/>
  <c r="J972" i="7" a="1"/>
  <c r="M972" i="7"/>
  <c r="I971" i="7"/>
  <c r="J971" i="7" a="1"/>
  <c r="M971" i="7"/>
  <c r="J970" i="7" a="1"/>
  <c r="M970" i="7"/>
  <c r="I970" i="7"/>
  <c r="I969" i="7"/>
  <c r="J969" i="7" a="1"/>
  <c r="M969" i="7"/>
  <c r="J968" i="7" a="1"/>
  <c r="M968" i="7"/>
  <c r="I968" i="7"/>
  <c r="I967" i="7"/>
  <c r="J967" i="7" a="1"/>
  <c r="M967" i="7"/>
  <c r="I999" i="7"/>
  <c r="J999" i="7" a="1"/>
  <c r="M999" i="7"/>
  <c r="I998" i="7"/>
  <c r="J998" i="7" a="1"/>
  <c r="M998" i="7"/>
  <c r="I997" i="7"/>
  <c r="J997" i="7" a="1"/>
  <c r="M997" i="7"/>
  <c r="I996" i="7"/>
  <c r="J996" i="7" a="1"/>
  <c r="M996" i="7"/>
  <c r="I995" i="7"/>
  <c r="J995" i="7" a="1"/>
  <c r="M995" i="7"/>
  <c r="I994" i="7"/>
  <c r="J994" i="7" a="1"/>
  <c r="M994" i="7"/>
  <c r="M993" i="7"/>
  <c r="I993" i="7"/>
  <c r="J993" i="7" a="1"/>
  <c r="I992" i="7"/>
  <c r="J992" i="7" a="1"/>
  <c r="M992" i="7"/>
  <c r="I991" i="7"/>
  <c r="J991" i="7" a="1"/>
  <c r="M991" i="7"/>
  <c r="I990" i="7"/>
  <c r="J990" i="7" a="1"/>
  <c r="M990" i="7"/>
  <c r="I989" i="7"/>
  <c r="J989" i="7" a="1"/>
  <c r="M989" i="7"/>
  <c r="J988" i="7" a="1"/>
  <c r="M988" i="7"/>
  <c r="I988" i="7"/>
  <c r="J987" i="7" a="1"/>
  <c r="M987" i="7"/>
  <c r="I987" i="7"/>
  <c r="M986" i="7"/>
  <c r="I986" i="7"/>
  <c r="J986" i="7" a="1"/>
  <c r="I985" i="7"/>
  <c r="J985" i="7" a="1"/>
  <c r="M985" i="7"/>
  <c r="I984" i="7"/>
  <c r="J984" i="7" a="1"/>
  <c r="M984" i="7"/>
  <c r="I1015" i="7"/>
  <c r="M1015" i="7"/>
  <c r="J1015" i="7" a="1"/>
  <c r="M1014" i="7"/>
  <c r="I1014" i="7"/>
  <c r="J1014" i="7" a="1"/>
  <c r="I1013" i="7"/>
  <c r="J1013" i="7" a="1"/>
  <c r="M1013" i="7"/>
  <c r="J1012" i="7" a="1"/>
  <c r="I1012" i="7"/>
  <c r="M1012" i="7"/>
  <c r="I1011" i="7"/>
  <c r="J1011" i="7" a="1"/>
  <c r="M1011" i="7"/>
  <c r="J1010" i="7" a="1"/>
  <c r="I1010" i="7"/>
  <c r="M1010" i="7"/>
  <c r="I1009" i="7"/>
  <c r="J1009" i="7" a="1"/>
  <c r="M1009" i="7"/>
  <c r="I1007" i="7"/>
  <c r="J1007" i="7" a="1"/>
  <c r="M1007" i="7"/>
  <c r="J1006" i="7" a="1"/>
  <c r="I1006" i="7"/>
  <c r="M1006" i="7"/>
  <c r="I1005" i="7"/>
  <c r="J1005" i="7" a="1"/>
  <c r="M1005" i="7"/>
  <c r="I1004" i="7"/>
  <c r="J1004" i="7" a="1"/>
  <c r="M1004" i="7"/>
  <c r="I1003" i="7"/>
  <c r="J1003" i="7" a="1"/>
  <c r="M1003" i="7"/>
  <c r="I1002" i="7"/>
  <c r="J1002" i="7" a="1"/>
  <c r="M1002" i="7"/>
  <c r="I1001" i="7"/>
  <c r="J1001" i="7" a="1"/>
  <c r="M1001" i="7"/>
  <c r="I1000" i="7"/>
  <c r="M1000" i="7"/>
  <c r="J1000" i="7" a="1"/>
  <c r="J1030" i="7" a="1"/>
  <c r="M1030" i="7"/>
  <c r="I1030" i="7"/>
  <c r="J1029" i="7" a="1"/>
  <c r="M1029" i="7"/>
  <c r="I1029" i="7"/>
  <c r="J1028" i="7" a="1"/>
  <c r="M1028" i="7"/>
  <c r="I1028" i="7"/>
  <c r="I1027" i="7"/>
  <c r="J1027" i="7" a="1"/>
  <c r="M1027" i="7"/>
  <c r="I1026" i="7"/>
  <c r="J1026" i="7" a="1"/>
  <c r="M1026" i="7"/>
  <c r="I1025" i="7"/>
  <c r="J1025" i="7" a="1"/>
  <c r="M1025" i="7"/>
  <c r="J1024" i="7" a="1"/>
  <c r="I1024" i="7"/>
  <c r="M1024" i="7"/>
  <c r="I1023" i="7"/>
  <c r="J1023" i="7" a="1"/>
  <c r="M1023" i="7"/>
  <c r="I1022" i="7"/>
  <c r="J1022" i="7" a="1"/>
  <c r="M1022" i="7"/>
  <c r="J1021" i="7" a="1"/>
  <c r="M1021" i="7"/>
  <c r="I1021" i="7"/>
  <c r="I1020" i="7"/>
  <c r="J1020" i="7" a="1"/>
  <c r="M1020" i="7"/>
  <c r="J1019" i="7" a="1"/>
  <c r="M1019" i="7"/>
  <c r="I1019" i="7"/>
  <c r="J1017" i="7" a="1"/>
  <c r="M1017" i="7"/>
  <c r="I1017" i="7"/>
  <c r="J1016" i="7" a="1"/>
  <c r="M1016" i="7"/>
  <c r="I1016" i="7"/>
  <c r="I1043" i="7"/>
  <c r="J1043" i="7" a="1"/>
  <c r="M1043" i="7"/>
  <c r="I1042" i="7"/>
  <c r="J1042" i="7" a="1"/>
  <c r="M1042" i="7"/>
  <c r="I1041" i="7"/>
  <c r="J1041" i="7" a="1"/>
  <c r="M1041" i="7"/>
  <c r="I1040" i="7"/>
  <c r="J1040" i="7" a="1"/>
  <c r="M1040" i="7"/>
  <c r="J1039" i="7" a="1"/>
  <c r="M1039" i="7"/>
  <c r="I1039" i="7"/>
  <c r="I1038" i="7"/>
  <c r="J1038" i="7" a="1"/>
  <c r="M1038" i="7"/>
  <c r="I1037" i="7"/>
  <c r="J1037" i="7" a="1"/>
  <c r="M1037" i="7"/>
  <c r="M1036" i="7"/>
  <c r="I1036" i="7"/>
  <c r="J1036" i="7" a="1"/>
  <c r="J1035" i="7" a="1"/>
  <c r="M1035" i="7"/>
  <c r="I1035" i="7"/>
  <c r="I1034" i="7"/>
  <c r="J1034" i="7" a="1"/>
  <c r="M1034" i="7"/>
  <c r="I1033" i="7"/>
  <c r="J1033" i="7" a="1"/>
  <c r="M1033" i="7"/>
  <c r="M1032" i="7"/>
  <c r="I1032" i="7"/>
  <c r="J1032" i="7" a="1"/>
  <c r="I1031" i="7"/>
  <c r="J1031" i="7" a="1"/>
  <c r="M1031" i="7"/>
  <c r="I1053" i="7"/>
  <c r="J1053" i="7" a="1"/>
  <c r="M1053" i="7"/>
  <c r="J1052" i="7" a="1"/>
  <c r="M1052" i="7"/>
  <c r="I1052" i="7"/>
  <c r="J1051" i="7" a="1"/>
  <c r="M1051" i="7"/>
  <c r="I1051" i="7"/>
  <c r="I1050" i="7"/>
  <c r="M1050" i="7"/>
  <c r="J1050" i="7" a="1"/>
  <c r="I1049" i="7"/>
  <c r="J1049" i="7" a="1"/>
  <c r="M1049" i="7"/>
  <c r="I1048" i="7"/>
  <c r="M1048" i="7"/>
  <c r="J1048" i="7" a="1"/>
  <c r="J1047" i="7" a="1"/>
  <c r="M1047" i="7"/>
  <c r="I1047" i="7"/>
  <c r="J1046" i="7" a="1"/>
  <c r="I1046" i="7"/>
  <c r="M1046" i="7"/>
  <c r="I1045" i="7"/>
  <c r="J1045" i="7" a="1"/>
  <c r="M1045" i="7"/>
  <c r="J1044" i="7" a="1"/>
  <c r="M1044" i="7"/>
  <c r="I1044" i="7"/>
  <c r="I1062" i="7"/>
  <c r="J1062" i="7" a="1"/>
  <c r="M1062" i="7"/>
  <c r="I1061" i="7"/>
  <c r="J1061" i="7" a="1"/>
  <c r="M1061" i="7"/>
  <c r="I1060" i="7"/>
  <c r="J1060" i="7" a="1"/>
  <c r="M1060" i="7"/>
  <c r="J1059" i="7" a="1"/>
  <c r="M1059" i="7"/>
  <c r="I1059" i="7"/>
  <c r="I1058" i="7"/>
  <c r="J1058" i="7" a="1"/>
  <c r="M1058" i="7"/>
  <c r="J1057" i="7" a="1"/>
  <c r="M1057" i="7"/>
  <c r="I1057" i="7"/>
  <c r="I1056" i="7"/>
  <c r="J1056" i="7" a="1"/>
  <c r="M1056" i="7"/>
  <c r="J1055" i="7" a="1"/>
  <c r="M1055" i="7"/>
  <c r="I1055" i="7"/>
  <c r="I1054" i="7"/>
  <c r="J1054" i="7" a="1"/>
  <c r="M1054" i="7"/>
  <c r="I1072" i="7"/>
  <c r="M1072" i="7"/>
  <c r="J1072" i="7" a="1"/>
  <c r="I1071" i="7"/>
  <c r="J1071" i="7" a="1"/>
  <c r="M1071" i="7"/>
  <c r="J1070" i="7" a="1"/>
  <c r="M1070" i="7"/>
  <c r="I1070" i="7"/>
  <c r="I1069" i="7"/>
  <c r="J1069" i="7" a="1"/>
  <c r="M1069" i="7"/>
  <c r="J1068" i="7" a="1"/>
  <c r="M1068" i="7"/>
  <c r="I1068" i="7"/>
  <c r="I1067" i="7"/>
  <c r="J1067" i="7" a="1"/>
  <c r="M1067" i="7"/>
  <c r="I1066" i="7"/>
  <c r="J1066" i="7" a="1"/>
  <c r="M1066" i="7"/>
  <c r="I1065" i="7"/>
  <c r="J1065" i="7" a="1"/>
  <c r="M1065" i="7"/>
  <c r="I1064" i="7"/>
  <c r="J1064" i="7" a="1"/>
  <c r="M1064" i="7"/>
  <c r="J1063" i="7" a="1"/>
  <c r="M1063" i="7"/>
  <c r="I1063" i="7"/>
  <c r="I1082" i="7"/>
  <c r="J1082" i="7" a="1"/>
  <c r="M1082" i="7"/>
  <c r="I1081" i="7"/>
  <c r="J1081" i="7" a="1"/>
  <c r="M1081" i="7"/>
  <c r="I1080" i="7"/>
  <c r="J1080" i="7" a="1"/>
  <c r="M1080" i="7"/>
  <c r="I1079" i="7"/>
  <c r="J1079" i="7" a="1"/>
  <c r="M1079" i="7"/>
  <c r="J1078" i="7" a="1"/>
  <c r="M1078" i="7"/>
  <c r="I1078" i="7"/>
  <c r="I1077" i="7"/>
  <c r="M1077" i="7"/>
  <c r="J1077" i="7" a="1"/>
  <c r="I1076" i="7"/>
  <c r="J1076" i="7" a="1"/>
  <c r="M1076" i="7"/>
  <c r="I1075" i="7"/>
  <c r="J1075" i="7" a="1"/>
  <c r="M1075" i="7"/>
  <c r="M1074" i="7"/>
  <c r="I1074" i="7"/>
  <c r="J1074" i="7" a="1"/>
  <c r="I1073" i="7"/>
  <c r="J1073" i="7" a="1"/>
  <c r="M1073" i="7"/>
  <c r="I1093" i="7"/>
  <c r="J1093" i="7" a="1"/>
  <c r="M1093" i="7"/>
  <c r="I1092" i="7"/>
  <c r="J1092" i="7" a="1"/>
  <c r="M1092" i="7"/>
  <c r="I1091" i="7"/>
  <c r="J1091" i="7" a="1"/>
  <c r="M1091" i="7"/>
  <c r="I1090" i="7"/>
  <c r="J1090" i="7" a="1"/>
  <c r="M1090" i="7"/>
  <c r="I1089" i="7"/>
  <c r="M1089" i="7"/>
  <c r="J1089" i="7" a="1"/>
  <c r="J1088" i="7" a="1"/>
  <c r="M1088" i="7"/>
  <c r="I1088" i="7"/>
  <c r="I1087" i="7"/>
  <c r="J1087" i="7" a="1"/>
  <c r="M1087" i="7"/>
  <c r="I1086" i="7"/>
  <c r="J1086" i="7" a="1"/>
  <c r="M1086" i="7"/>
  <c r="J1085" i="7" a="1"/>
  <c r="M1085" i="7"/>
  <c r="I1085" i="7"/>
  <c r="I1084" i="7"/>
  <c r="J1084" i="7" a="1"/>
  <c r="M1084" i="7"/>
  <c r="J1083" i="7" a="1"/>
  <c r="I1083" i="7"/>
  <c r="M1083" i="7"/>
  <c r="I1102" i="7"/>
  <c r="J1102" i="7" a="1"/>
  <c r="M1102" i="7"/>
  <c r="I1101" i="7"/>
  <c r="J1101" i="7" a="1"/>
  <c r="M1101" i="7"/>
  <c r="M1100" i="7"/>
  <c r="I1100" i="7"/>
  <c r="J1100" i="7" a="1"/>
  <c r="I1099" i="7"/>
  <c r="J1099" i="7" a="1"/>
  <c r="M1099" i="7"/>
  <c r="I1098" i="7"/>
  <c r="J1098" i="7" a="1"/>
  <c r="M1098" i="7"/>
  <c r="I1097" i="7"/>
  <c r="J1097" i="7" a="1"/>
  <c r="M1097" i="7"/>
  <c r="J1096" i="7" a="1"/>
  <c r="I1096" i="7"/>
  <c r="M1096" i="7"/>
  <c r="I1095" i="7"/>
  <c r="J1095" i="7" a="1"/>
  <c r="M1095" i="7"/>
  <c r="J1094" i="7" a="1"/>
  <c r="M1094" i="7"/>
  <c r="I1094" i="7"/>
  <c r="J1115" i="7" a="1"/>
  <c r="I1115" i="7"/>
  <c r="M1115" i="7"/>
  <c r="I1114" i="7"/>
  <c r="J1114" i="7" a="1"/>
  <c r="M1114" i="7"/>
  <c r="I1113" i="7"/>
  <c r="J1113" i="7" a="1"/>
  <c r="M1113" i="7"/>
  <c r="I1112" i="7"/>
  <c r="J1112" i="7" a="1"/>
  <c r="M1112" i="7"/>
  <c r="I1111" i="7"/>
  <c r="M1111" i="7"/>
  <c r="J1111" i="7" a="1"/>
  <c r="J1110" i="7" a="1"/>
  <c r="M1110" i="7"/>
  <c r="I1110" i="7"/>
  <c r="I1109" i="7"/>
  <c r="J1109" i="7" a="1"/>
  <c r="M1109" i="7"/>
  <c r="J1108" i="7" a="1"/>
  <c r="I1108" i="7"/>
  <c r="M1108" i="7"/>
  <c r="I1107" i="7"/>
  <c r="J1107" i="7" a="1"/>
  <c r="M1107" i="7"/>
  <c r="I1106" i="7"/>
  <c r="M1106" i="7"/>
  <c r="J1106" i="7" a="1"/>
  <c r="I1105" i="7"/>
  <c r="J1105" i="7" a="1"/>
  <c r="M1105" i="7"/>
  <c r="J1104" i="7" a="1"/>
  <c r="M1104" i="7"/>
  <c r="I1104" i="7"/>
  <c r="I1126" i="7"/>
  <c r="J1126" i="7" a="1"/>
  <c r="M1126" i="7"/>
  <c r="I1125" i="7"/>
  <c r="J1125" i="7" a="1"/>
  <c r="M1125" i="7"/>
  <c r="I1124" i="7"/>
  <c r="J1124" i="7" a="1"/>
  <c r="M1124" i="7"/>
  <c r="J1123" i="7" a="1"/>
  <c r="M1123" i="7"/>
  <c r="I1123" i="7"/>
  <c r="I1122" i="7"/>
  <c r="J1122" i="7" a="1"/>
  <c r="M1122" i="7"/>
  <c r="I1121" i="7"/>
  <c r="J1121" i="7" a="1"/>
  <c r="M1121" i="7"/>
  <c r="I1120" i="7"/>
  <c r="J1120" i="7" a="1"/>
  <c r="M1120" i="7"/>
  <c r="I1119" i="7"/>
  <c r="J1119" i="7" a="1"/>
  <c r="M1119" i="7"/>
  <c r="I1118" i="7"/>
  <c r="J1118" i="7" a="1"/>
  <c r="M1118" i="7"/>
  <c r="I1117" i="7"/>
  <c r="J1117" i="7" a="1"/>
  <c r="M1117" i="7"/>
  <c r="J1116" i="7" a="1"/>
  <c r="I1116" i="7"/>
  <c r="M1116" i="7"/>
  <c r="I1137" i="7"/>
  <c r="J1137" i="7" a="1"/>
  <c r="M1137" i="7"/>
  <c r="J1136" i="7" a="1"/>
  <c r="I1136" i="7"/>
  <c r="M1136" i="7"/>
  <c r="I1135" i="7"/>
  <c r="J1135" i="7" a="1"/>
  <c r="M1135" i="7"/>
  <c r="J1134" i="7" a="1"/>
  <c r="M1134" i="7"/>
  <c r="I1134" i="7"/>
  <c r="J1133" i="7" a="1"/>
  <c r="I1133" i="7"/>
  <c r="M1133" i="7"/>
  <c r="J1132" i="7" a="1"/>
  <c r="I1132" i="7"/>
  <c r="M1132" i="7"/>
  <c r="I1131" i="7"/>
  <c r="M1131" i="7"/>
  <c r="J1131" i="7" a="1"/>
  <c r="J1130" i="7" a="1"/>
  <c r="M1130" i="7"/>
  <c r="I1130" i="7"/>
  <c r="I1129" i="7"/>
  <c r="J1129" i="7" a="1"/>
  <c r="M1129" i="7"/>
  <c r="I1128" i="7"/>
  <c r="M1128" i="7"/>
  <c r="J1128" i="7" a="1"/>
  <c r="I1127" i="7"/>
  <c r="J1127" i="7" a="1"/>
  <c r="M1127" i="7"/>
  <c r="I1146" i="7"/>
  <c r="J1146" i="7" a="1"/>
  <c r="M1146" i="7"/>
  <c r="J1145" i="7" a="1"/>
  <c r="M1145" i="7"/>
  <c r="I1145" i="7"/>
  <c r="I1144" i="7"/>
  <c r="J1144" i="7" a="1"/>
  <c r="M1144" i="7"/>
  <c r="I1143" i="7"/>
  <c r="J1143" i="7" a="1"/>
  <c r="M1143" i="7"/>
  <c r="I1142" i="7"/>
  <c r="J1142" i="7" a="1"/>
  <c r="M1142" i="7"/>
  <c r="J1141" i="7" a="1"/>
  <c r="I1141" i="7"/>
  <c r="M1141" i="7"/>
  <c r="I1140" i="7"/>
  <c r="J1140" i="7" a="1"/>
  <c r="M1140" i="7"/>
  <c r="I1139" i="7"/>
  <c r="J1139" i="7" a="1"/>
  <c r="M1139" i="7"/>
  <c r="I1138" i="7"/>
  <c r="J1138" i="7" a="1"/>
  <c r="M1138" i="7"/>
  <c r="I1156" i="7"/>
  <c r="M1156" i="7"/>
  <c r="J1156" i="7" a="1"/>
  <c r="I1155" i="7"/>
  <c r="J1155" i="7" a="1"/>
  <c r="M1155" i="7"/>
  <c r="J1154" i="7" a="1"/>
  <c r="M1154" i="7"/>
  <c r="I1154" i="7"/>
  <c r="J1153" i="7" a="1"/>
  <c r="I1153" i="7"/>
  <c r="M1153" i="7"/>
  <c r="I1150" i="7"/>
  <c r="J1150" i="7" a="1"/>
  <c r="M1150" i="7"/>
  <c r="J1149" i="7" a="1"/>
  <c r="M1149" i="7"/>
  <c r="I1149" i="7"/>
  <c r="J1148" i="7" a="1"/>
  <c r="M1148" i="7"/>
  <c r="I1148" i="7"/>
  <c r="I1147" i="7"/>
  <c r="J1147" i="7" a="1"/>
  <c r="M1147" i="7"/>
  <c r="I1167" i="7"/>
  <c r="J1167" i="7" a="1"/>
  <c r="M1167" i="7"/>
  <c r="I1166" i="7"/>
  <c r="M1166" i="7"/>
  <c r="J1166" i="7" a="1"/>
  <c r="I1165" i="7"/>
  <c r="J1165" i="7" a="1"/>
  <c r="M1165" i="7"/>
  <c r="I1164" i="7"/>
  <c r="J1164" i="7" a="1"/>
  <c r="M1164" i="7"/>
  <c r="I1163" i="7"/>
  <c r="J1163" i="7" a="1"/>
  <c r="M1163" i="7"/>
  <c r="J1162" i="7" a="1"/>
  <c r="M1162" i="7"/>
  <c r="I1162" i="7"/>
  <c r="I1161" i="7"/>
  <c r="J1161" i="7" a="1"/>
  <c r="M1161" i="7"/>
  <c r="I1160" i="7"/>
  <c r="J1160" i="7" a="1"/>
  <c r="M1160" i="7"/>
  <c r="J1159" i="7" a="1"/>
  <c r="M1159" i="7"/>
  <c r="I1159" i="7"/>
  <c r="I1158" i="7"/>
  <c r="J1158" i="7" a="1"/>
  <c r="M1158" i="7"/>
  <c r="I1157" i="7"/>
  <c r="J1157" i="7" a="1"/>
  <c r="M1157" i="7"/>
  <c r="J1172" i="7" a="1"/>
  <c r="M1172" i="7"/>
  <c r="I1172" i="7"/>
  <c r="I1171" i="7"/>
  <c r="J1171" i="7" a="1"/>
  <c r="M1171" i="7"/>
  <c r="J1170" i="7" a="1"/>
  <c r="M1170" i="7"/>
  <c r="I1170" i="7"/>
  <c r="J1169" i="7" a="1"/>
  <c r="M1169" i="7"/>
  <c r="I1169" i="7"/>
  <c r="J1168" i="7" a="1"/>
  <c r="M1168" i="7"/>
  <c r="I1168" i="7"/>
  <c r="J1177" i="7" a="1"/>
  <c r="M1177" i="7"/>
  <c r="I1177" i="7"/>
  <c r="I1176" i="7"/>
  <c r="J1176" i="7" a="1"/>
  <c r="M1176" i="7"/>
  <c r="I1175" i="7"/>
  <c r="M1175" i="7"/>
  <c r="J1175" i="7" a="1"/>
  <c r="I1174" i="7"/>
  <c r="J1174" i="7" a="1"/>
  <c r="M1174" i="7"/>
  <c r="I1173" i="7"/>
  <c r="J1173" i="7" a="1"/>
  <c r="M1173" i="7"/>
  <c r="J1182" i="7" a="1"/>
  <c r="M1182" i="7"/>
  <c r="I1182" i="7"/>
  <c r="I1181" i="7"/>
  <c r="J1181" i="7" a="1"/>
  <c r="M1181" i="7"/>
  <c r="I1180" i="7"/>
  <c r="M1180" i="7"/>
  <c r="J1180" i="7" a="1"/>
  <c r="I1179" i="7"/>
  <c r="J1179" i="7" a="1"/>
  <c r="M1179" i="7"/>
  <c r="J1186" i="7" a="1"/>
  <c r="M1186" i="7"/>
  <c r="I1186" i="7"/>
  <c r="I1185" i="7"/>
  <c r="J1185" i="7" a="1"/>
  <c r="M1185" i="7"/>
  <c r="I1184" i="7"/>
  <c r="J1184" i="7" a="1"/>
  <c r="M1184" i="7"/>
  <c r="I1183" i="7"/>
  <c r="J1183" i="7" a="1"/>
  <c r="M1183" i="7"/>
  <c r="J1192" i="7" a="1"/>
  <c r="M1192" i="7"/>
  <c r="I1192" i="7"/>
  <c r="I1191" i="7"/>
  <c r="J1191" i="7" a="1"/>
  <c r="M1191" i="7"/>
  <c r="I1190" i="7"/>
  <c r="J1190" i="7" a="1"/>
  <c r="M1190" i="7"/>
  <c r="I1189" i="7"/>
  <c r="M1189" i="7"/>
  <c r="J1189" i="7" a="1"/>
  <c r="J1188" i="7" a="1"/>
  <c r="M1188" i="7"/>
  <c r="I1188" i="7"/>
  <c r="I1187" i="7"/>
  <c r="M1187" i="7"/>
  <c r="J1187" i="7" a="1"/>
  <c r="J1206" i="7" a="1"/>
  <c r="I1206" i="7"/>
  <c r="M1206" i="7"/>
  <c r="J1205" i="7" a="1"/>
  <c r="I1205" i="7"/>
  <c r="M1205" i="7"/>
  <c r="M1204" i="7"/>
  <c r="I1204" i="7"/>
  <c r="J1204" i="7" a="1"/>
  <c r="M1203" i="7"/>
  <c r="I1203" i="7"/>
  <c r="J1203" i="7" a="1"/>
  <c r="J1202" i="7" a="1"/>
  <c r="M1202" i="7"/>
  <c r="I1202" i="7"/>
  <c r="I1201" i="7"/>
  <c r="M1201" i="7"/>
  <c r="J1201" i="7" a="1"/>
  <c r="J1200" i="7" a="1"/>
  <c r="I1200" i="7"/>
  <c r="M1200" i="7"/>
  <c r="J1199" i="7" a="1"/>
  <c r="I1199" i="7"/>
  <c r="M1199" i="7"/>
  <c r="I1198" i="7"/>
  <c r="J1198" i="7" a="1"/>
  <c r="M1198" i="7"/>
  <c r="I1197" i="7"/>
  <c r="J1197" i="7" a="1"/>
  <c r="M1197" i="7"/>
  <c r="J1196" i="7" a="1"/>
  <c r="I1196" i="7"/>
  <c r="M1196" i="7"/>
  <c r="I1195" i="7"/>
  <c r="J1195" i="7" a="1"/>
  <c r="M1195" i="7"/>
  <c r="I1194" i="7"/>
  <c r="J1194" i="7" a="1"/>
  <c r="M1194" i="7"/>
  <c r="I1193" i="7"/>
  <c r="J1193" i="7" a="1"/>
  <c r="M1193" i="7"/>
  <c r="I1220" i="7"/>
  <c r="J1220" i="7" a="1"/>
  <c r="M1220" i="7"/>
  <c r="I1219" i="7"/>
  <c r="J1219" i="7" a="1"/>
  <c r="M1219" i="7"/>
  <c r="I1218" i="7"/>
  <c r="J1218" i="7" a="1"/>
  <c r="M1218" i="7"/>
  <c r="J1217" i="7" a="1"/>
  <c r="I1217" i="7"/>
  <c r="M1217" i="7"/>
  <c r="I1216" i="7"/>
  <c r="J1216" i="7" a="1"/>
  <c r="M1216" i="7"/>
  <c r="I1215" i="7"/>
  <c r="M1215" i="7"/>
  <c r="J1215" i="7" a="1"/>
  <c r="I1214" i="7"/>
  <c r="J1214" i="7" a="1"/>
  <c r="M1214" i="7"/>
  <c r="I1212" i="7"/>
  <c r="J1212" i="7" a="1"/>
  <c r="M1212" i="7"/>
  <c r="I1211" i="7"/>
  <c r="J1211" i="7" a="1"/>
  <c r="M1211" i="7"/>
  <c r="J1210" i="7" a="1"/>
  <c r="I1210" i="7"/>
  <c r="M1210" i="7"/>
  <c r="I1209" i="7"/>
  <c r="J1209" i="7" a="1"/>
  <c r="M1209" i="7"/>
  <c r="I1208" i="7"/>
  <c r="J1208" i="7" a="1"/>
  <c r="M1208" i="7"/>
  <c r="J1207" i="7" a="1"/>
  <c r="M1207" i="7"/>
  <c r="I1207" i="7"/>
  <c r="I1249" i="7"/>
  <c r="J1249" i="7" a="1"/>
  <c r="M1249" i="7"/>
  <c r="J1248" i="7" a="1"/>
  <c r="M1248" i="7"/>
  <c r="I1248" i="7"/>
  <c r="I1247" i="7"/>
  <c r="J1247" i="7" a="1"/>
  <c r="M1247" i="7"/>
  <c r="J1246" i="7" a="1"/>
  <c r="M1246" i="7"/>
  <c r="I1246" i="7"/>
  <c r="I1245" i="7"/>
  <c r="J1245" i="7" a="1"/>
  <c r="M1245" i="7"/>
  <c r="J1244" i="7" a="1"/>
  <c r="M1244" i="7"/>
  <c r="I1244" i="7"/>
  <c r="I1243" i="7"/>
  <c r="J1243" i="7" a="1"/>
  <c r="M1243" i="7"/>
  <c r="J1242" i="7" a="1"/>
  <c r="M1242" i="7"/>
  <c r="I1242" i="7"/>
  <c r="J1241" i="7" a="1"/>
  <c r="M1241" i="7"/>
  <c r="I1241" i="7"/>
  <c r="J1240" i="7" a="1"/>
  <c r="M1240" i="7"/>
  <c r="I1240" i="7"/>
  <c r="I1239" i="7"/>
  <c r="J1239" i="7" a="1"/>
  <c r="M1239" i="7"/>
  <c r="I1238" i="7"/>
  <c r="J1238" i="7" a="1"/>
  <c r="M1238" i="7"/>
  <c r="I1237" i="7"/>
  <c r="J1237" i="7" a="1"/>
  <c r="M1237" i="7"/>
  <c r="J1236" i="7" a="1"/>
  <c r="M1236" i="7"/>
  <c r="I1236" i="7"/>
  <c r="I1235" i="7"/>
  <c r="J1235" i="7" a="1"/>
  <c r="M1235" i="7"/>
  <c r="I1234" i="7"/>
  <c r="M1234" i="7"/>
  <c r="J1234" i="7" a="1"/>
  <c r="J1233" i="7" a="1"/>
  <c r="M1233" i="7"/>
  <c r="I1233" i="7"/>
  <c r="I1232" i="7"/>
  <c r="J1232" i="7" a="1"/>
  <c r="M1232" i="7"/>
  <c r="I1231" i="7"/>
  <c r="J1231" i="7" a="1"/>
  <c r="M1231" i="7"/>
  <c r="I1230" i="7"/>
  <c r="J1230" i="7" a="1"/>
  <c r="M1230" i="7"/>
  <c r="I1229" i="7"/>
  <c r="J1229" i="7" a="1"/>
  <c r="M1229" i="7"/>
  <c r="I1228" i="7"/>
  <c r="J1228" i="7" a="1"/>
  <c r="M1228" i="7"/>
  <c r="I1227" i="7"/>
  <c r="J1227" i="7" a="1"/>
  <c r="M1227" i="7"/>
  <c r="J1226" i="7" a="1"/>
  <c r="M1226" i="7"/>
  <c r="I1226" i="7"/>
  <c r="I1225" i="7"/>
  <c r="J1225" i="7" a="1"/>
  <c r="M1225" i="7"/>
  <c r="I1224" i="7"/>
  <c r="J1224" i="7" a="1"/>
  <c r="M1224" i="7"/>
  <c r="I1223" i="7"/>
  <c r="M1223" i="7"/>
  <c r="J1223" i="7" a="1"/>
  <c r="I1222" i="7"/>
  <c r="J1222" i="7" a="1"/>
  <c r="M1222" i="7"/>
  <c r="I1221" i="7"/>
  <c r="J1221" i="7" a="1"/>
  <c r="M1221" i="7"/>
  <c r="M1279" i="7"/>
  <c r="I1279" i="7"/>
  <c r="J1279" i="7" a="1"/>
  <c r="I1278" i="7"/>
  <c r="J1278" i="7" a="1"/>
  <c r="M1278" i="7"/>
  <c r="J1277" i="7" a="1"/>
  <c r="M1277" i="7"/>
  <c r="I1277" i="7"/>
  <c r="J1276" i="7" a="1"/>
  <c r="I1276" i="7"/>
  <c r="M1276" i="7"/>
  <c r="I1275" i="7"/>
  <c r="J1275" i="7" a="1"/>
  <c r="M1275" i="7"/>
  <c r="I1274" i="7"/>
  <c r="J1274" i="7" a="1"/>
  <c r="M1274" i="7"/>
  <c r="I1273" i="7"/>
  <c r="J1273" i="7" a="1"/>
  <c r="M1273" i="7"/>
  <c r="I1272" i="7"/>
  <c r="J1272" i="7" a="1"/>
  <c r="M1272" i="7"/>
  <c r="J1271" i="7" a="1"/>
  <c r="I1271" i="7"/>
  <c r="M1271" i="7"/>
  <c r="I1270" i="7"/>
  <c r="J1270" i="7" a="1"/>
  <c r="M1270" i="7"/>
  <c r="I1269" i="7"/>
  <c r="J1269" i="7" a="1"/>
  <c r="M1269" i="7"/>
  <c r="I1268" i="7"/>
  <c r="J1268" i="7" a="1"/>
  <c r="M1268" i="7"/>
  <c r="J1267" i="7" a="1"/>
  <c r="I1267" i="7"/>
  <c r="M1267" i="7"/>
  <c r="I1266" i="7"/>
  <c r="J1266" i="7" a="1"/>
  <c r="M1266" i="7"/>
  <c r="J1265" i="7" a="1"/>
  <c r="M1265" i="7"/>
  <c r="I1265" i="7"/>
  <c r="I1264" i="7"/>
  <c r="J1264" i="7" a="1"/>
  <c r="M1264" i="7"/>
  <c r="J1263" i="7" a="1"/>
  <c r="I1263" i="7"/>
  <c r="M1263" i="7"/>
  <c r="I1262" i="7"/>
  <c r="J1262" i="7" a="1"/>
  <c r="M1262" i="7"/>
  <c r="I1261" i="7"/>
  <c r="J1261" i="7" a="1"/>
  <c r="M1261" i="7"/>
  <c r="I1260" i="7"/>
  <c r="J1260" i="7" a="1"/>
  <c r="M1260" i="7"/>
  <c r="J1259" i="7" a="1"/>
  <c r="M1259" i="7"/>
  <c r="I1259" i="7"/>
  <c r="J1258" i="7" a="1"/>
  <c r="M1258" i="7"/>
  <c r="I1258" i="7"/>
  <c r="I1257" i="7"/>
  <c r="J1257" i="7" a="1"/>
  <c r="M1257" i="7"/>
  <c r="J1256" i="7" a="1"/>
  <c r="M1256" i="7"/>
  <c r="I1256" i="7"/>
  <c r="J1255" i="7" a="1"/>
  <c r="I1255" i="7"/>
  <c r="M1255" i="7"/>
  <c r="I1254" i="7"/>
  <c r="J1254" i="7" a="1"/>
  <c r="M1254" i="7"/>
  <c r="I1253" i="7"/>
  <c r="J1253" i="7" a="1"/>
  <c r="M1253" i="7"/>
  <c r="J1252" i="7" a="1"/>
  <c r="M1252" i="7"/>
  <c r="I1252" i="7"/>
  <c r="I1251" i="7"/>
  <c r="J1251" i="7" a="1"/>
  <c r="M1251" i="7"/>
  <c r="J1250" i="7" a="1"/>
  <c r="M1250" i="7"/>
  <c r="I1250" i="7"/>
  <c r="I1308" i="7"/>
  <c r="J1308" i="7" a="1"/>
  <c r="M1308" i="7"/>
  <c r="I1307" i="7"/>
  <c r="J1307" i="7" a="1"/>
  <c r="M1307" i="7"/>
  <c r="J1306" i="7" a="1"/>
  <c r="M1306" i="7"/>
  <c r="I1306" i="7"/>
  <c r="I1305" i="7"/>
  <c r="J1305" i="7" a="1"/>
  <c r="M1305" i="7"/>
  <c r="I1304" i="7"/>
  <c r="J1304" i="7" a="1"/>
  <c r="M1304" i="7"/>
  <c r="I1303" i="7"/>
  <c r="J1303" i="7" a="1"/>
  <c r="M1303" i="7"/>
  <c r="I1302" i="7"/>
  <c r="J1302" i="7" a="1"/>
  <c r="M1302" i="7"/>
  <c r="I1301" i="7"/>
  <c r="J1301" i="7" a="1"/>
  <c r="M1301" i="7"/>
  <c r="I1300" i="7"/>
  <c r="J1300" i="7" a="1"/>
  <c r="M1300" i="7"/>
  <c r="J1298" i="7" a="1"/>
  <c r="I1298" i="7"/>
  <c r="M1298" i="7"/>
  <c r="J1297" i="7" a="1"/>
  <c r="M1297" i="7"/>
  <c r="I1297" i="7"/>
  <c r="I1296" i="7"/>
  <c r="J1296" i="7" a="1"/>
  <c r="M1296" i="7"/>
  <c r="J1295" i="7" a="1"/>
  <c r="M1295" i="7"/>
  <c r="I1295" i="7"/>
  <c r="I1294" i="7"/>
  <c r="M1294" i="7"/>
  <c r="J1294" i="7" a="1"/>
  <c r="I1293" i="7"/>
  <c r="J1293" i="7" a="1"/>
  <c r="M1293" i="7"/>
  <c r="J1292" i="7" a="1"/>
  <c r="I1292" i="7"/>
  <c r="M1292" i="7"/>
  <c r="I1291" i="7"/>
  <c r="M1291" i="7"/>
  <c r="J1291" i="7" a="1"/>
  <c r="I1290" i="7"/>
  <c r="J1290" i="7" a="1"/>
  <c r="M1290" i="7"/>
  <c r="I1289" i="7"/>
  <c r="J1289" i="7" a="1"/>
  <c r="M1289" i="7"/>
  <c r="I1288" i="7"/>
  <c r="J1288" i="7" a="1"/>
  <c r="M1288" i="7"/>
  <c r="I1287" i="7"/>
  <c r="J1287" i="7" a="1"/>
  <c r="M1287" i="7"/>
  <c r="J1286" i="7" a="1"/>
  <c r="M1286" i="7"/>
  <c r="I1286" i="7"/>
  <c r="J1285" i="7" a="1"/>
  <c r="M1285" i="7"/>
  <c r="I1285" i="7"/>
  <c r="I1284" i="7"/>
  <c r="J1284" i="7" a="1"/>
  <c r="M1284" i="7"/>
  <c r="I1283" i="7"/>
  <c r="J1283" i="7" a="1"/>
  <c r="M1283" i="7"/>
  <c r="J1282" i="7" a="1"/>
  <c r="M1282" i="7"/>
  <c r="I1282" i="7"/>
  <c r="I1281" i="7"/>
  <c r="J1281" i="7" a="1"/>
  <c r="M1281" i="7"/>
  <c r="J1280" i="7" a="1"/>
  <c r="M1280" i="7"/>
  <c r="I1280" i="7"/>
  <c r="I1333" i="7"/>
  <c r="J1333" i="7" a="1"/>
  <c r="M1333" i="7"/>
  <c r="I1332" i="7"/>
  <c r="J1332" i="7" a="1"/>
  <c r="M1332" i="7"/>
  <c r="I1331" i="7"/>
  <c r="J1331" i="7" a="1"/>
  <c r="M1331" i="7"/>
  <c r="I1330" i="7"/>
  <c r="J1330" i="7" a="1"/>
  <c r="M1330" i="7"/>
  <c r="I1329" i="7"/>
  <c r="J1329" i="7" a="1"/>
  <c r="M1329" i="7"/>
  <c r="I1328" i="7"/>
  <c r="J1328" i="7" a="1"/>
  <c r="M1328" i="7"/>
  <c r="I1327" i="7"/>
  <c r="J1327" i="7" a="1"/>
  <c r="M1327" i="7"/>
  <c r="I1326" i="7"/>
  <c r="J1326" i="7" a="1"/>
  <c r="M1326" i="7"/>
  <c r="J1325" i="7" a="1"/>
  <c r="M1325" i="7"/>
  <c r="I1325" i="7"/>
  <c r="J1324" i="7" a="1"/>
  <c r="M1324" i="7"/>
  <c r="I1324" i="7"/>
  <c r="J1323" i="7" a="1"/>
  <c r="M1323" i="7"/>
  <c r="I1323" i="7"/>
  <c r="I1322" i="7"/>
  <c r="J1322" i="7" a="1"/>
  <c r="M1322" i="7"/>
  <c r="I1321" i="7"/>
  <c r="J1321" i="7" a="1"/>
  <c r="M1321" i="7"/>
  <c r="J1320" i="7" a="1"/>
  <c r="I1320" i="7"/>
  <c r="M1320" i="7"/>
  <c r="I1319" i="7"/>
  <c r="J1319" i="7" a="1"/>
  <c r="M1319" i="7"/>
  <c r="I1318" i="7"/>
  <c r="J1318" i="7" a="1"/>
  <c r="M1318" i="7"/>
  <c r="J1317" i="7" a="1"/>
  <c r="M1317" i="7"/>
  <c r="I1317" i="7"/>
  <c r="I1316" i="7"/>
  <c r="J1316" i="7" a="1"/>
  <c r="M1316" i="7"/>
  <c r="I1315" i="7"/>
  <c r="J1315" i="7" a="1"/>
  <c r="M1315" i="7"/>
  <c r="I1314" i="7"/>
  <c r="J1314" i="7" a="1"/>
  <c r="M1314" i="7"/>
  <c r="J1313" i="7" a="1"/>
  <c r="M1313" i="7"/>
  <c r="I1313" i="7"/>
  <c r="I1312" i="7"/>
  <c r="J1312" i="7" a="1"/>
  <c r="M1312" i="7"/>
  <c r="I1311" i="7"/>
  <c r="J1311" i="7" a="1"/>
  <c r="M1311" i="7"/>
  <c r="J1310" i="7" a="1"/>
  <c r="M1310" i="7"/>
  <c r="I1310" i="7"/>
  <c r="I1309" i="7"/>
  <c r="J1309" i="7" a="1"/>
  <c r="M1309" i="7"/>
  <c r="I1364" i="7"/>
  <c r="J1364" i="7" a="1"/>
  <c r="M1364" i="7"/>
  <c r="I1363" i="7"/>
  <c r="J1363" i="7" a="1"/>
  <c r="M1363" i="7"/>
  <c r="I1362" i="7"/>
  <c r="J1362" i="7" a="1"/>
  <c r="M1362" i="7"/>
  <c r="I1361" i="7"/>
  <c r="J1361" i="7" a="1"/>
  <c r="M1361" i="7"/>
  <c r="I1360" i="7"/>
  <c r="J1360" i="7" a="1"/>
  <c r="M1360" i="7"/>
  <c r="J1359" i="7" a="1"/>
  <c r="M1359" i="7"/>
  <c r="I1359" i="7"/>
  <c r="I1358" i="7"/>
  <c r="J1358" i="7" a="1"/>
  <c r="M1358" i="7"/>
  <c r="J1357" i="7" a="1"/>
  <c r="I1357" i="7"/>
  <c r="M1357" i="7"/>
  <c r="I1356" i="7"/>
  <c r="J1356" i="7" a="1"/>
  <c r="M1356" i="7"/>
  <c r="J1355" i="7" a="1"/>
  <c r="M1355" i="7"/>
  <c r="I1355" i="7"/>
  <c r="I1354" i="7"/>
  <c r="J1354" i="7" a="1"/>
  <c r="M1354" i="7"/>
  <c r="I1353" i="7"/>
  <c r="J1353" i="7" a="1"/>
  <c r="M1353" i="7"/>
  <c r="I1352" i="7"/>
  <c r="J1352" i="7" a="1"/>
  <c r="M1352" i="7"/>
  <c r="I1351" i="7"/>
  <c r="J1351" i="7" a="1"/>
  <c r="M1351" i="7"/>
  <c r="I1350" i="7"/>
  <c r="J1350" i="7" a="1"/>
  <c r="M1350" i="7"/>
  <c r="J1349" i="7" a="1"/>
  <c r="M1349" i="7"/>
  <c r="I1349" i="7"/>
  <c r="I1348" i="7"/>
  <c r="J1348" i="7" a="1"/>
  <c r="M1348" i="7"/>
  <c r="I1347" i="7"/>
  <c r="J1347" i="7" a="1"/>
  <c r="M1347" i="7"/>
  <c r="I1345" i="7"/>
  <c r="J1345" i="7" a="1"/>
  <c r="M1345" i="7"/>
  <c r="I1344" i="7"/>
  <c r="J1344" i="7" a="1"/>
  <c r="M1344" i="7"/>
  <c r="I1342" i="7"/>
  <c r="J1342" i="7" a="1"/>
  <c r="M1342" i="7"/>
  <c r="J1341" i="7" a="1"/>
  <c r="M1341" i="7"/>
  <c r="I1341" i="7"/>
  <c r="I1340" i="7"/>
  <c r="J1340" i="7" a="1"/>
  <c r="M1340" i="7"/>
  <c r="I1339" i="7"/>
  <c r="J1339" i="7" a="1"/>
  <c r="M1339" i="7"/>
  <c r="I1338" i="7"/>
  <c r="J1338" i="7" a="1"/>
  <c r="M1338" i="7"/>
  <c r="I1337" i="7"/>
  <c r="J1337" i="7" a="1"/>
  <c r="M1337" i="7"/>
  <c r="I1336" i="7"/>
  <c r="J1336" i="7" a="1"/>
  <c r="M1336" i="7"/>
  <c r="I1335" i="7"/>
  <c r="J1335" i="7" a="1"/>
  <c r="M1335" i="7"/>
  <c r="I1334" i="7"/>
  <c r="J1334" i="7" a="1"/>
  <c r="M1334" i="7"/>
  <c r="J1396" i="7" a="1"/>
  <c r="I1396" i="7"/>
  <c r="M1396" i="7"/>
  <c r="M1395" i="7"/>
  <c r="I1395" i="7"/>
  <c r="J1395" i="7" a="1"/>
  <c r="I1394" i="7"/>
  <c r="M1394" i="7"/>
  <c r="J1394" i="7" a="1"/>
  <c r="J1393" i="7" a="1"/>
  <c r="I1393" i="7"/>
  <c r="M1393" i="7"/>
  <c r="I1392" i="7"/>
  <c r="J1392" i="7" a="1"/>
  <c r="M1392" i="7"/>
  <c r="I1391" i="7"/>
  <c r="J1391" i="7" a="1"/>
  <c r="M1391" i="7"/>
  <c r="I1390" i="7"/>
  <c r="J1390" i="7" a="1"/>
  <c r="M1390" i="7"/>
  <c r="I1389" i="7"/>
  <c r="J1389" i="7" a="1"/>
  <c r="M1389" i="7"/>
  <c r="J1388" i="7" a="1"/>
  <c r="I1388" i="7"/>
  <c r="M1388" i="7"/>
  <c r="I1387" i="7"/>
  <c r="J1387" i="7" a="1"/>
  <c r="M1387" i="7"/>
  <c r="I1386" i="7"/>
  <c r="J1386" i="7" a="1"/>
  <c r="M1386" i="7"/>
  <c r="I1385" i="7"/>
  <c r="J1385" i="7" a="1"/>
  <c r="M1385" i="7"/>
  <c r="I1384" i="7"/>
  <c r="M1384" i="7"/>
  <c r="J1384" i="7" a="1"/>
  <c r="I1383" i="7"/>
  <c r="J1383" i="7" a="1"/>
  <c r="M1383" i="7"/>
  <c r="I1382" i="7"/>
  <c r="M1382" i="7"/>
  <c r="J1382" i="7" a="1"/>
  <c r="I1381" i="7"/>
  <c r="J1381" i="7" a="1"/>
  <c r="M1381" i="7"/>
  <c r="I1380" i="7"/>
  <c r="J1380" i="7" a="1"/>
  <c r="M1380" i="7"/>
  <c r="I1379" i="7"/>
  <c r="M1379" i="7"/>
  <c r="J1379" i="7" a="1"/>
  <c r="I1378" i="7"/>
  <c r="J1378" i="7" a="1"/>
  <c r="M1378" i="7"/>
  <c r="J1377" i="7" a="1"/>
  <c r="M1377" i="7"/>
  <c r="I1377" i="7"/>
  <c r="J1376" i="7" a="1"/>
  <c r="I1376" i="7"/>
  <c r="M1376" i="7"/>
  <c r="I1375" i="7"/>
  <c r="J1375" i="7" a="1"/>
  <c r="M1375" i="7"/>
  <c r="I1374" i="7"/>
  <c r="J1374" i="7" a="1"/>
  <c r="M1374" i="7"/>
  <c r="I1373" i="7"/>
  <c r="J1373" i="7" a="1"/>
  <c r="M1373" i="7"/>
  <c r="I1372" i="7"/>
  <c r="J1372" i="7" a="1"/>
  <c r="M1372" i="7"/>
  <c r="I1371" i="7"/>
  <c r="J1371" i="7" a="1"/>
  <c r="M1371" i="7"/>
  <c r="J1370" i="7" a="1"/>
  <c r="M1370" i="7"/>
  <c r="I1370" i="7"/>
  <c r="I1369" i="7"/>
  <c r="J1369" i="7" a="1"/>
  <c r="M1369" i="7"/>
  <c r="J1368" i="7" a="1"/>
  <c r="M1368" i="7"/>
  <c r="I1368" i="7"/>
  <c r="I1367" i="7"/>
  <c r="M1367" i="7"/>
  <c r="J1367" i="7" a="1"/>
  <c r="I1366" i="7"/>
  <c r="J1366" i="7" a="1"/>
  <c r="M1366" i="7"/>
  <c r="J1365" i="7" a="1"/>
  <c r="I1365" i="7"/>
  <c r="M1365" i="7"/>
  <c r="I1426" i="7"/>
  <c r="J1426" i="7" a="1"/>
  <c r="M1426" i="7"/>
  <c r="I1425" i="7"/>
  <c r="J1425" i="7" a="1"/>
  <c r="M1425" i="7"/>
  <c r="I1424" i="7"/>
  <c r="J1424" i="7" a="1"/>
  <c r="M1424" i="7"/>
  <c r="J1423" i="7" a="1"/>
  <c r="M1423" i="7"/>
  <c r="I1423" i="7"/>
  <c r="I1422" i="7"/>
  <c r="J1422" i="7" a="1"/>
  <c r="M1422" i="7"/>
  <c r="M1421" i="7"/>
  <c r="J1421" i="7" a="1"/>
  <c r="I1421" i="7"/>
  <c r="I1420" i="7"/>
  <c r="J1420" i="7" a="1"/>
  <c r="M1420" i="7"/>
  <c r="I1419" i="7"/>
  <c r="J1419" i="7" a="1"/>
  <c r="M1419" i="7"/>
  <c r="I1418" i="7"/>
  <c r="J1418" i="7" a="1"/>
  <c r="M1418" i="7"/>
  <c r="I1417" i="7"/>
  <c r="J1417" i="7" a="1"/>
  <c r="M1417" i="7"/>
  <c r="I1416" i="7"/>
  <c r="J1416" i="7" a="1"/>
  <c r="M1416" i="7"/>
  <c r="J1415" i="7" a="1"/>
  <c r="M1415" i="7"/>
  <c r="I1415" i="7"/>
  <c r="I1414" i="7"/>
  <c r="J1414" i="7" a="1"/>
  <c r="M1414" i="7"/>
  <c r="J1413" i="7" a="1"/>
  <c r="I1413" i="7"/>
  <c r="M1413" i="7"/>
  <c r="I1412" i="7"/>
  <c r="J1412" i="7" a="1"/>
  <c r="M1412" i="7"/>
  <c r="J1411" i="7" a="1"/>
  <c r="M1411" i="7"/>
  <c r="I1411" i="7"/>
  <c r="I1410" i="7"/>
  <c r="J1410" i="7" a="1"/>
  <c r="M1410" i="7"/>
  <c r="I1409" i="7"/>
  <c r="J1409" i="7" a="1"/>
  <c r="M1409" i="7"/>
  <c r="I1408" i="7"/>
  <c r="J1408" i="7" a="1"/>
  <c r="M1408" i="7"/>
  <c r="I1407" i="7"/>
  <c r="J1407" i="7" a="1"/>
  <c r="M1407" i="7"/>
  <c r="I1406" i="7"/>
  <c r="M1406" i="7"/>
  <c r="J1406" i="7" a="1"/>
  <c r="I1405" i="7"/>
  <c r="J1405" i="7" a="1"/>
  <c r="M1405" i="7"/>
  <c r="I1404" i="7"/>
  <c r="J1404" i="7" a="1"/>
  <c r="M1404" i="7"/>
  <c r="I1403" i="7"/>
  <c r="J1403" i="7" a="1"/>
  <c r="M1403" i="7"/>
  <c r="M1401" i="7"/>
  <c r="J1401" i="7" a="1"/>
  <c r="I1401" i="7"/>
  <c r="I1400" i="7"/>
  <c r="M1400" i="7"/>
  <c r="J1400" i="7" a="1"/>
  <c r="I1399" i="7"/>
  <c r="J1399" i="7" a="1"/>
  <c r="M1399" i="7"/>
  <c r="I1398" i="7"/>
  <c r="M1398" i="7"/>
  <c r="J1398" i="7" a="1"/>
  <c r="I1397" i="7"/>
  <c r="J1397" i="7" a="1"/>
  <c r="M1397" i="7"/>
  <c r="I1451" i="7"/>
  <c r="M1451" i="7"/>
  <c r="J1451" i="7" a="1"/>
  <c r="I1450" i="7"/>
  <c r="J1450" i="7" a="1"/>
  <c r="M1450" i="7"/>
  <c r="I1449" i="7"/>
  <c r="J1449" i="7" a="1"/>
  <c r="M1449" i="7"/>
  <c r="I1448" i="7"/>
  <c r="J1448" i="7" a="1"/>
  <c r="M1448" i="7"/>
  <c r="I1447" i="7"/>
  <c r="J1447" i="7" a="1"/>
  <c r="M1447" i="7"/>
  <c r="I1446" i="7"/>
  <c r="J1446" i="7" a="1"/>
  <c r="M1446" i="7"/>
  <c r="J1445" i="7" a="1"/>
  <c r="M1445" i="7"/>
  <c r="I1445" i="7"/>
  <c r="I1444" i="7"/>
  <c r="J1444" i="7" a="1"/>
  <c r="M1444" i="7"/>
  <c r="I1443" i="7"/>
  <c r="J1443" i="7" a="1"/>
  <c r="M1443" i="7"/>
  <c r="J1442" i="7" a="1"/>
  <c r="M1442" i="7"/>
  <c r="I1442" i="7"/>
  <c r="I1441" i="7"/>
  <c r="J1441" i="7" a="1"/>
  <c r="M1441" i="7"/>
  <c r="I1440" i="7"/>
  <c r="J1440" i="7" a="1"/>
  <c r="M1440" i="7"/>
  <c r="I1439" i="7"/>
  <c r="J1439" i="7" a="1"/>
  <c r="M1439" i="7"/>
  <c r="J1438" i="7" a="1"/>
  <c r="I1438" i="7"/>
  <c r="M1438" i="7"/>
  <c r="I1437" i="7"/>
  <c r="J1437" i="7" a="1"/>
  <c r="M1437" i="7"/>
  <c r="J1436" i="7" a="1"/>
  <c r="I1436" i="7"/>
  <c r="M1436" i="7"/>
  <c r="I1435" i="7"/>
  <c r="J1435" i="7" a="1"/>
  <c r="M1435" i="7"/>
  <c r="J1434" i="7" a="1"/>
  <c r="I1434" i="7"/>
  <c r="M1434" i="7"/>
  <c r="I1433" i="7"/>
  <c r="J1433" i="7" a="1"/>
  <c r="M1433" i="7"/>
  <c r="I1432" i="7"/>
  <c r="J1432" i="7" a="1"/>
  <c r="M1432" i="7"/>
  <c r="I1431" i="7"/>
  <c r="J1431" i="7" a="1"/>
  <c r="M1431" i="7"/>
  <c r="I1430" i="7"/>
  <c r="J1430" i="7" a="1"/>
  <c r="M1430" i="7"/>
  <c r="I1429" i="7"/>
  <c r="J1429" i="7" a="1"/>
  <c r="M1429" i="7"/>
  <c r="I1428" i="7"/>
  <c r="J1428" i="7" a="1"/>
  <c r="M1428" i="7"/>
  <c r="I1427" i="7"/>
  <c r="M1427" i="7"/>
  <c r="J1427" i="7" a="1"/>
  <c r="I1470" i="7"/>
  <c r="J1470" i="7" a="1"/>
  <c r="M1470" i="7"/>
  <c r="J1469" i="7" a="1"/>
  <c r="M1469" i="7"/>
  <c r="I1469" i="7"/>
  <c r="I1468" i="7"/>
  <c r="J1468" i="7" a="1"/>
  <c r="M1468" i="7"/>
  <c r="I1467" i="7"/>
  <c r="J1467" i="7" a="1"/>
  <c r="M1467" i="7"/>
  <c r="I1466" i="7"/>
  <c r="J1466" i="7" a="1"/>
  <c r="M1466" i="7"/>
  <c r="I1465" i="7"/>
  <c r="J1465" i="7" a="1"/>
  <c r="M1465" i="7"/>
  <c r="I1464" i="7"/>
  <c r="J1464" i="7" a="1"/>
  <c r="M1464" i="7"/>
  <c r="I1463" i="7"/>
  <c r="J1463" i="7" a="1"/>
  <c r="M1463" i="7"/>
  <c r="I1462" i="7"/>
  <c r="J1462" i="7" a="1"/>
  <c r="M1462" i="7"/>
  <c r="I1461" i="7"/>
  <c r="J1461" i="7" a="1"/>
  <c r="M1461" i="7"/>
  <c r="J1460" i="7" a="1"/>
  <c r="I1460" i="7"/>
  <c r="M1460" i="7"/>
  <c r="I1459" i="7"/>
  <c r="J1459" i="7" a="1"/>
  <c r="M1459" i="7"/>
  <c r="I1458" i="7"/>
  <c r="J1458" i="7" a="1"/>
  <c r="M1458" i="7"/>
  <c r="I1457" i="7"/>
  <c r="J1457" i="7" a="1"/>
  <c r="M1457" i="7"/>
  <c r="I1456" i="7"/>
  <c r="J1456" i="7" a="1"/>
  <c r="M1456" i="7"/>
  <c r="J1455" i="7" a="1"/>
  <c r="I1455" i="7"/>
  <c r="M1455" i="7"/>
  <c r="I1454" i="7"/>
  <c r="J1454" i="7" a="1"/>
  <c r="M1454" i="7"/>
  <c r="J1453" i="7" a="1"/>
  <c r="M1453" i="7"/>
  <c r="I1453" i="7"/>
  <c r="I1452" i="7"/>
  <c r="J1452" i="7" a="1"/>
  <c r="M1452" i="7"/>
  <c r="J1495" i="7" a="1"/>
  <c r="M1495" i="7"/>
  <c r="I1495" i="7"/>
  <c r="J1494" i="7" a="1"/>
  <c r="I1494" i="7"/>
  <c r="M1494" i="7"/>
  <c r="J1493" i="7" a="1"/>
  <c r="I1493" i="7"/>
  <c r="M1493" i="7"/>
  <c r="J1492" i="7" a="1"/>
  <c r="M1492" i="7"/>
  <c r="I1492" i="7"/>
  <c r="I1491" i="7"/>
  <c r="J1491" i="7" a="1"/>
  <c r="M1491" i="7"/>
  <c r="I1490" i="7"/>
  <c r="J1490" i="7" a="1"/>
  <c r="M1490" i="7"/>
  <c r="I1489" i="7"/>
  <c r="J1489" i="7" a="1"/>
  <c r="M1489" i="7"/>
  <c r="I1488" i="7"/>
  <c r="J1488" i="7" a="1"/>
  <c r="M1488" i="7"/>
  <c r="J1487" i="7" a="1"/>
  <c r="M1487" i="7"/>
  <c r="I1487" i="7"/>
  <c r="I1486" i="7"/>
  <c r="J1486" i="7" a="1"/>
  <c r="M1486" i="7"/>
  <c r="I1485" i="7"/>
  <c r="J1485" i="7" a="1"/>
  <c r="M1485" i="7"/>
  <c r="J1484" i="7" a="1"/>
  <c r="I1484" i="7"/>
  <c r="M1484" i="7"/>
  <c r="I1483" i="7"/>
  <c r="J1483" i="7" a="1"/>
  <c r="M1483" i="7"/>
  <c r="I1482" i="7"/>
  <c r="J1482" i="7" a="1"/>
  <c r="M1482" i="7"/>
  <c r="I1481" i="7"/>
  <c r="J1481" i="7" a="1"/>
  <c r="M1481" i="7"/>
  <c r="I1480" i="7"/>
  <c r="J1480" i="7" a="1"/>
  <c r="M1480" i="7"/>
  <c r="I1478" i="7"/>
  <c r="J1478" i="7" a="1"/>
  <c r="M1478" i="7"/>
  <c r="I1477" i="7"/>
  <c r="M1477" i="7"/>
  <c r="J1477" i="7" a="1"/>
  <c r="I1476" i="7"/>
  <c r="J1476" i="7" a="1"/>
  <c r="M1476" i="7"/>
  <c r="I1475" i="7"/>
  <c r="J1475" i="7" a="1"/>
  <c r="M1475" i="7"/>
  <c r="I1474" i="7"/>
  <c r="J1474" i="7" a="1"/>
  <c r="M1474" i="7"/>
  <c r="J1473" i="7" a="1"/>
  <c r="M1473" i="7"/>
  <c r="I1473" i="7"/>
  <c r="I1472" i="7"/>
  <c r="J1472" i="7" a="1"/>
  <c r="M1472" i="7"/>
  <c r="I1471" i="7"/>
  <c r="J1471" i="7" a="1"/>
  <c r="M1471" i="7"/>
  <c r="I1526" i="7"/>
  <c r="J1526" i="7" a="1"/>
  <c r="M1526" i="7"/>
  <c r="I1525" i="7"/>
  <c r="J1525" i="7" a="1"/>
  <c r="M1525" i="7"/>
  <c r="J1524" i="7" a="1"/>
  <c r="M1524" i="7"/>
  <c r="I1524" i="7"/>
  <c r="I1523" i="7"/>
  <c r="J1523" i="7" a="1"/>
  <c r="M1523" i="7"/>
  <c r="J1522" i="7" a="1"/>
  <c r="I1522" i="7"/>
  <c r="M1522" i="7"/>
  <c r="I1521" i="7"/>
  <c r="J1521" i="7" a="1"/>
  <c r="M1521" i="7"/>
  <c r="J1520" i="7" a="1"/>
  <c r="M1520" i="7"/>
  <c r="I1520" i="7"/>
  <c r="J1519" i="7" a="1"/>
  <c r="M1519" i="7"/>
  <c r="I1519" i="7"/>
  <c r="J1518" i="7" a="1"/>
  <c r="M1518" i="7"/>
  <c r="I1518" i="7"/>
  <c r="I1517" i="7"/>
  <c r="J1517" i="7" a="1"/>
  <c r="M1517" i="7"/>
  <c r="I1516" i="7"/>
  <c r="J1516" i="7" a="1"/>
  <c r="M1516" i="7"/>
  <c r="J1515" i="7" a="1"/>
  <c r="I1515" i="7"/>
  <c r="M1515" i="7"/>
  <c r="I1514" i="7"/>
  <c r="J1514" i="7" a="1"/>
  <c r="M1514" i="7"/>
  <c r="I1513" i="7"/>
  <c r="J1513" i="7" a="1"/>
  <c r="M1513" i="7"/>
  <c r="I1512" i="7"/>
  <c r="J1512" i="7" a="1"/>
  <c r="M1512" i="7"/>
  <c r="M1511" i="7"/>
  <c r="I1511" i="7"/>
  <c r="J1511" i="7" a="1"/>
  <c r="J1510" i="7" a="1"/>
  <c r="I1510" i="7"/>
  <c r="M1510" i="7"/>
  <c r="I1509" i="7"/>
  <c r="J1509" i="7" a="1"/>
  <c r="M1509" i="7"/>
  <c r="I1508" i="7"/>
  <c r="M1508" i="7"/>
  <c r="J1508" i="7" a="1"/>
  <c r="J1507" i="7" a="1"/>
  <c r="I1507" i="7"/>
  <c r="M1507" i="7"/>
  <c r="J1505" i="7" a="1"/>
  <c r="M1505" i="7"/>
  <c r="I1505" i="7"/>
  <c r="J1504" i="7" a="1"/>
  <c r="M1504" i="7"/>
  <c r="I1504" i="7"/>
  <c r="I1503" i="7"/>
  <c r="J1503" i="7" a="1"/>
  <c r="M1503" i="7"/>
  <c r="I1502" i="7"/>
  <c r="M1502" i="7"/>
  <c r="J1502" i="7" a="1"/>
  <c r="I1501" i="7"/>
  <c r="J1501" i="7" a="1"/>
  <c r="M1501" i="7"/>
  <c r="I1500" i="7"/>
  <c r="J1500" i="7" a="1"/>
  <c r="M1500" i="7"/>
  <c r="I1499" i="7"/>
  <c r="J1499" i="7" a="1"/>
  <c r="M1499" i="7"/>
  <c r="I1498" i="7"/>
  <c r="M1498" i="7"/>
  <c r="J1498" i="7" a="1"/>
  <c r="I1497" i="7"/>
  <c r="J1497" i="7" a="1"/>
  <c r="M1497" i="7"/>
  <c r="J1496" i="7" a="1"/>
  <c r="M1496" i="7"/>
  <c r="I1496" i="7"/>
  <c r="I1554" i="7"/>
  <c r="J1554" i="7" a="1"/>
  <c r="M1554" i="7"/>
  <c r="I1553" i="7"/>
  <c r="J1553" i="7" a="1"/>
  <c r="M1553" i="7"/>
  <c r="I1552" i="7"/>
  <c r="J1552" i="7" a="1"/>
  <c r="M1552" i="7"/>
  <c r="J1551" i="7" a="1"/>
  <c r="M1551" i="7"/>
  <c r="I1551" i="7"/>
  <c r="I1550" i="7"/>
  <c r="J1550" i="7" a="1"/>
  <c r="M1550" i="7"/>
  <c r="J1549" i="7" a="1"/>
  <c r="I1549" i="7"/>
  <c r="M1549" i="7"/>
  <c r="I1548" i="7"/>
  <c r="J1548" i="7" a="1"/>
  <c r="M1548" i="7"/>
  <c r="J1547" i="7" a="1"/>
  <c r="M1547" i="7"/>
  <c r="I1547" i="7"/>
  <c r="J1546" i="7" a="1"/>
  <c r="M1546" i="7"/>
  <c r="I1546" i="7"/>
  <c r="I1545" i="7"/>
  <c r="J1545" i="7" a="1"/>
  <c r="M1545" i="7"/>
  <c r="I1544" i="7"/>
  <c r="M1544" i="7"/>
  <c r="J1544" i="7" a="1"/>
  <c r="I1543" i="7"/>
  <c r="J1543" i="7" a="1"/>
  <c r="M1543" i="7"/>
  <c r="J1542" i="7" a="1"/>
  <c r="M1542" i="7"/>
  <c r="I1542" i="7"/>
  <c r="I1541" i="7"/>
  <c r="J1541" i="7" a="1"/>
  <c r="M1541" i="7"/>
  <c r="J1540" i="7" a="1"/>
  <c r="I1540" i="7"/>
  <c r="M1540" i="7"/>
  <c r="I1539" i="7"/>
  <c r="J1539" i="7" a="1"/>
  <c r="M1539" i="7"/>
  <c r="J1538" i="7" a="1"/>
  <c r="I1538" i="7"/>
  <c r="M1538" i="7"/>
  <c r="J1537" i="7" a="1"/>
  <c r="M1537" i="7"/>
  <c r="I1537" i="7"/>
  <c r="I1536" i="7"/>
  <c r="J1536" i="7" a="1"/>
  <c r="M1536" i="7"/>
  <c r="I1535" i="7"/>
  <c r="J1535" i="7" a="1"/>
  <c r="M1535" i="7"/>
  <c r="J1534" i="7" a="1"/>
  <c r="M1534" i="7"/>
  <c r="I1534" i="7"/>
  <c r="I1533" i="7"/>
  <c r="J1533" i="7" a="1"/>
  <c r="M1533" i="7"/>
  <c r="I1532" i="7"/>
  <c r="J1532" i="7" a="1"/>
  <c r="M1532" i="7"/>
  <c r="I1531" i="7"/>
  <c r="J1531" i="7" a="1"/>
  <c r="M1531" i="7"/>
  <c r="I1530" i="7"/>
  <c r="J1530" i="7" a="1"/>
  <c r="M1530" i="7"/>
  <c r="I1529" i="7"/>
  <c r="M1529" i="7"/>
  <c r="J1529" i="7" a="1"/>
  <c r="I1528" i="7"/>
  <c r="J1528" i="7" a="1"/>
  <c r="M1528" i="7"/>
  <c r="J1527" i="7" a="1"/>
  <c r="M1527" i="7"/>
  <c r="I1527" i="7"/>
  <c r="I1579" i="7"/>
  <c r="J1579" i="7" a="1"/>
  <c r="M1579" i="7"/>
  <c r="I1578" i="7"/>
  <c r="J1578" i="7" a="1"/>
  <c r="M1578" i="7"/>
  <c r="I1577" i="7"/>
  <c r="J1577" i="7" a="1"/>
  <c r="M1577" i="7"/>
  <c r="J1576" i="7" a="1"/>
  <c r="M1576" i="7"/>
  <c r="I1576" i="7"/>
  <c r="I1575" i="7"/>
  <c r="J1575" i="7" a="1"/>
  <c r="M1575" i="7"/>
  <c r="J1574" i="7" a="1"/>
  <c r="M1574" i="7"/>
  <c r="I1574" i="7"/>
  <c r="J1573" i="7" a="1"/>
  <c r="M1573" i="7"/>
  <c r="I1573" i="7"/>
  <c r="J1572" i="7" a="1"/>
  <c r="M1572" i="7"/>
  <c r="I1572" i="7"/>
  <c r="I1571" i="7"/>
  <c r="J1571" i="7" a="1"/>
  <c r="M1571" i="7"/>
  <c r="I1570" i="7"/>
  <c r="M1570" i="7"/>
  <c r="J1570" i="7" a="1"/>
  <c r="I1569" i="7"/>
  <c r="J1569" i="7" a="1"/>
  <c r="M1569" i="7"/>
  <c r="J1568" i="7" a="1"/>
  <c r="I1568" i="7"/>
  <c r="M1568" i="7"/>
  <c r="I1567" i="7"/>
  <c r="J1567" i="7" a="1"/>
  <c r="M1567" i="7"/>
  <c r="I1566" i="7"/>
  <c r="J1566" i="7" a="1"/>
  <c r="M1566" i="7"/>
  <c r="I1565" i="7"/>
  <c r="J1565" i="7" a="1"/>
  <c r="M1565" i="7"/>
  <c r="I1564" i="7"/>
  <c r="J1564" i="7" a="1"/>
  <c r="M1564" i="7"/>
  <c r="I1563" i="7"/>
  <c r="J1563" i="7" a="1"/>
  <c r="M1563" i="7"/>
  <c r="I1562" i="7"/>
  <c r="J1562" i="7" a="1"/>
  <c r="M1562" i="7"/>
  <c r="J1561" i="7" a="1"/>
  <c r="M1561" i="7"/>
  <c r="I1561" i="7"/>
  <c r="J1560" i="7" a="1"/>
  <c r="M1560" i="7"/>
  <c r="I1560" i="7"/>
  <c r="J1559" i="7" a="1"/>
  <c r="I1559" i="7"/>
  <c r="M1559" i="7"/>
  <c r="I1558" i="7"/>
  <c r="J1558" i="7" a="1"/>
  <c r="M1558" i="7"/>
  <c r="I1557" i="7"/>
  <c r="J1557" i="7" a="1"/>
  <c r="M1557" i="7"/>
  <c r="I1556" i="7"/>
  <c r="J1556" i="7" a="1"/>
  <c r="M1556" i="7"/>
  <c r="J1555" i="7" a="1"/>
  <c r="M1555" i="7"/>
  <c r="I1555" i="7"/>
  <c r="I1605" i="7"/>
  <c r="J1605" i="7" a="1"/>
  <c r="M1605" i="7"/>
  <c r="I1604" i="7"/>
  <c r="J1604" i="7" a="1"/>
  <c r="M1604" i="7"/>
  <c r="I1603" i="7"/>
  <c r="J1603" i="7" a="1"/>
  <c r="M1603" i="7"/>
  <c r="I1602" i="7"/>
  <c r="J1602" i="7" a="1"/>
  <c r="M1602" i="7"/>
  <c r="I1601" i="7"/>
  <c r="J1601" i="7" a="1"/>
  <c r="M1601" i="7"/>
  <c r="I1600" i="7"/>
  <c r="J1600" i="7" a="1"/>
  <c r="M1600" i="7"/>
  <c r="I1599" i="7"/>
  <c r="J1599" i="7" a="1"/>
  <c r="M1599" i="7"/>
  <c r="I1598" i="7"/>
  <c r="J1598" i="7" a="1"/>
  <c r="M1598" i="7"/>
  <c r="I1597" i="7"/>
  <c r="J1597" i="7" a="1"/>
  <c r="M1597" i="7"/>
  <c r="J1596" i="7" a="1"/>
  <c r="I1596" i="7"/>
  <c r="M1596" i="7"/>
  <c r="I1595" i="7"/>
  <c r="J1595" i="7" a="1"/>
  <c r="M1595" i="7"/>
  <c r="J1594" i="7" a="1"/>
  <c r="I1594" i="7"/>
  <c r="M1594" i="7"/>
  <c r="I1593" i="7"/>
  <c r="J1593" i="7" a="1"/>
  <c r="M1593" i="7"/>
  <c r="J1592" i="7" a="1"/>
  <c r="M1592" i="7"/>
  <c r="I1592" i="7"/>
  <c r="I1591" i="7"/>
  <c r="J1591" i="7" a="1"/>
  <c r="M1591" i="7"/>
  <c r="M1590" i="7"/>
  <c r="I1590" i="7"/>
  <c r="J1590" i="7" a="1"/>
  <c r="I1589" i="7"/>
  <c r="J1589" i="7" a="1"/>
  <c r="M1589" i="7"/>
  <c r="J1588" i="7" a="1"/>
  <c r="M1588" i="7"/>
  <c r="I1588" i="7"/>
  <c r="I1587" i="7"/>
  <c r="J1587" i="7" a="1"/>
  <c r="M1587" i="7"/>
  <c r="J1586" i="7" a="1"/>
  <c r="M1586" i="7"/>
  <c r="I1586" i="7"/>
  <c r="J1585" i="7" a="1"/>
  <c r="M1585" i="7"/>
  <c r="I1585" i="7"/>
  <c r="I1584" i="7"/>
  <c r="J1584" i="7" a="1"/>
  <c r="M1584" i="7"/>
  <c r="I1583" i="7"/>
  <c r="M1583" i="7"/>
  <c r="J1583" i="7" a="1"/>
  <c r="J1582" i="7" a="1"/>
  <c r="M1582" i="7"/>
  <c r="I1582" i="7"/>
  <c r="J1581" i="7" a="1"/>
  <c r="M1581" i="7"/>
  <c r="I1581" i="7"/>
  <c r="I1580" i="7"/>
  <c r="J1580" i="7" a="1"/>
  <c r="M1580" i="7"/>
  <c r="J1628" i="7" a="1"/>
  <c r="I1628" i="7"/>
  <c r="M1628" i="7"/>
  <c r="I1627" i="7"/>
  <c r="J1627" i="7" a="1"/>
  <c r="M1627" i="7"/>
  <c r="I1626" i="7"/>
  <c r="J1626" i="7" a="1"/>
  <c r="M1626" i="7"/>
  <c r="I1625" i="7"/>
  <c r="J1625" i="7" a="1"/>
  <c r="M1625" i="7"/>
  <c r="I1624" i="7"/>
  <c r="J1624" i="7" a="1"/>
  <c r="M1624" i="7"/>
  <c r="J1623" i="7" a="1"/>
  <c r="I1623" i="7"/>
  <c r="M1623" i="7"/>
  <c r="I1622" i="7"/>
  <c r="J1622" i="7" a="1"/>
  <c r="M1622" i="7"/>
  <c r="J1621" i="7" a="1"/>
  <c r="I1621" i="7"/>
  <c r="M1621" i="7"/>
  <c r="J1620" i="7" a="1"/>
  <c r="M1620" i="7"/>
  <c r="I1620" i="7"/>
  <c r="I1619" i="7"/>
  <c r="J1619" i="7" a="1"/>
  <c r="M1619" i="7"/>
  <c r="J1618" i="7" a="1"/>
  <c r="M1618" i="7"/>
  <c r="I1618" i="7"/>
  <c r="I1617" i="7"/>
  <c r="J1617" i="7" a="1"/>
  <c r="M1617" i="7"/>
  <c r="I1616" i="7"/>
  <c r="J1616" i="7" a="1"/>
  <c r="M1616" i="7"/>
  <c r="I1615" i="7"/>
  <c r="J1615" i="7" a="1"/>
  <c r="M1615" i="7"/>
  <c r="J1614" i="7" a="1"/>
  <c r="I1614" i="7"/>
  <c r="M1614" i="7"/>
  <c r="I1613" i="7"/>
  <c r="J1613" i="7" a="1"/>
  <c r="M1613" i="7"/>
  <c r="I1612" i="7"/>
  <c r="J1612" i="7" a="1"/>
  <c r="M1612" i="7"/>
  <c r="I1611" i="7"/>
  <c r="J1611" i="7" a="1"/>
  <c r="M1611" i="7"/>
  <c r="I1610" i="7"/>
  <c r="J1610" i="7" a="1"/>
  <c r="M1610" i="7"/>
  <c r="I1609" i="7"/>
  <c r="J1609" i="7" a="1"/>
  <c r="M1609" i="7"/>
  <c r="J1608" i="7" a="1"/>
  <c r="I1608" i="7"/>
  <c r="M1608" i="7"/>
  <c r="J1607" i="7" a="1"/>
  <c r="I1607" i="7"/>
  <c r="M1607" i="7"/>
  <c r="J1606" i="7" a="1"/>
  <c r="M1606" i="7"/>
  <c r="I1606" i="7"/>
  <c r="M1652" i="7"/>
  <c r="J1652" i="7" a="1"/>
  <c r="I1652" i="7"/>
  <c r="I1651" i="7"/>
  <c r="J1651" i="7" a="1"/>
  <c r="M1651" i="7"/>
  <c r="I1650" i="7"/>
  <c r="J1650" i="7" a="1"/>
  <c r="M1650" i="7"/>
  <c r="J1649" i="7" a="1"/>
  <c r="M1649" i="7"/>
  <c r="I1649" i="7"/>
  <c r="I1648" i="7"/>
  <c r="J1648" i="7" a="1"/>
  <c r="M1648" i="7"/>
  <c r="J1647" i="7" a="1"/>
  <c r="I1647" i="7"/>
  <c r="M1647" i="7"/>
  <c r="J1646" i="7" a="1"/>
  <c r="M1646" i="7"/>
  <c r="I1646" i="7"/>
  <c r="I1645" i="7"/>
  <c r="J1645" i="7" a="1"/>
  <c r="M1645" i="7"/>
  <c r="I1644" i="7"/>
  <c r="J1644" i="7" a="1"/>
  <c r="M1644" i="7"/>
  <c r="J1643" i="7" a="1"/>
  <c r="I1643" i="7"/>
  <c r="M1643" i="7"/>
  <c r="I1642" i="7"/>
  <c r="J1642" i="7" a="1"/>
  <c r="M1642" i="7"/>
  <c r="I1641" i="7"/>
  <c r="J1641" i="7" a="1"/>
  <c r="M1641" i="7"/>
  <c r="J1640" i="7" a="1"/>
  <c r="M1640" i="7"/>
  <c r="I1640" i="7"/>
  <c r="I1639" i="7"/>
  <c r="M1639" i="7"/>
  <c r="J1639" i="7" a="1"/>
  <c r="I1638" i="7"/>
  <c r="J1638" i="7" a="1"/>
  <c r="M1638" i="7"/>
  <c r="I1637" i="7"/>
  <c r="J1637" i="7" a="1"/>
  <c r="M1637" i="7"/>
  <c r="I1636" i="7"/>
  <c r="M1636" i="7"/>
  <c r="J1636" i="7" a="1"/>
  <c r="J1635" i="7" a="1"/>
  <c r="M1635" i="7"/>
  <c r="I1635" i="7"/>
  <c r="I1634" i="7"/>
  <c r="J1634" i="7" a="1"/>
  <c r="M1634" i="7"/>
  <c r="J1633" i="7" a="1"/>
  <c r="I1633" i="7"/>
  <c r="M1633" i="7"/>
  <c r="I1632" i="7"/>
  <c r="J1632" i="7" a="1"/>
  <c r="M1632" i="7"/>
  <c r="I1631" i="7"/>
  <c r="J1631" i="7" a="1"/>
  <c r="M1631" i="7"/>
  <c r="I1629" i="7"/>
  <c r="J1629" i="7" a="1"/>
  <c r="M1629" i="7"/>
  <c r="I1681" i="7"/>
  <c r="J1681" i="7" a="1"/>
  <c r="M1681" i="7"/>
  <c r="J1680" i="7" a="1"/>
  <c r="I1680" i="7"/>
  <c r="M1680" i="7"/>
  <c r="J1678" i="7" a="1"/>
  <c r="M1678" i="7"/>
  <c r="I1678" i="7"/>
  <c r="I1677" i="7"/>
  <c r="J1677" i="7" a="1"/>
  <c r="M1677" i="7"/>
  <c r="J1676" i="7" a="1"/>
  <c r="I1676" i="7"/>
  <c r="M1676" i="7"/>
  <c r="I1675" i="7"/>
  <c r="J1675" i="7" a="1"/>
  <c r="M1675" i="7"/>
  <c r="I1673" i="7"/>
  <c r="J1673" i="7" a="1"/>
  <c r="M1673" i="7"/>
  <c r="M1672" i="7"/>
  <c r="I1672" i="7"/>
  <c r="J1672" i="7" a="1"/>
  <c r="I1671" i="7"/>
  <c r="J1671" i="7" a="1"/>
  <c r="M1671" i="7"/>
  <c r="I1670" i="7"/>
  <c r="J1670" i="7" a="1"/>
  <c r="M1670" i="7"/>
  <c r="J1669" i="7" a="1"/>
  <c r="M1669" i="7"/>
  <c r="I1669" i="7"/>
  <c r="I1668" i="7"/>
  <c r="J1668" i="7" a="1"/>
  <c r="M1668" i="7"/>
  <c r="I1667" i="7"/>
  <c r="J1667" i="7" a="1"/>
  <c r="M1667" i="7"/>
  <c r="J1666" i="7" a="1"/>
  <c r="I1666" i="7"/>
  <c r="M1666" i="7"/>
  <c r="I1665" i="7"/>
  <c r="J1665" i="7" a="1"/>
  <c r="M1665" i="7"/>
  <c r="J1664" i="7" a="1"/>
  <c r="M1664" i="7"/>
  <c r="I1664" i="7"/>
  <c r="J1663" i="7" a="1"/>
  <c r="I1663" i="7"/>
  <c r="M1663" i="7"/>
  <c r="I1662" i="7"/>
  <c r="J1662" i="7" a="1"/>
  <c r="M1662" i="7"/>
  <c r="J1661" i="7" a="1"/>
  <c r="M1661" i="7"/>
  <c r="I1661" i="7"/>
  <c r="I1660" i="7"/>
  <c r="J1660" i="7" a="1"/>
  <c r="M1660" i="7"/>
  <c r="I1659" i="7"/>
  <c r="J1659" i="7" a="1"/>
  <c r="M1659" i="7"/>
  <c r="M1658" i="7"/>
  <c r="I1658" i="7"/>
  <c r="J1658" i="7" a="1"/>
  <c r="I1657" i="7"/>
  <c r="J1657" i="7" a="1"/>
  <c r="M1657" i="7"/>
  <c r="I1656" i="7"/>
  <c r="J1656" i="7" a="1"/>
  <c r="M1656" i="7"/>
  <c r="I1655" i="7"/>
  <c r="J1655" i="7" a="1"/>
  <c r="M1655" i="7"/>
  <c r="I1654" i="7"/>
  <c r="J1654" i="7" a="1"/>
  <c r="M1654" i="7"/>
  <c r="J1653" i="7" a="1"/>
  <c r="M1653" i="7"/>
  <c r="I1653" i="7"/>
  <c r="J1707" i="7" a="1"/>
  <c r="M1707" i="7"/>
  <c r="I1707" i="7"/>
  <c r="I1706" i="7"/>
  <c r="M1706" i="7"/>
  <c r="J1706" i="7" a="1"/>
  <c r="I1705" i="7"/>
  <c r="J1705" i="7" a="1"/>
  <c r="M1705" i="7"/>
  <c r="I1703" i="7"/>
  <c r="J1703" i="7" a="1"/>
  <c r="M1703" i="7"/>
  <c r="J1702" i="7" a="1"/>
  <c r="I1702" i="7"/>
  <c r="M1702" i="7"/>
  <c r="I1701" i="7"/>
  <c r="J1701" i="7" a="1"/>
  <c r="M1701" i="7"/>
  <c r="I1700" i="7"/>
  <c r="J1700" i="7" a="1"/>
  <c r="M1700" i="7"/>
  <c r="J1699" i="7" a="1"/>
  <c r="M1699" i="7"/>
  <c r="I1699" i="7"/>
  <c r="I1698" i="7"/>
  <c r="M1698" i="7"/>
  <c r="J1698" i="7" a="1"/>
  <c r="I1697" i="7"/>
  <c r="J1697" i="7" a="1"/>
  <c r="M1697" i="7"/>
  <c r="I1696" i="7"/>
  <c r="M1696" i="7"/>
  <c r="J1696" i="7" a="1"/>
  <c r="J1695" i="7" a="1"/>
  <c r="I1695" i="7"/>
  <c r="M1695" i="7"/>
  <c r="I1694" i="7"/>
  <c r="J1694" i="7" a="1"/>
  <c r="M1694" i="7"/>
  <c r="I1693" i="7"/>
  <c r="J1693" i="7" a="1"/>
  <c r="M1693" i="7"/>
  <c r="I1692" i="7"/>
  <c r="J1692" i="7" a="1"/>
  <c r="M1692" i="7"/>
  <c r="I1691" i="7"/>
  <c r="J1691" i="7" a="1"/>
  <c r="M1691" i="7"/>
  <c r="J1690" i="7" a="1"/>
  <c r="M1690" i="7"/>
  <c r="I1690" i="7"/>
  <c r="J1689" i="7" a="1"/>
  <c r="M1689" i="7"/>
  <c r="I1689" i="7"/>
  <c r="I1688" i="7"/>
  <c r="J1688" i="7" a="1"/>
  <c r="M1688" i="7"/>
  <c r="I1687" i="7"/>
  <c r="J1687" i="7" a="1"/>
  <c r="M1687" i="7"/>
  <c r="I1686" i="7"/>
  <c r="M1686" i="7"/>
  <c r="J1686" i="7" a="1"/>
  <c r="I1685" i="7"/>
  <c r="J1685" i="7" a="1"/>
  <c r="M1685" i="7"/>
  <c r="I1684" i="7"/>
  <c r="J1684" i="7" a="1"/>
  <c r="M1684" i="7"/>
  <c r="J1683" i="7" a="1"/>
  <c r="M1683" i="7"/>
  <c r="I1683" i="7"/>
  <c r="J1682" i="7" a="1"/>
  <c r="M1682" i="7"/>
  <c r="I1682" i="7"/>
  <c r="J1733" i="7" a="1"/>
  <c r="M1733" i="7"/>
  <c r="I1733" i="7"/>
  <c r="J1732" i="7" a="1"/>
  <c r="M1732" i="7"/>
  <c r="I1732" i="7"/>
  <c r="J1731" i="7" a="1"/>
  <c r="M1731" i="7"/>
  <c r="I1731" i="7"/>
  <c r="I1730" i="7"/>
  <c r="J1730" i="7" a="1"/>
  <c r="M1730" i="7"/>
  <c r="I1728" i="7"/>
  <c r="J1728" i="7" a="1"/>
  <c r="M1728" i="7"/>
  <c r="I1727" i="7"/>
  <c r="J1727" i="7" a="1"/>
  <c r="M1727" i="7"/>
  <c r="I1726" i="7"/>
  <c r="J1726" i="7" a="1"/>
  <c r="M1726" i="7"/>
  <c r="I1725" i="7"/>
  <c r="J1725" i="7" a="1"/>
  <c r="M1725" i="7"/>
  <c r="I1724" i="7"/>
  <c r="J1724" i="7" a="1"/>
  <c r="M1724" i="7"/>
  <c r="I1723" i="7"/>
  <c r="J1723" i="7" a="1"/>
  <c r="M1723" i="7"/>
  <c r="I1722" i="7"/>
  <c r="J1722" i="7" a="1"/>
  <c r="M1722" i="7"/>
  <c r="I1721" i="7"/>
  <c r="J1721" i="7" a="1"/>
  <c r="M1721" i="7"/>
  <c r="I1720" i="7"/>
  <c r="J1720" i="7" a="1"/>
  <c r="M1720" i="7"/>
  <c r="I1719" i="7"/>
  <c r="J1719" i="7" a="1"/>
  <c r="M1719" i="7"/>
  <c r="I1718" i="7"/>
  <c r="J1718" i="7" a="1"/>
  <c r="M1718" i="7"/>
  <c r="I1717" i="7"/>
  <c r="J1717" i="7" a="1"/>
  <c r="M1717" i="7"/>
  <c r="I1716" i="7"/>
  <c r="J1716" i="7" a="1"/>
  <c r="M1716" i="7"/>
  <c r="I1715" i="7"/>
  <c r="J1715" i="7" a="1"/>
  <c r="M1715" i="7"/>
  <c r="I1714" i="7"/>
  <c r="J1714" i="7" a="1"/>
  <c r="M1714" i="7"/>
  <c r="I1713" i="7"/>
  <c r="J1713" i="7" a="1"/>
  <c r="M1713" i="7"/>
  <c r="I1712" i="7"/>
  <c r="J1712" i="7" a="1"/>
  <c r="M1712" i="7"/>
  <c r="I1711" i="7"/>
  <c r="J1711" i="7" a="1"/>
  <c r="M1711" i="7"/>
  <c r="I1710" i="7"/>
  <c r="J1710" i="7" a="1"/>
  <c r="M1710" i="7"/>
  <c r="I1709" i="7"/>
  <c r="J1709" i="7" a="1"/>
  <c r="M1709" i="7"/>
  <c r="I1708" i="7"/>
  <c r="J1708" i="7" a="1"/>
  <c r="M1708" i="7"/>
  <c r="I1753" i="7"/>
  <c r="J1753" i="7" a="1"/>
  <c r="M1753" i="7"/>
  <c r="I1752" i="7"/>
  <c r="J1752" i="7" a="1"/>
  <c r="M1752" i="7"/>
  <c r="I1751" i="7"/>
  <c r="J1751" i="7" a="1"/>
  <c r="M1751" i="7"/>
  <c r="I1750" i="7"/>
  <c r="J1750" i="7" a="1"/>
  <c r="M1750" i="7"/>
  <c r="I1749" i="7"/>
  <c r="J1749" i="7" a="1"/>
  <c r="M1749" i="7"/>
  <c r="I1748" i="7"/>
  <c r="J1748" i="7" a="1"/>
  <c r="M1748" i="7"/>
  <c r="I1747" i="7"/>
  <c r="J1747" i="7" a="1"/>
  <c r="M1747" i="7"/>
  <c r="I1746" i="7"/>
  <c r="J1746" i="7" a="1"/>
  <c r="M1746" i="7"/>
  <c r="I1745" i="7"/>
  <c r="J1745" i="7" a="1"/>
  <c r="M1745" i="7"/>
  <c r="I1744" i="7"/>
  <c r="J1744" i="7" a="1"/>
  <c r="M1744" i="7"/>
  <c r="I1743" i="7"/>
  <c r="J1743" i="7" a="1"/>
  <c r="M1743" i="7"/>
  <c r="I1742" i="7"/>
  <c r="J1742" i="7" a="1"/>
  <c r="M1742" i="7"/>
  <c r="I1741" i="7"/>
  <c r="J1741" i="7" a="1"/>
  <c r="M1741" i="7"/>
  <c r="I1740" i="7"/>
  <c r="J1740" i="7" a="1"/>
  <c r="M1740" i="7"/>
  <c r="I1739" i="7"/>
  <c r="J1739" i="7" a="1"/>
  <c r="M1739" i="7"/>
  <c r="I1738" i="7"/>
  <c r="J1738" i="7" a="1"/>
  <c r="M1738" i="7"/>
  <c r="I1737" i="7"/>
  <c r="J1737" i="7" a="1"/>
  <c r="M1737" i="7"/>
  <c r="I1735" i="7"/>
  <c r="J1735" i="7" a="1"/>
  <c r="M1735" i="7"/>
  <c r="I1734" i="7"/>
  <c r="J1734" i="7" a="1"/>
  <c r="M1734" i="7"/>
  <c r="I1775" i="7"/>
  <c r="J1775" i="7" a="1"/>
  <c r="M1775" i="7"/>
  <c r="I1774" i="7"/>
  <c r="J1774" i="7" a="1"/>
  <c r="M1774" i="7"/>
  <c r="I1773" i="7"/>
  <c r="J1773" i="7" a="1"/>
  <c r="M1773" i="7"/>
  <c r="I1772" i="7"/>
  <c r="J1772" i="7" a="1"/>
  <c r="M1772" i="7"/>
  <c r="I1771" i="7"/>
  <c r="J1771" i="7" a="1"/>
  <c r="M1771" i="7"/>
  <c r="I1770" i="7"/>
  <c r="J1770" i="7" a="1"/>
  <c r="M1770" i="7"/>
  <c r="I1769" i="7"/>
  <c r="J1769" i="7" a="1"/>
  <c r="M1769" i="7"/>
  <c r="I1768" i="7"/>
  <c r="J1768" i="7" a="1"/>
  <c r="M1768" i="7"/>
  <c r="I1767" i="7"/>
  <c r="J1767" i="7" a="1"/>
  <c r="M1767" i="7"/>
  <c r="I1766" i="7"/>
  <c r="J1766" i="7" a="1"/>
  <c r="M1766" i="7"/>
  <c r="I1765" i="7"/>
  <c r="J1765" i="7" a="1"/>
  <c r="M1765" i="7"/>
  <c r="I1764" i="7"/>
  <c r="J1764" i="7" a="1"/>
  <c r="M1764" i="7"/>
  <c r="I1763" i="7"/>
  <c r="J1763" i="7" a="1"/>
  <c r="M1763" i="7"/>
  <c r="I1762" i="7"/>
  <c r="J1762" i="7" a="1"/>
  <c r="M1762" i="7"/>
  <c r="I1761" i="7"/>
  <c r="J1761" i="7" a="1"/>
  <c r="M1761" i="7"/>
  <c r="I1760" i="7"/>
  <c r="J1760" i="7" a="1"/>
  <c r="M1760" i="7"/>
  <c r="I1759" i="7"/>
  <c r="J1759" i="7" a="1"/>
  <c r="M1759" i="7"/>
  <c r="I1758" i="7"/>
  <c r="J1758" i="7" a="1"/>
  <c r="M1758" i="7"/>
  <c r="I1757" i="7"/>
  <c r="J1757" i="7" a="1"/>
  <c r="M1757" i="7"/>
  <c r="I1756" i="7"/>
  <c r="J1756" i="7" a="1"/>
  <c r="M1756" i="7"/>
  <c r="I1755" i="7"/>
  <c r="J1755" i="7" a="1"/>
  <c r="M1755" i="7"/>
  <c r="I1754" i="7"/>
  <c r="J1754" i="7" a="1"/>
  <c r="M1754" i="7"/>
  <c r="I1794" i="7"/>
  <c r="J1794" i="7" a="1"/>
  <c r="M1794" i="7"/>
  <c r="I1793" i="7"/>
  <c r="J1793" i="7" a="1"/>
  <c r="M1793" i="7"/>
  <c r="I1792" i="7"/>
  <c r="J1792" i="7" a="1"/>
  <c r="M1792" i="7"/>
  <c r="I1791" i="7"/>
  <c r="J1791" i="7" a="1"/>
  <c r="M1791" i="7"/>
  <c r="I1790" i="7"/>
  <c r="J1790" i="7" a="1"/>
  <c r="M1790" i="7"/>
  <c r="I1789" i="7"/>
  <c r="J1789" i="7" a="1"/>
  <c r="M1789" i="7"/>
  <c r="I1788" i="7"/>
  <c r="J1788" i="7" a="1"/>
  <c r="M1788" i="7"/>
  <c r="I1787" i="7"/>
  <c r="J1787" i="7" a="1"/>
  <c r="M1787" i="7"/>
  <c r="I1786" i="7"/>
  <c r="J1786" i="7" a="1"/>
  <c r="M1786" i="7"/>
  <c r="I1785" i="7"/>
  <c r="J1785" i="7" a="1"/>
  <c r="M1785" i="7"/>
  <c r="I1784" i="7"/>
  <c r="J1784" i="7" a="1"/>
  <c r="M1784" i="7"/>
  <c r="I1783" i="7"/>
  <c r="J1783" i="7" a="1"/>
  <c r="M1783" i="7"/>
  <c r="I1782" i="7"/>
  <c r="J1782" i="7" a="1"/>
  <c r="M1782" i="7"/>
  <c r="I1781" i="7"/>
  <c r="J1781" i="7" a="1"/>
  <c r="M1781" i="7"/>
  <c r="I1780" i="7"/>
  <c r="J1780" i="7" a="1"/>
  <c r="M1780" i="7"/>
  <c r="I1779" i="7"/>
  <c r="J1779" i="7" a="1"/>
  <c r="M1779" i="7"/>
  <c r="I1778" i="7"/>
  <c r="J1778" i="7" a="1"/>
  <c r="M1778" i="7"/>
  <c r="I1777" i="7"/>
  <c r="J1777" i="7" a="1"/>
  <c r="M1777" i="7"/>
  <c r="I1776" i="7"/>
  <c r="J1776" i="7" a="1"/>
  <c r="M1776" i="7"/>
  <c r="I1823" i="7"/>
  <c r="J1823" i="7" a="1"/>
  <c r="M1823" i="7"/>
  <c r="I1822" i="7"/>
  <c r="J1822" i="7" a="1"/>
  <c r="M1822" i="7"/>
  <c r="I1821" i="7"/>
  <c r="J1821" i="7" a="1"/>
  <c r="M1821" i="7"/>
  <c r="I1820" i="7"/>
  <c r="J1820" i="7" a="1"/>
  <c r="M1820" i="7"/>
  <c r="I1819" i="7"/>
  <c r="J1819" i="7" a="1"/>
  <c r="M1819" i="7"/>
  <c r="I1818" i="7"/>
  <c r="J1818" i="7" a="1"/>
  <c r="M1818" i="7"/>
  <c r="I1817" i="7"/>
  <c r="J1817" i="7" a="1"/>
  <c r="M1817" i="7"/>
  <c r="I1816" i="7"/>
  <c r="J1816" i="7" a="1"/>
  <c r="M1816" i="7"/>
  <c r="I1815" i="7"/>
  <c r="J1815" i="7" a="1"/>
  <c r="M1815" i="7"/>
  <c r="I1814" i="7"/>
  <c r="J1814" i="7" a="1"/>
  <c r="M1814" i="7"/>
  <c r="I1813" i="7"/>
  <c r="J1813" i="7" a="1"/>
  <c r="M1813" i="7"/>
  <c r="I1812" i="7"/>
  <c r="J1812" i="7" a="1"/>
  <c r="M1812" i="7"/>
  <c r="I1811" i="7"/>
  <c r="J1811" i="7" a="1"/>
  <c r="M1811" i="7"/>
  <c r="I1810" i="7"/>
  <c r="J1810" i="7" a="1"/>
  <c r="M1810" i="7"/>
  <c r="I1809" i="7"/>
  <c r="J1809" i="7" a="1"/>
  <c r="M1809" i="7"/>
  <c r="I1808" i="7"/>
  <c r="J1808" i="7" a="1"/>
  <c r="M1808" i="7"/>
  <c r="I1807" i="7"/>
  <c r="J1807" i="7" a="1"/>
  <c r="M1807" i="7"/>
  <c r="I1806" i="7"/>
  <c r="J1806" i="7" a="1"/>
  <c r="M1806" i="7"/>
  <c r="I1805" i="7"/>
  <c r="J1805" i="7" a="1"/>
  <c r="M1805" i="7"/>
  <c r="I1804" i="7"/>
  <c r="J1804" i="7" a="1"/>
  <c r="M1804" i="7"/>
  <c r="I1803" i="7"/>
  <c r="J1803" i="7" a="1"/>
  <c r="M1803" i="7"/>
  <c r="I1802" i="7"/>
  <c r="J1802" i="7" a="1"/>
  <c r="M1802" i="7"/>
  <c r="I1800" i="7"/>
  <c r="J1800" i="7" a="1"/>
  <c r="M1800" i="7"/>
  <c r="I1799" i="7"/>
  <c r="J1799" i="7" a="1"/>
  <c r="M1799" i="7"/>
  <c r="I1798" i="7"/>
  <c r="J1798" i="7" a="1"/>
  <c r="M1798" i="7"/>
  <c r="I1797" i="7"/>
  <c r="J1797" i="7" a="1"/>
  <c r="M1797" i="7"/>
  <c r="I1796" i="7"/>
  <c r="J1796" i="7" a="1"/>
  <c r="M1796" i="7"/>
  <c r="I1795" i="7"/>
  <c r="J1795" i="7" a="1"/>
  <c r="M1795" i="7"/>
  <c r="I1847" i="7"/>
  <c r="J1847" i="7" a="1"/>
  <c r="M1847" i="7"/>
  <c r="I1846" i="7"/>
  <c r="J1846" i="7" a="1"/>
  <c r="M1846" i="7"/>
  <c r="I1845" i="7"/>
  <c r="J1845" i="7" a="1"/>
  <c r="M1845" i="7"/>
  <c r="I1844" i="7"/>
  <c r="J1844" i="7" a="1"/>
  <c r="M1844" i="7"/>
  <c r="I1843" i="7"/>
  <c r="J1843" i="7" a="1"/>
  <c r="M1843" i="7"/>
  <c r="I1842" i="7"/>
  <c r="J1842" i="7" a="1"/>
  <c r="M1842" i="7"/>
  <c r="I1841" i="7"/>
  <c r="J1841" i="7" a="1"/>
  <c r="M1841" i="7"/>
  <c r="I1840" i="7"/>
  <c r="J1840" i="7" a="1"/>
  <c r="M1840" i="7"/>
  <c r="I1839" i="7"/>
  <c r="J1839" i="7" a="1"/>
  <c r="M1839" i="7"/>
  <c r="I1838" i="7"/>
  <c r="J1838" i="7" a="1"/>
  <c r="M1838" i="7"/>
  <c r="I1837" i="7"/>
  <c r="J1837" i="7" a="1"/>
  <c r="M1837" i="7"/>
  <c r="I1836" i="7"/>
  <c r="J1836" i="7" a="1"/>
  <c r="M1836" i="7"/>
  <c r="I1835" i="7"/>
  <c r="J1835" i="7" a="1"/>
  <c r="M1835" i="7"/>
  <c r="I1834" i="7"/>
  <c r="J1834" i="7" a="1"/>
  <c r="M1834" i="7"/>
  <c r="I1833" i="7"/>
  <c r="J1833" i="7" a="1"/>
  <c r="M1833" i="7"/>
  <c r="I1832" i="7"/>
  <c r="J1832" i="7" a="1"/>
  <c r="M1832" i="7"/>
  <c r="I1831" i="7"/>
  <c r="J1831" i="7" a="1"/>
  <c r="M1831" i="7"/>
  <c r="I1830" i="7"/>
  <c r="J1830" i="7" a="1"/>
  <c r="M1830" i="7"/>
  <c r="I1829" i="7"/>
  <c r="J1829" i="7" a="1"/>
  <c r="M1829" i="7"/>
  <c r="I1828" i="7"/>
  <c r="J1828" i="7" a="1"/>
  <c r="M1828" i="7"/>
  <c r="I1827" i="7"/>
  <c r="J1827" i="7" a="1"/>
  <c r="M1827" i="7"/>
  <c r="I1826" i="7"/>
  <c r="J1826" i="7" a="1"/>
  <c r="M1826" i="7"/>
  <c r="I1825" i="7"/>
  <c r="J1825" i="7" a="1"/>
  <c r="M1825" i="7"/>
  <c r="I1824" i="7"/>
  <c r="J1824" i="7" a="1"/>
  <c r="M1824" i="7"/>
  <c r="I1864" i="7"/>
  <c r="J1864" i="7" a="1"/>
  <c r="M1864" i="7"/>
  <c r="I1863" i="7"/>
  <c r="J1863" i="7" a="1"/>
  <c r="M1863" i="7"/>
  <c r="I1862" i="7"/>
  <c r="J1862" i="7" a="1"/>
  <c r="M1862" i="7"/>
  <c r="I1861" i="7"/>
  <c r="J1861" i="7" a="1"/>
  <c r="M1861" i="7"/>
  <c r="I1860" i="7"/>
  <c r="J1860" i="7" a="1"/>
  <c r="M1860" i="7"/>
  <c r="I1859" i="7"/>
  <c r="J1859" i="7" a="1"/>
  <c r="M1859" i="7"/>
  <c r="I1858" i="7"/>
  <c r="J1858" i="7" a="1"/>
  <c r="M1858" i="7"/>
  <c r="I1857" i="7"/>
  <c r="J1857" i="7" a="1"/>
  <c r="M1857" i="7"/>
  <c r="I1856" i="7"/>
  <c r="J1856" i="7" a="1"/>
  <c r="M1856" i="7"/>
  <c r="I1855" i="7"/>
  <c r="J1855" i="7" a="1"/>
  <c r="M1855" i="7"/>
  <c r="I1854" i="7"/>
  <c r="J1854" i="7" a="1"/>
  <c r="M1854" i="7"/>
  <c r="I1853" i="7"/>
  <c r="J1853" i="7" a="1"/>
  <c r="M1853" i="7"/>
  <c r="I1852" i="7"/>
  <c r="J1852" i="7" a="1"/>
  <c r="M1852" i="7"/>
  <c r="I1851" i="7"/>
  <c r="J1851" i="7" a="1"/>
  <c r="M1851" i="7"/>
  <c r="I1850" i="7"/>
  <c r="J1850" i="7" a="1"/>
  <c r="M1850" i="7"/>
  <c r="I1849" i="7"/>
  <c r="J1849" i="7" a="1"/>
  <c r="M1849" i="7"/>
  <c r="I1848" i="7"/>
  <c r="J1848" i="7" a="1"/>
  <c r="M1848" i="7"/>
  <c r="I1885" i="7"/>
  <c r="J1885" i="7" a="1"/>
  <c r="M1885" i="7"/>
  <c r="I1884" i="7"/>
  <c r="J1884" i="7" a="1"/>
  <c r="M1884" i="7"/>
  <c r="I1883" i="7"/>
  <c r="J1883" i="7" a="1"/>
  <c r="M1883" i="7"/>
  <c r="I1882" i="7"/>
  <c r="J1882" i="7" a="1"/>
  <c r="M1882" i="7"/>
  <c r="I1881" i="7"/>
  <c r="J1881" i="7" a="1"/>
  <c r="M1881" i="7"/>
  <c r="I1880" i="7"/>
  <c r="J1880" i="7" a="1"/>
  <c r="M1880" i="7"/>
  <c r="I1879" i="7"/>
  <c r="J1879" i="7" a="1"/>
  <c r="M1879" i="7"/>
  <c r="I1878" i="7"/>
  <c r="J1878" i="7" a="1"/>
  <c r="M1878" i="7"/>
  <c r="I1877" i="7"/>
  <c r="J1877" i="7" a="1"/>
  <c r="M1877" i="7"/>
  <c r="I1876" i="7"/>
  <c r="J1876" i="7" a="1"/>
  <c r="M1876" i="7"/>
  <c r="I1875" i="7"/>
  <c r="J1875" i="7" a="1"/>
  <c r="M1875" i="7"/>
  <c r="I1874" i="7"/>
  <c r="J1874" i="7" a="1"/>
  <c r="M1874" i="7"/>
  <c r="I1873" i="7"/>
  <c r="J1873" i="7" a="1"/>
  <c r="M1873" i="7"/>
  <c r="I1872" i="7"/>
  <c r="J1872" i="7" a="1"/>
  <c r="M1872" i="7"/>
  <c r="I1871" i="7"/>
  <c r="J1871" i="7" a="1"/>
  <c r="M1871" i="7"/>
  <c r="I1870" i="7"/>
  <c r="J1870" i="7" a="1"/>
  <c r="M1870" i="7"/>
  <c r="I1869" i="7"/>
  <c r="J1869" i="7" a="1"/>
  <c r="M1869" i="7"/>
  <c r="I1868" i="7"/>
  <c r="J1868" i="7" a="1"/>
  <c r="M1868" i="7"/>
  <c r="I1866" i="7"/>
  <c r="J1866" i="7" a="1"/>
  <c r="M1866" i="7"/>
  <c r="I1865" i="7"/>
  <c r="J1865" i="7" a="1"/>
  <c r="M1865" i="7"/>
  <c r="I1905" i="7"/>
  <c r="J1905" i="7" a="1"/>
  <c r="M1905" i="7"/>
  <c r="I1904" i="7"/>
  <c r="J1904" i="7" a="1"/>
  <c r="M1904" i="7"/>
  <c r="I1903" i="7"/>
  <c r="J1903" i="7" a="1"/>
  <c r="M1903" i="7"/>
  <c r="I1902" i="7"/>
  <c r="J1902" i="7" a="1"/>
  <c r="M1902" i="7"/>
  <c r="I1901" i="7"/>
  <c r="J1901" i="7" a="1"/>
  <c r="M1901" i="7"/>
  <c r="I1900" i="7"/>
  <c r="J1900" i="7" a="1"/>
  <c r="M1900" i="7"/>
  <c r="I1899" i="7"/>
  <c r="J1899" i="7" a="1"/>
  <c r="M1899" i="7"/>
  <c r="I1898" i="7"/>
  <c r="J1898" i="7" a="1"/>
  <c r="M1898" i="7"/>
  <c r="I1897" i="7"/>
  <c r="J1897" i="7" a="1"/>
  <c r="M1897" i="7"/>
  <c r="I1896" i="7"/>
  <c r="J1896" i="7" a="1"/>
  <c r="M1896" i="7"/>
  <c r="I1895" i="7"/>
  <c r="J1895" i="7" a="1"/>
  <c r="M1895" i="7"/>
  <c r="I1894" i="7"/>
  <c r="J1894" i="7" a="1"/>
  <c r="M1894" i="7"/>
  <c r="I1893" i="7"/>
  <c r="J1893" i="7" a="1"/>
  <c r="M1893" i="7"/>
  <c r="I1892" i="7"/>
  <c r="J1892" i="7" a="1"/>
  <c r="M1892" i="7"/>
  <c r="I1891" i="7"/>
  <c r="J1891" i="7" a="1"/>
  <c r="M1891" i="7"/>
  <c r="I1890" i="7"/>
  <c r="J1890" i="7" a="1"/>
  <c r="M1890" i="7"/>
  <c r="I1889" i="7"/>
  <c r="J1889" i="7" a="1"/>
  <c r="M1889" i="7"/>
  <c r="I1888" i="7"/>
  <c r="J1888" i="7" a="1"/>
  <c r="M1888" i="7"/>
  <c r="I1887" i="7"/>
  <c r="J1887" i="7" a="1"/>
  <c r="M1887" i="7"/>
  <c r="I1886" i="7"/>
  <c r="J1886" i="7" a="1"/>
  <c r="M1886" i="7"/>
  <c r="I1924" i="7"/>
  <c r="J1924" i="7" a="1"/>
  <c r="M1924" i="7"/>
  <c r="I1923" i="7"/>
  <c r="J1923" i="7" a="1"/>
  <c r="M1923" i="7"/>
  <c r="I1922" i="7"/>
  <c r="J1922" i="7" a="1"/>
  <c r="M1922" i="7"/>
  <c r="I1921" i="7"/>
  <c r="J1921" i="7" a="1"/>
  <c r="M1921" i="7"/>
  <c r="I1920" i="7"/>
  <c r="J1920" i="7" a="1"/>
  <c r="M1920" i="7"/>
  <c r="I1919" i="7"/>
  <c r="J1919" i="7" a="1"/>
  <c r="M1919" i="7"/>
  <c r="I1918" i="7"/>
  <c r="J1918" i="7" a="1"/>
  <c r="M1918" i="7"/>
  <c r="I1917" i="7"/>
  <c r="J1917" i="7" a="1"/>
  <c r="M1917" i="7"/>
  <c r="I1916" i="7"/>
  <c r="J1916" i="7" a="1"/>
  <c r="M1916" i="7"/>
  <c r="I1915" i="7"/>
  <c r="J1915" i="7" a="1"/>
  <c r="M1915" i="7"/>
  <c r="I1914" i="7"/>
  <c r="J1914" i="7" a="1"/>
  <c r="M1914" i="7"/>
  <c r="I1913" i="7"/>
  <c r="J1913" i="7" a="1"/>
  <c r="M1913" i="7"/>
  <c r="I1912" i="7"/>
  <c r="J1912" i="7" a="1"/>
  <c r="M1912" i="7"/>
  <c r="I1911" i="7"/>
  <c r="J1911" i="7" a="1"/>
  <c r="M1911" i="7"/>
  <c r="I1910" i="7"/>
  <c r="J1910" i="7" a="1"/>
  <c r="M1910" i="7"/>
  <c r="I1909" i="7"/>
  <c r="J1909" i="7" a="1"/>
  <c r="M1909" i="7"/>
  <c r="I1908" i="7"/>
  <c r="J1908" i="7" a="1"/>
  <c r="M1908" i="7"/>
  <c r="I1907" i="7"/>
  <c r="J1907" i="7" a="1"/>
  <c r="M1907" i="7"/>
  <c r="I1906" i="7"/>
  <c r="J1906" i="7" a="1"/>
  <c r="M1906" i="7"/>
  <c r="I1943" i="7"/>
  <c r="J1943" i="7" a="1"/>
  <c r="M1943" i="7"/>
  <c r="I1942" i="7"/>
  <c r="J1942" i="7" a="1"/>
  <c r="M1942" i="7"/>
  <c r="I1941" i="7"/>
  <c r="J1941" i="7" a="1"/>
  <c r="M1941" i="7"/>
  <c r="I1940" i="7"/>
  <c r="J1940" i="7" a="1"/>
  <c r="M1940" i="7"/>
  <c r="I1939" i="7"/>
  <c r="J1939" i="7" a="1"/>
  <c r="M1939" i="7"/>
  <c r="I1938" i="7"/>
  <c r="J1938" i="7" a="1"/>
  <c r="M1938" i="7"/>
  <c r="I1937" i="7"/>
  <c r="J1937" i="7" a="1"/>
  <c r="M1937" i="7"/>
  <c r="I1936" i="7"/>
  <c r="J1936" i="7" a="1"/>
  <c r="M1936" i="7"/>
  <c r="I1935" i="7"/>
  <c r="J1935" i="7" a="1"/>
  <c r="M1935" i="7"/>
  <c r="I1934" i="7"/>
  <c r="J1934" i="7" a="1"/>
  <c r="M1934" i="7"/>
  <c r="I1933" i="7"/>
  <c r="J1933" i="7" a="1"/>
  <c r="M1933" i="7"/>
  <c r="I1932" i="7"/>
  <c r="J1932" i="7" a="1"/>
  <c r="M1932" i="7"/>
  <c r="I1931" i="7"/>
  <c r="J1931" i="7" a="1"/>
  <c r="M1931" i="7"/>
  <c r="I1930" i="7"/>
  <c r="J1930" i="7" a="1"/>
  <c r="M1930" i="7"/>
  <c r="I1929" i="7"/>
  <c r="J1929" i="7" a="1"/>
  <c r="M1929" i="7"/>
  <c r="I1928" i="7"/>
  <c r="J1928" i="7" a="1"/>
  <c r="M1928" i="7"/>
  <c r="I1927" i="7"/>
  <c r="J1927" i="7" a="1"/>
  <c r="M1927" i="7"/>
  <c r="I1926" i="7"/>
  <c r="J1926" i="7" a="1"/>
  <c r="M1926" i="7"/>
  <c r="I1925" i="7"/>
  <c r="J1925" i="7" a="1"/>
  <c r="M1925" i="7"/>
  <c r="I1963" i="7"/>
  <c r="J1963" i="7" a="1"/>
  <c r="M1963" i="7"/>
  <c r="I1962" i="7"/>
  <c r="J1962" i="7" a="1"/>
  <c r="M1962" i="7"/>
  <c r="I1961" i="7"/>
  <c r="J1961" i="7" a="1"/>
  <c r="M1961" i="7"/>
  <c r="I1960" i="7"/>
  <c r="J1960" i="7" a="1"/>
  <c r="M1960" i="7"/>
  <c r="I1959" i="7"/>
  <c r="J1959" i="7" a="1"/>
  <c r="M1959" i="7"/>
  <c r="I1957" i="7"/>
  <c r="J1957" i="7" a="1"/>
  <c r="M1957" i="7"/>
  <c r="I1956" i="7"/>
  <c r="J1956" i="7" a="1"/>
  <c r="M1956" i="7"/>
  <c r="I1955" i="7"/>
  <c r="J1955" i="7" a="1"/>
  <c r="M1955" i="7"/>
  <c r="I1954" i="7"/>
  <c r="J1954" i="7" a="1"/>
  <c r="M1954" i="7"/>
  <c r="I1953" i="7"/>
  <c r="J1953" i="7" a="1"/>
  <c r="M1953" i="7"/>
  <c r="I1952" i="7"/>
  <c r="J1952" i="7" a="1"/>
  <c r="M1952" i="7"/>
  <c r="I1951" i="7"/>
  <c r="J1951" i="7" a="1"/>
  <c r="M1951" i="7"/>
  <c r="I1950" i="7"/>
  <c r="J1950" i="7" a="1"/>
  <c r="M1950" i="7"/>
  <c r="I1949" i="7"/>
  <c r="J1949" i="7" a="1"/>
  <c r="M1949" i="7"/>
  <c r="I1948" i="7"/>
  <c r="J1948" i="7" a="1"/>
  <c r="M1948" i="7"/>
  <c r="I1947" i="7"/>
  <c r="J1947" i="7" a="1"/>
  <c r="M1947" i="7"/>
  <c r="I1946" i="7"/>
  <c r="J1946" i="7" a="1"/>
  <c r="M1946" i="7"/>
  <c r="I1945" i="7"/>
  <c r="J1945" i="7" a="1"/>
  <c r="M1945" i="7"/>
  <c r="I1944" i="7"/>
  <c r="J1944" i="7" a="1"/>
  <c r="M1944" i="7"/>
  <c r="I1984" i="7"/>
  <c r="J1984" i="7" a="1"/>
  <c r="M1984" i="7"/>
  <c r="I1983" i="7"/>
  <c r="J1983" i="7" a="1"/>
  <c r="M1983" i="7"/>
  <c r="I1982" i="7"/>
  <c r="J1982" i="7" a="1"/>
  <c r="M1982" i="7"/>
  <c r="I1981" i="7"/>
  <c r="J1981" i="7" a="1"/>
  <c r="M1981" i="7"/>
  <c r="I1980" i="7"/>
  <c r="J1980" i="7" a="1"/>
  <c r="M1980" i="7"/>
  <c r="I1979" i="7"/>
  <c r="J1979" i="7" a="1"/>
  <c r="M1979" i="7"/>
  <c r="I1978" i="7"/>
  <c r="J1978" i="7" a="1"/>
  <c r="M1978" i="7"/>
  <c r="I1977" i="7"/>
  <c r="J1977" i="7" a="1"/>
  <c r="M1977" i="7"/>
  <c r="I1976" i="7"/>
  <c r="J1976" i="7" a="1"/>
  <c r="M1976" i="7"/>
  <c r="I1975" i="7"/>
  <c r="J1975" i="7" a="1"/>
  <c r="M1975" i="7"/>
  <c r="I1974" i="7"/>
  <c r="J1974" i="7" a="1"/>
  <c r="M1974" i="7"/>
  <c r="I1973" i="7"/>
  <c r="J1973" i="7" a="1"/>
  <c r="M1973" i="7"/>
  <c r="I1972" i="7"/>
  <c r="J1972" i="7" a="1"/>
  <c r="M1972" i="7"/>
  <c r="I1971" i="7"/>
  <c r="J1971" i="7" a="1"/>
  <c r="M1971" i="7"/>
  <c r="I1970" i="7"/>
  <c r="J1970" i="7" a="1"/>
  <c r="M1970" i="7"/>
  <c r="I1969" i="7"/>
  <c r="J1969" i="7" a="1"/>
  <c r="M1969" i="7"/>
  <c r="I1968" i="7"/>
  <c r="J1968" i="7" a="1"/>
  <c r="M1968" i="7"/>
  <c r="I1967" i="7"/>
  <c r="J1967" i="7" a="1"/>
  <c r="M1967" i="7"/>
  <c r="I1966" i="7"/>
  <c r="J1966" i="7" a="1"/>
  <c r="M1966" i="7"/>
  <c r="I1965" i="7"/>
  <c r="J1965" i="7" a="1"/>
  <c r="M1965" i="7"/>
  <c r="I1964" i="7"/>
  <c r="J1964" i="7" a="1"/>
  <c r="M1964" i="7"/>
  <c r="I2000" i="7"/>
  <c r="J2000" i="7" a="1"/>
  <c r="M2000" i="7"/>
  <c r="I1999" i="7"/>
  <c r="J1999" i="7" a="1"/>
  <c r="M1999" i="7"/>
  <c r="I1998" i="7"/>
  <c r="J1998" i="7" a="1"/>
  <c r="M1998" i="7"/>
  <c r="I1997" i="7"/>
  <c r="J1997" i="7" a="1"/>
  <c r="M1997" i="7"/>
  <c r="I1996" i="7"/>
  <c r="J1996" i="7" a="1"/>
  <c r="M1996" i="7"/>
  <c r="I1995" i="7"/>
  <c r="J1995" i="7" a="1"/>
  <c r="M1995" i="7"/>
  <c r="I1994" i="7"/>
  <c r="J1994" i="7" a="1"/>
  <c r="M1994" i="7"/>
  <c r="I1993" i="7"/>
  <c r="J1993" i="7" a="1"/>
  <c r="M1993" i="7"/>
  <c r="I1992" i="7"/>
  <c r="J1992" i="7" a="1"/>
  <c r="M1992" i="7"/>
  <c r="I1991" i="7"/>
  <c r="J1991" i="7" a="1"/>
  <c r="M1991" i="7"/>
  <c r="I1990" i="7"/>
  <c r="J1990" i="7" a="1"/>
  <c r="M1990" i="7"/>
  <c r="I1989" i="7"/>
  <c r="J1989" i="7" a="1"/>
  <c r="M1989" i="7"/>
  <c r="I1988" i="7"/>
  <c r="J1988" i="7" a="1"/>
  <c r="M1988" i="7"/>
  <c r="I1987" i="7"/>
  <c r="J1987" i="7" a="1"/>
  <c r="M1987" i="7"/>
  <c r="I1986" i="7"/>
  <c r="J1986" i="7" a="1"/>
  <c r="M1986" i="7"/>
  <c r="I1985" i="7"/>
  <c r="J1985" i="7" a="1"/>
  <c r="M1985" i="7"/>
  <c r="J2018" i="7" a="1"/>
  <c r="M2018" i="7"/>
  <c r="I2018" i="7"/>
  <c r="J2017" i="7" a="1"/>
  <c r="M2017" i="7"/>
  <c r="I2017" i="7"/>
  <c r="J2016" i="7" a="1"/>
  <c r="I2016" i="7"/>
  <c r="M2016" i="7"/>
  <c r="M2015" i="7"/>
  <c r="I2015" i="7"/>
  <c r="J2015" i="7" a="1"/>
  <c r="J2014" i="7" a="1"/>
  <c r="I2014" i="7"/>
  <c r="M2014" i="7"/>
  <c r="I2013" i="7"/>
  <c r="M2013" i="7"/>
  <c r="J2013" i="7" a="1"/>
  <c r="J2012" i="7" a="1"/>
  <c r="M2012" i="7"/>
  <c r="I2012" i="7"/>
  <c r="J2011" i="7" a="1"/>
  <c r="I2011" i="7"/>
  <c r="M2011" i="7"/>
  <c r="I2010" i="7"/>
  <c r="J2010" i="7" a="1"/>
  <c r="M2010" i="7"/>
  <c r="J2009" i="7" a="1"/>
  <c r="I2009" i="7"/>
  <c r="M2009" i="7"/>
  <c r="I2008" i="7"/>
  <c r="J2008" i="7" a="1"/>
  <c r="M2008" i="7"/>
  <c r="J2007" i="7" a="1"/>
  <c r="M2007" i="7"/>
  <c r="I2007" i="7"/>
  <c r="I2006" i="7"/>
  <c r="M2006" i="7"/>
  <c r="J2006" i="7" a="1"/>
  <c r="I2005" i="7"/>
  <c r="J2005" i="7" a="1"/>
  <c r="M2005" i="7"/>
  <c r="J2004" i="7" a="1"/>
  <c r="M2004" i="7"/>
  <c r="I2004" i="7"/>
  <c r="J2003" i="7" a="1"/>
  <c r="I2003" i="7"/>
  <c r="M2003" i="7"/>
  <c r="J2002" i="7" a="1"/>
  <c r="M2002" i="7"/>
  <c r="I2002" i="7"/>
  <c r="M2001" i="7"/>
  <c r="J2001" i="7" a="1"/>
  <c r="I2001" i="7"/>
  <c r="I2055" i="7"/>
  <c r="J2055" i="7" a="1"/>
  <c r="M2055" i="7"/>
  <c r="J2054" i="7" a="1"/>
  <c r="I2054" i="7"/>
  <c r="M2054" i="7"/>
  <c r="J2053" i="7" a="1"/>
  <c r="M2053" i="7"/>
  <c r="I2053" i="7"/>
  <c r="I2052" i="7"/>
  <c r="J2052" i="7" a="1"/>
  <c r="M2052" i="7"/>
  <c r="I2051" i="7"/>
  <c r="J2051" i="7" a="1"/>
  <c r="M2051" i="7"/>
  <c r="I2050" i="7"/>
  <c r="J2050" i="7" a="1"/>
  <c r="M2050" i="7"/>
  <c r="J2049" i="7" a="1"/>
  <c r="I2049" i="7"/>
  <c r="M2049" i="7"/>
  <c r="M2048" i="7"/>
  <c r="I2048" i="7"/>
  <c r="J2048" i="7" a="1"/>
  <c r="J2047" i="7" a="1"/>
  <c r="M2047" i="7"/>
  <c r="I2047" i="7"/>
  <c r="J2046" i="7" a="1"/>
  <c r="M2046" i="7"/>
  <c r="I2046" i="7"/>
  <c r="J2045" i="7" a="1"/>
  <c r="M2045" i="7"/>
  <c r="I2045" i="7"/>
  <c r="J2044" i="7" a="1"/>
  <c r="M2044" i="7"/>
  <c r="I2044" i="7"/>
  <c r="J2043" i="7" a="1"/>
  <c r="M2043" i="7"/>
  <c r="I2043" i="7"/>
  <c r="I2042" i="7"/>
  <c r="J2042" i="7" a="1"/>
  <c r="M2042" i="7"/>
  <c r="J2041" i="7" a="1"/>
  <c r="M2041" i="7"/>
  <c r="I2041" i="7"/>
  <c r="J2040" i="7" a="1"/>
  <c r="M2040" i="7"/>
  <c r="I2040" i="7"/>
  <c r="J2039" i="7" a="1"/>
  <c r="M2039" i="7"/>
  <c r="I2039" i="7"/>
  <c r="J2038" i="7" a="1"/>
  <c r="I2038" i="7"/>
  <c r="M2038" i="7"/>
  <c r="I2037" i="7"/>
  <c r="J2037" i="7" a="1"/>
  <c r="M2037" i="7"/>
  <c r="I2036" i="7"/>
  <c r="J2036" i="7" a="1"/>
  <c r="M2036" i="7"/>
  <c r="I2035" i="7"/>
  <c r="J2035" i="7" a="1"/>
  <c r="M2035" i="7"/>
  <c r="J2034" i="7" a="1"/>
  <c r="M2034" i="7"/>
  <c r="I2034" i="7"/>
  <c r="I2033" i="7"/>
  <c r="J2033" i="7" a="1"/>
  <c r="M2033" i="7"/>
  <c r="J2032" i="7" a="1"/>
  <c r="I2032" i="7"/>
  <c r="M2032" i="7"/>
  <c r="I2031" i="7"/>
  <c r="J2031" i="7" a="1"/>
  <c r="M2031" i="7"/>
  <c r="I2030" i="7"/>
  <c r="J2030" i="7" a="1"/>
  <c r="M2030" i="7"/>
  <c r="M2029" i="7"/>
  <c r="I2029" i="7"/>
  <c r="J2029" i="7" a="1"/>
  <c r="J2028" i="7" a="1"/>
  <c r="M2028" i="7"/>
  <c r="I2028" i="7"/>
  <c r="J2027" i="7" a="1"/>
  <c r="M2027" i="7"/>
  <c r="I2027" i="7"/>
  <c r="I2026" i="7"/>
  <c r="J2026" i="7" a="1"/>
  <c r="M2026" i="7"/>
  <c r="J2025" i="7" a="1"/>
  <c r="M2025" i="7"/>
  <c r="I2025" i="7"/>
  <c r="J2024" i="7" a="1"/>
  <c r="I2024" i="7"/>
  <c r="M2024" i="7"/>
  <c r="J2023" i="7" a="1"/>
  <c r="I2023" i="7"/>
  <c r="M2023" i="7"/>
  <c r="I2022" i="7"/>
  <c r="J2022" i="7" a="1"/>
  <c r="M2022" i="7"/>
  <c r="J2021" i="7" a="1"/>
  <c r="I2021" i="7"/>
  <c r="M2021" i="7"/>
  <c r="I2020" i="7"/>
  <c r="J2020" i="7" a="1"/>
  <c r="M2020" i="7"/>
  <c r="I2019" i="7"/>
  <c r="J2019" i="7" a="1"/>
  <c r="M2019" i="7"/>
  <c r="J2090" i="7" a="1"/>
  <c r="M2090" i="7"/>
  <c r="I2090" i="7"/>
  <c r="I2089" i="7"/>
  <c r="J2089" i="7" a="1"/>
  <c r="M2089" i="7"/>
  <c r="I2088" i="7"/>
  <c r="J2088" i="7" a="1"/>
  <c r="M2088" i="7"/>
  <c r="M2087" i="7"/>
  <c r="I2087" i="7"/>
  <c r="J2087" i="7" a="1"/>
  <c r="J2086" i="7" a="1"/>
  <c r="I2086" i="7"/>
  <c r="M2086" i="7"/>
  <c r="I2085" i="7"/>
  <c r="M2085" i="7"/>
  <c r="J2085" i="7" a="1"/>
  <c r="I2084" i="7"/>
  <c r="J2084" i="7" a="1"/>
  <c r="M2084" i="7"/>
  <c r="M2083" i="7"/>
  <c r="I2083" i="7"/>
  <c r="J2083" i="7" a="1"/>
  <c r="J2082" i="7" a="1"/>
  <c r="M2082" i="7"/>
  <c r="I2082" i="7"/>
  <c r="I2081" i="7"/>
  <c r="J2081" i="7" a="1"/>
  <c r="M2081" i="7"/>
  <c r="J2080" i="7" a="1"/>
  <c r="I2080" i="7"/>
  <c r="M2080" i="7"/>
  <c r="I2078" i="7"/>
  <c r="M2078" i="7"/>
  <c r="J2078" i="7" a="1"/>
  <c r="I2077" i="7"/>
  <c r="J2077" i="7" a="1"/>
  <c r="M2077" i="7"/>
  <c r="M2076" i="7"/>
  <c r="I2076" i="7"/>
  <c r="J2076" i="7" a="1"/>
  <c r="J2075" i="7" a="1"/>
  <c r="I2075" i="7"/>
  <c r="M2075" i="7"/>
  <c r="J2074" i="7" a="1"/>
  <c r="I2074" i="7"/>
  <c r="M2074" i="7"/>
  <c r="I2072" i="7"/>
  <c r="J2072" i="7" a="1"/>
  <c r="M2072" i="7"/>
  <c r="I2071" i="7"/>
  <c r="J2071" i="7" a="1"/>
  <c r="M2071" i="7"/>
  <c r="J2070" i="7" a="1"/>
  <c r="M2070" i="7"/>
  <c r="I2070" i="7"/>
  <c r="J2069" i="7" a="1"/>
  <c r="M2069" i="7"/>
  <c r="I2069" i="7"/>
  <c r="J2068" i="7" a="1"/>
  <c r="M2068" i="7"/>
  <c r="I2068" i="7"/>
  <c r="I2067" i="7"/>
  <c r="M2067" i="7"/>
  <c r="J2067" i="7" a="1"/>
  <c r="I2066" i="7"/>
  <c r="J2066" i="7" a="1"/>
  <c r="M2066" i="7"/>
  <c r="I2065" i="7"/>
  <c r="J2065" i="7" a="1"/>
  <c r="M2065" i="7"/>
  <c r="I2064" i="7"/>
  <c r="J2064" i="7" a="1"/>
  <c r="M2064" i="7"/>
  <c r="I2063" i="7"/>
  <c r="J2063" i="7" a="1"/>
  <c r="M2063" i="7"/>
  <c r="J2062" i="7" a="1"/>
  <c r="M2062" i="7"/>
  <c r="I2062" i="7"/>
  <c r="I2061" i="7"/>
  <c r="J2061" i="7" a="1"/>
  <c r="M2061" i="7"/>
  <c r="J2060" i="7" a="1"/>
  <c r="I2060" i="7"/>
  <c r="M2060" i="7"/>
  <c r="J2059" i="7" a="1"/>
  <c r="M2059" i="7"/>
  <c r="I2059" i="7"/>
  <c r="M2058" i="7"/>
  <c r="I2058" i="7"/>
  <c r="J2058" i="7" a="1"/>
  <c r="M2057" i="7"/>
  <c r="I2057" i="7"/>
  <c r="J2057" i="7" a="1"/>
  <c r="M2056" i="7"/>
  <c r="I2056" i="7"/>
  <c r="J2056" i="7" a="1"/>
  <c r="I2107" i="7"/>
  <c r="J2107" i="7" a="1"/>
  <c r="M2107" i="7"/>
  <c r="I2106" i="7"/>
  <c r="J2106" i="7" a="1"/>
  <c r="M2106" i="7"/>
  <c r="M2105" i="7"/>
  <c r="I2105" i="7"/>
  <c r="J2105" i="7" a="1"/>
  <c r="J2104" i="7" a="1"/>
  <c r="I2104" i="7"/>
  <c r="M2104" i="7"/>
  <c r="J2103" i="7" a="1"/>
  <c r="I2103" i="7"/>
  <c r="M2103" i="7"/>
  <c r="J2102" i="7" a="1"/>
  <c r="I2102" i="7"/>
  <c r="M2102" i="7"/>
  <c r="I2101" i="7"/>
  <c r="J2101" i="7" a="1"/>
  <c r="M2101" i="7"/>
  <c r="I2100" i="7"/>
  <c r="J2100" i="7" a="1"/>
  <c r="M2100" i="7"/>
  <c r="I2099" i="7"/>
  <c r="J2099" i="7" a="1"/>
  <c r="M2099" i="7"/>
  <c r="I2098" i="7"/>
  <c r="M2098" i="7"/>
  <c r="J2098" i="7" a="1"/>
  <c r="I2097" i="7"/>
  <c r="J2097" i="7" a="1"/>
  <c r="M2097" i="7"/>
  <c r="I2096" i="7"/>
  <c r="J2096" i="7" a="1"/>
  <c r="M2096" i="7"/>
  <c r="I2095" i="7"/>
  <c r="M2095" i="7"/>
  <c r="J2095" i="7" a="1"/>
  <c r="I2094" i="7"/>
  <c r="J2094" i="7" a="1"/>
  <c r="M2094" i="7"/>
  <c r="J2093" i="7" a="1"/>
  <c r="I2093" i="7"/>
  <c r="M2093" i="7"/>
  <c r="J2092" i="7" a="1"/>
  <c r="M2092" i="7"/>
  <c r="I2092" i="7"/>
  <c r="I2091" i="7"/>
  <c r="J2091" i="7" a="1"/>
  <c r="M2091" i="7"/>
  <c r="J2124" i="7" a="1"/>
  <c r="I2124" i="7"/>
  <c r="M2124" i="7"/>
  <c r="I2123" i="7"/>
  <c r="J2123" i="7" a="1"/>
  <c r="M2123" i="7"/>
  <c r="J2122" i="7" a="1"/>
  <c r="M2122" i="7"/>
  <c r="I2122" i="7"/>
  <c r="J2121" i="7" a="1"/>
  <c r="I2121" i="7"/>
  <c r="M2121" i="7"/>
  <c r="I2120" i="7"/>
  <c r="J2120" i="7" a="1"/>
  <c r="M2120" i="7"/>
  <c r="J2119" i="7" a="1"/>
  <c r="I2119" i="7"/>
  <c r="M2119" i="7"/>
  <c r="I2118" i="7"/>
  <c r="J2118" i="7" a="1"/>
  <c r="M2118" i="7"/>
  <c r="I2117" i="7"/>
  <c r="J2117" i="7" a="1"/>
  <c r="M2117" i="7"/>
  <c r="J2116" i="7" a="1"/>
  <c r="I2116" i="7"/>
  <c r="M2116" i="7"/>
  <c r="I2115" i="7"/>
  <c r="J2115" i="7" a="1"/>
  <c r="M2115" i="7"/>
  <c r="J2114" i="7" a="1"/>
  <c r="I2114" i="7"/>
  <c r="M2114" i="7"/>
  <c r="I2113" i="7"/>
  <c r="J2113" i="7" a="1"/>
  <c r="M2113" i="7"/>
  <c r="I2112" i="7"/>
  <c r="J2112" i="7" a="1"/>
  <c r="M2112" i="7"/>
  <c r="I2111" i="7"/>
  <c r="M2111" i="7"/>
  <c r="J2111" i="7" a="1"/>
  <c r="J2110" i="7" a="1"/>
  <c r="M2110" i="7"/>
  <c r="I2110" i="7"/>
  <c r="J2109" i="7" a="1"/>
  <c r="I2109" i="7"/>
  <c r="M2109" i="7"/>
  <c r="I2108" i="7"/>
  <c r="J2108" i="7" a="1"/>
  <c r="M2108" i="7"/>
  <c r="I2161" i="7"/>
  <c r="J2161" i="7" a="1"/>
  <c r="M2161" i="7"/>
  <c r="I2160" i="7"/>
  <c r="J2160" i="7" a="1"/>
  <c r="M2160" i="7"/>
  <c r="I2159" i="7"/>
  <c r="J2159" i="7" a="1"/>
  <c r="M2159" i="7"/>
  <c r="I2158" i="7"/>
  <c r="J2158" i="7" a="1"/>
  <c r="M2158" i="7"/>
  <c r="J2157" i="7" a="1"/>
  <c r="I2157" i="7"/>
  <c r="M2157" i="7"/>
  <c r="J2156" i="7" a="1"/>
  <c r="M2156" i="7"/>
  <c r="I2156" i="7"/>
  <c r="I2155" i="7"/>
  <c r="M2155" i="7"/>
  <c r="J2155" i="7" a="1"/>
  <c r="J2154" i="7" a="1"/>
  <c r="I2154" i="7"/>
  <c r="M2154" i="7"/>
  <c r="J2153" i="7" a="1"/>
  <c r="M2153" i="7"/>
  <c r="I2153" i="7"/>
  <c r="J2152" i="7" a="1"/>
  <c r="I2152" i="7"/>
  <c r="M2152" i="7"/>
  <c r="I2151" i="7"/>
  <c r="J2151" i="7" a="1"/>
  <c r="M2151" i="7"/>
  <c r="J2150" i="7" a="1"/>
  <c r="I2150" i="7"/>
  <c r="M2150" i="7"/>
  <c r="I2149" i="7"/>
  <c r="J2149" i="7" a="1"/>
  <c r="M2149" i="7"/>
  <c r="J2148" i="7" a="1"/>
  <c r="I2148" i="7"/>
  <c r="M2148" i="7"/>
  <c r="I2147" i="7"/>
  <c r="J2147" i="7" a="1"/>
  <c r="M2147" i="7"/>
  <c r="I2146" i="7"/>
  <c r="J2146" i="7" a="1"/>
  <c r="M2146" i="7"/>
  <c r="J2145" i="7" a="1"/>
  <c r="M2145" i="7"/>
  <c r="I2145" i="7"/>
  <c r="I2144" i="7"/>
  <c r="J2144" i="7" a="1"/>
  <c r="M2144" i="7"/>
  <c r="I2143" i="7"/>
  <c r="M2143" i="7"/>
  <c r="J2143" i="7" a="1"/>
  <c r="I2142" i="7"/>
  <c r="J2142" i="7" a="1"/>
  <c r="M2142" i="7"/>
  <c r="J2141" i="7" a="1"/>
  <c r="I2141" i="7"/>
  <c r="M2141" i="7"/>
  <c r="I2140" i="7"/>
  <c r="J2140" i="7" a="1"/>
  <c r="M2140" i="7"/>
  <c r="I2139" i="7"/>
  <c r="M2139" i="7"/>
  <c r="J2139" i="7" a="1"/>
  <c r="J2138" i="7" a="1"/>
  <c r="I2138" i="7"/>
  <c r="M2138" i="7"/>
  <c r="J2137" i="7" a="1"/>
  <c r="M2137" i="7"/>
  <c r="I2137" i="7"/>
  <c r="J2136" i="7" a="1"/>
  <c r="M2136" i="7"/>
  <c r="I2136" i="7"/>
  <c r="I2135" i="7"/>
  <c r="J2135" i="7" a="1"/>
  <c r="M2135" i="7"/>
  <c r="I2134" i="7"/>
  <c r="M2134" i="7"/>
  <c r="J2134" i="7" a="1"/>
  <c r="I2133" i="7"/>
  <c r="J2133" i="7" a="1"/>
  <c r="M2133" i="7"/>
  <c r="I2132" i="7"/>
  <c r="J2132" i="7" a="1"/>
  <c r="M2132" i="7"/>
  <c r="I2131" i="7"/>
  <c r="J2131" i="7" a="1"/>
  <c r="M2131" i="7"/>
  <c r="I2130" i="7"/>
  <c r="J2130" i="7" a="1"/>
  <c r="M2130" i="7"/>
  <c r="I2129" i="7"/>
  <c r="J2129" i="7" a="1"/>
  <c r="M2129" i="7"/>
  <c r="I2128" i="7"/>
  <c r="J2128" i="7" a="1"/>
  <c r="M2128" i="7"/>
  <c r="I2127" i="7"/>
  <c r="J2127" i="7" a="1"/>
  <c r="M2127" i="7"/>
  <c r="I2126" i="7"/>
  <c r="J2126" i="7" a="1"/>
  <c r="M2126" i="7"/>
  <c r="I2125" i="7"/>
  <c r="J2125" i="7" a="1"/>
  <c r="M2125" i="7"/>
  <c r="I2179" i="7"/>
  <c r="J2179" i="7" a="1"/>
  <c r="M2179" i="7"/>
  <c r="J2178" i="7" a="1"/>
  <c r="M2178" i="7"/>
  <c r="I2178" i="7"/>
  <c r="I2177" i="7"/>
  <c r="M2177" i="7"/>
  <c r="J2177" i="7" a="1"/>
  <c r="I2176" i="7"/>
  <c r="J2176" i="7" a="1"/>
  <c r="M2176" i="7"/>
  <c r="I2175" i="7"/>
  <c r="J2175" i="7" a="1"/>
  <c r="M2175" i="7"/>
  <c r="J2173" i="7" a="1"/>
  <c r="I2173" i="7"/>
  <c r="M2173" i="7"/>
  <c r="I2172" i="7"/>
  <c r="J2172" i="7" a="1"/>
  <c r="M2172" i="7"/>
  <c r="I2171" i="7"/>
  <c r="J2171" i="7" a="1"/>
  <c r="M2171" i="7"/>
  <c r="I2170" i="7"/>
  <c r="M2170" i="7"/>
  <c r="J2170" i="7" a="1"/>
  <c r="I2169" i="7"/>
  <c r="J2169" i="7" a="1"/>
  <c r="M2169" i="7"/>
  <c r="J2168" i="7" a="1"/>
  <c r="I2168" i="7"/>
  <c r="M2168" i="7"/>
  <c r="I2167" i="7"/>
  <c r="J2167" i="7" a="1"/>
  <c r="M2167" i="7"/>
  <c r="I2166" i="7"/>
  <c r="J2166" i="7" a="1"/>
  <c r="M2166" i="7"/>
  <c r="M2165" i="7"/>
  <c r="I2165" i="7"/>
  <c r="J2165" i="7" a="1"/>
  <c r="I2164" i="7"/>
  <c r="J2164" i="7" a="1"/>
  <c r="M2164" i="7"/>
  <c r="J2163" i="7" a="1"/>
  <c r="M2163" i="7"/>
  <c r="I2163" i="7"/>
  <c r="I2162" i="7"/>
  <c r="J2162" i="7" a="1"/>
  <c r="M2162" i="7"/>
  <c r="I2199" i="7"/>
  <c r="J2199" i="7" a="1"/>
  <c r="M2199" i="7"/>
  <c r="M2198" i="7"/>
  <c r="I2198" i="7"/>
  <c r="J2198" i="7" a="1"/>
  <c r="J2197" i="7" a="1"/>
  <c r="M2197" i="7"/>
  <c r="I2197" i="7"/>
  <c r="J2196" i="7" a="1"/>
  <c r="M2196" i="7"/>
  <c r="I2196" i="7"/>
  <c r="I2195" i="7"/>
  <c r="J2195" i="7" a="1"/>
  <c r="M2195" i="7"/>
  <c r="J2194" i="7" a="1"/>
  <c r="I2194" i="7"/>
  <c r="M2194" i="7"/>
  <c r="J2193" i="7" a="1"/>
  <c r="I2193" i="7"/>
  <c r="M2193" i="7"/>
  <c r="I2192" i="7"/>
  <c r="M2192" i="7"/>
  <c r="J2192" i="7" a="1"/>
  <c r="I2191" i="7"/>
  <c r="J2191" i="7" a="1"/>
  <c r="M2191" i="7"/>
  <c r="I2190" i="7"/>
  <c r="J2190" i="7" a="1"/>
  <c r="M2190" i="7"/>
  <c r="I2189" i="7"/>
  <c r="J2189" i="7" a="1"/>
  <c r="M2189" i="7"/>
  <c r="J2187" i="7" a="1"/>
  <c r="I2187" i="7"/>
  <c r="M2187" i="7"/>
  <c r="J2186" i="7" a="1"/>
  <c r="M2186" i="7"/>
  <c r="I2186" i="7"/>
  <c r="I2185" i="7"/>
  <c r="M2185" i="7"/>
  <c r="J2185" i="7" a="1"/>
  <c r="J2184" i="7" a="1"/>
  <c r="M2184" i="7"/>
  <c r="I2184" i="7"/>
  <c r="I2183" i="7"/>
  <c r="J2183" i="7" a="1"/>
  <c r="M2183" i="7"/>
  <c r="I2182" i="7"/>
  <c r="J2182" i="7" a="1"/>
  <c r="M2182" i="7"/>
  <c r="J2181" i="7" a="1"/>
  <c r="I2181" i="7"/>
  <c r="M2181" i="7"/>
  <c r="J2180" i="7" a="1"/>
  <c r="I2180" i="7"/>
  <c r="M2180" i="7"/>
  <c r="I2242" i="7"/>
  <c r="J2242" i="7" a="1"/>
  <c r="M2242" i="7"/>
  <c r="M2241" i="7"/>
  <c r="J2241" i="7" a="1"/>
  <c r="I2241" i="7"/>
  <c r="I2240" i="7"/>
  <c r="J2240" i="7" a="1"/>
  <c r="M2240" i="7"/>
  <c r="I2239" i="7"/>
  <c r="M2239" i="7"/>
  <c r="J2239" i="7" a="1"/>
  <c r="I2238" i="7"/>
  <c r="M2238" i="7"/>
  <c r="J2238" i="7" a="1"/>
  <c r="I2237" i="7"/>
  <c r="J2237" i="7" a="1"/>
  <c r="M2237" i="7"/>
  <c r="I2236" i="7"/>
  <c r="J2236" i="7" a="1"/>
  <c r="M2236" i="7"/>
  <c r="J2235" i="7" a="1"/>
  <c r="I2235" i="7"/>
  <c r="M2235" i="7"/>
  <c r="I2234" i="7"/>
  <c r="J2234" i="7" a="1"/>
  <c r="M2234" i="7"/>
  <c r="J2232" i="7" a="1"/>
  <c r="M2232" i="7"/>
  <c r="I2232" i="7"/>
  <c r="I2231" i="7"/>
  <c r="J2231" i="7" a="1"/>
  <c r="M2231" i="7"/>
  <c r="I2230" i="7"/>
  <c r="J2230" i="7" a="1"/>
  <c r="M2230" i="7"/>
  <c r="I2229" i="7"/>
  <c r="J2229" i="7" a="1"/>
  <c r="M2229" i="7"/>
  <c r="J2228" i="7" a="1"/>
  <c r="I2228" i="7"/>
  <c r="M2228" i="7"/>
  <c r="M2227" i="7"/>
  <c r="I2227" i="7"/>
  <c r="J2227" i="7" a="1"/>
  <c r="I2226" i="7"/>
  <c r="J2226" i="7" a="1"/>
  <c r="M2226" i="7"/>
  <c r="I2225" i="7"/>
  <c r="J2225" i="7" a="1"/>
  <c r="M2225" i="7"/>
  <c r="M2224" i="7"/>
  <c r="I2224" i="7"/>
  <c r="J2224" i="7" a="1"/>
  <c r="I2223" i="7"/>
  <c r="M2223" i="7"/>
  <c r="J2223" i="7" a="1"/>
  <c r="J2222" i="7" a="1"/>
  <c r="I2222" i="7"/>
  <c r="M2222" i="7"/>
  <c r="J2221" i="7" a="1"/>
  <c r="I2221" i="7"/>
  <c r="M2221" i="7"/>
  <c r="I2220" i="7"/>
  <c r="J2220" i="7" a="1"/>
  <c r="M2220" i="7"/>
  <c r="J2219" i="7" a="1"/>
  <c r="M2219" i="7"/>
  <c r="I2219" i="7"/>
  <c r="I2218" i="7"/>
  <c r="J2218" i="7" a="1"/>
  <c r="M2218" i="7"/>
  <c r="I2217" i="7"/>
  <c r="J2217" i="7" a="1"/>
  <c r="M2217" i="7"/>
  <c r="I2216" i="7"/>
  <c r="J2216" i="7" a="1"/>
  <c r="M2216" i="7"/>
  <c r="J2215" i="7" a="1"/>
  <c r="I2215" i="7"/>
  <c r="M2215" i="7"/>
  <c r="I2214" i="7"/>
  <c r="J2214" i="7" a="1"/>
  <c r="M2214" i="7"/>
  <c r="J2213" i="7" a="1"/>
  <c r="M2213" i="7"/>
  <c r="I2213" i="7"/>
  <c r="J2212" i="7" a="1"/>
  <c r="I2212" i="7"/>
  <c r="M2212" i="7"/>
  <c r="I2211" i="7"/>
  <c r="J2211" i="7" a="1"/>
  <c r="M2211" i="7"/>
  <c r="J2210" i="7" a="1"/>
  <c r="M2210" i="7"/>
  <c r="I2210" i="7"/>
  <c r="J2209" i="7" a="1"/>
  <c r="M2209" i="7"/>
  <c r="I2209" i="7"/>
  <c r="I2208" i="7"/>
  <c r="J2208" i="7" a="1"/>
  <c r="M2208" i="7"/>
  <c r="I2207" i="7"/>
  <c r="J2207" i="7" a="1"/>
  <c r="M2207" i="7"/>
  <c r="J2206" i="7" a="1"/>
  <c r="I2206" i="7"/>
  <c r="M2206" i="7"/>
  <c r="J2205" i="7" a="1"/>
  <c r="M2205" i="7"/>
  <c r="I2205" i="7"/>
  <c r="I2204" i="7"/>
  <c r="J2204" i="7" a="1"/>
  <c r="M2204" i="7"/>
  <c r="J2203" i="7" a="1"/>
  <c r="M2203" i="7"/>
  <c r="I2203" i="7"/>
  <c r="J2202" i="7" a="1"/>
  <c r="I2202" i="7"/>
  <c r="M2202" i="7"/>
  <c r="J2201" i="7" a="1"/>
  <c r="I2201" i="7"/>
  <c r="M2201" i="7"/>
  <c r="I2200" i="7"/>
  <c r="J2200" i="7" a="1"/>
  <c r="M2200" i="7"/>
  <c r="J2280" i="7" a="1"/>
  <c r="I2280" i="7"/>
  <c r="M2280" i="7"/>
  <c r="J2279" i="7" a="1"/>
  <c r="M2279" i="7"/>
  <c r="I2279" i="7"/>
  <c r="I2278" i="7"/>
  <c r="J2278" i="7" a="1"/>
  <c r="M2278" i="7"/>
  <c r="J2277" i="7" a="1"/>
  <c r="M2277" i="7"/>
  <c r="I2277" i="7"/>
  <c r="J2276" i="7" a="1"/>
  <c r="I2276" i="7"/>
  <c r="M2276" i="7"/>
  <c r="M2275" i="7"/>
  <c r="I2275" i="7"/>
  <c r="J2275" i="7" a="1"/>
  <c r="M2274" i="7"/>
  <c r="J2274" i="7" a="1"/>
  <c r="I2274" i="7"/>
  <c r="I2273" i="7"/>
  <c r="J2273" i="7" a="1"/>
  <c r="M2273" i="7"/>
  <c r="J2272" i="7" a="1"/>
  <c r="M2272" i="7"/>
  <c r="I2272" i="7"/>
  <c r="I2271" i="7"/>
  <c r="J2271" i="7" a="1"/>
  <c r="M2271" i="7"/>
  <c r="M2270" i="7"/>
  <c r="J2270" i="7" a="1"/>
  <c r="I2270" i="7"/>
  <c r="I2269" i="7"/>
  <c r="J2269" i="7" a="1"/>
  <c r="M2269" i="7"/>
  <c r="I2268" i="7"/>
  <c r="J2268" i="7" a="1"/>
  <c r="M2268" i="7"/>
  <c r="I2267" i="7"/>
  <c r="J2267" i="7" a="1"/>
  <c r="M2267" i="7"/>
  <c r="I2266" i="7"/>
  <c r="J2266" i="7" a="1"/>
  <c r="M2266" i="7"/>
  <c r="J2265" i="7" a="1"/>
  <c r="M2265" i="7"/>
  <c r="I2265" i="7"/>
  <c r="I2264" i="7"/>
  <c r="M2264" i="7"/>
  <c r="J2264" i="7" a="1"/>
  <c r="I2263" i="7"/>
  <c r="J2263" i="7" a="1"/>
  <c r="M2263" i="7"/>
  <c r="I2262" i="7"/>
  <c r="J2262" i="7" a="1"/>
  <c r="M2262" i="7"/>
  <c r="J2261" i="7" a="1"/>
  <c r="I2261" i="7"/>
  <c r="M2261" i="7"/>
  <c r="I2260" i="7"/>
  <c r="J2260" i="7" a="1"/>
  <c r="M2260" i="7"/>
  <c r="I2259" i="7"/>
  <c r="J2259" i="7" a="1"/>
  <c r="M2259" i="7"/>
  <c r="I2258" i="7"/>
  <c r="J2258" i="7" a="1"/>
  <c r="M2258" i="7"/>
  <c r="J2257" i="7" a="1"/>
  <c r="M2257" i="7"/>
  <c r="I2257" i="7"/>
  <c r="I2256" i="7"/>
  <c r="J2256" i="7" a="1"/>
  <c r="M2256" i="7"/>
  <c r="J2255" i="7" a="1"/>
  <c r="M2255" i="7"/>
  <c r="I2255" i="7"/>
  <c r="I2254" i="7"/>
  <c r="J2254" i="7" a="1"/>
  <c r="M2254" i="7"/>
  <c r="J2253" i="7" a="1"/>
  <c r="I2253" i="7"/>
  <c r="M2253" i="7"/>
  <c r="J2252" i="7" a="1"/>
  <c r="I2252" i="7"/>
  <c r="M2252" i="7"/>
  <c r="M2251" i="7"/>
  <c r="I2251" i="7"/>
  <c r="J2251" i="7" a="1"/>
  <c r="I2250" i="7"/>
  <c r="J2250" i="7" a="1"/>
  <c r="M2250" i="7"/>
  <c r="I2249" i="7"/>
  <c r="J2249" i="7" a="1"/>
  <c r="M2249" i="7"/>
  <c r="I2248" i="7"/>
  <c r="J2248" i="7" a="1"/>
  <c r="M2248" i="7"/>
  <c r="I2247" i="7"/>
  <c r="J2247" i="7" a="1"/>
  <c r="M2247" i="7"/>
  <c r="I2246" i="7"/>
  <c r="J2246" i="7" a="1"/>
  <c r="M2246" i="7"/>
  <c r="I2245" i="7"/>
  <c r="J2245" i="7" a="1"/>
  <c r="M2245" i="7"/>
  <c r="I2244" i="7"/>
  <c r="J2244" i="7" a="1"/>
  <c r="M2244" i="7"/>
  <c r="I2243" i="7"/>
  <c r="J2243" i="7" a="1"/>
  <c r="M2243" i="7"/>
  <c r="I2297" i="7"/>
  <c r="J2297" i="7" a="1"/>
  <c r="M2297" i="7"/>
  <c r="I2296" i="7"/>
  <c r="J2296" i="7" a="1"/>
  <c r="M2296" i="7"/>
  <c r="I2295" i="7"/>
  <c r="J2295" i="7" a="1"/>
  <c r="M2295" i="7"/>
  <c r="I2294" i="7"/>
  <c r="J2294" i="7" a="1"/>
  <c r="M2294" i="7"/>
  <c r="I2293" i="7"/>
  <c r="J2293" i="7" a="1"/>
  <c r="M2293" i="7"/>
  <c r="I2292" i="7"/>
  <c r="J2292" i="7" a="1"/>
  <c r="M2292" i="7"/>
  <c r="I2291" i="7"/>
  <c r="J2291" i="7" a="1"/>
  <c r="M2291" i="7"/>
  <c r="I2290" i="7"/>
  <c r="J2290" i="7" a="1"/>
  <c r="M2290" i="7"/>
  <c r="I2289" i="7"/>
  <c r="J2289" i="7" a="1"/>
  <c r="M2289" i="7"/>
  <c r="I2288" i="7"/>
  <c r="J2288" i="7" a="1"/>
  <c r="M2288" i="7"/>
  <c r="I2287" i="7"/>
  <c r="J2287" i="7" a="1"/>
  <c r="M2287" i="7"/>
  <c r="I2286" i="7"/>
  <c r="J2286" i="7" a="1"/>
  <c r="M2286" i="7"/>
  <c r="I2285" i="7"/>
  <c r="J2285" i="7" a="1"/>
  <c r="M2285" i="7"/>
  <c r="I2284" i="7"/>
  <c r="J2284" i="7" a="1"/>
  <c r="M2284" i="7"/>
  <c r="I2283" i="7"/>
  <c r="J2283" i="7" a="1"/>
  <c r="M2283" i="7"/>
  <c r="I2282" i="7"/>
  <c r="J2282" i="7" a="1"/>
  <c r="M2282" i="7"/>
  <c r="I2281" i="7"/>
  <c r="J2281" i="7" a="1"/>
  <c r="M2281" i="7"/>
  <c r="I2316" i="7"/>
  <c r="J2316" i="7" a="1"/>
  <c r="M2316" i="7"/>
  <c r="I2315" i="7"/>
  <c r="J2315" i="7" a="1"/>
  <c r="M2315" i="7"/>
  <c r="I2314" i="7"/>
  <c r="J2314" i="7" a="1"/>
  <c r="M2314" i="7"/>
  <c r="I2313" i="7"/>
  <c r="J2313" i="7" a="1"/>
  <c r="M2313" i="7"/>
  <c r="I2312" i="7"/>
  <c r="J2312" i="7" a="1"/>
  <c r="M2312" i="7"/>
  <c r="I2311" i="7"/>
  <c r="J2311" i="7" a="1"/>
  <c r="M2311" i="7"/>
  <c r="I2310" i="7"/>
  <c r="J2310" i="7" a="1"/>
  <c r="M2310" i="7"/>
  <c r="I2309" i="7"/>
  <c r="J2309" i="7" a="1"/>
  <c r="M2309" i="7"/>
  <c r="I2308" i="7"/>
  <c r="J2308" i="7" a="1"/>
  <c r="M2308" i="7"/>
  <c r="I2307" i="7"/>
  <c r="J2307" i="7" a="1"/>
  <c r="M2307" i="7"/>
  <c r="I2306" i="7"/>
  <c r="J2306" i="7" a="1"/>
  <c r="M2306" i="7"/>
  <c r="I2305" i="7"/>
  <c r="J2305" i="7" a="1"/>
  <c r="M2305" i="7"/>
  <c r="I2304" i="7"/>
  <c r="J2304" i="7" a="1"/>
  <c r="M2304" i="7"/>
  <c r="I2303" i="7"/>
  <c r="J2303" i="7" a="1"/>
  <c r="M2303" i="7"/>
  <c r="I2302" i="7"/>
  <c r="J2302" i="7" a="1"/>
  <c r="M2302" i="7"/>
  <c r="I2301" i="7"/>
  <c r="J2301" i="7" a="1"/>
  <c r="M2301" i="7"/>
  <c r="I2300" i="7"/>
  <c r="J2300" i="7" a="1"/>
  <c r="M2300" i="7"/>
  <c r="I2299" i="7"/>
  <c r="J2299" i="7" a="1"/>
  <c r="M2299" i="7"/>
  <c r="I2298" i="7"/>
  <c r="J2298" i="7" a="1"/>
  <c r="M2298" i="7"/>
  <c r="I2355" i="7"/>
  <c r="J2355" i="7" a="1"/>
  <c r="M2355" i="7"/>
  <c r="I2354" i="7"/>
  <c r="J2354" i="7" a="1"/>
  <c r="M2354" i="7"/>
  <c r="I2352" i="7"/>
  <c r="J2352" i="7" a="1"/>
  <c r="M2352" i="7"/>
  <c r="I2351" i="7"/>
  <c r="J2351" i="7" a="1"/>
  <c r="M2351" i="7"/>
  <c r="I2350" i="7"/>
  <c r="J2350" i="7" a="1"/>
  <c r="M2350" i="7"/>
  <c r="I2349" i="7"/>
  <c r="J2349" i="7" a="1"/>
  <c r="M2349" i="7"/>
  <c r="I2348" i="7"/>
  <c r="J2348" i="7" a="1"/>
  <c r="M2348" i="7"/>
  <c r="I2347" i="7"/>
  <c r="J2347" i="7" a="1"/>
  <c r="M2347" i="7"/>
  <c r="I2346" i="7"/>
  <c r="J2346" i="7" a="1"/>
  <c r="M2346" i="7"/>
  <c r="I2345" i="7"/>
  <c r="J2345" i="7" a="1"/>
  <c r="M2345" i="7"/>
  <c r="I2344" i="7"/>
  <c r="J2344" i="7" a="1"/>
  <c r="M2344" i="7"/>
  <c r="I2343" i="7"/>
  <c r="J2343" i="7" a="1"/>
  <c r="M2343" i="7"/>
  <c r="I2342" i="7"/>
  <c r="J2342" i="7" a="1"/>
  <c r="M2342" i="7"/>
  <c r="I2341" i="7"/>
  <c r="J2341" i="7" a="1"/>
  <c r="M2341" i="7"/>
  <c r="I2340" i="7"/>
  <c r="J2340" i="7" a="1"/>
  <c r="M2340" i="7"/>
  <c r="I2339" i="7"/>
  <c r="J2339" i="7" a="1"/>
  <c r="M2339" i="7"/>
  <c r="I2338" i="7"/>
  <c r="J2338" i="7" a="1"/>
  <c r="M2338" i="7"/>
  <c r="I2337" i="7"/>
  <c r="J2337" i="7" a="1"/>
  <c r="M2337" i="7"/>
  <c r="I2336" i="7"/>
  <c r="J2336" i="7" a="1"/>
  <c r="M2336" i="7"/>
  <c r="I2335" i="7"/>
  <c r="J2335" i="7" a="1"/>
  <c r="M2335" i="7"/>
  <c r="J2334" i="7" a="1"/>
  <c r="M2334" i="7"/>
  <c r="I2334" i="7"/>
  <c r="M2333" i="7"/>
  <c r="I2333" i="7"/>
  <c r="J2333" i="7" a="1"/>
  <c r="I2332" i="7"/>
  <c r="J2332" i="7" a="1"/>
  <c r="M2332" i="7"/>
  <c r="I2331" i="7"/>
  <c r="J2331" i="7" a="1"/>
  <c r="M2331" i="7"/>
  <c r="I2330" i="7"/>
  <c r="J2330" i="7" a="1"/>
  <c r="M2330" i="7"/>
  <c r="J2329" i="7" a="1"/>
  <c r="M2329" i="7"/>
  <c r="I2329" i="7"/>
  <c r="I2328" i="7"/>
  <c r="J2328" i="7" a="1"/>
  <c r="M2328" i="7"/>
  <c r="I2327" i="7"/>
  <c r="J2327" i="7" a="1"/>
  <c r="M2327" i="7"/>
  <c r="I2326" i="7"/>
  <c r="J2326" i="7" a="1"/>
  <c r="M2326" i="7"/>
  <c r="J2325" i="7" a="1"/>
  <c r="M2325" i="7"/>
  <c r="I2325" i="7"/>
  <c r="I2324" i="7"/>
  <c r="J2324" i="7" a="1"/>
  <c r="M2324" i="7"/>
  <c r="J2323" i="7" a="1"/>
  <c r="M2323" i="7"/>
  <c r="I2323" i="7"/>
  <c r="I2321" i="7"/>
  <c r="J2321" i="7" a="1"/>
  <c r="M2321" i="7"/>
  <c r="J2320" i="7" a="1"/>
  <c r="I2320" i="7"/>
  <c r="M2320" i="7"/>
  <c r="J2319" i="7" a="1"/>
  <c r="M2319" i="7"/>
  <c r="I2319" i="7"/>
  <c r="I2318" i="7"/>
  <c r="J2318" i="7" a="1"/>
  <c r="M2318" i="7"/>
  <c r="I2317" i="7"/>
  <c r="J2317" i="7" a="1"/>
  <c r="M2317" i="7"/>
  <c r="I2374" i="7"/>
  <c r="J2374" i="7" a="1"/>
  <c r="M2374" i="7"/>
  <c r="J2373" i="7" a="1"/>
  <c r="I2373" i="7"/>
  <c r="M2373" i="7"/>
  <c r="J2372" i="7" a="1"/>
  <c r="M2372" i="7"/>
  <c r="I2372" i="7"/>
  <c r="J2371" i="7" a="1"/>
  <c r="M2371" i="7"/>
  <c r="I2371" i="7"/>
  <c r="J2370" i="7" a="1"/>
  <c r="M2370" i="7"/>
  <c r="I2370" i="7"/>
  <c r="I2369" i="7"/>
  <c r="M2369" i="7"/>
  <c r="J2369" i="7" a="1"/>
  <c r="J2368" i="7" a="1"/>
  <c r="M2368" i="7"/>
  <c r="I2368" i="7"/>
  <c r="I2367" i="7"/>
  <c r="J2367" i="7" a="1"/>
  <c r="M2367" i="7"/>
  <c r="J2366" i="7" a="1"/>
  <c r="I2366" i="7"/>
  <c r="M2366" i="7"/>
  <c r="M2365" i="7"/>
  <c r="I2365" i="7"/>
  <c r="J2365" i="7" a="1"/>
  <c r="M2364" i="7"/>
  <c r="I2364" i="7"/>
  <c r="J2364" i="7" a="1"/>
  <c r="I2363" i="7"/>
  <c r="J2363" i="7" a="1"/>
  <c r="M2363" i="7"/>
  <c r="I2362" i="7"/>
  <c r="J2362" i="7" a="1"/>
  <c r="M2362" i="7"/>
  <c r="J2361" i="7" a="1"/>
  <c r="M2361" i="7"/>
  <c r="I2361" i="7"/>
  <c r="J2360" i="7" a="1"/>
  <c r="I2360" i="7"/>
  <c r="M2360" i="7"/>
  <c r="J2359" i="7" a="1"/>
  <c r="I2359" i="7"/>
  <c r="M2359" i="7"/>
  <c r="I2358" i="7"/>
  <c r="M2358" i="7"/>
  <c r="J2358" i="7" a="1"/>
  <c r="I2357" i="7"/>
  <c r="J2357" i="7" a="1"/>
  <c r="M2357" i="7"/>
  <c r="I2356" i="7"/>
  <c r="M2356" i="7"/>
  <c r="J2356" i="7" a="1"/>
  <c r="I2394" i="7"/>
  <c r="J2394" i="7" a="1"/>
  <c r="M2394" i="7"/>
  <c r="I2393" i="7"/>
  <c r="J2393" i="7" a="1"/>
  <c r="M2393" i="7"/>
  <c r="J2392" i="7" a="1"/>
  <c r="I2392" i="7"/>
  <c r="M2392" i="7"/>
  <c r="J2391" i="7" a="1"/>
  <c r="M2391" i="7"/>
  <c r="I2391" i="7"/>
  <c r="J2390" i="7" a="1"/>
  <c r="I2390" i="7"/>
  <c r="M2390" i="7"/>
  <c r="I2389" i="7"/>
  <c r="J2389" i="7" a="1"/>
  <c r="M2389" i="7"/>
  <c r="J2388" i="7" a="1"/>
  <c r="I2388" i="7"/>
  <c r="M2388" i="7"/>
  <c r="I2387" i="7"/>
  <c r="J2387" i="7" a="1"/>
  <c r="M2387" i="7"/>
  <c r="J2386" i="7" a="1"/>
  <c r="M2386" i="7"/>
  <c r="I2386" i="7"/>
  <c r="I2385" i="7"/>
  <c r="J2385" i="7" a="1"/>
  <c r="M2385" i="7"/>
  <c r="I2384" i="7"/>
  <c r="J2384" i="7" a="1"/>
  <c r="M2384" i="7"/>
  <c r="J2383" i="7" a="1"/>
  <c r="I2383" i="7"/>
  <c r="M2383" i="7"/>
  <c r="J2382" i="7" a="1"/>
  <c r="I2382" i="7"/>
  <c r="M2382" i="7"/>
  <c r="J2381" i="7" a="1"/>
  <c r="I2381" i="7"/>
  <c r="M2381" i="7"/>
  <c r="I2380" i="7"/>
  <c r="J2380" i="7" a="1"/>
  <c r="M2380" i="7"/>
  <c r="I2379" i="7"/>
  <c r="J2379" i="7" a="1"/>
  <c r="M2379" i="7"/>
  <c r="I2378" i="7"/>
  <c r="J2378" i="7" a="1"/>
  <c r="M2378" i="7"/>
  <c r="J2377" i="7" a="1"/>
  <c r="I2377" i="7"/>
  <c r="M2377" i="7"/>
  <c r="I2376" i="7"/>
  <c r="J2376" i="7" a="1"/>
  <c r="M2376" i="7"/>
  <c r="I2375" i="7"/>
  <c r="J2375" i="7" a="1"/>
  <c r="M2375" i="7"/>
  <c r="J2429" i="7" a="1"/>
  <c r="M2429" i="7"/>
  <c r="I2429" i="7"/>
  <c r="I2428" i="7"/>
  <c r="J2428" i="7" a="1"/>
  <c r="M2428" i="7"/>
  <c r="I2427" i="7"/>
  <c r="J2427" i="7" a="1"/>
  <c r="M2427" i="7"/>
  <c r="J2426" i="7" a="1"/>
  <c r="I2426" i="7"/>
  <c r="M2426" i="7"/>
  <c r="I2425" i="7"/>
  <c r="J2425" i="7" a="1"/>
  <c r="M2425" i="7"/>
  <c r="I2424" i="7"/>
  <c r="M2424" i="7"/>
  <c r="J2424" i="7" a="1"/>
  <c r="J2423" i="7" a="1"/>
  <c r="I2423" i="7"/>
  <c r="M2423" i="7"/>
  <c r="J2422" i="7" a="1"/>
  <c r="M2422" i="7"/>
  <c r="I2422" i="7"/>
  <c r="I2421" i="7"/>
  <c r="J2421" i="7" a="1"/>
  <c r="M2421" i="7"/>
  <c r="I2420" i="7"/>
  <c r="J2420" i="7" a="1"/>
  <c r="M2420" i="7"/>
  <c r="I2419" i="7"/>
  <c r="J2419" i="7" a="1"/>
  <c r="M2419" i="7"/>
  <c r="I2418" i="7"/>
  <c r="J2418" i="7" a="1"/>
  <c r="M2418" i="7"/>
  <c r="M2417" i="7"/>
  <c r="I2417" i="7"/>
  <c r="J2417" i="7" a="1"/>
  <c r="I2416" i="7"/>
  <c r="J2416" i="7" a="1"/>
  <c r="M2416" i="7"/>
  <c r="I2415" i="7"/>
  <c r="J2415" i="7" a="1"/>
  <c r="M2415" i="7"/>
  <c r="J2414" i="7" a="1"/>
  <c r="I2414" i="7"/>
  <c r="M2414" i="7"/>
  <c r="I2413" i="7"/>
  <c r="J2413" i="7" a="1"/>
  <c r="M2413" i="7"/>
  <c r="I2412" i="7"/>
  <c r="J2412" i="7" a="1"/>
  <c r="M2412" i="7"/>
  <c r="I2411" i="7"/>
  <c r="J2411" i="7" a="1"/>
  <c r="M2411" i="7"/>
  <c r="I2410" i="7"/>
  <c r="J2410" i="7" a="1"/>
  <c r="M2410" i="7"/>
  <c r="I2409" i="7"/>
  <c r="J2409" i="7" a="1"/>
  <c r="M2409" i="7"/>
  <c r="I2408" i="7"/>
  <c r="J2408" i="7" a="1"/>
  <c r="M2408" i="7"/>
  <c r="I2407" i="7"/>
  <c r="J2407" i="7" a="1"/>
  <c r="M2407" i="7"/>
  <c r="J2406" i="7" a="1"/>
  <c r="I2406" i="7"/>
  <c r="M2406" i="7"/>
  <c r="J2405" i="7" a="1"/>
  <c r="M2405" i="7"/>
  <c r="I2405" i="7"/>
  <c r="I2404" i="7"/>
  <c r="J2404" i="7" a="1"/>
  <c r="M2404" i="7"/>
  <c r="I2403" i="7"/>
  <c r="M2403" i="7"/>
  <c r="J2403" i="7" a="1"/>
  <c r="J2402" i="7" a="1"/>
  <c r="M2402" i="7"/>
  <c r="I2402" i="7"/>
  <c r="I2401" i="7"/>
  <c r="J2401" i="7" a="1"/>
  <c r="M2401" i="7"/>
  <c r="I2400" i="7"/>
  <c r="J2400" i="7" a="1"/>
  <c r="M2400" i="7"/>
  <c r="M2399" i="7"/>
  <c r="I2399" i="7"/>
  <c r="J2399" i="7" a="1"/>
  <c r="M2398" i="7"/>
  <c r="J2398" i="7" a="1"/>
  <c r="I2398" i="7"/>
  <c r="I2397" i="7"/>
  <c r="J2397" i="7" a="1"/>
  <c r="M2397" i="7"/>
  <c r="J2396" i="7" a="1"/>
  <c r="I2396" i="7"/>
  <c r="M2396" i="7"/>
  <c r="I2395" i="7"/>
  <c r="J2395" i="7" a="1"/>
  <c r="M2395" i="7"/>
  <c r="I2465" i="7"/>
  <c r="J2465" i="7" a="1"/>
  <c r="M2465" i="7"/>
  <c r="J2464" i="7" a="1"/>
  <c r="I2464" i="7"/>
  <c r="M2464" i="7"/>
  <c r="I2463" i="7"/>
  <c r="J2463" i="7" a="1"/>
  <c r="M2463" i="7"/>
  <c r="J2462" i="7" a="1"/>
  <c r="M2462" i="7"/>
  <c r="I2462" i="7"/>
  <c r="J2461" i="7" a="1"/>
  <c r="M2461" i="7"/>
  <c r="I2461" i="7"/>
  <c r="J2460" i="7" a="1"/>
  <c r="M2460" i="7"/>
  <c r="I2460" i="7"/>
  <c r="J2459" i="7" a="1"/>
  <c r="M2459" i="7"/>
  <c r="I2459" i="7"/>
  <c r="I2458" i="7"/>
  <c r="J2458" i="7" a="1"/>
  <c r="M2458" i="7"/>
  <c r="I2457" i="7"/>
  <c r="J2457" i="7" a="1"/>
  <c r="M2457" i="7"/>
  <c r="J2456" i="7" a="1"/>
  <c r="I2456" i="7"/>
  <c r="M2456" i="7"/>
  <c r="I2455" i="7"/>
  <c r="J2455" i="7" a="1"/>
  <c r="M2455" i="7"/>
  <c r="J2454" i="7" a="1"/>
  <c r="M2454" i="7"/>
  <c r="I2454" i="7"/>
  <c r="J2453" i="7" a="1"/>
  <c r="I2453" i="7"/>
  <c r="M2453" i="7"/>
  <c r="I2452" i="7"/>
  <c r="J2452" i="7" a="1"/>
  <c r="M2452" i="7"/>
  <c r="J2451" i="7" a="1"/>
  <c r="I2451" i="7"/>
  <c r="M2451" i="7"/>
  <c r="I2450" i="7"/>
  <c r="J2450" i="7" a="1"/>
  <c r="M2450" i="7"/>
  <c r="J2449" i="7" a="1"/>
  <c r="I2449" i="7"/>
  <c r="M2449" i="7"/>
  <c r="I2448" i="7"/>
  <c r="J2448" i="7" a="1"/>
  <c r="M2448" i="7"/>
  <c r="J2447" i="7" a="1"/>
  <c r="I2447" i="7"/>
  <c r="M2447" i="7"/>
  <c r="J2446" i="7" a="1"/>
  <c r="M2446" i="7"/>
  <c r="I2446" i="7"/>
  <c r="J2445" i="7" a="1"/>
  <c r="I2445" i="7"/>
  <c r="M2445" i="7"/>
  <c r="J2444" i="7" a="1"/>
  <c r="M2444" i="7"/>
  <c r="I2444" i="7"/>
  <c r="M2442" i="7"/>
  <c r="J2442" i="7" a="1"/>
  <c r="I2442" i="7"/>
  <c r="J2441" i="7" a="1"/>
  <c r="I2441" i="7"/>
  <c r="M2441" i="7"/>
  <c r="J2440" i="7" a="1"/>
  <c r="M2440" i="7"/>
  <c r="I2440" i="7"/>
  <c r="I2439" i="7"/>
  <c r="J2439" i="7" a="1"/>
  <c r="M2439" i="7"/>
  <c r="I2438" i="7"/>
  <c r="J2438" i="7" a="1"/>
  <c r="M2438" i="7"/>
  <c r="J2437" i="7" a="1"/>
  <c r="M2437" i="7"/>
  <c r="I2437" i="7"/>
  <c r="J2436" i="7" a="1"/>
  <c r="I2436" i="7"/>
  <c r="M2436" i="7"/>
  <c r="I2435" i="7"/>
  <c r="J2435" i="7" a="1"/>
  <c r="M2435" i="7"/>
  <c r="I2434" i="7"/>
  <c r="J2434" i="7" a="1"/>
  <c r="M2434" i="7"/>
  <c r="J2433" i="7" a="1"/>
  <c r="I2433" i="7"/>
  <c r="M2433" i="7"/>
  <c r="J2432" i="7" a="1"/>
  <c r="M2432" i="7"/>
  <c r="I2432" i="7"/>
  <c r="I2431" i="7"/>
  <c r="J2431" i="7" a="1"/>
  <c r="M2431" i="7"/>
  <c r="J2430" i="7" a="1"/>
  <c r="M2430" i="7"/>
  <c r="I2430" i="7"/>
  <c r="J2482" i="7" a="1"/>
  <c r="M2482" i="7"/>
  <c r="I2482" i="7"/>
  <c r="I2481" i="7"/>
  <c r="J2481" i="7" a="1"/>
  <c r="M2481" i="7"/>
  <c r="M2480" i="7"/>
  <c r="I2480" i="7"/>
  <c r="J2480" i="7" a="1"/>
  <c r="J2479" i="7" a="1"/>
  <c r="M2479" i="7"/>
  <c r="I2479" i="7"/>
  <c r="J2478" i="7" a="1"/>
  <c r="M2478" i="7"/>
  <c r="I2478" i="7"/>
  <c r="I2477" i="7"/>
  <c r="J2477" i="7" a="1"/>
  <c r="M2477" i="7"/>
  <c r="J2476" i="7" a="1"/>
  <c r="M2476" i="7"/>
  <c r="I2476" i="7"/>
  <c r="I2475" i="7"/>
  <c r="J2475" i="7" a="1"/>
  <c r="M2475" i="7"/>
  <c r="I2474" i="7"/>
  <c r="J2474" i="7" a="1"/>
  <c r="M2474" i="7"/>
  <c r="J2473" i="7" a="1"/>
  <c r="I2473" i="7"/>
  <c r="M2473" i="7"/>
  <c r="I2472" i="7"/>
  <c r="J2472" i="7" a="1"/>
  <c r="M2472" i="7"/>
  <c r="I2471" i="7"/>
  <c r="J2471" i="7" a="1"/>
  <c r="M2471" i="7"/>
  <c r="I2469" i="7"/>
  <c r="J2469" i="7" a="1"/>
  <c r="M2469" i="7"/>
  <c r="J2468" i="7" a="1"/>
  <c r="I2468" i="7"/>
  <c r="M2468" i="7"/>
  <c r="J2467" i="7" a="1"/>
  <c r="M2467" i="7"/>
  <c r="I2467" i="7"/>
  <c r="I2466" i="7"/>
  <c r="J2466" i="7" a="1"/>
  <c r="M2466" i="7"/>
  <c r="J2502" i="7" a="1"/>
  <c r="I2502" i="7"/>
  <c r="M2502" i="7"/>
  <c r="I2501" i="7"/>
  <c r="J2501" i="7" a="1"/>
  <c r="M2501" i="7"/>
  <c r="I2500" i="7"/>
  <c r="J2500" i="7" a="1"/>
  <c r="M2500" i="7"/>
  <c r="I2499" i="7"/>
  <c r="J2499" i="7" a="1"/>
  <c r="M2499" i="7"/>
  <c r="J2498" i="7" a="1"/>
  <c r="I2498" i="7"/>
  <c r="M2498" i="7"/>
  <c r="I2497" i="7"/>
  <c r="J2497" i="7" a="1"/>
  <c r="M2497" i="7"/>
  <c r="I2496" i="7"/>
  <c r="J2496" i="7" a="1"/>
  <c r="M2496" i="7"/>
  <c r="I2495" i="7"/>
  <c r="J2495" i="7" a="1"/>
  <c r="M2495" i="7"/>
  <c r="I2494" i="7"/>
  <c r="J2494" i="7" a="1"/>
  <c r="M2494" i="7"/>
  <c r="I2493" i="7"/>
  <c r="J2493" i="7" a="1"/>
  <c r="M2493" i="7"/>
  <c r="I2492" i="7"/>
  <c r="J2492" i="7" a="1"/>
  <c r="M2492" i="7"/>
  <c r="I2491" i="7"/>
  <c r="J2491" i="7" a="1"/>
  <c r="M2491" i="7"/>
  <c r="I2490" i="7"/>
  <c r="J2490" i="7" a="1"/>
  <c r="M2490" i="7"/>
  <c r="I2489" i="7"/>
  <c r="J2489" i="7" a="1"/>
  <c r="M2489" i="7"/>
  <c r="I2488" i="7"/>
  <c r="J2488" i="7" a="1"/>
  <c r="M2488" i="7"/>
  <c r="I2487" i="7"/>
  <c r="J2487" i="7" a="1"/>
  <c r="M2487" i="7"/>
  <c r="I2486" i="7"/>
  <c r="J2486" i="7" a="1"/>
  <c r="M2486" i="7"/>
  <c r="J2485" i="7" a="1"/>
  <c r="I2485" i="7"/>
  <c r="M2485" i="7"/>
  <c r="I2484" i="7"/>
  <c r="J2484" i="7" a="1"/>
  <c r="M2484" i="7"/>
  <c r="I2483" i="7"/>
  <c r="J2483" i="7" a="1"/>
  <c r="M2483" i="7"/>
  <c r="I2539" i="7"/>
  <c r="J2539" i="7" a="1"/>
  <c r="M2539" i="7"/>
  <c r="I2538" i="7"/>
  <c r="J2538" i="7" a="1"/>
  <c r="M2538" i="7"/>
  <c r="I2537" i="7"/>
  <c r="J2537" i="7" a="1"/>
  <c r="M2537" i="7"/>
  <c r="M2536" i="7"/>
  <c r="I2536" i="7"/>
  <c r="J2536" i="7" a="1"/>
  <c r="I2535" i="7"/>
  <c r="J2535" i="7" a="1"/>
  <c r="M2535" i="7"/>
  <c r="J2534" i="7" a="1"/>
  <c r="I2534" i="7"/>
  <c r="M2534" i="7"/>
  <c r="J2533" i="7" a="1"/>
  <c r="I2533" i="7"/>
  <c r="M2533" i="7"/>
  <c r="J2532" i="7" a="1"/>
  <c r="I2532" i="7"/>
  <c r="M2532" i="7"/>
  <c r="I2531" i="7"/>
  <c r="J2531" i="7" a="1"/>
  <c r="M2531" i="7"/>
  <c r="I2530" i="7"/>
  <c r="J2530" i="7" a="1"/>
  <c r="M2530" i="7"/>
  <c r="I2529" i="7"/>
  <c r="J2529" i="7" a="1"/>
  <c r="M2529" i="7"/>
  <c r="I2528" i="7"/>
  <c r="J2528" i="7" a="1"/>
  <c r="M2528" i="7"/>
  <c r="I2527" i="7"/>
  <c r="J2527" i="7" a="1"/>
  <c r="M2527" i="7"/>
  <c r="J2526" i="7" a="1"/>
  <c r="M2526" i="7"/>
  <c r="I2526" i="7"/>
  <c r="J2525" i="7" a="1"/>
  <c r="M2525" i="7"/>
  <c r="I2525" i="7"/>
  <c r="I2524" i="7"/>
  <c r="J2524" i="7" a="1"/>
  <c r="M2524" i="7"/>
  <c r="J2523" i="7" a="1"/>
  <c r="M2523" i="7"/>
  <c r="I2523" i="7"/>
  <c r="I2522" i="7"/>
  <c r="M2522" i="7"/>
  <c r="J2522" i="7" a="1"/>
  <c r="J2521" i="7" a="1"/>
  <c r="I2521" i="7"/>
  <c r="M2521" i="7"/>
  <c r="I2520" i="7"/>
  <c r="J2520" i="7" a="1"/>
  <c r="M2520" i="7"/>
  <c r="J2519" i="7" a="1"/>
  <c r="I2519" i="7"/>
  <c r="M2519" i="7"/>
  <c r="J2518" i="7" a="1"/>
  <c r="M2518" i="7"/>
  <c r="I2518" i="7"/>
  <c r="I2517" i="7"/>
  <c r="J2517" i="7" a="1"/>
  <c r="M2517" i="7"/>
  <c r="J2516" i="7" a="1"/>
  <c r="M2516" i="7"/>
  <c r="I2516" i="7"/>
  <c r="I2515" i="7"/>
  <c r="J2515" i="7" a="1"/>
  <c r="M2515" i="7"/>
  <c r="J2514" i="7" a="1"/>
  <c r="M2514" i="7"/>
  <c r="I2514" i="7"/>
  <c r="J2513" i="7" a="1"/>
  <c r="I2513" i="7"/>
  <c r="M2513" i="7"/>
  <c r="I2512" i="7"/>
  <c r="J2512" i="7" a="1"/>
  <c r="M2512" i="7"/>
  <c r="I2511" i="7"/>
  <c r="J2511" i="7" a="1"/>
  <c r="M2511" i="7"/>
  <c r="J2510" i="7" a="1"/>
  <c r="I2510" i="7"/>
  <c r="M2510" i="7"/>
  <c r="I2509" i="7"/>
  <c r="M2509" i="7"/>
  <c r="J2509" i="7" a="1"/>
  <c r="J2508" i="7" a="1"/>
  <c r="I2508" i="7"/>
  <c r="M2508" i="7"/>
  <c r="I2507" i="7"/>
  <c r="J2507" i="7" a="1"/>
  <c r="M2507" i="7"/>
  <c r="J2506" i="7" a="1"/>
  <c r="I2506" i="7"/>
  <c r="M2506" i="7"/>
  <c r="I2505" i="7"/>
  <c r="J2505" i="7" a="1"/>
  <c r="M2505" i="7"/>
  <c r="I2504" i="7"/>
  <c r="J2504" i="7" a="1"/>
  <c r="M2504" i="7"/>
  <c r="I2503" i="7"/>
  <c r="J2503" i="7" a="1"/>
  <c r="M2503" i="7"/>
  <c r="I2556" i="7"/>
  <c r="J2556" i="7" a="1"/>
  <c r="M2556" i="7"/>
  <c r="J2555" i="7" a="1"/>
  <c r="I2555" i="7"/>
  <c r="M2555" i="7"/>
  <c r="J2554" i="7" a="1"/>
  <c r="M2554" i="7"/>
  <c r="I2554" i="7"/>
  <c r="J2553" i="7" a="1"/>
  <c r="M2553" i="7"/>
  <c r="I2553" i="7"/>
  <c r="I2552" i="7"/>
  <c r="J2552" i="7" a="1"/>
  <c r="M2552" i="7"/>
  <c r="I2551" i="7"/>
  <c r="J2551" i="7" a="1"/>
  <c r="M2551" i="7"/>
  <c r="J2550" i="7" a="1"/>
  <c r="I2550" i="7"/>
  <c r="M2550" i="7"/>
  <c r="M2549" i="7"/>
  <c r="I2549" i="7"/>
  <c r="J2549" i="7" a="1"/>
  <c r="I2548" i="7"/>
  <c r="J2548" i="7" a="1"/>
  <c r="M2548" i="7"/>
  <c r="I2547" i="7"/>
  <c r="J2547" i="7" a="1"/>
  <c r="M2547" i="7"/>
  <c r="J2546" i="7" a="1"/>
  <c r="M2546" i="7"/>
  <c r="I2546" i="7"/>
  <c r="J2545" i="7" a="1"/>
  <c r="M2545" i="7"/>
  <c r="I2545" i="7"/>
  <c r="I2544" i="7"/>
  <c r="J2544" i="7" a="1"/>
  <c r="M2544" i="7"/>
  <c r="I2543" i="7"/>
  <c r="J2543" i="7" a="1"/>
  <c r="M2543" i="7"/>
  <c r="I2542" i="7"/>
  <c r="M2542" i="7"/>
  <c r="J2542" i="7" a="1"/>
  <c r="I2541" i="7"/>
  <c r="J2541" i="7" a="1"/>
  <c r="M2541" i="7"/>
  <c r="I2540" i="7"/>
  <c r="J2540" i="7" a="1"/>
  <c r="M2540" i="7"/>
  <c r="I2575" i="7"/>
  <c r="M2575" i="7"/>
  <c r="J2575" i="7" a="1"/>
  <c r="I2574" i="7"/>
  <c r="J2574" i="7" a="1"/>
  <c r="M2574" i="7"/>
  <c r="J2573" i="7" a="1"/>
  <c r="M2573" i="7"/>
  <c r="I2573" i="7"/>
  <c r="J2572" i="7" a="1"/>
  <c r="I2572" i="7"/>
  <c r="M2572" i="7"/>
  <c r="I2571" i="7"/>
  <c r="J2571" i="7" a="1"/>
  <c r="M2571" i="7"/>
  <c r="I2570" i="7"/>
  <c r="J2570" i="7" a="1"/>
  <c r="M2570" i="7"/>
  <c r="I2569" i="7"/>
  <c r="J2569" i="7" a="1"/>
  <c r="M2569" i="7"/>
  <c r="J2568" i="7" a="1"/>
  <c r="I2568" i="7"/>
  <c r="M2568" i="7"/>
  <c r="M2567" i="7"/>
  <c r="I2567" i="7"/>
  <c r="J2567" i="7" a="1"/>
  <c r="I2566" i="7"/>
  <c r="J2566" i="7" a="1"/>
  <c r="M2566" i="7"/>
  <c r="I2565" i="7"/>
  <c r="J2565" i="7" a="1"/>
  <c r="M2565" i="7"/>
  <c r="J2564" i="7" a="1"/>
  <c r="I2564" i="7"/>
  <c r="M2564" i="7"/>
  <c r="M2563" i="7"/>
  <c r="I2563" i="7"/>
  <c r="J2563" i="7" a="1"/>
  <c r="J2562" i="7" a="1"/>
  <c r="M2562" i="7"/>
  <c r="I2562" i="7"/>
  <c r="I2561" i="7"/>
  <c r="M2561" i="7"/>
  <c r="J2561" i="7" a="1"/>
  <c r="J2559" i="7" a="1"/>
  <c r="I2559" i="7"/>
  <c r="M2559" i="7"/>
  <c r="M2558" i="7"/>
  <c r="I2558" i="7"/>
  <c r="J2558" i="7" a="1"/>
  <c r="I2557" i="7"/>
  <c r="J2557" i="7" a="1"/>
  <c r="M2557" i="7"/>
  <c r="M2612" i="7"/>
  <c r="I2612" i="7"/>
  <c r="J2612" i="7" a="1"/>
  <c r="I2611" i="7"/>
  <c r="J2611" i="7" a="1"/>
  <c r="M2611" i="7"/>
  <c r="M2610" i="7"/>
  <c r="I2610" i="7"/>
  <c r="J2610" i="7" a="1"/>
  <c r="I2609" i="7"/>
  <c r="J2609" i="7" a="1"/>
  <c r="M2609" i="7"/>
  <c r="I2608" i="7"/>
  <c r="J2608" i="7" a="1"/>
  <c r="M2608" i="7"/>
  <c r="J2607" i="7" a="1"/>
  <c r="M2607" i="7"/>
  <c r="I2607" i="7"/>
  <c r="I2606" i="7"/>
  <c r="J2606" i="7" a="1"/>
  <c r="M2606" i="7"/>
  <c r="J2605" i="7" a="1"/>
  <c r="M2605" i="7"/>
  <c r="I2605" i="7"/>
  <c r="I2604" i="7"/>
  <c r="J2604" i="7" a="1"/>
  <c r="M2604" i="7"/>
  <c r="J2603" i="7" a="1"/>
  <c r="I2603" i="7"/>
  <c r="M2603" i="7"/>
  <c r="J2602" i="7" a="1"/>
  <c r="I2602" i="7"/>
  <c r="M2602" i="7"/>
  <c r="I2601" i="7"/>
  <c r="J2601" i="7" a="1"/>
  <c r="M2601" i="7"/>
  <c r="I2600" i="7"/>
  <c r="J2600" i="7" a="1"/>
  <c r="M2600" i="7"/>
  <c r="I2599" i="7"/>
  <c r="J2599" i="7" a="1"/>
  <c r="M2599" i="7"/>
  <c r="I2598" i="7"/>
  <c r="M2598" i="7"/>
  <c r="J2598" i="7" a="1"/>
  <c r="I2597" i="7"/>
  <c r="J2597" i="7" a="1"/>
  <c r="M2597" i="7"/>
  <c r="J2596" i="7" a="1"/>
  <c r="M2596" i="7"/>
  <c r="I2596" i="7"/>
  <c r="M2595" i="7"/>
  <c r="I2595" i="7"/>
  <c r="J2595" i="7" a="1"/>
  <c r="J2594" i="7" a="1"/>
  <c r="I2594" i="7"/>
  <c r="M2594" i="7"/>
  <c r="I2593" i="7"/>
  <c r="J2593" i="7" a="1"/>
  <c r="M2593" i="7"/>
  <c r="J2592" i="7" a="1"/>
  <c r="M2592" i="7"/>
  <c r="I2592" i="7"/>
  <c r="I2591" i="7"/>
  <c r="M2591" i="7"/>
  <c r="J2591" i="7" a="1"/>
  <c r="J2590" i="7" a="1"/>
  <c r="M2590" i="7"/>
  <c r="I2590" i="7"/>
  <c r="I2589" i="7"/>
  <c r="M2589" i="7"/>
  <c r="J2589" i="7" a="1"/>
  <c r="J2588" i="7" a="1"/>
  <c r="I2588" i="7"/>
  <c r="M2588" i="7"/>
  <c r="I2587" i="7"/>
  <c r="J2587" i="7" a="1"/>
  <c r="M2587" i="7"/>
  <c r="I2586" i="7"/>
  <c r="J2586" i="7" a="1"/>
  <c r="M2586" i="7"/>
  <c r="I2585" i="7"/>
  <c r="J2585" i="7" a="1"/>
  <c r="M2585" i="7"/>
  <c r="J2584" i="7" a="1"/>
  <c r="M2584" i="7"/>
  <c r="I2584" i="7"/>
  <c r="J2583" i="7" a="1"/>
  <c r="I2583" i="7"/>
  <c r="M2583" i="7"/>
  <c r="I2582" i="7"/>
  <c r="M2582" i="7"/>
  <c r="J2582" i="7" a="1"/>
  <c r="J2581" i="7" a="1"/>
  <c r="I2581" i="7"/>
  <c r="M2581" i="7"/>
  <c r="I2580" i="7"/>
  <c r="J2580" i="7" a="1"/>
  <c r="M2580" i="7"/>
  <c r="I2579" i="7"/>
  <c r="J2579" i="7" a="1"/>
  <c r="M2579" i="7"/>
  <c r="I2578" i="7"/>
  <c r="J2578" i="7" a="1"/>
  <c r="M2578" i="7"/>
  <c r="J2577" i="7" a="1"/>
  <c r="I2577" i="7"/>
  <c r="M2577" i="7"/>
  <c r="M2576" i="7"/>
  <c r="I2576" i="7"/>
  <c r="J2576" i="7" a="1"/>
  <c r="J2648" i="7" a="1"/>
  <c r="M2648" i="7"/>
  <c r="I2648" i="7"/>
  <c r="J2647" i="7" a="1"/>
  <c r="M2647" i="7"/>
  <c r="I2647" i="7"/>
  <c r="M2646" i="7"/>
  <c r="I2646" i="7"/>
  <c r="J2646" i="7" a="1"/>
  <c r="I2645" i="7"/>
  <c r="M2645" i="7"/>
  <c r="J2645" i="7" a="1"/>
  <c r="I2644" i="7"/>
  <c r="M2644" i="7"/>
  <c r="J2644" i="7" a="1"/>
  <c r="I2643" i="7"/>
  <c r="J2643" i="7" a="1"/>
  <c r="M2643" i="7"/>
  <c r="J2642" i="7" a="1"/>
  <c r="M2642" i="7"/>
  <c r="I2642" i="7"/>
  <c r="J2640" i="7" a="1"/>
  <c r="I2640" i="7"/>
  <c r="M2640" i="7"/>
  <c r="J2639" i="7" a="1"/>
  <c r="M2639" i="7"/>
  <c r="I2639" i="7"/>
  <c r="I2638" i="7"/>
  <c r="J2638" i="7" a="1"/>
  <c r="M2638" i="7"/>
  <c r="J2637" i="7" a="1"/>
  <c r="I2637" i="7"/>
  <c r="M2637" i="7"/>
  <c r="J2636" i="7" a="1"/>
  <c r="M2636" i="7"/>
  <c r="I2636" i="7"/>
  <c r="I2635" i="7"/>
  <c r="J2635" i="7" a="1"/>
  <c r="M2635" i="7"/>
  <c r="J2634" i="7" a="1"/>
  <c r="M2634" i="7"/>
  <c r="I2634" i="7"/>
  <c r="J2633" i="7" a="1"/>
  <c r="M2633" i="7"/>
  <c r="I2633" i="7"/>
  <c r="M2632" i="7"/>
  <c r="I2632" i="7"/>
  <c r="J2632" i="7" a="1"/>
  <c r="I2631" i="7"/>
  <c r="M2631" i="7"/>
  <c r="J2631" i="7" a="1"/>
  <c r="M2630" i="7"/>
  <c r="J2630" i="7" a="1"/>
  <c r="I2630" i="7"/>
  <c r="I2629" i="7"/>
  <c r="J2629" i="7" a="1"/>
  <c r="M2629" i="7"/>
  <c r="I2628" i="7"/>
  <c r="J2628" i="7" a="1"/>
  <c r="M2628" i="7"/>
  <c r="J2627" i="7" a="1"/>
  <c r="M2627" i="7"/>
  <c r="I2627" i="7"/>
  <c r="J2626" i="7" a="1"/>
  <c r="M2626" i="7"/>
  <c r="I2626" i="7"/>
  <c r="M2625" i="7"/>
  <c r="I2625" i="7"/>
  <c r="J2625" i="7" a="1"/>
  <c r="J2624" i="7" a="1"/>
  <c r="M2624" i="7"/>
  <c r="I2624" i="7"/>
  <c r="J2623" i="7" a="1"/>
  <c r="M2623" i="7"/>
  <c r="I2623" i="7"/>
  <c r="I2622" i="7"/>
  <c r="J2622" i="7" a="1"/>
  <c r="M2622" i="7"/>
  <c r="I2621" i="7"/>
  <c r="J2621" i="7" a="1"/>
  <c r="M2621" i="7"/>
  <c r="J2620" i="7" a="1"/>
  <c r="M2620" i="7"/>
  <c r="I2620" i="7"/>
  <c r="J2619" i="7" a="1"/>
  <c r="I2619" i="7"/>
  <c r="M2619" i="7"/>
  <c r="I2618" i="7"/>
  <c r="J2618" i="7" a="1"/>
  <c r="M2618" i="7"/>
  <c r="I2617" i="7"/>
  <c r="J2617" i="7" a="1"/>
  <c r="M2617" i="7"/>
  <c r="J2616" i="7" a="1"/>
  <c r="I2616" i="7"/>
  <c r="M2616" i="7"/>
  <c r="I2615" i="7"/>
  <c r="J2615" i="7" a="1"/>
  <c r="M2615" i="7"/>
  <c r="J2614" i="7" a="1"/>
  <c r="M2614" i="7"/>
  <c r="I2614" i="7"/>
  <c r="J2613" i="7" a="1"/>
  <c r="M2613" i="7"/>
  <c r="I2613" i="7"/>
  <c r="J2665" i="7" a="1"/>
  <c r="M2665" i="7"/>
  <c r="I2665" i="7"/>
  <c r="J2664" i="7" a="1"/>
  <c r="I2664" i="7"/>
  <c r="M2664" i="7"/>
  <c r="J2663" i="7" a="1"/>
  <c r="M2663" i="7"/>
  <c r="I2663" i="7"/>
  <c r="I2662" i="7"/>
  <c r="J2662" i="7" a="1"/>
  <c r="M2662" i="7"/>
  <c r="I2661" i="7"/>
  <c r="M2661" i="7"/>
  <c r="J2661" i="7" a="1"/>
  <c r="I2660" i="7"/>
  <c r="J2660" i="7" a="1"/>
  <c r="M2660" i="7"/>
  <c r="J2659" i="7" a="1"/>
  <c r="I2659" i="7"/>
  <c r="M2659" i="7"/>
  <c r="I2657" i="7"/>
  <c r="J2657" i="7" a="1"/>
  <c r="M2657" i="7"/>
  <c r="M2656" i="7"/>
  <c r="J2656" i="7" a="1"/>
  <c r="I2656" i="7"/>
  <c r="I2655" i="7"/>
  <c r="J2655" i="7" a="1"/>
  <c r="M2655" i="7"/>
  <c r="J2654" i="7" a="1"/>
  <c r="I2654" i="7"/>
  <c r="M2654" i="7"/>
  <c r="I2653" i="7"/>
  <c r="J2653" i="7" a="1"/>
  <c r="M2653" i="7"/>
  <c r="I2652" i="7"/>
  <c r="M2652" i="7"/>
  <c r="J2652" i="7" a="1"/>
  <c r="I2651" i="7"/>
  <c r="J2651" i="7" a="1"/>
  <c r="M2651" i="7"/>
  <c r="I2650" i="7"/>
  <c r="J2650" i="7" a="1"/>
  <c r="M2650" i="7"/>
  <c r="J2649" i="7" a="1"/>
  <c r="M2649" i="7"/>
  <c r="I2649" i="7"/>
  <c r="J2682" i="7" a="1"/>
  <c r="M2682" i="7"/>
  <c r="I2682" i="7"/>
  <c r="I2681" i="7"/>
  <c r="J2681" i="7" a="1"/>
  <c r="M2681" i="7"/>
  <c r="J2680" i="7" a="1"/>
  <c r="M2680" i="7"/>
  <c r="I2680" i="7"/>
  <c r="I2679" i="7"/>
  <c r="J2679" i="7" a="1"/>
  <c r="M2679" i="7"/>
  <c r="J2678" i="7" a="1"/>
  <c r="I2678" i="7"/>
  <c r="M2678" i="7"/>
  <c r="I2677" i="7"/>
  <c r="J2677" i="7" a="1"/>
  <c r="M2677" i="7"/>
  <c r="M2676" i="7"/>
  <c r="I2676" i="7"/>
  <c r="J2676" i="7" a="1"/>
  <c r="I2675" i="7"/>
  <c r="J2675" i="7" a="1"/>
  <c r="M2675" i="7"/>
  <c r="J2674" i="7" a="1"/>
  <c r="I2674" i="7"/>
  <c r="M2674" i="7"/>
  <c r="I2673" i="7"/>
  <c r="J2673" i="7" a="1"/>
  <c r="M2673" i="7"/>
  <c r="M2672" i="7"/>
  <c r="I2672" i="7"/>
  <c r="J2672" i="7" a="1"/>
  <c r="J2671" i="7" a="1"/>
  <c r="I2671" i="7"/>
  <c r="M2671" i="7"/>
  <c r="I2670" i="7"/>
  <c r="M2670" i="7"/>
  <c r="J2670" i="7" a="1"/>
  <c r="I2669" i="7"/>
  <c r="J2669" i="7" a="1"/>
  <c r="M2669" i="7"/>
  <c r="J2668" i="7" a="1"/>
  <c r="M2668" i="7"/>
  <c r="I2668" i="7"/>
  <c r="I2667" i="7"/>
  <c r="J2667" i="7" a="1"/>
  <c r="M2667" i="7"/>
  <c r="J2666" i="7" a="1"/>
  <c r="M2666" i="7"/>
  <c r="I2666" i="7"/>
  <c r="I2717" i="7"/>
  <c r="M2717" i="7"/>
  <c r="J2717" i="7" a="1"/>
  <c r="I2716" i="7"/>
  <c r="J2716" i="7" a="1"/>
  <c r="M2716" i="7"/>
  <c r="I2715" i="7"/>
  <c r="M2715" i="7"/>
  <c r="J2715" i="7" a="1"/>
  <c r="I2714" i="7"/>
  <c r="J2714" i="7" a="1"/>
  <c r="M2714" i="7"/>
  <c r="I2713" i="7"/>
  <c r="J2713" i="7" a="1"/>
  <c r="M2713" i="7"/>
  <c r="I2712" i="7"/>
  <c r="J2712" i="7" a="1"/>
  <c r="M2712" i="7"/>
  <c r="I2711" i="7"/>
  <c r="J2711" i="7" a="1"/>
  <c r="M2711" i="7"/>
  <c r="M2710" i="7"/>
  <c r="I2710" i="7"/>
  <c r="J2710" i="7" a="1"/>
  <c r="J2709" i="7" a="1"/>
  <c r="I2709" i="7"/>
  <c r="M2709" i="7"/>
  <c r="I2708" i="7"/>
  <c r="J2708" i="7" a="1"/>
  <c r="M2708" i="7"/>
  <c r="J2707" i="7" a="1"/>
  <c r="I2707" i="7"/>
  <c r="M2707" i="7"/>
  <c r="J2706" i="7" a="1"/>
  <c r="I2706" i="7"/>
  <c r="M2706" i="7"/>
  <c r="I2705" i="7"/>
  <c r="J2705" i="7" a="1"/>
  <c r="M2705" i="7"/>
  <c r="I2704" i="7"/>
  <c r="J2704" i="7" a="1"/>
  <c r="M2704" i="7"/>
  <c r="J2703" i="7" a="1"/>
  <c r="I2703" i="7"/>
  <c r="M2703" i="7"/>
  <c r="J2702" i="7" a="1"/>
  <c r="I2702" i="7"/>
  <c r="M2702" i="7"/>
  <c r="J2701" i="7" a="1"/>
  <c r="M2701" i="7"/>
  <c r="I2701" i="7"/>
  <c r="J2700" i="7" a="1"/>
  <c r="I2700" i="7"/>
  <c r="M2700" i="7"/>
  <c r="I2699" i="7"/>
  <c r="M2699" i="7"/>
  <c r="J2699" i="7" a="1"/>
  <c r="I2698" i="7"/>
  <c r="J2698" i="7" a="1"/>
  <c r="M2698" i="7"/>
  <c r="J2697" i="7" a="1"/>
  <c r="I2697" i="7"/>
  <c r="M2697" i="7"/>
  <c r="I2696" i="7"/>
  <c r="J2696" i="7" a="1"/>
  <c r="M2696" i="7"/>
  <c r="J2695" i="7" a="1"/>
  <c r="M2695" i="7"/>
  <c r="I2695" i="7"/>
  <c r="J2694" i="7" a="1"/>
  <c r="M2694" i="7"/>
  <c r="I2694" i="7"/>
  <c r="J2693" i="7" a="1"/>
  <c r="I2693" i="7"/>
  <c r="M2693" i="7"/>
  <c r="J2692" i="7" a="1"/>
  <c r="I2692" i="7"/>
  <c r="M2692" i="7"/>
  <c r="I2691" i="7"/>
  <c r="J2691" i="7" a="1"/>
  <c r="M2691" i="7"/>
  <c r="I2690" i="7"/>
  <c r="J2690" i="7" a="1"/>
  <c r="M2690" i="7"/>
  <c r="J2689" i="7" a="1"/>
  <c r="M2689" i="7"/>
  <c r="I2689" i="7"/>
  <c r="I2688" i="7"/>
  <c r="M2688" i="7"/>
  <c r="J2688" i="7" a="1"/>
  <c r="I2687" i="7"/>
  <c r="J2687" i="7" a="1"/>
  <c r="M2687" i="7"/>
  <c r="J2686" i="7" a="1"/>
  <c r="M2686" i="7"/>
  <c r="I2686" i="7"/>
  <c r="I2685" i="7"/>
  <c r="J2685" i="7" a="1"/>
  <c r="M2685" i="7"/>
  <c r="M2684" i="7"/>
  <c r="I2684" i="7"/>
  <c r="J2684" i="7" a="1"/>
  <c r="I2683" i="7"/>
  <c r="J2683" i="7" a="1"/>
  <c r="M2683" i="7"/>
  <c r="M2738" i="7"/>
  <c r="I2738" i="7"/>
  <c r="J2738" i="7" a="1"/>
  <c r="J2737" i="7" a="1"/>
  <c r="M2737" i="7"/>
  <c r="I2737" i="7"/>
  <c r="I2736" i="7"/>
  <c r="J2736" i="7" a="1"/>
  <c r="M2736" i="7"/>
  <c r="I2735" i="7"/>
  <c r="J2735" i="7" a="1"/>
  <c r="M2735" i="7"/>
  <c r="J2734" i="7" a="1"/>
  <c r="M2734" i="7"/>
  <c r="I2734" i="7"/>
  <c r="I2732" i="7"/>
  <c r="M2732" i="7"/>
  <c r="J2732" i="7" a="1"/>
  <c r="J2731" i="7" a="1"/>
  <c r="M2731" i="7"/>
  <c r="I2731" i="7"/>
  <c r="I2730" i="7"/>
  <c r="M2730" i="7"/>
  <c r="J2730" i="7" a="1"/>
  <c r="I2729" i="7"/>
  <c r="J2729" i="7" a="1"/>
  <c r="M2729" i="7"/>
  <c r="I2728" i="7"/>
  <c r="J2728" i="7" a="1"/>
  <c r="M2728" i="7"/>
  <c r="I2727" i="7"/>
  <c r="J2727" i="7" a="1"/>
  <c r="M2727" i="7"/>
  <c r="I2726" i="7"/>
  <c r="J2726" i="7" a="1"/>
  <c r="M2726" i="7"/>
  <c r="I2725" i="7"/>
  <c r="J2725" i="7" a="1"/>
  <c r="M2725" i="7"/>
  <c r="I2724" i="7"/>
  <c r="J2724" i="7" a="1"/>
  <c r="M2724" i="7"/>
  <c r="I2723" i="7"/>
  <c r="J2723" i="7" a="1"/>
  <c r="M2723" i="7"/>
  <c r="I2722" i="7"/>
  <c r="M2722" i="7"/>
  <c r="J2722" i="7" a="1"/>
  <c r="I2721" i="7"/>
  <c r="J2721" i="7" a="1"/>
  <c r="M2721" i="7"/>
  <c r="I2720" i="7"/>
  <c r="J2720" i="7" a="1"/>
  <c r="M2720" i="7"/>
  <c r="I2719" i="7"/>
  <c r="J2719" i="7" a="1"/>
  <c r="M2719" i="7"/>
  <c r="I2718" i="7"/>
  <c r="J2718" i="7" a="1"/>
  <c r="M2718" i="7"/>
  <c r="I2761" i="7"/>
  <c r="J2761" i="7" a="1"/>
  <c r="M2761" i="7"/>
  <c r="J2760" i="7" a="1"/>
  <c r="M2760" i="7"/>
  <c r="I2760" i="7"/>
  <c r="I2759" i="7"/>
  <c r="J2759" i="7" a="1"/>
  <c r="M2759" i="7"/>
  <c r="I2758" i="7"/>
  <c r="J2758" i="7" a="1"/>
  <c r="M2758" i="7"/>
  <c r="I2757" i="7"/>
  <c r="M2757" i="7"/>
  <c r="J2757" i="7" a="1"/>
  <c r="I2756" i="7"/>
  <c r="J2756" i="7" a="1"/>
  <c r="M2756" i="7"/>
  <c r="J2755" i="7" a="1"/>
  <c r="M2755" i="7"/>
  <c r="I2755" i="7"/>
  <c r="I2754" i="7"/>
  <c r="J2754" i="7" a="1"/>
  <c r="M2754" i="7"/>
  <c r="J2753" i="7" a="1"/>
  <c r="I2753" i="7"/>
  <c r="M2753" i="7"/>
  <c r="I2752" i="7"/>
  <c r="J2752" i="7" a="1"/>
  <c r="M2752" i="7"/>
  <c r="I2751" i="7"/>
  <c r="J2751" i="7" a="1"/>
  <c r="M2751" i="7"/>
  <c r="J2750" i="7" a="1"/>
  <c r="M2750" i="7"/>
  <c r="I2750" i="7"/>
  <c r="I2749" i="7"/>
  <c r="J2749" i="7" a="1"/>
  <c r="M2749" i="7"/>
  <c r="J2748" i="7" a="1"/>
  <c r="M2748" i="7"/>
  <c r="I2748" i="7"/>
  <c r="I2747" i="7"/>
  <c r="J2747" i="7" a="1"/>
  <c r="M2747" i="7"/>
  <c r="J2746" i="7" a="1"/>
  <c r="I2746" i="7"/>
  <c r="M2746" i="7"/>
  <c r="J2745" i="7" a="1"/>
  <c r="I2745" i="7"/>
  <c r="M2745" i="7"/>
  <c r="I2744" i="7"/>
  <c r="J2744" i="7" a="1"/>
  <c r="M2744" i="7"/>
  <c r="M2743" i="7"/>
  <c r="I2743" i="7"/>
  <c r="J2743" i="7" a="1"/>
  <c r="J2742" i="7" a="1"/>
  <c r="I2742" i="7"/>
  <c r="M2742" i="7"/>
  <c r="J2741" i="7" a="1"/>
  <c r="I2741" i="7"/>
  <c r="M2741" i="7"/>
  <c r="I2740" i="7"/>
  <c r="M2740" i="7"/>
  <c r="J2740" i="7" a="1"/>
  <c r="J2739" i="7" a="1"/>
  <c r="M2739" i="7"/>
  <c r="I2739" i="7"/>
  <c r="I2799" i="7"/>
  <c r="J2799" i="7" a="1"/>
  <c r="M2799" i="7"/>
  <c r="I2798" i="7"/>
  <c r="M2798" i="7"/>
  <c r="J2798" i="7" a="1"/>
  <c r="I2797" i="7"/>
  <c r="J2797" i="7" a="1"/>
  <c r="M2797" i="7"/>
  <c r="J2796" i="7" a="1"/>
  <c r="I2796" i="7"/>
  <c r="M2796" i="7"/>
  <c r="J2794" i="7" a="1"/>
  <c r="I2794" i="7"/>
  <c r="M2794" i="7"/>
  <c r="I2793" i="7"/>
  <c r="J2793" i="7" a="1"/>
  <c r="M2793" i="7"/>
  <c r="I2792" i="7"/>
  <c r="J2792" i="7" a="1"/>
  <c r="M2792" i="7"/>
  <c r="J2791" i="7" a="1"/>
  <c r="M2791" i="7"/>
  <c r="I2791" i="7"/>
  <c r="J2790" i="7" a="1"/>
  <c r="M2790" i="7"/>
  <c r="I2790" i="7"/>
  <c r="I2789" i="7"/>
  <c r="J2789" i="7" a="1"/>
  <c r="M2789" i="7"/>
  <c r="J2788" i="7" a="1"/>
  <c r="I2788" i="7"/>
  <c r="M2788" i="7"/>
  <c r="J2787" i="7" a="1"/>
  <c r="M2787" i="7"/>
  <c r="I2787" i="7"/>
  <c r="J2786" i="7" a="1"/>
  <c r="M2786" i="7"/>
  <c r="I2786" i="7"/>
  <c r="I2785" i="7"/>
  <c r="M2785" i="7"/>
  <c r="J2785" i="7" a="1"/>
  <c r="I2784" i="7"/>
  <c r="J2784" i="7" a="1"/>
  <c r="M2784" i="7"/>
  <c r="J2783" i="7" a="1"/>
  <c r="I2783" i="7"/>
  <c r="M2783" i="7"/>
  <c r="J2782" i="7" a="1"/>
  <c r="I2782" i="7"/>
  <c r="M2782" i="7"/>
  <c r="J2781" i="7" a="1"/>
  <c r="I2781" i="7"/>
  <c r="M2781" i="7"/>
  <c r="I2780" i="7"/>
  <c r="J2780" i="7" a="1"/>
  <c r="M2780" i="7"/>
  <c r="J2779" i="7" a="1"/>
  <c r="M2779" i="7"/>
  <c r="I2779" i="7"/>
  <c r="M2778" i="7"/>
  <c r="J2778" i="7" a="1"/>
  <c r="I2778" i="7"/>
  <c r="J2776" i="7" a="1"/>
  <c r="M2776" i="7"/>
  <c r="I2776" i="7"/>
  <c r="J2775" i="7" a="1"/>
  <c r="I2775" i="7"/>
  <c r="M2775" i="7"/>
  <c r="I2774" i="7"/>
  <c r="M2774" i="7"/>
  <c r="J2774" i="7" a="1"/>
  <c r="M2773" i="7"/>
  <c r="I2773" i="7"/>
  <c r="J2773" i="7" a="1"/>
  <c r="M2772" i="7"/>
  <c r="I2772" i="7"/>
  <c r="J2772" i="7" a="1"/>
  <c r="J2771" i="7" a="1"/>
  <c r="I2771" i="7"/>
  <c r="M2771" i="7"/>
  <c r="I2770" i="7"/>
  <c r="M2770" i="7"/>
  <c r="J2770" i="7" a="1"/>
  <c r="J2769" i="7" a="1"/>
  <c r="I2769" i="7"/>
  <c r="M2769" i="7"/>
  <c r="M2768" i="7"/>
  <c r="I2768" i="7"/>
  <c r="J2768" i="7" a="1"/>
  <c r="I2767" i="7"/>
  <c r="J2767" i="7" a="1"/>
  <c r="M2767" i="7"/>
  <c r="M2766" i="7"/>
  <c r="I2766" i="7"/>
  <c r="J2766" i="7" a="1"/>
  <c r="J2765" i="7" a="1"/>
  <c r="M2765" i="7"/>
  <c r="I2765" i="7"/>
  <c r="J2764" i="7" a="1"/>
  <c r="I2764" i="7"/>
  <c r="M2764" i="7"/>
  <c r="M2763" i="7"/>
  <c r="I2763" i="7"/>
  <c r="J2763" i="7" a="1"/>
  <c r="M2818" i="7"/>
  <c r="J2818" i="7" a="1"/>
  <c r="I2818" i="7"/>
  <c r="J2817" i="7" a="1"/>
  <c r="I2817" i="7"/>
  <c r="M2817" i="7"/>
  <c r="M2816" i="7"/>
  <c r="J2816" i="7" a="1"/>
  <c r="I2816" i="7"/>
  <c r="J2815" i="7" a="1"/>
  <c r="I2815" i="7"/>
  <c r="M2815" i="7"/>
  <c r="J2814" i="7" a="1"/>
  <c r="M2814" i="7"/>
  <c r="I2814" i="7"/>
  <c r="I2813" i="7"/>
  <c r="J2813" i="7" a="1"/>
  <c r="M2813" i="7"/>
  <c r="J2811" i="7" a="1"/>
  <c r="M2811" i="7"/>
  <c r="I2811" i="7"/>
  <c r="J2810" i="7" a="1"/>
  <c r="M2810" i="7"/>
  <c r="I2810" i="7"/>
  <c r="J2808" i="7" a="1"/>
  <c r="I2808" i="7"/>
  <c r="M2808" i="7"/>
  <c r="J2807" i="7" a="1"/>
  <c r="M2807" i="7"/>
  <c r="I2807" i="7"/>
  <c r="M2806" i="7"/>
  <c r="J2806" i="7" a="1"/>
  <c r="I2806" i="7"/>
  <c r="J2805" i="7" a="1"/>
  <c r="I2805" i="7"/>
  <c r="M2805" i="7"/>
  <c r="I2804" i="7"/>
  <c r="M2804" i="7"/>
  <c r="J2804" i="7" a="1"/>
  <c r="J2803" i="7" a="1"/>
  <c r="M2803" i="7"/>
  <c r="I2803" i="7"/>
  <c r="M2802" i="7"/>
  <c r="J2802" i="7" a="1"/>
  <c r="I2802" i="7"/>
  <c r="I2801" i="7"/>
  <c r="M2801" i="7"/>
  <c r="J2801" i="7" a="1"/>
  <c r="M2838" i="7"/>
  <c r="J2838" i="7" a="1"/>
  <c r="I2838" i="7"/>
  <c r="J2837" i="7" a="1"/>
  <c r="I2837" i="7"/>
  <c r="M2837" i="7"/>
  <c r="M2836" i="7"/>
  <c r="J2836" i="7" a="1"/>
  <c r="I2836" i="7"/>
  <c r="I2835" i="7"/>
  <c r="M2835" i="7"/>
  <c r="J2835" i="7" a="1"/>
  <c r="M2834" i="7"/>
  <c r="I2834" i="7"/>
  <c r="J2834" i="7" a="1"/>
  <c r="M2833" i="7"/>
  <c r="I2833" i="7"/>
  <c r="J2833" i="7" a="1"/>
  <c r="I2832" i="7"/>
  <c r="J2832" i="7" a="1"/>
  <c r="M2832" i="7"/>
  <c r="M2831" i="7"/>
  <c r="J2831" i="7" a="1"/>
  <c r="I2831" i="7"/>
  <c r="M2830" i="7"/>
  <c r="I2830" i="7"/>
  <c r="J2830" i="7" a="1"/>
  <c r="I2829" i="7"/>
  <c r="J2829" i="7" a="1"/>
  <c r="M2829" i="7"/>
  <c r="J2828" i="7" a="1"/>
  <c r="M2828" i="7"/>
  <c r="I2828" i="7"/>
  <c r="I2827" i="7"/>
  <c r="M2827" i="7"/>
  <c r="J2827" i="7" a="1"/>
  <c r="M2826" i="7"/>
  <c r="J2826" i="7" a="1"/>
  <c r="I2826" i="7"/>
  <c r="J2825" i="7" a="1"/>
  <c r="I2825" i="7"/>
  <c r="M2825" i="7"/>
  <c r="I2823" i="7"/>
  <c r="J2823" i="7" a="1"/>
  <c r="M2823" i="7"/>
  <c r="I2822" i="7"/>
  <c r="J2822" i="7" a="1"/>
  <c r="M2822" i="7"/>
  <c r="I2821" i="7"/>
  <c r="J2821" i="7" a="1"/>
  <c r="M2821" i="7"/>
  <c r="I2820" i="7"/>
  <c r="J2820" i="7" a="1"/>
  <c r="M2820" i="7"/>
  <c r="I2819" i="7"/>
  <c r="J2819" i="7" a="1"/>
  <c r="M2819" i="7"/>
  <c r="I2854" i="7"/>
  <c r="J2854" i="7" a="1"/>
  <c r="M2854" i="7"/>
  <c r="I2853" i="7"/>
  <c r="J2853" i="7" a="1"/>
  <c r="M2853" i="7"/>
  <c r="I2852" i="7"/>
  <c r="J2852" i="7" a="1"/>
  <c r="M2852" i="7"/>
  <c r="I2851" i="7"/>
  <c r="J2851" i="7" a="1"/>
  <c r="M2851" i="7"/>
  <c r="I2850" i="7"/>
  <c r="J2850" i="7" a="1"/>
  <c r="M2850" i="7"/>
  <c r="I2849" i="7"/>
  <c r="J2849" i="7" a="1"/>
  <c r="M2849" i="7"/>
  <c r="I2848" i="7"/>
  <c r="J2848" i="7" a="1"/>
  <c r="M2848" i="7"/>
  <c r="I2847" i="7"/>
  <c r="J2847" i="7" a="1"/>
  <c r="M2847" i="7"/>
  <c r="I2846" i="7"/>
  <c r="J2846" i="7" a="1"/>
  <c r="M2846" i="7"/>
  <c r="I2845" i="7"/>
  <c r="J2845" i="7" a="1"/>
  <c r="M2845" i="7"/>
  <c r="I2844" i="7"/>
  <c r="J2844" i="7" a="1"/>
  <c r="M2844" i="7"/>
  <c r="I2843" i="7"/>
  <c r="J2843" i="7" a="1"/>
  <c r="M2843" i="7"/>
  <c r="I2842" i="7"/>
  <c r="J2842" i="7" a="1"/>
  <c r="M2842" i="7"/>
  <c r="I2841" i="7"/>
  <c r="J2841" i="7" a="1"/>
  <c r="M2841" i="7"/>
  <c r="I2840" i="7"/>
  <c r="J2840" i="7" a="1"/>
  <c r="M2840" i="7"/>
  <c r="I2839" i="7"/>
  <c r="J2839" i="7" a="1"/>
  <c r="M2839" i="7"/>
  <c r="I2869" i="7"/>
  <c r="J2869" i="7" a="1"/>
  <c r="M2869" i="7"/>
  <c r="I2868" i="7"/>
  <c r="J2868" i="7" a="1"/>
  <c r="M2868" i="7"/>
  <c r="I2867" i="7"/>
  <c r="J2867" i="7" a="1"/>
  <c r="M2867" i="7"/>
  <c r="I2866" i="7"/>
  <c r="J2866" i="7" a="1"/>
  <c r="M2866" i="7"/>
  <c r="I2865" i="7"/>
  <c r="J2865" i="7" a="1"/>
  <c r="M2865" i="7"/>
  <c r="I2864" i="7"/>
  <c r="J2864" i="7" a="1"/>
  <c r="M2864" i="7"/>
  <c r="I2863" i="7"/>
  <c r="J2863" i="7" a="1"/>
  <c r="M2863" i="7"/>
  <c r="I2862" i="7"/>
  <c r="J2862" i="7" a="1"/>
  <c r="M2862" i="7"/>
  <c r="I2861" i="7"/>
  <c r="J2861" i="7" a="1"/>
  <c r="M2861" i="7"/>
  <c r="I2860" i="7"/>
  <c r="J2860" i="7" a="1"/>
  <c r="M2860" i="7"/>
  <c r="I2859" i="7"/>
  <c r="J2859" i="7" a="1"/>
  <c r="M2859" i="7"/>
  <c r="I2858" i="7"/>
  <c r="J2858" i="7" a="1"/>
  <c r="M2858" i="7"/>
  <c r="I2857" i="7"/>
  <c r="J2857" i="7" a="1"/>
  <c r="M2857" i="7"/>
  <c r="I2856" i="7"/>
  <c r="J2856" i="7" a="1"/>
  <c r="M2856" i="7"/>
  <c r="I2855" i="7"/>
  <c r="J2855" i="7" a="1"/>
  <c r="M2855" i="7"/>
  <c r="I2886" i="7"/>
  <c r="J2886" i="7" a="1"/>
  <c r="M2886" i="7"/>
  <c r="I2885" i="7"/>
  <c r="J2885" i="7" a="1"/>
  <c r="M2885" i="7"/>
  <c r="I2884" i="7"/>
  <c r="J2884" i="7" a="1"/>
  <c r="M2884" i="7"/>
  <c r="I2883" i="7"/>
  <c r="J2883" i="7" a="1"/>
  <c r="M2883" i="7"/>
  <c r="I2882" i="7"/>
  <c r="J2882" i="7" a="1"/>
  <c r="M2882" i="7"/>
  <c r="I2881" i="7"/>
  <c r="J2881" i="7" a="1"/>
  <c r="M2881" i="7"/>
  <c r="I2880" i="7"/>
  <c r="J2880" i="7" a="1"/>
  <c r="M2880" i="7"/>
  <c r="I2879" i="7"/>
  <c r="J2879" i="7" a="1"/>
  <c r="M2879" i="7"/>
  <c r="I2878" i="7"/>
  <c r="J2878" i="7" a="1"/>
  <c r="M2878" i="7"/>
  <c r="I2877" i="7"/>
  <c r="J2877" i="7" a="1"/>
  <c r="M2877" i="7"/>
  <c r="I2876" i="7"/>
  <c r="J2876" i="7" a="1"/>
  <c r="M2876" i="7"/>
  <c r="I2875" i="7"/>
  <c r="J2875" i="7" a="1"/>
  <c r="M2875" i="7"/>
  <c r="I2874" i="7"/>
  <c r="J2874" i="7" a="1"/>
  <c r="M2874" i="7"/>
  <c r="I2873" i="7"/>
  <c r="J2873" i="7" a="1"/>
  <c r="M2873" i="7"/>
  <c r="I2872" i="7"/>
  <c r="J2872" i="7" a="1"/>
  <c r="M2872" i="7"/>
  <c r="I2871" i="7"/>
  <c r="J2871" i="7" a="1"/>
  <c r="M2871" i="7"/>
  <c r="I2870" i="7"/>
  <c r="J2870" i="7" a="1"/>
  <c r="M2870" i="7"/>
  <c r="I2902" i="7"/>
  <c r="J2902" i="7" a="1"/>
  <c r="M2902" i="7"/>
  <c r="I2901" i="7"/>
  <c r="J2901" i="7" a="1"/>
  <c r="M2901" i="7"/>
  <c r="I2900" i="7"/>
  <c r="J2900" i="7" a="1"/>
  <c r="M2900" i="7"/>
  <c r="I2899" i="7"/>
  <c r="J2899" i="7" a="1"/>
  <c r="M2899" i="7"/>
  <c r="I2898" i="7"/>
  <c r="J2898" i="7" a="1"/>
  <c r="M2898" i="7"/>
  <c r="I2897" i="7"/>
  <c r="J2897" i="7" a="1"/>
  <c r="M2897" i="7"/>
  <c r="I2896" i="7"/>
  <c r="J2896" i="7" a="1"/>
  <c r="M2896" i="7"/>
  <c r="I2895" i="7"/>
  <c r="J2895" i="7" a="1"/>
  <c r="M2895" i="7"/>
  <c r="I2894" i="7"/>
  <c r="J2894" i="7" a="1"/>
  <c r="M2894" i="7"/>
  <c r="I2893" i="7"/>
  <c r="J2893" i="7" a="1"/>
  <c r="M2893" i="7"/>
  <c r="I2892" i="7"/>
  <c r="J2892" i="7" a="1"/>
  <c r="M2892" i="7"/>
  <c r="I2891" i="7"/>
  <c r="J2891" i="7" a="1"/>
  <c r="M2891" i="7"/>
  <c r="I2890" i="7"/>
  <c r="J2890" i="7" a="1"/>
  <c r="M2890" i="7"/>
  <c r="I2889" i="7"/>
  <c r="J2889" i="7" a="1"/>
  <c r="M2889" i="7"/>
  <c r="I2888" i="7"/>
  <c r="J2888" i="7" a="1"/>
  <c r="M2888" i="7"/>
  <c r="I2887" i="7"/>
  <c r="J2887" i="7" a="1"/>
  <c r="M2887" i="7"/>
  <c r="I2918" i="7"/>
  <c r="J2918" i="7" a="1"/>
  <c r="M2918" i="7"/>
  <c r="I2917" i="7"/>
  <c r="J2917" i="7" a="1"/>
  <c r="M2917" i="7"/>
  <c r="I2916" i="7"/>
  <c r="J2916" i="7" a="1"/>
  <c r="M2916" i="7"/>
  <c r="I2915" i="7"/>
  <c r="J2915" i="7" a="1"/>
  <c r="M2915" i="7"/>
  <c r="I2914" i="7"/>
  <c r="J2914" i="7" a="1"/>
  <c r="M2914" i="7"/>
  <c r="I2913" i="7"/>
  <c r="J2913" i="7" a="1"/>
  <c r="M2913" i="7"/>
  <c r="I2912" i="7"/>
  <c r="J2912" i="7" a="1"/>
  <c r="M2912" i="7"/>
  <c r="I2911" i="7"/>
  <c r="J2911" i="7" a="1"/>
  <c r="M2911" i="7"/>
  <c r="I2910" i="7"/>
  <c r="J2910" i="7" a="1"/>
  <c r="M2910" i="7"/>
  <c r="I2909" i="7"/>
  <c r="J2909" i="7" a="1"/>
  <c r="M2909" i="7"/>
  <c r="I2908" i="7"/>
  <c r="J2908" i="7" a="1"/>
  <c r="M2908" i="7"/>
  <c r="I2907" i="7"/>
  <c r="J2907" i="7" a="1"/>
  <c r="M2907" i="7"/>
  <c r="I2906" i="7"/>
  <c r="J2906" i="7" a="1"/>
  <c r="M2906" i="7"/>
  <c r="I2905" i="7"/>
  <c r="J2905" i="7" a="1"/>
  <c r="M2905" i="7"/>
  <c r="I2904" i="7"/>
  <c r="J2904" i="7" a="1"/>
  <c r="M2904" i="7"/>
  <c r="I2903" i="7"/>
  <c r="J2903" i="7" a="1"/>
  <c r="M2903" i="7"/>
  <c r="I2935" i="7"/>
  <c r="J2935" i="7" a="1"/>
  <c r="M2935" i="7"/>
  <c r="I2934" i="7"/>
  <c r="J2934" i="7" a="1"/>
  <c r="M2934" i="7"/>
  <c r="I2933" i="7"/>
  <c r="J2933" i="7" a="1"/>
  <c r="M2933" i="7"/>
  <c r="I2932" i="7"/>
  <c r="J2932" i="7" a="1"/>
  <c r="M2932" i="7"/>
  <c r="I2931" i="7"/>
  <c r="J2931" i="7" a="1"/>
  <c r="M2931" i="7"/>
  <c r="I2930" i="7"/>
  <c r="J2930" i="7" a="1"/>
  <c r="M2930" i="7"/>
  <c r="I2929" i="7"/>
  <c r="J2929" i="7" a="1"/>
  <c r="M2929" i="7"/>
  <c r="I2928" i="7"/>
  <c r="J2928" i="7" a="1"/>
  <c r="M2928" i="7"/>
  <c r="I2927" i="7"/>
  <c r="J2927" i="7" a="1"/>
  <c r="M2927" i="7"/>
  <c r="I2926" i="7"/>
  <c r="J2926" i="7" a="1"/>
  <c r="M2926" i="7"/>
  <c r="I2925" i="7"/>
  <c r="J2925" i="7" a="1"/>
  <c r="M2925" i="7"/>
  <c r="I2924" i="7"/>
  <c r="J2924" i="7" a="1"/>
  <c r="M2924" i="7"/>
  <c r="I2923" i="7"/>
  <c r="J2923" i="7" a="1"/>
  <c r="M2923" i="7"/>
  <c r="I2922" i="7"/>
  <c r="J2922" i="7" a="1"/>
  <c r="M2922" i="7"/>
  <c r="I2921" i="7"/>
  <c r="J2921" i="7" a="1"/>
  <c r="M2921" i="7"/>
  <c r="I2920" i="7"/>
  <c r="J2920" i="7" a="1"/>
  <c r="M2920" i="7"/>
  <c r="I2919" i="7"/>
  <c r="J2919" i="7" a="1"/>
  <c r="M2919" i="7"/>
  <c r="I2953" i="7"/>
  <c r="J2953" i="7" a="1"/>
  <c r="M2953" i="7"/>
  <c r="I2952" i="7"/>
  <c r="J2952" i="7" a="1"/>
  <c r="M2952" i="7"/>
  <c r="I2951" i="7"/>
  <c r="J2951" i="7" a="1"/>
  <c r="M2951" i="7"/>
  <c r="I2950" i="7"/>
  <c r="J2950" i="7" a="1"/>
  <c r="M2950" i="7"/>
  <c r="I2949" i="7"/>
  <c r="J2949" i="7" a="1"/>
  <c r="M2949" i="7"/>
  <c r="I2948" i="7"/>
  <c r="J2948" i="7" a="1"/>
  <c r="M2948" i="7"/>
  <c r="I2947" i="7"/>
  <c r="J2947" i="7" a="1"/>
  <c r="M2947" i="7"/>
  <c r="I2946" i="7"/>
  <c r="J2946" i="7" a="1"/>
  <c r="M2946" i="7"/>
  <c r="I2945" i="7"/>
  <c r="J2945" i="7" a="1"/>
  <c r="M2945" i="7"/>
  <c r="I2944" i="7"/>
  <c r="J2944" i="7" a="1"/>
  <c r="M2944" i="7"/>
  <c r="I2943" i="7"/>
  <c r="J2943" i="7" a="1"/>
  <c r="M2943" i="7"/>
  <c r="I2942" i="7"/>
  <c r="J2942" i="7" a="1"/>
  <c r="M2942" i="7"/>
  <c r="I2941" i="7"/>
  <c r="J2941" i="7" a="1"/>
  <c r="M2941" i="7"/>
  <c r="I2940" i="7"/>
  <c r="J2940" i="7" a="1"/>
  <c r="M2940" i="7"/>
  <c r="I2939" i="7"/>
  <c r="J2939" i="7" a="1"/>
  <c r="M2939" i="7"/>
  <c r="I2938" i="7"/>
  <c r="J2938" i="7" a="1"/>
  <c r="M2938" i="7"/>
  <c r="I2937" i="7"/>
  <c r="J2937" i="7" a="1"/>
  <c r="M2937" i="7"/>
  <c r="I2936" i="7"/>
  <c r="J2936" i="7" a="1"/>
  <c r="M2936" i="7"/>
  <c r="I2970" i="7"/>
  <c r="J2970" i="7" a="1"/>
  <c r="M2970" i="7"/>
  <c r="I2969" i="7"/>
  <c r="J2969" i="7" a="1"/>
  <c r="M2969" i="7"/>
  <c r="I2968" i="7"/>
  <c r="J2968" i="7" a="1"/>
  <c r="M2968" i="7"/>
  <c r="I2967" i="7"/>
  <c r="J2967" i="7" a="1"/>
  <c r="M2967" i="7"/>
  <c r="I2966" i="7"/>
  <c r="J2966" i="7" a="1"/>
  <c r="M2966" i="7"/>
  <c r="I2965" i="7"/>
  <c r="J2965" i="7" a="1"/>
  <c r="M2965" i="7"/>
  <c r="I2964" i="7"/>
  <c r="J2964" i="7" a="1"/>
  <c r="M2964" i="7"/>
  <c r="I2963" i="7"/>
  <c r="J2963" i="7" a="1"/>
  <c r="M2963" i="7"/>
  <c r="I2962" i="7"/>
  <c r="J2962" i="7" a="1"/>
  <c r="M2962" i="7"/>
  <c r="I2961" i="7"/>
  <c r="J2961" i="7" a="1"/>
  <c r="M2961" i="7"/>
  <c r="I2960" i="7"/>
  <c r="J2960" i="7" a="1"/>
  <c r="M2960" i="7"/>
  <c r="I2959" i="7"/>
  <c r="J2959" i="7" a="1"/>
  <c r="M2959" i="7"/>
  <c r="I2958" i="7"/>
  <c r="J2958" i="7" a="1"/>
  <c r="M2958" i="7"/>
  <c r="I2957" i="7"/>
  <c r="J2957" i="7" a="1"/>
  <c r="M2957" i="7"/>
  <c r="I2956" i="7"/>
  <c r="J2956" i="7" a="1"/>
  <c r="M2956" i="7"/>
  <c r="I2955" i="7"/>
  <c r="J2955" i="7" a="1"/>
  <c r="M2955" i="7"/>
  <c r="I2954" i="7"/>
  <c r="J2954" i="7" a="1"/>
  <c r="M2954" i="7"/>
  <c r="I2987" i="7"/>
  <c r="J2987" i="7" a="1"/>
  <c r="M2987" i="7"/>
  <c r="I2986" i="7"/>
  <c r="J2986" i="7" a="1"/>
  <c r="M2986" i="7"/>
  <c r="I2985" i="7"/>
  <c r="J2985" i="7" a="1"/>
  <c r="M2985" i="7"/>
  <c r="I2984" i="7"/>
  <c r="J2984" i="7" a="1"/>
  <c r="M2984" i="7"/>
  <c r="I2983" i="7"/>
  <c r="J2983" i="7" a="1"/>
  <c r="M2983" i="7"/>
  <c r="I2982" i="7"/>
  <c r="J2982" i="7" a="1"/>
  <c r="M2982" i="7"/>
  <c r="I2981" i="7"/>
  <c r="J2981" i="7" a="1"/>
  <c r="M2981" i="7"/>
  <c r="I2980" i="7"/>
  <c r="J2980" i="7" a="1"/>
  <c r="M2980" i="7"/>
  <c r="I2979" i="7"/>
  <c r="J2979" i="7" a="1"/>
  <c r="M2979" i="7"/>
  <c r="I2978" i="7"/>
  <c r="J2978" i="7" a="1"/>
  <c r="M2978" i="7"/>
  <c r="I2977" i="7"/>
  <c r="J2977" i="7" a="1"/>
  <c r="M2977" i="7"/>
  <c r="I2976" i="7"/>
  <c r="J2976" i="7" a="1"/>
  <c r="M2976" i="7"/>
  <c r="I2975" i="7"/>
  <c r="J2975" i="7" a="1"/>
  <c r="M2975" i="7"/>
  <c r="I2974" i="7"/>
  <c r="J2974" i="7" a="1"/>
  <c r="M2974" i="7"/>
  <c r="I2973" i="7"/>
  <c r="J2973" i="7" a="1"/>
  <c r="M2973" i="7"/>
  <c r="I2972" i="7"/>
  <c r="J2972" i="7" a="1"/>
  <c r="M2972" i="7"/>
  <c r="I2971" i="7"/>
  <c r="J2971" i="7" a="1"/>
  <c r="M2971" i="7"/>
  <c r="I3003" i="7"/>
  <c r="J3003" i="7" a="1"/>
  <c r="M3003" i="7"/>
  <c r="I3002" i="7"/>
  <c r="J3002" i="7" a="1"/>
  <c r="M3002" i="7"/>
  <c r="I3001" i="7"/>
  <c r="J3001" i="7" a="1"/>
  <c r="M3001" i="7"/>
  <c r="I3000" i="7"/>
  <c r="J3000" i="7" a="1"/>
  <c r="M3000" i="7"/>
  <c r="I2999" i="7"/>
  <c r="J2999" i="7" a="1"/>
  <c r="M2999" i="7"/>
  <c r="I2998" i="7"/>
  <c r="J2998" i="7" a="1"/>
  <c r="M2998" i="7"/>
  <c r="I2997" i="7"/>
  <c r="J2997" i="7" a="1"/>
  <c r="M2997" i="7"/>
  <c r="I2996" i="7"/>
  <c r="J2996" i="7" a="1"/>
  <c r="M2996" i="7"/>
  <c r="I2995" i="7"/>
  <c r="J2995" i="7" a="1"/>
  <c r="M2995" i="7"/>
  <c r="I2994" i="7"/>
  <c r="J2994" i="7" a="1"/>
  <c r="M2994" i="7"/>
  <c r="I2993" i="7"/>
  <c r="J2993" i="7" a="1"/>
  <c r="M2993" i="7"/>
  <c r="I2992" i="7"/>
  <c r="J2992" i="7" a="1"/>
  <c r="M2992" i="7"/>
  <c r="I2991" i="7"/>
  <c r="J2991" i="7" a="1"/>
  <c r="M2991" i="7"/>
  <c r="I2990" i="7"/>
  <c r="J2990" i="7" a="1"/>
  <c r="M2990" i="7"/>
  <c r="I2988" i="7"/>
  <c r="J2988" i="7" a="1"/>
  <c r="M2988" i="7"/>
  <c r="I3023" i="7"/>
  <c r="J3023" i="7" a="1"/>
  <c r="M3023" i="7"/>
  <c r="I3022" i="7"/>
  <c r="J3022" i="7" a="1"/>
  <c r="M3022" i="7"/>
  <c r="I3021" i="7"/>
  <c r="J3021" i="7" a="1"/>
  <c r="M3021" i="7"/>
  <c r="I3020" i="7"/>
  <c r="J3020" i="7" a="1"/>
  <c r="M3020" i="7"/>
  <c r="I3019" i="7"/>
  <c r="J3019" i="7" a="1"/>
  <c r="M3019" i="7"/>
  <c r="I3018" i="7"/>
  <c r="J3018" i="7" a="1"/>
  <c r="M3018" i="7"/>
  <c r="I3017" i="7"/>
  <c r="J3017" i="7" a="1"/>
  <c r="M3017" i="7"/>
  <c r="I3016" i="7"/>
  <c r="J3016" i="7" a="1"/>
  <c r="M3016" i="7"/>
  <c r="I3015" i="7"/>
  <c r="J3015" i="7" a="1"/>
  <c r="M3015" i="7"/>
  <c r="I3014" i="7"/>
  <c r="J3014" i="7" a="1"/>
  <c r="M3014" i="7"/>
  <c r="I3013" i="7"/>
  <c r="J3013" i="7" a="1"/>
  <c r="M3013" i="7"/>
  <c r="I3012" i="7"/>
  <c r="J3012" i="7" a="1"/>
  <c r="M3012" i="7"/>
  <c r="I3011" i="7"/>
  <c r="J3011" i="7" a="1"/>
  <c r="M3011" i="7"/>
  <c r="I3010" i="7"/>
  <c r="J3010" i="7" a="1"/>
  <c r="M3010" i="7"/>
  <c r="I3009" i="7"/>
  <c r="J3009" i="7" a="1"/>
  <c r="M3009" i="7"/>
  <c r="I3008" i="7"/>
  <c r="J3008" i="7" a="1"/>
  <c r="M3008" i="7"/>
  <c r="I3007" i="7"/>
  <c r="J3007" i="7" a="1"/>
  <c r="M3007" i="7"/>
  <c r="I3006" i="7"/>
  <c r="J3006" i="7" a="1"/>
  <c r="M3006" i="7"/>
  <c r="I3005" i="7"/>
  <c r="J3005" i="7" a="1"/>
  <c r="M3005" i="7"/>
  <c r="I3004" i="7"/>
  <c r="J3004" i="7" a="1"/>
  <c r="M3004" i="7"/>
  <c r="I3039" i="7"/>
  <c r="J3039" i="7" a="1"/>
  <c r="M3039" i="7"/>
  <c r="I3038" i="7"/>
  <c r="J3038" i="7" a="1"/>
  <c r="M3038" i="7"/>
  <c r="I3037" i="7"/>
  <c r="J3037" i="7" a="1"/>
  <c r="M3037" i="7"/>
  <c r="I3036" i="7"/>
  <c r="J3036" i="7" a="1"/>
  <c r="M3036" i="7"/>
  <c r="I3035" i="7"/>
  <c r="J3035" i="7" a="1"/>
  <c r="M3035" i="7"/>
  <c r="I3034" i="7"/>
  <c r="J3034" i="7" a="1"/>
  <c r="M3034" i="7"/>
  <c r="I3033" i="7"/>
  <c r="J3033" i="7" a="1"/>
  <c r="M3033" i="7"/>
  <c r="I3032" i="7"/>
  <c r="J3032" i="7" a="1"/>
  <c r="M3032" i="7"/>
  <c r="I3031" i="7"/>
  <c r="J3031" i="7" a="1"/>
  <c r="M3031" i="7"/>
  <c r="I3030" i="7"/>
  <c r="J3030" i="7" a="1"/>
  <c r="M3030" i="7"/>
  <c r="I3029" i="7"/>
  <c r="J3029" i="7" a="1"/>
  <c r="M3029" i="7"/>
  <c r="I3028" i="7"/>
  <c r="J3028" i="7" a="1"/>
  <c r="M3028" i="7"/>
  <c r="I3027" i="7"/>
  <c r="J3027" i="7" a="1"/>
  <c r="M3027" i="7"/>
  <c r="I3026" i="7"/>
  <c r="J3026" i="7" a="1"/>
  <c r="M3026" i="7"/>
  <c r="I3025" i="7"/>
  <c r="J3025" i="7" a="1"/>
  <c r="M3025" i="7"/>
  <c r="I3024" i="7"/>
  <c r="J3024" i="7" a="1"/>
  <c r="M3024" i="7"/>
  <c r="I3054" i="7"/>
  <c r="J3054" i="7" a="1"/>
  <c r="M3054" i="7"/>
  <c r="I3053" i="7"/>
  <c r="J3053" i="7" a="1"/>
  <c r="M3053" i="7"/>
  <c r="I3052" i="7"/>
  <c r="J3052" i="7" a="1"/>
  <c r="M3052" i="7"/>
  <c r="I3051" i="7"/>
  <c r="J3051" i="7" a="1"/>
  <c r="M3051" i="7"/>
  <c r="I3050" i="7"/>
  <c r="J3050" i="7" a="1"/>
  <c r="M3050" i="7"/>
  <c r="I3049" i="7"/>
  <c r="J3049" i="7" a="1"/>
  <c r="M3049" i="7"/>
  <c r="I3048" i="7"/>
  <c r="J3048" i="7" a="1"/>
  <c r="M3048" i="7"/>
  <c r="I3047" i="7"/>
  <c r="J3047" i="7" a="1"/>
  <c r="M3047" i="7"/>
  <c r="I3046" i="7"/>
  <c r="J3046" i="7" a="1"/>
  <c r="M3046" i="7"/>
  <c r="I3045" i="7"/>
  <c r="J3045" i="7" a="1"/>
  <c r="M3045" i="7"/>
  <c r="I3044" i="7"/>
  <c r="J3044" i="7" a="1"/>
  <c r="M3044" i="7"/>
  <c r="I3043" i="7"/>
  <c r="J3043" i="7" a="1"/>
  <c r="M3043" i="7"/>
  <c r="I3042" i="7"/>
  <c r="J3042" i="7" a="1"/>
  <c r="M3042" i="7"/>
  <c r="I3041" i="7"/>
  <c r="J3041" i="7" a="1"/>
  <c r="M3041" i="7"/>
  <c r="I3040" i="7"/>
  <c r="J3040" i="7" a="1"/>
  <c r="M3040" i="7"/>
  <c r="I3071" i="7"/>
  <c r="J3071" i="7" a="1"/>
  <c r="M3071" i="7"/>
  <c r="I3070" i="7"/>
  <c r="J3070" i="7" a="1"/>
  <c r="M3070" i="7"/>
  <c r="I3069" i="7"/>
  <c r="J3069" i="7" a="1"/>
  <c r="M3069" i="7"/>
  <c r="I3068" i="7"/>
  <c r="J3068" i="7" a="1"/>
  <c r="M3068" i="7"/>
  <c r="I3067" i="7"/>
  <c r="J3067" i="7" a="1"/>
  <c r="M3067" i="7"/>
  <c r="I3066" i="7"/>
  <c r="J3066" i="7" a="1"/>
  <c r="M3066" i="7"/>
  <c r="I3065" i="7"/>
  <c r="J3065" i="7" a="1"/>
  <c r="M3065" i="7"/>
  <c r="I3064" i="7"/>
  <c r="J3064" i="7" a="1"/>
  <c r="M3064" i="7"/>
  <c r="I3063" i="7"/>
  <c r="J3063" i="7" a="1"/>
  <c r="M3063" i="7"/>
  <c r="I3062" i="7"/>
  <c r="J3062" i="7" a="1"/>
  <c r="M3062" i="7"/>
  <c r="I3061" i="7"/>
  <c r="J3061" i="7" a="1"/>
  <c r="M3061" i="7"/>
  <c r="I3060" i="7"/>
  <c r="J3060" i="7" a="1"/>
  <c r="M3060" i="7"/>
  <c r="I3059" i="7"/>
  <c r="J3059" i="7" a="1"/>
  <c r="M3059" i="7"/>
  <c r="I3057" i="7"/>
  <c r="J3057" i="7" a="1"/>
  <c r="M3057" i="7"/>
  <c r="I3056" i="7"/>
  <c r="J3056" i="7" a="1"/>
  <c r="M3056" i="7"/>
  <c r="I3055" i="7"/>
  <c r="J3055" i="7" a="1"/>
  <c r="M3055" i="7"/>
  <c r="I3087" i="7"/>
  <c r="J3087" i="7" a="1"/>
  <c r="M3087" i="7"/>
  <c r="I3086" i="7"/>
  <c r="J3086" i="7" a="1"/>
  <c r="M3086" i="7"/>
  <c r="I3085" i="7"/>
  <c r="J3085" i="7" a="1"/>
  <c r="M3085" i="7"/>
  <c r="I3084" i="7"/>
  <c r="J3084" i="7" a="1"/>
  <c r="M3084" i="7"/>
  <c r="I3083" i="7"/>
  <c r="J3083" i="7" a="1"/>
  <c r="M3083" i="7"/>
  <c r="I3082" i="7"/>
  <c r="J3082" i="7" a="1"/>
  <c r="M3082" i="7"/>
  <c r="I3081" i="7"/>
  <c r="J3081" i="7" a="1"/>
  <c r="M3081" i="7"/>
  <c r="I3080" i="7"/>
  <c r="J3080" i="7" a="1"/>
  <c r="M3080" i="7"/>
  <c r="I3079" i="7"/>
  <c r="J3079" i="7" a="1"/>
  <c r="M3079" i="7"/>
  <c r="I3078" i="7"/>
  <c r="J3078" i="7" a="1"/>
  <c r="M3078" i="7"/>
  <c r="I3077" i="7"/>
  <c r="J3077" i="7" a="1"/>
  <c r="M3077" i="7"/>
  <c r="I3076" i="7"/>
  <c r="J3076" i="7" a="1"/>
  <c r="M3076" i="7"/>
  <c r="I3075" i="7"/>
  <c r="J3075" i="7" a="1"/>
  <c r="M3075" i="7"/>
  <c r="I3074" i="7"/>
  <c r="J3074" i="7" a="1"/>
  <c r="M3074" i="7"/>
  <c r="I3073" i="7"/>
  <c r="J3073" i="7" a="1"/>
  <c r="M3073" i="7"/>
  <c r="I3072" i="7"/>
  <c r="J3072" i="7" a="1"/>
  <c r="M3072" i="7"/>
  <c r="I3104" i="7"/>
  <c r="J3104" i="7" a="1"/>
  <c r="M3104" i="7"/>
  <c r="I3103" i="7"/>
  <c r="J3103" i="7" a="1"/>
  <c r="M3103" i="7"/>
  <c r="I3102" i="7"/>
  <c r="J3102" i="7" a="1"/>
  <c r="M3102" i="7"/>
  <c r="I3101" i="7"/>
  <c r="J3101" i="7" a="1"/>
  <c r="M3101" i="7"/>
  <c r="I3100" i="7"/>
  <c r="J3100" i="7" a="1"/>
  <c r="M3100" i="7"/>
  <c r="I3099" i="7"/>
  <c r="J3099" i="7" a="1"/>
  <c r="M3099" i="7"/>
  <c r="I3098" i="7"/>
  <c r="J3098" i="7" a="1"/>
  <c r="M3098" i="7"/>
  <c r="I3097" i="7"/>
  <c r="J3097" i="7" a="1"/>
  <c r="M3097" i="7"/>
  <c r="I3096" i="7"/>
  <c r="J3096" i="7" a="1"/>
  <c r="M3096" i="7"/>
  <c r="I3095" i="7"/>
  <c r="J3095" i="7" a="1"/>
  <c r="M3095" i="7"/>
  <c r="I3094" i="7"/>
  <c r="J3094" i="7" a="1"/>
  <c r="M3094" i="7"/>
  <c r="I3093" i="7"/>
  <c r="J3093" i="7" a="1"/>
  <c r="M3093" i="7"/>
  <c r="I3092" i="7"/>
  <c r="J3092" i="7" a="1"/>
  <c r="M3092" i="7"/>
  <c r="I3091" i="7"/>
  <c r="J3091" i="7" a="1"/>
  <c r="M3091" i="7"/>
  <c r="I3090" i="7"/>
  <c r="J3090" i="7" a="1"/>
  <c r="M3090" i="7"/>
  <c r="I3089" i="7"/>
  <c r="J3089" i="7" a="1"/>
  <c r="M3089" i="7"/>
  <c r="I3088" i="7"/>
  <c r="J3088" i="7" a="1"/>
  <c r="M3088" i="7"/>
  <c r="I3121" i="7"/>
  <c r="J3121" i="7" a="1"/>
  <c r="M3121" i="7"/>
  <c r="I3120" i="7"/>
  <c r="J3120" i="7" a="1"/>
  <c r="M3120" i="7"/>
  <c r="I3119" i="7"/>
  <c r="J3119" i="7" a="1"/>
  <c r="M3119" i="7"/>
  <c r="I3118" i="7"/>
  <c r="J3118" i="7" a="1"/>
  <c r="M3118" i="7"/>
  <c r="I3117" i="7"/>
  <c r="J3117" i="7" a="1"/>
  <c r="M3117" i="7"/>
  <c r="I3116" i="7"/>
  <c r="J3116" i="7" a="1"/>
  <c r="M3116" i="7"/>
  <c r="I3115" i="7"/>
  <c r="J3115" i="7" a="1"/>
  <c r="M3115" i="7"/>
  <c r="I3114" i="7"/>
  <c r="J3114" i="7" a="1"/>
  <c r="M3114" i="7"/>
  <c r="I3113" i="7"/>
  <c r="J3113" i="7" a="1"/>
  <c r="M3113" i="7"/>
  <c r="I3112" i="7"/>
  <c r="J3112" i="7" a="1"/>
  <c r="M3112" i="7"/>
  <c r="I3111" i="7"/>
  <c r="J3111" i="7" a="1"/>
  <c r="M3111" i="7"/>
  <c r="I3110" i="7"/>
  <c r="J3110" i="7" a="1"/>
  <c r="M3110" i="7"/>
  <c r="I3109" i="7"/>
  <c r="J3109" i="7" a="1"/>
  <c r="M3109" i="7"/>
  <c r="I3108" i="7"/>
  <c r="J3108" i="7" a="1"/>
  <c r="M3108" i="7"/>
  <c r="I3107" i="7"/>
  <c r="J3107" i="7" a="1"/>
  <c r="M3107" i="7"/>
  <c r="I3106" i="7"/>
  <c r="J3106" i="7" a="1"/>
  <c r="M3106" i="7"/>
  <c r="I3105" i="7"/>
  <c r="J3105" i="7" a="1"/>
  <c r="M3105" i="7"/>
  <c r="I3139" i="7"/>
  <c r="J3139" i="7" a="1"/>
  <c r="M3139" i="7"/>
  <c r="I3138" i="7"/>
  <c r="J3138" i="7" a="1"/>
  <c r="M3138" i="7"/>
  <c r="I3137" i="7"/>
  <c r="J3137" i="7" a="1"/>
  <c r="M3137" i="7"/>
  <c r="I3136" i="7"/>
  <c r="J3136" i="7" a="1"/>
  <c r="M3136" i="7"/>
  <c r="I3135" i="7"/>
  <c r="J3135" i="7" a="1"/>
  <c r="M3135" i="7"/>
  <c r="I3134" i="7"/>
  <c r="J3134" i="7" a="1"/>
  <c r="M3134" i="7"/>
  <c r="I3133" i="7"/>
  <c r="J3133" i="7" a="1"/>
  <c r="M3133" i="7"/>
  <c r="I3132" i="7"/>
  <c r="J3132" i="7" a="1"/>
  <c r="M3132" i="7"/>
  <c r="I3131" i="7"/>
  <c r="J3131" i="7" a="1"/>
  <c r="M3131" i="7"/>
  <c r="I3130" i="7"/>
  <c r="J3130" i="7" a="1"/>
  <c r="M3130" i="7"/>
  <c r="I3129" i="7"/>
  <c r="J3129" i="7" a="1"/>
  <c r="M3129" i="7"/>
  <c r="I3128" i="7"/>
  <c r="J3128" i="7" a="1"/>
  <c r="M3128" i="7"/>
  <c r="I3126" i="7"/>
  <c r="J3126" i="7" a="1"/>
  <c r="M3126" i="7"/>
  <c r="I3125" i="7"/>
  <c r="J3125" i="7" a="1"/>
  <c r="M3125" i="7"/>
  <c r="I3124" i="7"/>
  <c r="J3124" i="7" a="1"/>
  <c r="M3124" i="7"/>
  <c r="I3123" i="7"/>
  <c r="J3123" i="7" a="1"/>
  <c r="M3123" i="7"/>
  <c r="I3122" i="7"/>
  <c r="J3122" i="7" a="1"/>
  <c r="M3122" i="7"/>
  <c r="I3154" i="7"/>
  <c r="J3154" i="7" a="1"/>
  <c r="M3154" i="7"/>
  <c r="I3153" i="7"/>
  <c r="J3153" i="7" a="1"/>
  <c r="M3153" i="7"/>
  <c r="I3152" i="7"/>
  <c r="J3152" i="7" a="1"/>
  <c r="M3152" i="7"/>
  <c r="I3151" i="7"/>
  <c r="J3151" i="7" a="1"/>
  <c r="M3151" i="7"/>
  <c r="I3150" i="7"/>
  <c r="J3150" i="7" a="1"/>
  <c r="M3150" i="7"/>
  <c r="I3149" i="7"/>
  <c r="J3149" i="7" a="1"/>
  <c r="M3149" i="7"/>
  <c r="I3148" i="7"/>
  <c r="J3148" i="7" a="1"/>
  <c r="M3148" i="7"/>
  <c r="I3147" i="7"/>
  <c r="J3147" i="7" a="1"/>
  <c r="M3147" i="7"/>
  <c r="I3146" i="7"/>
  <c r="J3146" i="7" a="1"/>
  <c r="M3146" i="7"/>
  <c r="I3145" i="7"/>
  <c r="J3145" i="7" a="1"/>
  <c r="M3145" i="7"/>
  <c r="I3144" i="7"/>
  <c r="J3144" i="7" a="1"/>
  <c r="M3144" i="7"/>
  <c r="I3143" i="7"/>
  <c r="J3143" i="7" a="1"/>
  <c r="M3143" i="7"/>
  <c r="I3142" i="7"/>
  <c r="J3142" i="7" a="1"/>
  <c r="M3142" i="7"/>
  <c r="I3141" i="7"/>
  <c r="J3141" i="7" a="1"/>
  <c r="M3141" i="7"/>
  <c r="I3140" i="7"/>
  <c r="J3140" i="7" a="1"/>
  <c r="M3140" i="7"/>
  <c r="I3171" i="7"/>
  <c r="J3171" i="7" a="1"/>
  <c r="M3171" i="7"/>
  <c r="I3170" i="7"/>
  <c r="J3170" i="7" a="1"/>
  <c r="M3170" i="7"/>
  <c r="I3169" i="7"/>
  <c r="J3169" i="7" a="1"/>
  <c r="M3169" i="7"/>
  <c r="I3168" i="7"/>
  <c r="J3168" i="7" a="1"/>
  <c r="M3168" i="7"/>
  <c r="I3167" i="7"/>
  <c r="J3167" i="7" a="1"/>
  <c r="M3167" i="7"/>
  <c r="I3166" i="7"/>
  <c r="J3166" i="7" a="1"/>
  <c r="M3166" i="7"/>
  <c r="I3165" i="7"/>
  <c r="J3165" i="7" a="1"/>
  <c r="M3165" i="7"/>
  <c r="I3164" i="7"/>
  <c r="J3164" i="7" a="1"/>
  <c r="M3164" i="7"/>
  <c r="I3163" i="7"/>
  <c r="J3163" i="7" a="1"/>
  <c r="M3163" i="7"/>
  <c r="I3162" i="7"/>
  <c r="J3162" i="7" a="1"/>
  <c r="M3162" i="7"/>
  <c r="I3161" i="7"/>
  <c r="J3161" i="7" a="1"/>
  <c r="M3161" i="7"/>
  <c r="I3160" i="7"/>
  <c r="J3160" i="7" a="1"/>
  <c r="M3160" i="7"/>
  <c r="I3159" i="7"/>
  <c r="J3159" i="7" a="1"/>
  <c r="M3159" i="7"/>
  <c r="I3158" i="7"/>
  <c r="J3158" i="7" a="1"/>
  <c r="M3158" i="7"/>
  <c r="I3157" i="7"/>
  <c r="J3157" i="7" a="1"/>
  <c r="M3157" i="7"/>
  <c r="I3156" i="7"/>
  <c r="J3156" i="7" a="1"/>
  <c r="M3156" i="7"/>
  <c r="I3155" i="7"/>
  <c r="J3155" i="7" a="1"/>
  <c r="M3155" i="7"/>
  <c r="I3187" i="7"/>
  <c r="J3187" i="7" a="1"/>
  <c r="M3187" i="7"/>
  <c r="I3186" i="7"/>
  <c r="J3186" i="7" a="1"/>
  <c r="M3186" i="7"/>
  <c r="I3185" i="7"/>
  <c r="J3185" i="7" a="1"/>
  <c r="M3185" i="7"/>
  <c r="I3184" i="7"/>
  <c r="J3184" i="7" a="1"/>
  <c r="M3184" i="7"/>
  <c r="I3183" i="7"/>
  <c r="J3183" i="7" a="1"/>
  <c r="M3183" i="7"/>
  <c r="I3182" i="7"/>
  <c r="J3182" i="7" a="1"/>
  <c r="M3182" i="7"/>
  <c r="I3181" i="7"/>
  <c r="J3181" i="7" a="1"/>
  <c r="M3181" i="7"/>
  <c r="I3180" i="7"/>
  <c r="J3180" i="7" a="1"/>
  <c r="M3180" i="7"/>
  <c r="I3179" i="7"/>
  <c r="J3179" i="7" a="1"/>
  <c r="M3179" i="7"/>
  <c r="I3178" i="7"/>
  <c r="J3178" i="7" a="1"/>
  <c r="M3178" i="7"/>
  <c r="I3177" i="7"/>
  <c r="J3177" i="7" a="1"/>
  <c r="M3177" i="7"/>
  <c r="I3176" i="7"/>
  <c r="J3176" i="7" a="1"/>
  <c r="M3176" i="7"/>
  <c r="I3175" i="7"/>
  <c r="J3175" i="7" a="1"/>
  <c r="M3175" i="7"/>
  <c r="I3174" i="7"/>
  <c r="J3174" i="7" a="1"/>
  <c r="M3174" i="7"/>
  <c r="I3173" i="7"/>
  <c r="J3173" i="7" a="1"/>
  <c r="M3173" i="7"/>
  <c r="I3172" i="7"/>
  <c r="J3172" i="7" a="1"/>
  <c r="M3172" i="7"/>
  <c r="I3206" i="7"/>
  <c r="J3206" i="7" a="1"/>
  <c r="M3206" i="7"/>
  <c r="I3205" i="7"/>
  <c r="J3205" i="7" a="1"/>
  <c r="M3205" i="7"/>
  <c r="I3204" i="7"/>
  <c r="J3204" i="7" a="1"/>
  <c r="M3204" i="7"/>
  <c r="I3203" i="7"/>
  <c r="J3203" i="7" a="1"/>
  <c r="M3203" i="7"/>
  <c r="I3202" i="7"/>
  <c r="J3202" i="7" a="1"/>
  <c r="M3202" i="7"/>
  <c r="I3201" i="7"/>
  <c r="J3201" i="7" a="1"/>
  <c r="M3201" i="7"/>
  <c r="I3200" i="7"/>
  <c r="J3200" i="7" a="1"/>
  <c r="M3200" i="7"/>
  <c r="I3199" i="7"/>
  <c r="J3199" i="7" a="1"/>
  <c r="M3199" i="7"/>
  <c r="I3198" i="7"/>
  <c r="J3198" i="7" a="1"/>
  <c r="M3198" i="7"/>
  <c r="I3197" i="7"/>
  <c r="J3197" i="7" a="1"/>
  <c r="M3197" i="7"/>
  <c r="I3196" i="7"/>
  <c r="J3196" i="7" a="1"/>
  <c r="M3196" i="7"/>
  <c r="I3195" i="7"/>
  <c r="J3195" i="7" a="1"/>
  <c r="M3195" i="7"/>
  <c r="I3193" i="7"/>
  <c r="J3193" i="7" a="1"/>
  <c r="M3193" i="7"/>
  <c r="I3192" i="7"/>
  <c r="J3192" i="7" a="1"/>
  <c r="M3192" i="7"/>
  <c r="I3191" i="7"/>
  <c r="J3191" i="7" a="1"/>
  <c r="M3191" i="7"/>
  <c r="I3190" i="7"/>
  <c r="J3190" i="7" a="1"/>
  <c r="M3190" i="7"/>
  <c r="I3189" i="7"/>
  <c r="J3189" i="7" a="1"/>
  <c r="M3189" i="7"/>
  <c r="I3188" i="7"/>
  <c r="J3188" i="7" a="1"/>
  <c r="M3188" i="7"/>
  <c r="I3220" i="7"/>
  <c r="J3220" i="7" a="1"/>
  <c r="M3220" i="7"/>
  <c r="I3219" i="7"/>
  <c r="J3219" i="7" a="1"/>
  <c r="M3219" i="7"/>
  <c r="I3218" i="7"/>
  <c r="J3218" i="7" a="1"/>
  <c r="M3218" i="7"/>
  <c r="I3217" i="7"/>
  <c r="J3217" i="7" a="1"/>
  <c r="M3217" i="7"/>
  <c r="I3216" i="7"/>
  <c r="J3216" i="7" a="1"/>
  <c r="M3216" i="7"/>
  <c r="I3215" i="7"/>
  <c r="J3215" i="7" a="1"/>
  <c r="M3215" i="7"/>
  <c r="I3214" i="7"/>
  <c r="J3214" i="7" a="1"/>
  <c r="M3214" i="7"/>
  <c r="I3213" i="7"/>
  <c r="J3213" i="7" a="1"/>
  <c r="M3213" i="7"/>
  <c r="I3212" i="7"/>
  <c r="J3212" i="7" a="1"/>
  <c r="M3212" i="7"/>
  <c r="I3211" i="7"/>
  <c r="J3211" i="7" a="1"/>
  <c r="M3211" i="7"/>
  <c r="I3210" i="7"/>
  <c r="J3210" i="7" a="1"/>
  <c r="M3210" i="7"/>
  <c r="I3209" i="7"/>
  <c r="J3209" i="7" a="1"/>
  <c r="M3209" i="7"/>
  <c r="I3208" i="7"/>
  <c r="J3208" i="7" a="1"/>
  <c r="M3208" i="7"/>
  <c r="I3207" i="7"/>
  <c r="J3207" i="7" a="1"/>
  <c r="M3207" i="7"/>
  <c r="I3235" i="7"/>
  <c r="J3235" i="7" a="1"/>
  <c r="M3235" i="7"/>
  <c r="I3234" i="7"/>
  <c r="J3234" i="7" a="1"/>
  <c r="M3234" i="7"/>
  <c r="I3233" i="7"/>
  <c r="J3233" i="7" a="1"/>
  <c r="M3233" i="7"/>
  <c r="I3232" i="7"/>
  <c r="J3232" i="7" a="1"/>
  <c r="M3232" i="7"/>
  <c r="I3231" i="7"/>
  <c r="J3231" i="7" a="1"/>
  <c r="M3231" i="7"/>
  <c r="I3230" i="7"/>
  <c r="J3230" i="7" a="1"/>
  <c r="M3230" i="7"/>
  <c r="I3229" i="7"/>
  <c r="J3229" i="7" a="1"/>
  <c r="M3229" i="7"/>
  <c r="I3228" i="7"/>
  <c r="J3228" i="7" a="1"/>
  <c r="M3228" i="7"/>
  <c r="I3227" i="7"/>
  <c r="J3227" i="7" a="1"/>
  <c r="M3227" i="7"/>
  <c r="I3226" i="7"/>
  <c r="J3226" i="7" a="1"/>
  <c r="M3226" i="7"/>
  <c r="I3225" i="7"/>
  <c r="J3225" i="7" a="1"/>
  <c r="M3225" i="7"/>
  <c r="I3224" i="7"/>
  <c r="J3224" i="7" a="1"/>
  <c r="M3224" i="7"/>
  <c r="I3223" i="7"/>
  <c r="J3223" i="7" a="1"/>
  <c r="M3223" i="7"/>
  <c r="I3222" i="7"/>
  <c r="J3222" i="7" a="1"/>
  <c r="M3222" i="7"/>
  <c r="I3221" i="7"/>
  <c r="J3221" i="7" a="1"/>
  <c r="M3221" i="7"/>
  <c r="I3251" i="7"/>
  <c r="J3251" i="7" a="1"/>
  <c r="M3251" i="7"/>
  <c r="I3250" i="7"/>
  <c r="J3250" i="7" a="1"/>
  <c r="M3250" i="7"/>
  <c r="I3249" i="7"/>
  <c r="J3249" i="7" a="1"/>
  <c r="M3249" i="7"/>
  <c r="I3248" i="7"/>
  <c r="J3248" i="7" a="1"/>
  <c r="M3248" i="7"/>
  <c r="I3247" i="7"/>
  <c r="J3247" i="7" a="1"/>
  <c r="M3247" i="7"/>
  <c r="I3246" i="7"/>
  <c r="J3246" i="7" a="1"/>
  <c r="M3246" i="7"/>
  <c r="I3245" i="7"/>
  <c r="J3245" i="7" a="1"/>
  <c r="M3245" i="7"/>
  <c r="I3244" i="7"/>
  <c r="J3244" i="7" a="1"/>
  <c r="M3244" i="7"/>
  <c r="I3243" i="7"/>
  <c r="J3243" i="7" a="1"/>
  <c r="M3243" i="7"/>
  <c r="I3242" i="7"/>
  <c r="J3242" i="7" a="1"/>
  <c r="M3242" i="7"/>
  <c r="I3241" i="7"/>
  <c r="J3241" i="7" a="1"/>
  <c r="M3241" i="7"/>
  <c r="I3240" i="7"/>
  <c r="J3240" i="7" a="1"/>
  <c r="M3240" i="7"/>
  <c r="I3239" i="7"/>
  <c r="J3239" i="7" a="1"/>
  <c r="M3239" i="7"/>
  <c r="I3238" i="7"/>
  <c r="J3238" i="7" a="1"/>
  <c r="M3238" i="7"/>
  <c r="I3237" i="7"/>
  <c r="J3237" i="7" a="1"/>
  <c r="M3237" i="7"/>
  <c r="I3236" i="7"/>
  <c r="J3236" i="7" a="1"/>
  <c r="M3236" i="7"/>
  <c r="I3268" i="7"/>
  <c r="J3268" i="7" a="1"/>
  <c r="M3268" i="7"/>
  <c r="I3267" i="7"/>
  <c r="J3267" i="7" a="1"/>
  <c r="M3267" i="7"/>
  <c r="I3266" i="7"/>
  <c r="J3266" i="7" a="1"/>
  <c r="M3266" i="7"/>
  <c r="I3265" i="7"/>
  <c r="J3265" i="7" a="1"/>
  <c r="M3265" i="7"/>
  <c r="I3264" i="7"/>
  <c r="J3264" i="7" a="1"/>
  <c r="M3264" i="7"/>
  <c r="I3263" i="7"/>
  <c r="J3263" i="7" a="1"/>
  <c r="M3263" i="7"/>
  <c r="I3262" i="7"/>
  <c r="J3262" i="7" a="1"/>
  <c r="M3262" i="7"/>
  <c r="I3261" i="7"/>
  <c r="J3261" i="7" a="1"/>
  <c r="M3261" i="7"/>
  <c r="I3260" i="7"/>
  <c r="J3260" i="7" a="1"/>
  <c r="M3260" i="7"/>
  <c r="I3259" i="7"/>
  <c r="J3259" i="7" a="1"/>
  <c r="M3259" i="7"/>
  <c r="I3258" i="7"/>
  <c r="J3258" i="7" a="1"/>
  <c r="M3258" i="7"/>
  <c r="I3257" i="7"/>
  <c r="J3257" i="7" a="1"/>
  <c r="M3257" i="7"/>
  <c r="I3256" i="7"/>
  <c r="J3256" i="7" a="1"/>
  <c r="M3256" i="7"/>
  <c r="I3255" i="7"/>
  <c r="J3255" i="7" a="1"/>
  <c r="M3255" i="7"/>
  <c r="I3254" i="7"/>
  <c r="J3254" i="7" a="1"/>
  <c r="M3254" i="7"/>
  <c r="I3253" i="7"/>
  <c r="J3253" i="7" a="1"/>
  <c r="M3253" i="7"/>
  <c r="I3252" i="7"/>
  <c r="J3252" i="7" a="1"/>
  <c r="M3252" i="7"/>
  <c r="I3282" i="7"/>
  <c r="J3282" i="7" a="1"/>
  <c r="M3282" i="7"/>
  <c r="I3281" i="7"/>
  <c r="J3281" i="7" a="1"/>
  <c r="M3281" i="7"/>
  <c r="I3280" i="7"/>
  <c r="J3280" i="7" a="1"/>
  <c r="M3280" i="7"/>
  <c r="I3279" i="7"/>
  <c r="J3279" i="7" a="1"/>
  <c r="M3279" i="7"/>
  <c r="I3278" i="7"/>
  <c r="J3278" i="7" a="1"/>
  <c r="M3278" i="7"/>
  <c r="I3277" i="7"/>
  <c r="J3277" i="7" a="1"/>
  <c r="M3277" i="7"/>
  <c r="I3276" i="7"/>
  <c r="J3276" i="7" a="1"/>
  <c r="M3276" i="7"/>
  <c r="I3275" i="7"/>
  <c r="J3275" i="7" a="1"/>
  <c r="M3275" i="7"/>
  <c r="I3274" i="7"/>
  <c r="J3274" i="7" a="1"/>
  <c r="M3274" i="7"/>
  <c r="I3273" i="7"/>
  <c r="J3273" i="7" a="1"/>
  <c r="M3273" i="7"/>
  <c r="I3272" i="7"/>
  <c r="J3272" i="7" a="1"/>
  <c r="M3272" i="7"/>
  <c r="I3271" i="7"/>
  <c r="J3271" i="7" a="1"/>
  <c r="M3271" i="7"/>
  <c r="I3270" i="7"/>
  <c r="J3270" i="7" a="1"/>
  <c r="M3270" i="7"/>
  <c r="I3269" i="7"/>
  <c r="J3269" i="7" a="1"/>
  <c r="M3269" i="7"/>
  <c r="I3298" i="7"/>
  <c r="J3298" i="7" a="1"/>
  <c r="M3298" i="7"/>
  <c r="I3297" i="7"/>
  <c r="J3297" i="7" a="1"/>
  <c r="M3297" i="7"/>
  <c r="I3296" i="7"/>
  <c r="J3296" i="7" a="1"/>
  <c r="M3296" i="7"/>
  <c r="I3295" i="7"/>
  <c r="J3295" i="7" a="1"/>
  <c r="M3295" i="7"/>
  <c r="I3294" i="7"/>
  <c r="J3294" i="7" a="1"/>
  <c r="M3294" i="7"/>
  <c r="I3293" i="7"/>
  <c r="J3293" i="7" a="1"/>
  <c r="M3293" i="7"/>
  <c r="I3292" i="7"/>
  <c r="J3292" i="7" a="1"/>
  <c r="M3292" i="7"/>
  <c r="I3291" i="7"/>
  <c r="J3291" i="7" a="1"/>
  <c r="M3291" i="7"/>
  <c r="I3290" i="7"/>
  <c r="J3290" i="7" a="1"/>
  <c r="M3290" i="7"/>
  <c r="I3289" i="7"/>
  <c r="J3289" i="7" a="1"/>
  <c r="M3289" i="7"/>
  <c r="I3288" i="7"/>
  <c r="J3288" i="7" a="1"/>
  <c r="M3288" i="7"/>
  <c r="I3287" i="7"/>
  <c r="J3287" i="7" a="1"/>
  <c r="M3287" i="7"/>
  <c r="I3286" i="7"/>
  <c r="J3286" i="7" a="1"/>
  <c r="M3286" i="7"/>
  <c r="I3285" i="7"/>
  <c r="J3285" i="7" a="1"/>
  <c r="M3285" i="7"/>
  <c r="I3284" i="7"/>
  <c r="J3284" i="7" a="1"/>
  <c r="M3284" i="7"/>
  <c r="I3283" i="7"/>
  <c r="J3283" i="7" a="1"/>
  <c r="M3283" i="7"/>
  <c r="I3316" i="7"/>
  <c r="J3316" i="7" a="1"/>
  <c r="M3316" i="7"/>
  <c r="I3315" i="7"/>
  <c r="J3315" i="7" a="1"/>
  <c r="M3315" i="7"/>
  <c r="I3314" i="7"/>
  <c r="J3314" i="7" a="1"/>
  <c r="M3314" i="7"/>
  <c r="I3313" i="7"/>
  <c r="J3313" i="7" a="1"/>
  <c r="M3313" i="7"/>
  <c r="I3312" i="7"/>
  <c r="J3312" i="7" a="1"/>
  <c r="M3312" i="7"/>
  <c r="I3311" i="7"/>
  <c r="J3311" i="7" a="1"/>
  <c r="M3311" i="7"/>
  <c r="I3310" i="7"/>
  <c r="J3310" i="7" a="1"/>
  <c r="M3310" i="7"/>
  <c r="I3309" i="7"/>
  <c r="J3309" i="7" a="1"/>
  <c r="M3309" i="7"/>
  <c r="I3308" i="7"/>
  <c r="J3308" i="7" a="1"/>
  <c r="M3308" i="7"/>
  <c r="I3307" i="7"/>
  <c r="J3307" i="7" a="1"/>
  <c r="M3307" i="7"/>
  <c r="I3306" i="7"/>
  <c r="J3306" i="7" a="1"/>
  <c r="M3306" i="7"/>
  <c r="I3305" i="7"/>
  <c r="J3305" i="7" a="1"/>
  <c r="M3305" i="7"/>
  <c r="I3304" i="7"/>
  <c r="J3304" i="7" a="1"/>
  <c r="M3304" i="7"/>
  <c r="I3303" i="7"/>
  <c r="J3303" i="7" a="1"/>
  <c r="M3303" i="7"/>
  <c r="I3302" i="7"/>
  <c r="J3302" i="7" a="1"/>
  <c r="M3302" i="7"/>
  <c r="I3301" i="7"/>
  <c r="J3301" i="7" a="1"/>
  <c r="M3301" i="7"/>
  <c r="I3300" i="7"/>
  <c r="J3300" i="7" a="1"/>
  <c r="M3300" i="7"/>
  <c r="I3299" i="7"/>
  <c r="J3299" i="7" a="1"/>
  <c r="M3299" i="7"/>
  <c r="I3340" i="7"/>
  <c r="J3340" i="7" a="1"/>
  <c r="M3340" i="7"/>
  <c r="I3339" i="7"/>
  <c r="J3339" i="7" a="1"/>
  <c r="M3339" i="7"/>
  <c r="I3338" i="7"/>
  <c r="J3338" i="7" a="1"/>
  <c r="M3338" i="7"/>
  <c r="I3337" i="7"/>
  <c r="J3337" i="7" a="1"/>
  <c r="M3337" i="7"/>
  <c r="I3336" i="7"/>
  <c r="J3336" i="7" a="1"/>
  <c r="M3336" i="7"/>
  <c r="I3335" i="7"/>
  <c r="J3335" i="7" a="1"/>
  <c r="M3335" i="7"/>
  <c r="I3334" i="7"/>
  <c r="J3334" i="7" a="1"/>
  <c r="M3334" i="7"/>
  <c r="I3333" i="7"/>
  <c r="J3333" i="7" a="1"/>
  <c r="M3333" i="7"/>
  <c r="I3332" i="7"/>
  <c r="J3332" i="7" a="1"/>
  <c r="M3332" i="7"/>
  <c r="I3331" i="7"/>
  <c r="J3331" i="7" a="1"/>
  <c r="M3331" i="7"/>
  <c r="I3330" i="7"/>
  <c r="J3330" i="7" a="1"/>
  <c r="M3330" i="7"/>
  <c r="I3329" i="7"/>
  <c r="J3329" i="7" a="1"/>
  <c r="M3329" i="7"/>
  <c r="I3328" i="7"/>
  <c r="J3328" i="7" a="1"/>
  <c r="M3328" i="7"/>
  <c r="I3327" i="7"/>
  <c r="J3327" i="7" a="1"/>
  <c r="M3327" i="7"/>
  <c r="I3326" i="7"/>
  <c r="J3326" i="7" a="1"/>
  <c r="M3326" i="7"/>
  <c r="I3325" i="7"/>
  <c r="J3325" i="7" a="1"/>
  <c r="M3325" i="7"/>
  <c r="I3324" i="7"/>
  <c r="J3324" i="7" a="1"/>
  <c r="M3324" i="7"/>
  <c r="I3323" i="7"/>
  <c r="J3323" i="7" a="1"/>
  <c r="M3323" i="7"/>
  <c r="I3322" i="7"/>
  <c r="J3322" i="7" a="1"/>
  <c r="M3322" i="7"/>
  <c r="I3321" i="7"/>
  <c r="J3321" i="7" a="1"/>
  <c r="M3321" i="7"/>
  <c r="I3320" i="7"/>
  <c r="J3320" i="7" a="1"/>
  <c r="M3320" i="7"/>
  <c r="I3319" i="7"/>
  <c r="J3319" i="7" a="1"/>
  <c r="M3319" i="7"/>
  <c r="I3318" i="7"/>
  <c r="J3318" i="7" a="1"/>
  <c r="M3318" i="7"/>
  <c r="I3317" i="7"/>
  <c r="J3317" i="7" a="1"/>
  <c r="M3317" i="7"/>
  <c r="I3357" i="7"/>
  <c r="J3357" i="7" a="1"/>
  <c r="M3357" i="7"/>
  <c r="I3356" i="7"/>
  <c r="J3356" i="7" a="1"/>
  <c r="M3356" i="7"/>
  <c r="I3355" i="7"/>
  <c r="J3355" i="7" a="1"/>
  <c r="M3355" i="7"/>
  <c r="I3354" i="7"/>
  <c r="J3354" i="7" a="1"/>
  <c r="M3354" i="7"/>
  <c r="I3353" i="7"/>
  <c r="J3353" i="7" a="1"/>
  <c r="M3353" i="7"/>
  <c r="I3352" i="7"/>
  <c r="J3352" i="7" a="1"/>
  <c r="M3352" i="7"/>
  <c r="I3351" i="7"/>
  <c r="J3351" i="7" a="1"/>
  <c r="M3351" i="7"/>
  <c r="I3350" i="7"/>
  <c r="J3350" i="7" a="1"/>
  <c r="M3350" i="7"/>
  <c r="I3349" i="7"/>
  <c r="J3349" i="7" a="1"/>
  <c r="M3349" i="7"/>
  <c r="I3348" i="7"/>
  <c r="J3348" i="7" a="1"/>
  <c r="M3348" i="7"/>
  <c r="I3347" i="7"/>
  <c r="J3347" i="7" a="1"/>
  <c r="M3347" i="7"/>
  <c r="I3346" i="7"/>
  <c r="J3346" i="7" a="1"/>
  <c r="M3346" i="7"/>
  <c r="I3345" i="7"/>
  <c r="J3345" i="7" a="1"/>
  <c r="M3345" i="7"/>
  <c r="I3344" i="7"/>
  <c r="J3344" i="7" a="1"/>
  <c r="M3344" i="7"/>
  <c r="I3343" i="7"/>
  <c r="J3343" i="7" a="1"/>
  <c r="M3343" i="7"/>
  <c r="I3342" i="7"/>
  <c r="J3342" i="7" a="1"/>
  <c r="M3342" i="7"/>
  <c r="I3341" i="7"/>
  <c r="J3341" i="7" a="1"/>
  <c r="M3341" i="7"/>
  <c r="I3378" i="7"/>
  <c r="J3378" i="7" a="1"/>
  <c r="M3378" i="7"/>
  <c r="I3377" i="7"/>
  <c r="J3377" i="7" a="1"/>
  <c r="M3377" i="7"/>
  <c r="I3376" i="7"/>
  <c r="J3376" i="7" a="1"/>
  <c r="M3376" i="7"/>
  <c r="I3375" i="7"/>
  <c r="J3375" i="7" a="1"/>
  <c r="M3375" i="7"/>
  <c r="I3374" i="7"/>
  <c r="J3374" i="7" a="1"/>
  <c r="M3374" i="7"/>
  <c r="I3373" i="7"/>
  <c r="J3373" i="7" a="1"/>
  <c r="M3373" i="7"/>
  <c r="I3372" i="7"/>
  <c r="J3372" i="7" a="1"/>
  <c r="M3372" i="7"/>
  <c r="I3371" i="7"/>
  <c r="J3371" i="7" a="1"/>
  <c r="M3371" i="7"/>
  <c r="I3370" i="7"/>
  <c r="J3370" i="7" a="1"/>
  <c r="M3370" i="7"/>
  <c r="I3369" i="7"/>
  <c r="J3369" i="7" a="1"/>
  <c r="M3369" i="7"/>
  <c r="I3368" i="7"/>
  <c r="J3368" i="7" a="1"/>
  <c r="M3368" i="7"/>
  <c r="I3367" i="7"/>
  <c r="J3367" i="7" a="1"/>
  <c r="M3367" i="7"/>
  <c r="I3366" i="7"/>
  <c r="J3366" i="7" a="1"/>
  <c r="M3366" i="7"/>
  <c r="I3365" i="7"/>
  <c r="J3365" i="7" a="1"/>
  <c r="M3365" i="7"/>
  <c r="I3364" i="7"/>
  <c r="J3364" i="7" a="1"/>
  <c r="M3364" i="7"/>
  <c r="I3363" i="7"/>
  <c r="J3363" i="7" a="1"/>
  <c r="M3363" i="7"/>
  <c r="I3362" i="7"/>
  <c r="J3362" i="7" a="1"/>
  <c r="M3362" i="7"/>
  <c r="I3361" i="7"/>
  <c r="J3361" i="7" a="1"/>
  <c r="M3361" i="7"/>
  <c r="I3360" i="7"/>
  <c r="J3360" i="7" a="1"/>
  <c r="M3360" i="7"/>
  <c r="I3359" i="7"/>
  <c r="J3359" i="7" a="1"/>
  <c r="M3359" i="7"/>
  <c r="I3358" i="7"/>
  <c r="J3358" i="7" a="1"/>
  <c r="M3358" i="7"/>
  <c r="I3392" i="7"/>
  <c r="J3392" i="7" a="1"/>
  <c r="M3392" i="7"/>
  <c r="I3391" i="7"/>
  <c r="J3391" i="7" a="1"/>
  <c r="M3391" i="7"/>
  <c r="I3390" i="7"/>
  <c r="J3390" i="7" a="1"/>
  <c r="M3390" i="7"/>
  <c r="I3389" i="7"/>
  <c r="J3389" i="7" a="1"/>
  <c r="M3389" i="7"/>
  <c r="I3388" i="7"/>
  <c r="J3388" i="7" a="1"/>
  <c r="M3388" i="7"/>
  <c r="I3387" i="7"/>
  <c r="J3387" i="7" a="1"/>
  <c r="M3387" i="7"/>
  <c r="I3386" i="7"/>
  <c r="J3386" i="7" a="1"/>
  <c r="M3386" i="7"/>
  <c r="I3385" i="7"/>
  <c r="J3385" i="7" a="1"/>
  <c r="M3385" i="7"/>
  <c r="I3384" i="7"/>
  <c r="J3384" i="7" a="1"/>
  <c r="M3384" i="7"/>
  <c r="I3383" i="7"/>
  <c r="J3383" i="7" a="1"/>
  <c r="M3383" i="7"/>
  <c r="I3382" i="7"/>
  <c r="J3382" i="7" a="1"/>
  <c r="M3382" i="7"/>
  <c r="I3381" i="7"/>
  <c r="J3381" i="7" a="1"/>
  <c r="M3381" i="7"/>
  <c r="I3380" i="7"/>
  <c r="J3380" i="7" a="1"/>
  <c r="M3380" i="7"/>
  <c r="I3379" i="7"/>
  <c r="J3379" i="7" a="1"/>
  <c r="M3379" i="7"/>
  <c r="I3407" i="7"/>
  <c r="J3407" i="7" a="1"/>
  <c r="M3407" i="7"/>
  <c r="I3406" i="7"/>
  <c r="J3406" i="7" a="1"/>
  <c r="M3406" i="7"/>
  <c r="I3405" i="7"/>
  <c r="J3405" i="7" a="1"/>
  <c r="M3405" i="7"/>
  <c r="I3404" i="7"/>
  <c r="J3404" i="7" a="1"/>
  <c r="M3404" i="7"/>
  <c r="I3403" i="7"/>
  <c r="J3403" i="7" a="1"/>
  <c r="M3403" i="7"/>
  <c r="I3401" i="7"/>
  <c r="J3401" i="7" a="1"/>
  <c r="M3401" i="7"/>
  <c r="I3400" i="7"/>
  <c r="J3400" i="7" a="1"/>
  <c r="M3400" i="7"/>
  <c r="I3399" i="7"/>
  <c r="J3399" i="7" a="1"/>
  <c r="M3399" i="7"/>
  <c r="I3398" i="7"/>
  <c r="J3398" i="7" a="1"/>
  <c r="M3398" i="7"/>
  <c r="I3397" i="7"/>
  <c r="J3397" i="7" a="1"/>
  <c r="M3397" i="7"/>
  <c r="I3396" i="7"/>
  <c r="J3396" i="7" a="1"/>
  <c r="M3396" i="7"/>
  <c r="I3395" i="7"/>
  <c r="J3395" i="7" a="1"/>
  <c r="M3395" i="7"/>
  <c r="I3394" i="7"/>
  <c r="J3394" i="7" a="1"/>
  <c r="M3394" i="7"/>
  <c r="I3393" i="7"/>
  <c r="J3393" i="7" a="1"/>
  <c r="M3393" i="7"/>
  <c r="I3423" i="7"/>
  <c r="J3423" i="7" a="1"/>
  <c r="M3423" i="7"/>
  <c r="I3422" i="7"/>
  <c r="J3422" i="7" a="1"/>
  <c r="M3422" i="7"/>
  <c r="I3421" i="7"/>
  <c r="J3421" i="7" a="1"/>
  <c r="M3421" i="7"/>
  <c r="I3420" i="7"/>
  <c r="J3420" i="7" a="1"/>
  <c r="M3420" i="7"/>
  <c r="I3419" i="7"/>
  <c r="J3419" i="7" a="1"/>
  <c r="M3419" i="7"/>
  <c r="I3418" i="7"/>
  <c r="J3418" i="7" a="1"/>
  <c r="M3418" i="7"/>
  <c r="I3417" i="7"/>
  <c r="J3417" i="7" a="1"/>
  <c r="M3417" i="7"/>
  <c r="I3416" i="7"/>
  <c r="J3416" i="7" a="1"/>
  <c r="M3416" i="7"/>
  <c r="I3415" i="7"/>
  <c r="J3415" i="7" a="1"/>
  <c r="M3415" i="7"/>
  <c r="I3414" i="7"/>
  <c r="J3414" i="7" a="1"/>
  <c r="M3414" i="7"/>
  <c r="I3413" i="7"/>
  <c r="J3413" i="7" a="1"/>
  <c r="M3413" i="7"/>
  <c r="I3412" i="7"/>
  <c r="J3412" i="7" a="1"/>
  <c r="M3412" i="7"/>
  <c r="I3411" i="7"/>
  <c r="J3411" i="7" a="1"/>
  <c r="M3411" i="7"/>
  <c r="I3410" i="7"/>
  <c r="J3410" i="7" a="1"/>
  <c r="M3410" i="7"/>
  <c r="I3409" i="7"/>
  <c r="J3409" i="7" a="1"/>
  <c r="M3409" i="7"/>
  <c r="I3408" i="7"/>
  <c r="J3408" i="7" a="1"/>
  <c r="M3408" i="7"/>
  <c r="I3439" i="7"/>
  <c r="J3439" i="7" a="1"/>
  <c r="M3439" i="7"/>
  <c r="I3438" i="7"/>
  <c r="J3438" i="7" a="1"/>
  <c r="M3438" i="7"/>
  <c r="I3437" i="7"/>
  <c r="J3437" i="7" a="1"/>
  <c r="M3437" i="7"/>
  <c r="I3436" i="7"/>
  <c r="J3436" i="7" a="1"/>
  <c r="M3436" i="7"/>
  <c r="I3435" i="7"/>
  <c r="J3435" i="7" a="1"/>
  <c r="M3435" i="7"/>
  <c r="I3434" i="7"/>
  <c r="J3434" i="7" a="1"/>
  <c r="M3434" i="7"/>
  <c r="I3433" i="7"/>
  <c r="J3433" i="7" a="1"/>
  <c r="M3433" i="7"/>
  <c r="I3432" i="7"/>
  <c r="J3432" i="7" a="1"/>
  <c r="M3432" i="7"/>
  <c r="I3431" i="7"/>
  <c r="J3431" i="7" a="1"/>
  <c r="M3431" i="7"/>
  <c r="I3430" i="7"/>
  <c r="J3430" i="7" a="1"/>
  <c r="M3430" i="7"/>
  <c r="I3429" i="7"/>
  <c r="J3429" i="7" a="1"/>
  <c r="M3429" i="7"/>
  <c r="I3428" i="7"/>
  <c r="J3428" i="7" a="1"/>
  <c r="M3428" i="7"/>
  <c r="I3427" i="7"/>
  <c r="J3427" i="7" a="1"/>
  <c r="M3427" i="7"/>
  <c r="I3426" i="7"/>
  <c r="J3426" i="7" a="1"/>
  <c r="M3426" i="7"/>
  <c r="I3425" i="7"/>
  <c r="J3425" i="7" a="1"/>
  <c r="M3425" i="7"/>
  <c r="I3424" i="7"/>
  <c r="J3424" i="7" a="1"/>
  <c r="M3424" i="7"/>
  <c r="I3458" i="7"/>
  <c r="J3458" i="7" a="1"/>
  <c r="M3458" i="7"/>
  <c r="I3457" i="7"/>
  <c r="J3457" i="7" a="1"/>
  <c r="M3457" i="7"/>
  <c r="I3456" i="7"/>
  <c r="J3456" i="7" a="1"/>
  <c r="M3456" i="7"/>
  <c r="I3455" i="7"/>
  <c r="J3455" i="7" a="1"/>
  <c r="M3455" i="7"/>
  <c r="I3454" i="7"/>
  <c r="J3454" i="7" a="1"/>
  <c r="M3454" i="7"/>
  <c r="I3453" i="7"/>
  <c r="J3453" i="7" a="1"/>
  <c r="M3453" i="7"/>
  <c r="I3452" i="7"/>
  <c r="J3452" i="7" a="1"/>
  <c r="M3452" i="7"/>
  <c r="I3451" i="7"/>
  <c r="J3451" i="7" a="1"/>
  <c r="M3451" i="7"/>
  <c r="I3450" i="7"/>
  <c r="J3450" i="7" a="1"/>
  <c r="M3450" i="7"/>
  <c r="I3449" i="7"/>
  <c r="J3449" i="7" a="1"/>
  <c r="M3449" i="7"/>
  <c r="I3448" i="7"/>
  <c r="J3448" i="7" a="1"/>
  <c r="M3448" i="7"/>
  <c r="I3447" i="7"/>
  <c r="J3447" i="7" a="1"/>
  <c r="M3447" i="7"/>
  <c r="I3446" i="7"/>
  <c r="J3446" i="7" a="1"/>
  <c r="M3446" i="7"/>
  <c r="I3445" i="7"/>
  <c r="J3445" i="7" a="1"/>
  <c r="M3445" i="7"/>
  <c r="I3444" i="7"/>
  <c r="J3444" i="7" a="1"/>
  <c r="M3444" i="7"/>
  <c r="I3443" i="7"/>
  <c r="J3443" i="7" a="1"/>
  <c r="M3443" i="7"/>
  <c r="I3442" i="7"/>
  <c r="J3442" i="7" a="1"/>
  <c r="M3442" i="7"/>
  <c r="I3441" i="7"/>
  <c r="J3441" i="7" a="1"/>
  <c r="M3441" i="7"/>
  <c r="I3440" i="7"/>
  <c r="J3440" i="7" a="1"/>
  <c r="M3440" i="7"/>
  <c r="I3476" i="7"/>
  <c r="J3476" i="7" a="1"/>
  <c r="M3476" i="7"/>
  <c r="I3475" i="7"/>
  <c r="J3475" i="7" a="1"/>
  <c r="M3475" i="7"/>
  <c r="I3474" i="7"/>
  <c r="J3474" i="7" a="1"/>
  <c r="M3474" i="7"/>
  <c r="I3473" i="7"/>
  <c r="J3473" i="7" a="1"/>
  <c r="M3473" i="7"/>
  <c r="I3472" i="7"/>
  <c r="J3472" i="7" a="1"/>
  <c r="M3472" i="7"/>
  <c r="I3470" i="7"/>
  <c r="J3470" i="7" a="1"/>
  <c r="M3470" i="7"/>
  <c r="I3469" i="7"/>
  <c r="J3469" i="7" a="1"/>
  <c r="M3469" i="7"/>
  <c r="I3468" i="7"/>
  <c r="J3468" i="7" a="1"/>
  <c r="M3468" i="7"/>
  <c r="I3467" i="7"/>
  <c r="J3467" i="7" a="1"/>
  <c r="M3467" i="7"/>
  <c r="I3466" i="7"/>
  <c r="J3466" i="7" a="1"/>
  <c r="M3466" i="7"/>
  <c r="I3465" i="7"/>
  <c r="J3465" i="7" a="1"/>
  <c r="M3465" i="7"/>
  <c r="I3464" i="7"/>
  <c r="J3464" i="7" a="1"/>
  <c r="M3464" i="7"/>
  <c r="I3463" i="7"/>
  <c r="J3463" i="7" a="1"/>
  <c r="M3463" i="7"/>
  <c r="I3462" i="7"/>
  <c r="J3462" i="7" a="1"/>
  <c r="M3462" i="7"/>
  <c r="I3461" i="7"/>
  <c r="J3461" i="7" a="1"/>
  <c r="M3461" i="7"/>
  <c r="I3460" i="7"/>
  <c r="J3460" i="7" a="1"/>
  <c r="M3460" i="7"/>
  <c r="I3459" i="7"/>
  <c r="J3459" i="7" a="1"/>
  <c r="M3459" i="7"/>
  <c r="I3494" i="7"/>
  <c r="J3494" i="7" a="1"/>
  <c r="M3494" i="7"/>
  <c r="I3493" i="7"/>
  <c r="J3493" i="7" a="1"/>
  <c r="M3493" i="7"/>
  <c r="I3492" i="7"/>
  <c r="J3492" i="7" a="1"/>
  <c r="M3492" i="7"/>
  <c r="I3491" i="7"/>
  <c r="J3491" i="7" a="1"/>
  <c r="M3491" i="7"/>
  <c r="I3490" i="7"/>
  <c r="J3490" i="7" a="1"/>
  <c r="M3490" i="7"/>
  <c r="I3489" i="7"/>
  <c r="J3489" i="7" a="1"/>
  <c r="M3489" i="7"/>
  <c r="I3488" i="7"/>
  <c r="J3488" i="7" a="1"/>
  <c r="M3488" i="7"/>
  <c r="I3487" i="7"/>
  <c r="J3487" i="7" a="1"/>
  <c r="M3487" i="7"/>
  <c r="I3486" i="7"/>
  <c r="J3486" i="7" a="1"/>
  <c r="M3486" i="7"/>
  <c r="I3485" i="7"/>
  <c r="J3485" i="7" a="1"/>
  <c r="M3485" i="7"/>
  <c r="I3484" i="7"/>
  <c r="J3484" i="7" a="1"/>
  <c r="M3484" i="7"/>
  <c r="I3483" i="7"/>
  <c r="J3483" i="7" a="1"/>
  <c r="M3483" i="7"/>
  <c r="I3482" i="7"/>
  <c r="J3482" i="7" a="1"/>
  <c r="M3482" i="7"/>
  <c r="I3481" i="7"/>
  <c r="J3481" i="7" a="1"/>
  <c r="M3481" i="7"/>
  <c r="I3480" i="7"/>
  <c r="J3480" i="7" a="1"/>
  <c r="M3480" i="7"/>
  <c r="I3479" i="7"/>
  <c r="J3479" i="7" a="1"/>
  <c r="M3479" i="7"/>
  <c r="I3478" i="7"/>
  <c r="J3478" i="7" a="1"/>
  <c r="M3478" i="7"/>
  <c r="I3477" i="7"/>
  <c r="J3477" i="7" a="1"/>
  <c r="M3477" i="7"/>
  <c r="I3514" i="7"/>
  <c r="J3514" i="7" a="1"/>
  <c r="M3514" i="7"/>
  <c r="I3513" i="7"/>
  <c r="J3513" i="7" a="1"/>
  <c r="M3513" i="7"/>
  <c r="I3512" i="7"/>
  <c r="J3512" i="7" a="1"/>
  <c r="M3512" i="7"/>
  <c r="I3511" i="7"/>
  <c r="J3511" i="7" a="1"/>
  <c r="M3511" i="7"/>
  <c r="I3510" i="7"/>
  <c r="J3510" i="7" a="1"/>
  <c r="M3510" i="7"/>
  <c r="I3509" i="7"/>
  <c r="J3509" i="7" a="1"/>
  <c r="M3509" i="7"/>
  <c r="I3508" i="7"/>
  <c r="J3508" i="7" a="1"/>
  <c r="M3508" i="7"/>
  <c r="I3507" i="7"/>
  <c r="J3507" i="7" a="1"/>
  <c r="M3507" i="7"/>
  <c r="I3506" i="7"/>
  <c r="J3506" i="7" a="1"/>
  <c r="M3506" i="7"/>
  <c r="I3505" i="7"/>
  <c r="J3505" i="7" a="1"/>
  <c r="M3505" i="7"/>
  <c r="I3504" i="7"/>
  <c r="J3504" i="7" a="1"/>
  <c r="M3504" i="7"/>
  <c r="I3503" i="7"/>
  <c r="J3503" i="7" a="1"/>
  <c r="M3503" i="7"/>
  <c r="I3502" i="7"/>
  <c r="J3502" i="7" a="1"/>
  <c r="M3502" i="7"/>
  <c r="I3501" i="7"/>
  <c r="J3501" i="7" a="1"/>
  <c r="M3501" i="7"/>
  <c r="I3500" i="7"/>
  <c r="J3500" i="7" a="1"/>
  <c r="M3500" i="7"/>
  <c r="I3499" i="7"/>
  <c r="J3499" i="7" a="1"/>
  <c r="M3499" i="7"/>
  <c r="I3498" i="7"/>
  <c r="J3498" i="7" a="1"/>
  <c r="M3498" i="7"/>
  <c r="I3497" i="7"/>
  <c r="J3497" i="7" a="1"/>
  <c r="M3497" i="7"/>
  <c r="I3496" i="7"/>
  <c r="J3496" i="7" a="1"/>
  <c r="M3496" i="7"/>
  <c r="I3495" i="7"/>
  <c r="J3495" i="7" a="1"/>
  <c r="M3495" i="7"/>
  <c r="I3531" i="7"/>
  <c r="J3531" i="7" a="1"/>
  <c r="M3531" i="7"/>
  <c r="I3530" i="7"/>
  <c r="J3530" i="7" a="1"/>
  <c r="M3530" i="7"/>
  <c r="I3529" i="7"/>
  <c r="J3529" i="7" a="1"/>
  <c r="M3529" i="7"/>
  <c r="I3528" i="7"/>
  <c r="J3528" i="7" a="1"/>
  <c r="M3528" i="7"/>
  <c r="I3527" i="7"/>
  <c r="J3527" i="7" a="1"/>
  <c r="M3527" i="7"/>
  <c r="I3526" i="7"/>
  <c r="J3526" i="7" a="1"/>
  <c r="M3526" i="7"/>
  <c r="I3525" i="7"/>
  <c r="J3525" i="7" a="1"/>
  <c r="M3525" i="7"/>
  <c r="I3524" i="7"/>
  <c r="J3524" i="7" a="1"/>
  <c r="M3524" i="7"/>
  <c r="I3523" i="7"/>
  <c r="J3523" i="7" a="1"/>
  <c r="M3523" i="7"/>
  <c r="I3522" i="7"/>
  <c r="J3522" i="7" a="1"/>
  <c r="M3522" i="7"/>
  <c r="I3521" i="7"/>
  <c r="J3521" i="7" a="1"/>
  <c r="M3521" i="7"/>
  <c r="I3520" i="7"/>
  <c r="J3520" i="7" a="1"/>
  <c r="M3520" i="7"/>
  <c r="I3519" i="7"/>
  <c r="J3519" i="7" a="1"/>
  <c r="M3519" i="7"/>
  <c r="I3518" i="7"/>
  <c r="J3518" i="7" a="1"/>
  <c r="M3518" i="7"/>
  <c r="I3517" i="7"/>
  <c r="J3517" i="7" a="1"/>
  <c r="M3517" i="7"/>
  <c r="I3515" i="7"/>
  <c r="J3515" i="7" a="1"/>
  <c r="M3515" i="7"/>
  <c r="I3550" i="7"/>
  <c r="J3550" i="7" a="1"/>
  <c r="M3550" i="7"/>
  <c r="I3549" i="7"/>
  <c r="J3549" i="7" a="1"/>
  <c r="M3549" i="7"/>
  <c r="I3548" i="7"/>
  <c r="J3548" i="7" a="1"/>
  <c r="M3548" i="7"/>
  <c r="I3547" i="7"/>
  <c r="J3547" i="7" a="1"/>
  <c r="M3547" i="7"/>
  <c r="I3546" i="7"/>
  <c r="J3546" i="7" a="1"/>
  <c r="M3546" i="7"/>
  <c r="I3545" i="7"/>
  <c r="J3545" i="7" a="1"/>
  <c r="M3545" i="7"/>
  <c r="I3544" i="7"/>
  <c r="J3544" i="7" a="1"/>
  <c r="M3544" i="7"/>
  <c r="I3543" i="7"/>
  <c r="J3543" i="7" a="1"/>
  <c r="M3543" i="7"/>
  <c r="I3542" i="7"/>
  <c r="J3542" i="7" a="1"/>
  <c r="M3542" i="7"/>
  <c r="I3541" i="7"/>
  <c r="J3541" i="7" a="1"/>
  <c r="M3541" i="7"/>
  <c r="I3540" i="7"/>
  <c r="J3540" i="7" a="1"/>
  <c r="M3540" i="7"/>
  <c r="I3539" i="7"/>
  <c r="J3539" i="7" a="1"/>
  <c r="M3539" i="7"/>
  <c r="I3538" i="7"/>
  <c r="J3538" i="7" a="1"/>
  <c r="M3538" i="7"/>
  <c r="I3537" i="7"/>
  <c r="J3537" i="7" a="1"/>
  <c r="M3537" i="7"/>
  <c r="I3536" i="7"/>
  <c r="J3536" i="7" a="1"/>
  <c r="M3536" i="7"/>
  <c r="I3535" i="7"/>
  <c r="J3535" i="7" a="1"/>
  <c r="M3535" i="7"/>
  <c r="I3534" i="7"/>
  <c r="J3534" i="7" a="1"/>
  <c r="M3534" i="7"/>
  <c r="I3533" i="7"/>
  <c r="J3533" i="7" a="1"/>
  <c r="M3533" i="7"/>
  <c r="I3532" i="7"/>
  <c r="J3532" i="7" a="1"/>
  <c r="M3532" i="7"/>
  <c r="I3568" i="7"/>
  <c r="J3568" i="7" a="1"/>
  <c r="M3568" i="7"/>
  <c r="I3567" i="7"/>
  <c r="J3567" i="7" a="1"/>
  <c r="M3567" i="7"/>
  <c r="I3566" i="7"/>
  <c r="J3566" i="7" a="1"/>
  <c r="M3566" i="7"/>
  <c r="I3565" i="7"/>
  <c r="J3565" i="7" a="1"/>
  <c r="M3565" i="7"/>
  <c r="I3564" i="7"/>
  <c r="J3564" i="7" a="1"/>
  <c r="M3564" i="7"/>
  <c r="I3563" i="7"/>
  <c r="J3563" i="7" a="1"/>
  <c r="M3563" i="7"/>
  <c r="I3562" i="7"/>
  <c r="J3562" i="7" a="1"/>
  <c r="M3562" i="7"/>
  <c r="I3561" i="7"/>
  <c r="J3561" i="7" a="1"/>
  <c r="M3561" i="7"/>
  <c r="I3560" i="7"/>
  <c r="J3560" i="7" a="1"/>
  <c r="M3560" i="7"/>
  <c r="I3559" i="7"/>
  <c r="J3559" i="7" a="1"/>
  <c r="M3559" i="7"/>
  <c r="I3558" i="7"/>
  <c r="J3558" i="7" a="1"/>
  <c r="M3558" i="7"/>
  <c r="I3557" i="7"/>
  <c r="J3557" i="7" a="1"/>
  <c r="M3557" i="7"/>
  <c r="I3556" i="7"/>
  <c r="J3556" i="7" a="1"/>
  <c r="M3556" i="7"/>
  <c r="I3555" i="7"/>
  <c r="J3555" i="7" a="1"/>
  <c r="M3555" i="7"/>
  <c r="I3554" i="7"/>
  <c r="J3554" i="7" a="1"/>
  <c r="M3554" i="7"/>
  <c r="I3553" i="7"/>
  <c r="J3553" i="7" a="1"/>
  <c r="M3553" i="7"/>
  <c r="I3552" i="7"/>
  <c r="J3552" i="7" a="1"/>
  <c r="M3552" i="7"/>
  <c r="I3551" i="7"/>
  <c r="J3551" i="7" a="1"/>
  <c r="M3551" i="7"/>
  <c r="I3581" i="7"/>
  <c r="J3581" i="7" a="1"/>
  <c r="M3581" i="7"/>
  <c r="I3580" i="7"/>
  <c r="J3580" i="7" a="1"/>
  <c r="M3580" i="7"/>
  <c r="I3579" i="7"/>
  <c r="J3579" i="7" a="1"/>
  <c r="M3579" i="7"/>
  <c r="I3578" i="7"/>
  <c r="J3578" i="7" a="1"/>
  <c r="M3578" i="7"/>
  <c r="I3577" i="7"/>
  <c r="J3577" i="7" a="1"/>
  <c r="M3577" i="7"/>
  <c r="I3576" i="7"/>
  <c r="J3576" i="7" a="1"/>
  <c r="M3576" i="7"/>
  <c r="I3575" i="7"/>
  <c r="J3575" i="7" a="1"/>
  <c r="M3575" i="7"/>
  <c r="I3574" i="7"/>
  <c r="J3574" i="7" a="1"/>
  <c r="M3574" i="7"/>
  <c r="I3573" i="7"/>
  <c r="J3573" i="7" a="1"/>
  <c r="M3573" i="7"/>
  <c r="I3572" i="7"/>
  <c r="J3572" i="7" a="1"/>
  <c r="M3572" i="7"/>
  <c r="I3571" i="7"/>
  <c r="J3571" i="7" a="1"/>
  <c r="M3571" i="7"/>
  <c r="I3570" i="7"/>
  <c r="J3570" i="7" a="1"/>
  <c r="M3570" i="7"/>
  <c r="I3569" i="7"/>
  <c r="J3569" i="7" a="1"/>
  <c r="M3569" i="7"/>
  <c r="I3596" i="7"/>
  <c r="J3596" i="7" a="1"/>
  <c r="M3596" i="7"/>
  <c r="I3595" i="7"/>
  <c r="J3595" i="7" a="1"/>
  <c r="M3595" i="7"/>
  <c r="I3594" i="7"/>
  <c r="J3594" i="7" a="1"/>
  <c r="M3594" i="7"/>
  <c r="I3593" i="7"/>
  <c r="J3593" i="7" a="1"/>
  <c r="M3593" i="7"/>
  <c r="I3592" i="7"/>
  <c r="J3592" i="7" a="1"/>
  <c r="M3592" i="7"/>
  <c r="I3591" i="7"/>
  <c r="J3591" i="7" a="1"/>
  <c r="M3591" i="7"/>
  <c r="I3590" i="7"/>
  <c r="J3590" i="7" a="1"/>
  <c r="M3590" i="7"/>
  <c r="I3589" i="7"/>
  <c r="J3589" i="7" a="1"/>
  <c r="M3589" i="7"/>
  <c r="I3588" i="7"/>
  <c r="J3588" i="7" a="1"/>
  <c r="M3588" i="7"/>
  <c r="I3587" i="7"/>
  <c r="J3587" i="7" a="1"/>
  <c r="M3587" i="7"/>
  <c r="I3586" i="7"/>
  <c r="J3586" i="7" a="1"/>
  <c r="M3586" i="7"/>
  <c r="I3585" i="7"/>
  <c r="J3585" i="7" a="1"/>
  <c r="M3585" i="7"/>
  <c r="I3584" i="7"/>
  <c r="J3584" i="7" a="1"/>
  <c r="M3584" i="7"/>
  <c r="I3583" i="7"/>
  <c r="J3583" i="7" a="1"/>
  <c r="M3583" i="7"/>
  <c r="I3615" i="7"/>
  <c r="J3615" i="7" a="1"/>
  <c r="M3615" i="7"/>
  <c r="I3614" i="7"/>
  <c r="J3614" i="7" a="1"/>
  <c r="M3614" i="7"/>
  <c r="I3613" i="7"/>
  <c r="J3613" i="7" a="1"/>
  <c r="M3613" i="7"/>
  <c r="I3612" i="7"/>
  <c r="J3612" i="7" a="1"/>
  <c r="M3612" i="7"/>
  <c r="I3611" i="7"/>
  <c r="J3611" i="7" a="1"/>
  <c r="M3611" i="7"/>
  <c r="I3610" i="7"/>
  <c r="J3610" i="7" a="1"/>
  <c r="M3610" i="7"/>
  <c r="I3609" i="7"/>
  <c r="J3609" i="7" a="1"/>
  <c r="M3609" i="7"/>
  <c r="I3608" i="7"/>
  <c r="J3608" i="7" a="1"/>
  <c r="M3608" i="7"/>
  <c r="I3607" i="7"/>
  <c r="J3607" i="7" a="1"/>
  <c r="M3607" i="7"/>
  <c r="I3606" i="7"/>
  <c r="J3606" i="7" a="1"/>
  <c r="M3606" i="7"/>
  <c r="I3605" i="7"/>
  <c r="J3605" i="7" a="1"/>
  <c r="M3605" i="7"/>
  <c r="I3604" i="7"/>
  <c r="J3604" i="7" a="1"/>
  <c r="M3604" i="7"/>
  <c r="I3603" i="7"/>
  <c r="J3603" i="7" a="1"/>
  <c r="M3603" i="7"/>
  <c r="I3602" i="7"/>
  <c r="J3602" i="7" a="1"/>
  <c r="M3602" i="7"/>
  <c r="I3601" i="7"/>
  <c r="J3601" i="7" a="1"/>
  <c r="M3601" i="7"/>
  <c r="I3600" i="7"/>
  <c r="J3600" i="7" a="1"/>
  <c r="M3600" i="7"/>
  <c r="I3599" i="7"/>
  <c r="J3599" i="7" a="1"/>
  <c r="M3599" i="7"/>
  <c r="I3598" i="7"/>
  <c r="J3598" i="7" a="1"/>
  <c r="M3598" i="7"/>
  <c r="I3597" i="7"/>
  <c r="J3597" i="7" a="1"/>
  <c r="M3597" i="7"/>
  <c r="I3634" i="7"/>
  <c r="J3634" i="7" a="1"/>
  <c r="M3634" i="7"/>
  <c r="I3633" i="7"/>
  <c r="J3633" i="7" a="1"/>
  <c r="M3633" i="7"/>
  <c r="I3632" i="7"/>
  <c r="J3632" i="7" a="1"/>
  <c r="M3632" i="7"/>
  <c r="I3631" i="7"/>
  <c r="J3631" i="7" a="1"/>
  <c r="M3631" i="7"/>
  <c r="I3630" i="7"/>
  <c r="J3630" i="7" a="1"/>
  <c r="M3630" i="7"/>
  <c r="I3629" i="7"/>
  <c r="J3629" i="7" a="1"/>
  <c r="M3629" i="7"/>
  <c r="I3628" i="7"/>
  <c r="J3628" i="7" a="1"/>
  <c r="M3628" i="7"/>
  <c r="I3627" i="7"/>
  <c r="J3627" i="7" a="1"/>
  <c r="M3627" i="7"/>
  <c r="I3626" i="7"/>
  <c r="J3626" i="7" a="1"/>
  <c r="M3626" i="7"/>
  <c r="I3625" i="7"/>
  <c r="J3625" i="7" a="1"/>
  <c r="M3625" i="7"/>
  <c r="I3624" i="7"/>
  <c r="J3624" i="7" a="1"/>
  <c r="M3624" i="7"/>
  <c r="I3623" i="7"/>
  <c r="J3623" i="7" a="1"/>
  <c r="M3623" i="7"/>
  <c r="I3622" i="7"/>
  <c r="J3622" i="7" a="1"/>
  <c r="M3622" i="7"/>
  <c r="I3621" i="7"/>
  <c r="J3621" i="7" a="1"/>
  <c r="M3621" i="7"/>
  <c r="I3620" i="7"/>
  <c r="J3620" i="7" a="1"/>
  <c r="M3620" i="7"/>
  <c r="I3619" i="7"/>
  <c r="J3619" i="7" a="1"/>
  <c r="M3619" i="7"/>
  <c r="I3618" i="7"/>
  <c r="J3618" i="7" a="1"/>
  <c r="M3618" i="7"/>
  <c r="I3617" i="7"/>
  <c r="J3617" i="7" a="1"/>
  <c r="M3617" i="7"/>
  <c r="I3616" i="7"/>
  <c r="J3616" i="7" a="1"/>
  <c r="M3616" i="7"/>
  <c r="I3653" i="7"/>
  <c r="J3653" i="7" a="1"/>
  <c r="M3653" i="7"/>
  <c r="I3652" i="7"/>
  <c r="J3652" i="7" a="1"/>
  <c r="M3652" i="7"/>
  <c r="I3651" i="7"/>
  <c r="J3651" i="7" a="1"/>
  <c r="M3651" i="7"/>
  <c r="I3650" i="7"/>
  <c r="J3650" i="7" a="1"/>
  <c r="M3650" i="7"/>
  <c r="I3649" i="7"/>
  <c r="J3649" i="7" a="1"/>
  <c r="M3649" i="7"/>
  <c r="I3648" i="7"/>
  <c r="J3648" i="7" a="1"/>
  <c r="M3648" i="7"/>
  <c r="I3647" i="7"/>
  <c r="J3647" i="7" a="1"/>
  <c r="M3647" i="7"/>
  <c r="I3646" i="7"/>
  <c r="J3646" i="7" a="1"/>
  <c r="M3646" i="7"/>
  <c r="I3645" i="7"/>
  <c r="J3645" i="7" a="1"/>
  <c r="M3645" i="7"/>
  <c r="I3644" i="7"/>
  <c r="J3644" i="7" a="1"/>
  <c r="M3644" i="7"/>
  <c r="I3643" i="7"/>
  <c r="J3643" i="7" a="1"/>
  <c r="M3643" i="7"/>
  <c r="I3642" i="7"/>
  <c r="J3642" i="7" a="1"/>
  <c r="M3642" i="7"/>
  <c r="I3641" i="7"/>
  <c r="J3641" i="7" a="1"/>
  <c r="M3641" i="7"/>
  <c r="I3640" i="7"/>
  <c r="J3640" i="7" a="1"/>
  <c r="M3640" i="7"/>
  <c r="I3639" i="7"/>
  <c r="J3639" i="7" a="1"/>
  <c r="M3639" i="7"/>
  <c r="I3638" i="7"/>
  <c r="J3638" i="7" a="1"/>
  <c r="M3638" i="7"/>
  <c r="I3637" i="7"/>
  <c r="J3637" i="7" a="1"/>
  <c r="M3637" i="7"/>
  <c r="I3636" i="7"/>
  <c r="J3636" i="7" a="1"/>
  <c r="M3636" i="7"/>
  <c r="I3635" i="7"/>
  <c r="J3635" i="7" a="1"/>
  <c r="M3635" i="7"/>
  <c r="I3670" i="7"/>
  <c r="J3670" i="7" a="1"/>
  <c r="M3670" i="7"/>
  <c r="I3669" i="7"/>
  <c r="J3669" i="7" a="1"/>
  <c r="M3669" i="7"/>
  <c r="I3668" i="7"/>
  <c r="J3668" i="7" a="1"/>
  <c r="M3668" i="7"/>
  <c r="I3667" i="7"/>
  <c r="J3667" i="7" a="1"/>
  <c r="M3667" i="7"/>
  <c r="I3666" i="7"/>
  <c r="J3666" i="7" a="1"/>
  <c r="M3666" i="7"/>
  <c r="I3665" i="7"/>
  <c r="J3665" i="7" a="1"/>
  <c r="M3665" i="7"/>
  <c r="I3664" i="7"/>
  <c r="J3664" i="7" a="1"/>
  <c r="M3664" i="7"/>
  <c r="I3663" i="7"/>
  <c r="J3663" i="7" a="1"/>
  <c r="M3663" i="7"/>
  <c r="I3661" i="7"/>
  <c r="J3661" i="7" a="1"/>
  <c r="M3661" i="7"/>
  <c r="I3660" i="7"/>
  <c r="J3660" i="7" a="1"/>
  <c r="M3660" i="7"/>
  <c r="I3659" i="7"/>
  <c r="J3659" i="7" a="1"/>
  <c r="M3659" i="7"/>
  <c r="I3658" i="7"/>
  <c r="J3658" i="7" a="1"/>
  <c r="M3658" i="7"/>
  <c r="I3657" i="7"/>
  <c r="J3657" i="7" a="1"/>
  <c r="M3657" i="7"/>
  <c r="I3656" i="7"/>
  <c r="J3656" i="7" a="1"/>
  <c r="M3656" i="7"/>
  <c r="I3655" i="7"/>
  <c r="J3655" i="7" a="1"/>
  <c r="M3655" i="7"/>
  <c r="I3654" i="7"/>
  <c r="J3654" i="7" a="1"/>
  <c r="M3654" i="7"/>
  <c r="I3685" i="7"/>
  <c r="J3685" i="7" a="1"/>
  <c r="M3685" i="7"/>
  <c r="I3684" i="7"/>
  <c r="J3684" i="7" a="1"/>
  <c r="M3684" i="7"/>
  <c r="I3683" i="7"/>
  <c r="J3683" i="7" a="1"/>
  <c r="M3683" i="7"/>
  <c r="I3682" i="7"/>
  <c r="J3682" i="7" a="1"/>
  <c r="M3682" i="7"/>
  <c r="I3681" i="7"/>
  <c r="J3681" i="7" a="1"/>
  <c r="M3681" i="7"/>
  <c r="I3680" i="7"/>
  <c r="J3680" i="7" a="1"/>
  <c r="M3680" i="7"/>
  <c r="I3679" i="7"/>
  <c r="J3679" i="7" a="1"/>
  <c r="M3679" i="7"/>
  <c r="I3678" i="7"/>
  <c r="J3678" i="7" a="1"/>
  <c r="M3678" i="7"/>
  <c r="I3677" i="7"/>
  <c r="J3677" i="7" a="1"/>
  <c r="M3677" i="7"/>
  <c r="I3676" i="7"/>
  <c r="J3676" i="7" a="1"/>
  <c r="M3676" i="7"/>
  <c r="I3675" i="7"/>
  <c r="J3675" i="7" a="1"/>
  <c r="M3675" i="7"/>
  <c r="I3674" i="7"/>
  <c r="J3674" i="7" a="1"/>
  <c r="M3674" i="7"/>
  <c r="I3673" i="7"/>
  <c r="J3673" i="7" a="1"/>
  <c r="M3673" i="7"/>
  <c r="I3672" i="7"/>
  <c r="J3672" i="7" a="1"/>
  <c r="M3672" i="7"/>
  <c r="I3671" i="7"/>
  <c r="J3671" i="7" a="1"/>
  <c r="M3671" i="7"/>
  <c r="I3702" i="7"/>
  <c r="J3702" i="7" a="1"/>
  <c r="M3702" i="7"/>
  <c r="I3701" i="7"/>
  <c r="J3701" i="7" a="1"/>
  <c r="M3701" i="7"/>
  <c r="I3700" i="7"/>
  <c r="J3700" i="7" a="1"/>
  <c r="M3700" i="7"/>
  <c r="I3699" i="7"/>
  <c r="J3699" i="7" a="1"/>
  <c r="M3699" i="7"/>
  <c r="I3698" i="7"/>
  <c r="J3698" i="7" a="1"/>
  <c r="M3698" i="7"/>
  <c r="I3697" i="7"/>
  <c r="J3697" i="7" a="1"/>
  <c r="M3697" i="7"/>
  <c r="I3696" i="7"/>
  <c r="J3696" i="7" a="1"/>
  <c r="M3696" i="7"/>
  <c r="I3695" i="7"/>
  <c r="J3695" i="7" a="1"/>
  <c r="M3695" i="7"/>
  <c r="I3694" i="7"/>
  <c r="J3694" i="7" a="1"/>
  <c r="M3694" i="7"/>
  <c r="I3693" i="7"/>
  <c r="J3693" i="7" a="1"/>
  <c r="M3693" i="7"/>
  <c r="I3692" i="7"/>
  <c r="J3692" i="7" a="1"/>
  <c r="M3692" i="7"/>
  <c r="I3691" i="7"/>
  <c r="J3691" i="7" a="1"/>
  <c r="M3691" i="7"/>
  <c r="I3690" i="7"/>
  <c r="J3690" i="7" a="1"/>
  <c r="M3690" i="7"/>
  <c r="I3689" i="7"/>
  <c r="J3689" i="7" a="1"/>
  <c r="M3689" i="7"/>
  <c r="I3688" i="7"/>
  <c r="J3688" i="7" a="1"/>
  <c r="M3688" i="7"/>
  <c r="I3687" i="7"/>
  <c r="J3687" i="7" a="1"/>
  <c r="M3687" i="7"/>
  <c r="I3686" i="7"/>
  <c r="J3686" i="7" a="1"/>
  <c r="M3686" i="7"/>
  <c r="I3720" i="7"/>
  <c r="J3720" i="7" a="1"/>
  <c r="M3720" i="7"/>
  <c r="I3719" i="7"/>
  <c r="J3719" i="7" a="1"/>
  <c r="M3719" i="7"/>
  <c r="I3718" i="7"/>
  <c r="J3718" i="7" a="1"/>
  <c r="M3718" i="7"/>
  <c r="I3717" i="7"/>
  <c r="J3717" i="7" a="1"/>
  <c r="M3717" i="7"/>
  <c r="I3716" i="7"/>
  <c r="J3716" i="7" a="1"/>
  <c r="M3716" i="7"/>
  <c r="I3715" i="7"/>
  <c r="J3715" i="7" a="1"/>
  <c r="M3715" i="7"/>
  <c r="I3714" i="7"/>
  <c r="J3714" i="7" a="1"/>
  <c r="M3714" i="7"/>
  <c r="I3713" i="7"/>
  <c r="J3713" i="7" a="1"/>
  <c r="M3713" i="7"/>
  <c r="I3712" i="7"/>
  <c r="J3712" i="7" a="1"/>
  <c r="M3712" i="7"/>
  <c r="I3711" i="7"/>
  <c r="J3711" i="7" a="1"/>
  <c r="M3711" i="7"/>
  <c r="I3710" i="7"/>
  <c r="J3710" i="7" a="1"/>
  <c r="M3710" i="7"/>
  <c r="I3709" i="7"/>
  <c r="J3709" i="7" a="1"/>
  <c r="M3709" i="7"/>
  <c r="I3708" i="7"/>
  <c r="J3708" i="7" a="1"/>
  <c r="M3708" i="7"/>
  <c r="I3707" i="7"/>
  <c r="J3707" i="7" a="1"/>
  <c r="M3707" i="7"/>
  <c r="I3706" i="7"/>
  <c r="J3706" i="7" a="1"/>
  <c r="M3706" i="7"/>
  <c r="I3705" i="7"/>
  <c r="J3705" i="7" a="1"/>
  <c r="M3705" i="7"/>
  <c r="I3704" i="7"/>
  <c r="J3704" i="7" a="1"/>
  <c r="M3704" i="7"/>
  <c r="I3703" i="7"/>
  <c r="J3703" i="7" a="1"/>
  <c r="M3703" i="7"/>
  <c r="I3734" i="7"/>
  <c r="J3734" i="7" a="1"/>
  <c r="M3734" i="7"/>
  <c r="I3733" i="7"/>
  <c r="J3733" i="7" a="1"/>
  <c r="M3733" i="7"/>
  <c r="I3732" i="7"/>
  <c r="J3732" i="7" a="1"/>
  <c r="M3732" i="7"/>
  <c r="I3731" i="7"/>
  <c r="J3731" i="7" a="1"/>
  <c r="M3731" i="7"/>
  <c r="I3730" i="7"/>
  <c r="J3730" i="7" a="1"/>
  <c r="M3730" i="7"/>
  <c r="I3729" i="7"/>
  <c r="J3729" i="7" a="1"/>
  <c r="M3729" i="7"/>
  <c r="I3728" i="7"/>
  <c r="J3728" i="7" a="1"/>
  <c r="M3728" i="7"/>
  <c r="I3726" i="7"/>
  <c r="J3726" i="7" a="1"/>
  <c r="M3726" i="7"/>
  <c r="I3725" i="7"/>
  <c r="J3725" i="7" a="1"/>
  <c r="M3725" i="7"/>
  <c r="I3724" i="7"/>
  <c r="J3724" i="7" a="1"/>
  <c r="M3724" i="7"/>
  <c r="I3723" i="7"/>
  <c r="J3723" i="7" a="1"/>
  <c r="M3723" i="7"/>
  <c r="I3722" i="7"/>
  <c r="J3722" i="7" a="1"/>
  <c r="M3722" i="7"/>
  <c r="I3721" i="7"/>
  <c r="J3721" i="7" a="1"/>
  <c r="M3721" i="7"/>
  <c r="I3753" i="7"/>
  <c r="J3753" i="7" a="1"/>
  <c r="M3753" i="7"/>
  <c r="I3752" i="7"/>
  <c r="J3752" i="7" a="1"/>
  <c r="M3752" i="7"/>
  <c r="I3751" i="7"/>
  <c r="J3751" i="7" a="1"/>
  <c r="M3751" i="7"/>
  <c r="I3750" i="7"/>
  <c r="J3750" i="7" a="1"/>
  <c r="M3750" i="7"/>
  <c r="I3749" i="7"/>
  <c r="J3749" i="7" a="1"/>
  <c r="M3749" i="7"/>
  <c r="I3748" i="7"/>
  <c r="J3748" i="7" a="1"/>
  <c r="M3748" i="7"/>
  <c r="I3747" i="7"/>
  <c r="J3747" i="7" a="1"/>
  <c r="M3747" i="7"/>
  <c r="I3746" i="7"/>
  <c r="J3746" i="7" a="1"/>
  <c r="M3746" i="7"/>
  <c r="I3745" i="7"/>
  <c r="J3745" i="7" a="1"/>
  <c r="M3745" i="7"/>
  <c r="I3744" i="7"/>
  <c r="J3744" i="7" a="1"/>
  <c r="M3744" i="7"/>
  <c r="I3743" i="7"/>
  <c r="J3743" i="7" a="1"/>
  <c r="M3743" i="7"/>
  <c r="I3742" i="7"/>
  <c r="J3742" i="7" a="1"/>
  <c r="M3742" i="7"/>
  <c r="I3741" i="7"/>
  <c r="J3741" i="7" a="1"/>
  <c r="M3741" i="7"/>
  <c r="I3740" i="7"/>
  <c r="J3740" i="7" a="1"/>
  <c r="M3740" i="7"/>
  <c r="I3739" i="7"/>
  <c r="J3739" i="7" a="1"/>
  <c r="M3739" i="7"/>
  <c r="I3738" i="7"/>
  <c r="J3738" i="7" a="1"/>
  <c r="M3738" i="7"/>
  <c r="I3737" i="7"/>
  <c r="J3737" i="7" a="1"/>
  <c r="M3737" i="7"/>
  <c r="I3736" i="7"/>
  <c r="J3736" i="7" a="1"/>
  <c r="M3736" i="7"/>
  <c r="I3735" i="7"/>
  <c r="J3735" i="7" a="1"/>
  <c r="M3735" i="7"/>
  <c r="I3768" i="7"/>
  <c r="J3768" i="7" a="1"/>
  <c r="M3768" i="7"/>
  <c r="I3767" i="7"/>
  <c r="J3767" i="7" a="1"/>
  <c r="M3767" i="7"/>
  <c r="I3766" i="7"/>
  <c r="J3766" i="7" a="1"/>
  <c r="M3766" i="7"/>
  <c r="I3765" i="7"/>
  <c r="J3765" i="7" a="1"/>
  <c r="M3765" i="7"/>
  <c r="I3764" i="7"/>
  <c r="J3764" i="7" a="1"/>
  <c r="M3764" i="7"/>
  <c r="I3763" i="7"/>
  <c r="J3763" i="7" a="1"/>
  <c r="M3763" i="7"/>
  <c r="I3762" i="7"/>
  <c r="J3762" i="7" a="1"/>
  <c r="M3762" i="7"/>
  <c r="I3761" i="7"/>
  <c r="J3761" i="7" a="1"/>
  <c r="M3761" i="7"/>
  <c r="I3760" i="7"/>
  <c r="J3760" i="7" a="1"/>
  <c r="M3760" i="7"/>
  <c r="I3759" i="7"/>
  <c r="J3759" i="7" a="1"/>
  <c r="M3759" i="7"/>
  <c r="I3758" i="7"/>
  <c r="J3758" i="7" a="1"/>
  <c r="M3758" i="7"/>
  <c r="I3757" i="7"/>
  <c r="J3757" i="7" a="1"/>
  <c r="M3757" i="7"/>
  <c r="I3756" i="7"/>
  <c r="J3756" i="7" a="1"/>
  <c r="M3756" i="7"/>
  <c r="I3755" i="7"/>
  <c r="J3755" i="7" a="1"/>
  <c r="M3755" i="7"/>
  <c r="I3754" i="7"/>
  <c r="J3754" i="7" a="1"/>
  <c r="M3754" i="7"/>
  <c r="I3784" i="7"/>
  <c r="J3784" i="7" a="1"/>
  <c r="M3784" i="7"/>
  <c r="I3783" i="7"/>
  <c r="J3783" i="7" a="1"/>
  <c r="M3783" i="7"/>
  <c r="I3782" i="7"/>
  <c r="J3782" i="7" a="1"/>
  <c r="M3782" i="7"/>
  <c r="I3781" i="7"/>
  <c r="J3781" i="7" a="1"/>
  <c r="M3781" i="7"/>
  <c r="I3780" i="7"/>
  <c r="J3780" i="7" a="1"/>
  <c r="M3780" i="7"/>
  <c r="I3779" i="7"/>
  <c r="J3779" i="7" a="1"/>
  <c r="M3779" i="7"/>
  <c r="I3778" i="7"/>
  <c r="J3778" i="7" a="1"/>
  <c r="M3778" i="7"/>
  <c r="I3777" i="7"/>
  <c r="J3777" i="7" a="1"/>
  <c r="M3777" i="7"/>
  <c r="I3776" i="7"/>
  <c r="J3776" i="7" a="1"/>
  <c r="M3776" i="7"/>
  <c r="I3775" i="7"/>
  <c r="J3775" i="7" a="1"/>
  <c r="M3775" i="7"/>
  <c r="I3774" i="7"/>
  <c r="J3774" i="7" a="1"/>
  <c r="M3774" i="7"/>
  <c r="I3773" i="7"/>
  <c r="J3773" i="7" a="1"/>
  <c r="M3773" i="7"/>
  <c r="I3772" i="7"/>
  <c r="J3772" i="7" a="1"/>
  <c r="M3772" i="7"/>
  <c r="I3771" i="7"/>
  <c r="J3771" i="7" a="1"/>
  <c r="M3771" i="7"/>
  <c r="I3770" i="7"/>
  <c r="J3770" i="7" a="1"/>
  <c r="M3770" i="7"/>
  <c r="I3769" i="7"/>
  <c r="J3769" i="7" a="1"/>
  <c r="M3769" i="7"/>
  <c r="I3802" i="7"/>
  <c r="J3802" i="7" a="1"/>
  <c r="M3802" i="7"/>
  <c r="I3801" i="7"/>
  <c r="J3801" i="7" a="1"/>
  <c r="M3801" i="7"/>
  <c r="I3800" i="7"/>
  <c r="J3800" i="7" a="1"/>
  <c r="M3800" i="7"/>
  <c r="I3799" i="7"/>
  <c r="J3799" i="7" a="1"/>
  <c r="M3799" i="7"/>
  <c r="I3798" i="7"/>
  <c r="J3798" i="7" a="1"/>
  <c r="M3798" i="7"/>
  <c r="I3797" i="7"/>
  <c r="J3797" i="7" a="1"/>
  <c r="M3797" i="7"/>
  <c r="I3796" i="7"/>
  <c r="J3796" i="7" a="1"/>
  <c r="M3796" i="7"/>
  <c r="I3795" i="7"/>
  <c r="J3795" i="7" a="1"/>
  <c r="M3795" i="7"/>
  <c r="I3794" i="7"/>
  <c r="J3794" i="7" a="1"/>
  <c r="M3794" i="7"/>
  <c r="I3792" i="7"/>
  <c r="J3792" i="7" a="1"/>
  <c r="M3792" i="7"/>
  <c r="I3791" i="7"/>
  <c r="J3791" i="7" a="1"/>
  <c r="M3791" i="7"/>
  <c r="I3790" i="7"/>
  <c r="J3790" i="7" a="1"/>
  <c r="M3790" i="7"/>
  <c r="I3789" i="7"/>
  <c r="J3789" i="7" a="1"/>
  <c r="M3789" i="7"/>
  <c r="I3788" i="7"/>
  <c r="J3788" i="7" a="1"/>
  <c r="M3788" i="7"/>
  <c r="I3787" i="7"/>
  <c r="J3787" i="7" a="1"/>
  <c r="M3787" i="7"/>
  <c r="I3786" i="7"/>
  <c r="J3786" i="7" a="1"/>
  <c r="M3786" i="7"/>
  <c r="I3785" i="7"/>
  <c r="J3785" i="7" a="1"/>
  <c r="M3785" i="7"/>
  <c r="I3818" i="7"/>
  <c r="J3818" i="7" a="1"/>
  <c r="M3818" i="7"/>
  <c r="I3817" i="7"/>
  <c r="J3817" i="7" a="1"/>
  <c r="M3817" i="7"/>
  <c r="I3816" i="7"/>
  <c r="J3816" i="7" a="1"/>
  <c r="M3816" i="7"/>
  <c r="I3815" i="7"/>
  <c r="J3815" i="7" a="1"/>
  <c r="M3815" i="7"/>
  <c r="I3814" i="7"/>
  <c r="J3814" i="7" a="1"/>
  <c r="M3814" i="7"/>
  <c r="I3813" i="7"/>
  <c r="J3813" i="7" a="1"/>
  <c r="M3813" i="7"/>
  <c r="I3812" i="7"/>
  <c r="J3812" i="7" a="1"/>
  <c r="M3812" i="7"/>
  <c r="I3811" i="7"/>
  <c r="J3811" i="7" a="1"/>
  <c r="M3811" i="7"/>
  <c r="I3810" i="7"/>
  <c r="J3810" i="7" a="1"/>
  <c r="M3810" i="7"/>
  <c r="I3809" i="7"/>
  <c r="J3809" i="7" a="1"/>
  <c r="M3809" i="7"/>
  <c r="I3808" i="7"/>
  <c r="J3808" i="7" a="1"/>
  <c r="M3808" i="7"/>
  <c r="I3807" i="7"/>
  <c r="J3807" i="7" a="1"/>
  <c r="M3807" i="7"/>
  <c r="I3806" i="7"/>
  <c r="J3806" i="7" a="1"/>
  <c r="M3806" i="7"/>
  <c r="I3805" i="7"/>
  <c r="J3805" i="7" a="1"/>
  <c r="M3805" i="7"/>
  <c r="I3804" i="7"/>
  <c r="J3804" i="7" a="1"/>
  <c r="M3804" i="7"/>
  <c r="I3803" i="7"/>
  <c r="J3803" i="7" a="1"/>
  <c r="M3803" i="7"/>
  <c r="I3834" i="7"/>
  <c r="J3834" i="7" a="1"/>
  <c r="M3834" i="7"/>
  <c r="I3833" i="7"/>
  <c r="J3833" i="7" a="1"/>
  <c r="M3833" i="7"/>
  <c r="I3832" i="7"/>
  <c r="J3832" i="7" a="1"/>
  <c r="M3832" i="7"/>
  <c r="I3831" i="7"/>
  <c r="J3831" i="7" a="1"/>
  <c r="M3831" i="7"/>
  <c r="I3830" i="7"/>
  <c r="J3830" i="7" a="1"/>
  <c r="M3830" i="7"/>
  <c r="I3829" i="7"/>
  <c r="J3829" i="7" a="1"/>
  <c r="M3829" i="7"/>
  <c r="I3828" i="7"/>
  <c r="J3828" i="7" a="1"/>
  <c r="M3828" i="7"/>
  <c r="I3827" i="7"/>
  <c r="J3827" i="7" a="1"/>
  <c r="M3827" i="7"/>
  <c r="I3826" i="7"/>
  <c r="J3826" i="7" a="1"/>
  <c r="M3826" i="7"/>
  <c r="I3825" i="7"/>
  <c r="J3825" i="7" a="1"/>
  <c r="M3825" i="7"/>
  <c r="I3824" i="7"/>
  <c r="J3824" i="7" a="1"/>
  <c r="M3824" i="7"/>
  <c r="I3823" i="7"/>
  <c r="J3823" i="7" a="1"/>
  <c r="M3823" i="7"/>
  <c r="I3822" i="7"/>
  <c r="J3822" i="7" a="1"/>
  <c r="M3822" i="7"/>
  <c r="I3821" i="7"/>
  <c r="J3821" i="7" a="1"/>
  <c r="M3821" i="7"/>
  <c r="I3820" i="7"/>
  <c r="J3820" i="7" a="1"/>
  <c r="M3820" i="7"/>
  <c r="I3819" i="7"/>
  <c r="J3819" i="7" a="1"/>
  <c r="M3819" i="7"/>
  <c r="I3856" i="7"/>
  <c r="J3856" i="7" a="1"/>
  <c r="M3856" i="7"/>
  <c r="I3855" i="7"/>
  <c r="J3855" i="7" a="1"/>
  <c r="M3855" i="7"/>
  <c r="I3854" i="7"/>
  <c r="J3854" i="7" a="1"/>
  <c r="M3854" i="7"/>
  <c r="I3853" i="7"/>
  <c r="J3853" i="7" a="1"/>
  <c r="M3853" i="7"/>
  <c r="I3852" i="7"/>
  <c r="J3852" i="7" a="1"/>
  <c r="M3852" i="7"/>
  <c r="I3851" i="7"/>
  <c r="J3851" i="7" a="1"/>
  <c r="M3851" i="7"/>
  <c r="I3850" i="7"/>
  <c r="J3850" i="7" a="1"/>
  <c r="M3850" i="7"/>
  <c r="I3849" i="7"/>
  <c r="J3849" i="7" a="1"/>
  <c r="M3849" i="7"/>
  <c r="I3848" i="7"/>
  <c r="J3848" i="7" a="1"/>
  <c r="M3848" i="7"/>
  <c r="I3847" i="7"/>
  <c r="J3847" i="7" a="1"/>
  <c r="M3847" i="7"/>
  <c r="I3846" i="7"/>
  <c r="J3846" i="7" a="1"/>
  <c r="M3846" i="7"/>
  <c r="I3845" i="7"/>
  <c r="J3845" i="7" a="1"/>
  <c r="M3845" i="7"/>
  <c r="I3844" i="7"/>
  <c r="J3844" i="7" a="1"/>
  <c r="M3844" i="7"/>
  <c r="I3843" i="7"/>
  <c r="J3843" i="7" a="1"/>
  <c r="M3843" i="7"/>
  <c r="J3842" i="7" a="1"/>
  <c r="M3842" i="7"/>
  <c r="I3842" i="7"/>
  <c r="I3841" i="7"/>
  <c r="J3841" i="7" a="1"/>
  <c r="M3841" i="7"/>
  <c r="I3840" i="7"/>
  <c r="J3840" i="7" a="1"/>
  <c r="M3840" i="7"/>
  <c r="I3839" i="7"/>
  <c r="J3839" i="7" a="1"/>
  <c r="M3839" i="7"/>
  <c r="I3838" i="7"/>
  <c r="J3838" i="7" a="1"/>
  <c r="M3838" i="7"/>
  <c r="I3837" i="7"/>
  <c r="J3837" i="7" a="1"/>
  <c r="M3837" i="7"/>
  <c r="I3836" i="7"/>
  <c r="J3836" i="7" a="1"/>
  <c r="M3836" i="7"/>
  <c r="I3835" i="7"/>
  <c r="M3835" i="7"/>
  <c r="J3835" i="7" a="1"/>
  <c r="I3871" i="7"/>
  <c r="J3871" i="7" a="1"/>
  <c r="M3871" i="7"/>
  <c r="I3870" i="7"/>
  <c r="J3870" i="7" a="1"/>
  <c r="M3870" i="7"/>
  <c r="I3869" i="7"/>
  <c r="J3869" i="7" a="1"/>
  <c r="M3869" i="7"/>
  <c r="J3867" i="7" a="1"/>
  <c r="M3867" i="7"/>
  <c r="I3867" i="7"/>
  <c r="I3866" i="7"/>
  <c r="J3866" i="7" a="1"/>
  <c r="M3866" i="7"/>
  <c r="J3865" i="7" a="1"/>
  <c r="I3865" i="7"/>
  <c r="M3865" i="7"/>
  <c r="I3864" i="7"/>
  <c r="J3864" i="7" a="1"/>
  <c r="M3864" i="7"/>
  <c r="I3863" i="7"/>
  <c r="J3863" i="7" a="1"/>
  <c r="M3863" i="7"/>
  <c r="I3862" i="7"/>
  <c r="M3862" i="7"/>
  <c r="J3862" i="7" a="1"/>
  <c r="I3861" i="7"/>
  <c r="J3861" i="7" a="1"/>
  <c r="M3861" i="7"/>
  <c r="I3860" i="7"/>
  <c r="J3860" i="7" a="1"/>
  <c r="M3860" i="7"/>
  <c r="I3859" i="7"/>
  <c r="J3859" i="7" a="1"/>
  <c r="M3859" i="7"/>
  <c r="I3858" i="7"/>
  <c r="J3858" i="7" a="1"/>
  <c r="M3858" i="7"/>
  <c r="M3857" i="7"/>
  <c r="I3857" i="7"/>
  <c r="J3857" i="7" a="1"/>
  <c r="I3887" i="7"/>
  <c r="J3887" i="7" a="1"/>
  <c r="M3887" i="7"/>
  <c r="J3886" i="7" a="1"/>
  <c r="I3886" i="7"/>
  <c r="M3886" i="7"/>
  <c r="I3885" i="7"/>
  <c r="J3885" i="7" a="1"/>
  <c r="M3885" i="7"/>
  <c r="I3884" i="7"/>
  <c r="J3884" i="7" a="1"/>
  <c r="M3884" i="7"/>
  <c r="J3883" i="7" a="1"/>
  <c r="M3883" i="7"/>
  <c r="I3883" i="7"/>
  <c r="I3882" i="7"/>
  <c r="J3882" i="7" a="1"/>
  <c r="M3882" i="7"/>
  <c r="I3881" i="7"/>
  <c r="J3881" i="7" a="1"/>
  <c r="M3881" i="7"/>
  <c r="I3880" i="7"/>
  <c r="J3880" i="7" a="1"/>
  <c r="M3880" i="7"/>
  <c r="I3879" i="7"/>
  <c r="J3879" i="7" a="1"/>
  <c r="M3879" i="7"/>
  <c r="I3878" i="7"/>
  <c r="J3878" i="7" a="1"/>
  <c r="M3878" i="7"/>
  <c r="J3877" i="7" a="1"/>
  <c r="I3877" i="7"/>
  <c r="M3877" i="7"/>
  <c r="I3876" i="7"/>
  <c r="J3876" i="7" a="1"/>
  <c r="M3876" i="7"/>
  <c r="I3875" i="7"/>
  <c r="M3875" i="7"/>
  <c r="J3875" i="7" a="1"/>
  <c r="I3874" i="7"/>
  <c r="J3874" i="7" a="1"/>
  <c r="M3874" i="7"/>
  <c r="I3873" i="7"/>
  <c r="J3873" i="7" a="1"/>
  <c r="M3873" i="7"/>
  <c r="I3872" i="7"/>
  <c r="J3872" i="7" a="1"/>
  <c r="M3872" i="7"/>
  <c r="J3901" i="7" a="1"/>
  <c r="I3901" i="7"/>
  <c r="M3901" i="7"/>
  <c r="I3900" i="7"/>
  <c r="J3900" i="7" a="1"/>
  <c r="M3900" i="7"/>
  <c r="I3899" i="7"/>
  <c r="J3899" i="7" a="1"/>
  <c r="M3899" i="7"/>
  <c r="I3898" i="7"/>
  <c r="J3898" i="7" a="1"/>
  <c r="M3898" i="7"/>
  <c r="I3897" i="7"/>
  <c r="J3897" i="7" a="1"/>
  <c r="M3897" i="7"/>
  <c r="I3896" i="7"/>
  <c r="J3896" i="7" a="1"/>
  <c r="M3896" i="7"/>
  <c r="I3895" i="7"/>
  <c r="J3895" i="7" a="1"/>
  <c r="M3895" i="7"/>
  <c r="I3894" i="7"/>
  <c r="J3894" i="7" a="1"/>
  <c r="M3894" i="7"/>
  <c r="I3893" i="7"/>
  <c r="J3893" i="7" a="1"/>
  <c r="M3893" i="7"/>
  <c r="I3892" i="7"/>
  <c r="J3892" i="7" a="1"/>
  <c r="M3892" i="7"/>
  <c r="J3891" i="7" a="1"/>
  <c r="M3891" i="7"/>
  <c r="I3891" i="7"/>
  <c r="I3890" i="7"/>
  <c r="M3890" i="7"/>
  <c r="J3890" i="7" a="1"/>
  <c r="I3889" i="7"/>
  <c r="J3889" i="7" a="1"/>
  <c r="M3889" i="7"/>
  <c r="I3888" i="7"/>
  <c r="J3888" i="7" a="1"/>
  <c r="M3888" i="7"/>
  <c r="J3917" i="7" a="1"/>
  <c r="M3917" i="7"/>
  <c r="I3917" i="7"/>
  <c r="I3916" i="7"/>
  <c r="J3916" i="7" a="1"/>
  <c r="M3916" i="7"/>
  <c r="I3914" i="7"/>
  <c r="J3914" i="7" a="1"/>
  <c r="M3914" i="7"/>
  <c r="J3913" i="7" a="1"/>
  <c r="I3913" i="7"/>
  <c r="M3913" i="7"/>
  <c r="I3912" i="7"/>
  <c r="J3912" i="7" a="1"/>
  <c r="M3912" i="7"/>
  <c r="I3911" i="7"/>
  <c r="J3911" i="7" a="1"/>
  <c r="M3911" i="7"/>
  <c r="I3910" i="7"/>
  <c r="J3910" i="7" a="1"/>
  <c r="M3910" i="7"/>
  <c r="I3909" i="7"/>
  <c r="J3909" i="7" a="1"/>
  <c r="M3909" i="7"/>
  <c r="I3908" i="7"/>
  <c r="J3908" i="7" a="1"/>
  <c r="M3908" i="7"/>
  <c r="I3907" i="7"/>
  <c r="J3907" i="7" a="1"/>
  <c r="M3907" i="7"/>
  <c r="I3906" i="7"/>
  <c r="J3906" i="7" a="1"/>
  <c r="M3906" i="7"/>
  <c r="I3905" i="7"/>
  <c r="J3905" i="7" a="1"/>
  <c r="M3905" i="7"/>
  <c r="I3904" i="7"/>
  <c r="J3904" i="7" a="1"/>
  <c r="M3904" i="7"/>
  <c r="I3903" i="7"/>
  <c r="J3903" i="7" a="1"/>
  <c r="M3903" i="7"/>
  <c r="I3902" i="7"/>
  <c r="J3902" i="7" a="1"/>
  <c r="M3902" i="7"/>
  <c r="I3932" i="7"/>
  <c r="J3932" i="7" a="1"/>
  <c r="M3932" i="7"/>
  <c r="I3931" i="7"/>
  <c r="J3931" i="7" a="1"/>
  <c r="M3931" i="7"/>
  <c r="I3930" i="7"/>
  <c r="J3930" i="7" a="1"/>
  <c r="M3930" i="7"/>
  <c r="J3929" i="7" a="1"/>
  <c r="M3929" i="7"/>
  <c r="I3929" i="7"/>
  <c r="I3928" i="7"/>
  <c r="J3928" i="7" a="1"/>
  <c r="M3928" i="7"/>
  <c r="I3927" i="7"/>
  <c r="J3927" i="7" a="1"/>
  <c r="M3927" i="7"/>
  <c r="I3926" i="7"/>
  <c r="J3926" i="7" a="1"/>
  <c r="M3926" i="7"/>
  <c r="I3925" i="7"/>
  <c r="J3925" i="7" a="1"/>
  <c r="M3925" i="7"/>
  <c r="I3923" i="7"/>
  <c r="J3923" i="7" a="1"/>
  <c r="M3923" i="7"/>
  <c r="I3922" i="7"/>
  <c r="M3922" i="7"/>
  <c r="J3922" i="7" a="1"/>
  <c r="I3921" i="7"/>
  <c r="J3921" i="7" a="1"/>
  <c r="M3921" i="7"/>
  <c r="J3920" i="7" a="1"/>
  <c r="I3920" i="7"/>
  <c r="M3920" i="7"/>
  <c r="I3919" i="7"/>
  <c r="J3919" i="7" a="1"/>
  <c r="M3919" i="7"/>
  <c r="I3918" i="7"/>
  <c r="J3918" i="7" a="1"/>
  <c r="M3918" i="7"/>
  <c r="I3948" i="7"/>
  <c r="J3948" i="7" a="1"/>
  <c r="M3948" i="7"/>
  <c r="I3947" i="7"/>
  <c r="J3947" i="7" a="1"/>
  <c r="M3947" i="7"/>
  <c r="I3946" i="7"/>
  <c r="J3946" i="7" a="1"/>
  <c r="M3946" i="7"/>
  <c r="I3945" i="7"/>
  <c r="J3945" i="7" a="1"/>
  <c r="M3945" i="7"/>
  <c r="I3944" i="7"/>
  <c r="J3944" i="7" a="1"/>
  <c r="M3944" i="7"/>
  <c r="I3943" i="7"/>
  <c r="J3943" i="7" a="1"/>
  <c r="M3943" i="7"/>
  <c r="I3942" i="7"/>
  <c r="J3942" i="7" a="1"/>
  <c r="M3942" i="7"/>
  <c r="I3941" i="7"/>
  <c r="J3941" i="7" a="1"/>
  <c r="M3941" i="7"/>
  <c r="I3940" i="7"/>
  <c r="J3940" i="7" a="1"/>
  <c r="M3940" i="7"/>
  <c r="I3939" i="7"/>
  <c r="J3939" i="7" a="1"/>
  <c r="M3939" i="7"/>
  <c r="I3938" i="7"/>
  <c r="J3938" i="7" a="1"/>
  <c r="M3938" i="7"/>
  <c r="I3937" i="7"/>
  <c r="J3937" i="7" a="1"/>
  <c r="M3937" i="7"/>
  <c r="I3936" i="7"/>
  <c r="J3936" i="7" a="1"/>
  <c r="M3936" i="7"/>
  <c r="J3935" i="7" a="1"/>
  <c r="M3935" i="7"/>
  <c r="I3935" i="7"/>
  <c r="I3934" i="7"/>
  <c r="J3934" i="7" a="1"/>
  <c r="M3934" i="7"/>
  <c r="I3933" i="7"/>
  <c r="J3933" i="7" a="1"/>
  <c r="M3933" i="7"/>
  <c r="J3963" i="7" a="1"/>
  <c r="M3963" i="7"/>
  <c r="I3963" i="7"/>
  <c r="I3962" i="7"/>
  <c r="J3962" i="7" a="1"/>
  <c r="M3962" i="7"/>
  <c r="I3961" i="7"/>
  <c r="J3961" i="7" a="1"/>
  <c r="M3961" i="7"/>
  <c r="I3960" i="7"/>
  <c r="J3960" i="7" a="1"/>
  <c r="M3960" i="7"/>
  <c r="I3958" i="7"/>
  <c r="J3958" i="7" a="1"/>
  <c r="M3958" i="7"/>
  <c r="I3957" i="7"/>
  <c r="J3957" i="7" a="1"/>
  <c r="M3957" i="7"/>
  <c r="I3956" i="7"/>
  <c r="J3956" i="7" a="1"/>
  <c r="M3956" i="7"/>
  <c r="I3955" i="7"/>
  <c r="J3955" i="7" a="1"/>
  <c r="M3955" i="7"/>
  <c r="I3954" i="7"/>
  <c r="J3954" i="7" a="1"/>
  <c r="M3954" i="7"/>
  <c r="I3953" i="7"/>
  <c r="J3953" i="7" a="1"/>
  <c r="M3953" i="7"/>
  <c r="I3952" i="7"/>
  <c r="J3952" i="7" a="1"/>
  <c r="M3952" i="7"/>
  <c r="I3951" i="7"/>
  <c r="J3951" i="7" a="1"/>
  <c r="M3951" i="7"/>
  <c r="I3950" i="7"/>
  <c r="J3950" i="7" a="1"/>
  <c r="M3950" i="7"/>
  <c r="I3949" i="7"/>
  <c r="J3949" i="7" a="1"/>
  <c r="M3949" i="7"/>
  <c r="I3976" i="7"/>
  <c r="J3976" i="7" a="1"/>
  <c r="M3976" i="7"/>
  <c r="I3975" i="7"/>
  <c r="J3975" i="7" a="1"/>
  <c r="M3975" i="7"/>
  <c r="I3974" i="7"/>
  <c r="J3974" i="7" a="1"/>
  <c r="M3974" i="7"/>
  <c r="I3973" i="7"/>
  <c r="J3973" i="7" a="1"/>
  <c r="M3973" i="7"/>
  <c r="I3972" i="7"/>
  <c r="J3972" i="7" a="1"/>
  <c r="M3972" i="7"/>
  <c r="I3971" i="7"/>
  <c r="J3971" i="7" a="1"/>
  <c r="M3971" i="7"/>
  <c r="I3970" i="7"/>
  <c r="J3970" i="7" a="1"/>
  <c r="M3970" i="7"/>
  <c r="I3969" i="7"/>
  <c r="J3969" i="7" a="1"/>
  <c r="M3969" i="7"/>
  <c r="I3968" i="7"/>
  <c r="J3968" i="7" a="1"/>
  <c r="M3968" i="7"/>
  <c r="I3967" i="7"/>
  <c r="J3967" i="7" a="1"/>
  <c r="M3967" i="7"/>
  <c r="I3966" i="7"/>
  <c r="J3966" i="7" a="1"/>
  <c r="M3966" i="7"/>
  <c r="I3965" i="7"/>
  <c r="J3965" i="7" a="1"/>
  <c r="M3965" i="7"/>
  <c r="I3964" i="7"/>
  <c r="J3964" i="7" a="1"/>
  <c r="M3964" i="7"/>
  <c r="I3988" i="7"/>
  <c r="J3988" i="7" a="1"/>
  <c r="M3988" i="7"/>
  <c r="I3987" i="7"/>
  <c r="J3987" i="7" a="1"/>
  <c r="M3987" i="7"/>
  <c r="I3986" i="7"/>
  <c r="J3986" i="7" a="1"/>
  <c r="M3986" i="7"/>
  <c r="I3985" i="7"/>
  <c r="J3985" i="7" a="1"/>
  <c r="M3985" i="7"/>
  <c r="I3984" i="7"/>
  <c r="J3984" i="7" a="1"/>
  <c r="M3984" i="7"/>
  <c r="I3983" i="7"/>
  <c r="J3983" i="7" a="1"/>
  <c r="M3983" i="7"/>
  <c r="I3982" i="7"/>
  <c r="J3982" i="7" a="1"/>
  <c r="M3982" i="7"/>
  <c r="I3981" i="7"/>
  <c r="J3981" i="7" a="1"/>
  <c r="M3981" i="7"/>
  <c r="I3980" i="7"/>
  <c r="J3980" i="7" a="1"/>
  <c r="M3980" i="7"/>
  <c r="I3979" i="7"/>
  <c r="J3979" i="7" a="1"/>
  <c r="M3979" i="7"/>
  <c r="I3978" i="7"/>
  <c r="J3978" i="7" a="1"/>
  <c r="M3978" i="7"/>
  <c r="I3977" i="7"/>
  <c r="J3977" i="7" a="1"/>
  <c r="M3977" i="7"/>
  <c r="I4001" i="7"/>
  <c r="J4001" i="7" a="1"/>
  <c r="M4001" i="7"/>
  <c r="I4000" i="7"/>
  <c r="J4000" i="7" a="1"/>
  <c r="M4000" i="7"/>
  <c r="I3999" i="7"/>
  <c r="J3999" i="7" a="1"/>
  <c r="M3999" i="7"/>
  <c r="I3997" i="7"/>
  <c r="J3997" i="7" a="1"/>
  <c r="M3997" i="7"/>
  <c r="I3996" i="7"/>
  <c r="J3996" i="7" a="1"/>
  <c r="M3996" i="7"/>
  <c r="I3995" i="7"/>
  <c r="J3995" i="7" a="1"/>
  <c r="M3995" i="7"/>
  <c r="I3994" i="7"/>
  <c r="J3994" i="7" a="1"/>
  <c r="M3994" i="7"/>
  <c r="I3993" i="7"/>
  <c r="J3993" i="7" a="1"/>
  <c r="M3993" i="7"/>
  <c r="I3992" i="7"/>
  <c r="J3992" i="7" a="1"/>
  <c r="M3992" i="7"/>
  <c r="I3991" i="7"/>
  <c r="J3991" i="7" a="1"/>
  <c r="M3991" i="7"/>
  <c r="I3990" i="7"/>
  <c r="J3990" i="7" a="1"/>
  <c r="M3990" i="7"/>
  <c r="I3989" i="7"/>
  <c r="J3989" i="7" a="1"/>
  <c r="M3989" i="7"/>
  <c r="I4014" i="7"/>
  <c r="J4014" i="7" a="1"/>
  <c r="M4014" i="7"/>
  <c r="I4013" i="7"/>
  <c r="J4013" i="7" a="1"/>
  <c r="M4013" i="7"/>
  <c r="I4012" i="7"/>
  <c r="J4012" i="7" a="1"/>
  <c r="M4012" i="7"/>
  <c r="I4011" i="7"/>
  <c r="J4011" i="7" a="1"/>
  <c r="M4011" i="7"/>
  <c r="I4010" i="7"/>
  <c r="J4010" i="7" a="1"/>
  <c r="M4010" i="7"/>
  <c r="I4009" i="7"/>
  <c r="J4009" i="7" a="1"/>
  <c r="M4009" i="7"/>
  <c r="I4008" i="7"/>
  <c r="J4008" i="7" a="1"/>
  <c r="M4008" i="7"/>
  <c r="I4007" i="7"/>
  <c r="J4007" i="7" a="1"/>
  <c r="M4007" i="7"/>
  <c r="I4006" i="7"/>
  <c r="J4006" i="7" a="1"/>
  <c r="M4006" i="7"/>
  <c r="I4005" i="7"/>
  <c r="J4005" i="7" a="1"/>
  <c r="M4005" i="7"/>
  <c r="I4004" i="7"/>
  <c r="J4004" i="7" a="1"/>
  <c r="M4004" i="7"/>
  <c r="I4003" i="7"/>
  <c r="J4003" i="7" a="1"/>
  <c r="M4003" i="7"/>
  <c r="I4002" i="7"/>
  <c r="J4002" i="7" a="1"/>
  <c r="M4002" i="7"/>
  <c r="I4027" i="7"/>
  <c r="J4027" i="7" a="1"/>
  <c r="M4027" i="7"/>
  <c r="I4026" i="7"/>
  <c r="J4026" i="7" a="1"/>
  <c r="M4026" i="7"/>
  <c r="I4025" i="7"/>
  <c r="J4025" i="7" a="1"/>
  <c r="M4025" i="7"/>
  <c r="I4024" i="7"/>
  <c r="J4024" i="7" a="1"/>
  <c r="M4024" i="7"/>
  <c r="I4023" i="7"/>
  <c r="J4023" i="7" a="1"/>
  <c r="M4023" i="7"/>
  <c r="I4022" i="7"/>
  <c r="J4022" i="7" a="1"/>
  <c r="M4022" i="7"/>
  <c r="I4021" i="7"/>
  <c r="J4021" i="7" a="1"/>
  <c r="M4021" i="7"/>
  <c r="I4020" i="7"/>
  <c r="J4020" i="7" a="1"/>
  <c r="M4020" i="7"/>
  <c r="I4019" i="7"/>
  <c r="J4019" i="7" a="1"/>
  <c r="M4019" i="7"/>
  <c r="I4018" i="7"/>
  <c r="J4018" i="7" a="1"/>
  <c r="M4018" i="7"/>
  <c r="I4017" i="7"/>
  <c r="J4017" i="7" a="1"/>
  <c r="M4017" i="7"/>
  <c r="I4016" i="7"/>
  <c r="J4016" i="7" a="1"/>
  <c r="M4016" i="7"/>
  <c r="I4015" i="7"/>
  <c r="J4015" i="7" a="1"/>
  <c r="M4015" i="7"/>
  <c r="I4043" i="7"/>
  <c r="J4043" i="7" a="1"/>
  <c r="M4043" i="7"/>
  <c r="I4042" i="7"/>
  <c r="J4042" i="7" a="1"/>
  <c r="M4042" i="7"/>
  <c r="I4041" i="7"/>
  <c r="J4041" i="7" a="1"/>
  <c r="M4041" i="7"/>
  <c r="I4040" i="7"/>
  <c r="J4040" i="7" a="1"/>
  <c r="M4040" i="7"/>
  <c r="I4039" i="7"/>
  <c r="J4039" i="7" a="1"/>
  <c r="M4039" i="7"/>
  <c r="I4038" i="7"/>
  <c r="J4038" i="7" a="1"/>
  <c r="M4038" i="7"/>
  <c r="I4037" i="7"/>
  <c r="J4037" i="7" a="1"/>
  <c r="M4037" i="7"/>
  <c r="I4036" i="7"/>
  <c r="J4036" i="7" a="1"/>
  <c r="M4036" i="7"/>
  <c r="I4035" i="7"/>
  <c r="J4035" i="7" a="1"/>
  <c r="M4035" i="7"/>
  <c r="I4034" i="7"/>
  <c r="J4034" i="7" a="1"/>
  <c r="M4034" i="7"/>
  <c r="I4033" i="7"/>
  <c r="J4033" i="7" a="1"/>
  <c r="M4033" i="7"/>
  <c r="I4032" i="7"/>
  <c r="J4032" i="7" a="1"/>
  <c r="M4032" i="7"/>
  <c r="I4031" i="7"/>
  <c r="J4031" i="7" a="1"/>
  <c r="M4031" i="7"/>
  <c r="I4030" i="7"/>
  <c r="J4030" i="7" a="1"/>
  <c r="M4030" i="7"/>
  <c r="I4029" i="7"/>
  <c r="J4029" i="7" a="1"/>
  <c r="M4029" i="7"/>
  <c r="I4028" i="7"/>
  <c r="J4028" i="7" a="1"/>
  <c r="M4028" i="7"/>
  <c r="I4058" i="7"/>
  <c r="J4058" i="7" a="1"/>
  <c r="M4058" i="7"/>
  <c r="I4057" i="7"/>
  <c r="J4057" i="7" a="1"/>
  <c r="M4057" i="7"/>
  <c r="I4056" i="7"/>
  <c r="J4056" i="7" a="1"/>
  <c r="M4056" i="7"/>
  <c r="I4055" i="7"/>
  <c r="J4055" i="7" a="1"/>
  <c r="M4055" i="7"/>
  <c r="I4054" i="7"/>
  <c r="J4054" i="7" a="1"/>
  <c r="M4054" i="7"/>
  <c r="I4053" i="7"/>
  <c r="J4053" i="7" a="1"/>
  <c r="M4053" i="7"/>
  <c r="I4052" i="7"/>
  <c r="J4052" i="7" a="1"/>
  <c r="M4052" i="7"/>
  <c r="I4051" i="7"/>
  <c r="J4051" i="7" a="1"/>
  <c r="M4051" i="7"/>
  <c r="I4050" i="7"/>
  <c r="J4050" i="7" a="1"/>
  <c r="M4050" i="7"/>
  <c r="I4049" i="7"/>
  <c r="J4049" i="7" a="1"/>
  <c r="M4049" i="7"/>
  <c r="I4048" i="7"/>
  <c r="J4048" i="7" a="1"/>
  <c r="M4048" i="7"/>
  <c r="I4047" i="7"/>
  <c r="J4047" i="7" a="1"/>
  <c r="M4047" i="7"/>
  <c r="I4046" i="7"/>
  <c r="J4046" i="7" a="1"/>
  <c r="M4046" i="7"/>
  <c r="I4045" i="7"/>
  <c r="J4045" i="7" a="1"/>
  <c r="M4045" i="7"/>
  <c r="I4073" i="7"/>
  <c r="J4073" i="7" a="1"/>
  <c r="M4073" i="7"/>
  <c r="I4072" i="7"/>
  <c r="J4072" i="7" a="1"/>
  <c r="M4072" i="7"/>
  <c r="I4071" i="7"/>
  <c r="J4071" i="7" a="1"/>
  <c r="M4071" i="7"/>
  <c r="I4070" i="7"/>
  <c r="J4070" i="7" a="1"/>
  <c r="M4070" i="7"/>
  <c r="I4069" i="7"/>
  <c r="J4069" i="7" a="1"/>
  <c r="M4069" i="7"/>
  <c r="I4068" i="7"/>
  <c r="J4068" i="7" a="1"/>
  <c r="M4068" i="7"/>
  <c r="I4067" i="7"/>
  <c r="J4067" i="7" a="1"/>
  <c r="M4067" i="7"/>
  <c r="I4066" i="7"/>
  <c r="J4066" i="7" a="1"/>
  <c r="M4066" i="7"/>
  <c r="I4065" i="7"/>
  <c r="J4065" i="7" a="1"/>
  <c r="M4065" i="7"/>
  <c r="I4064" i="7"/>
  <c r="J4064" i="7" a="1"/>
  <c r="M4064" i="7"/>
  <c r="I4063" i="7"/>
  <c r="J4063" i="7" a="1"/>
  <c r="M4063" i="7"/>
  <c r="I4062" i="7"/>
  <c r="J4062" i="7" a="1"/>
  <c r="M4062" i="7"/>
  <c r="I4061" i="7"/>
  <c r="J4061" i="7" a="1"/>
  <c r="M4061" i="7"/>
  <c r="I4060" i="7"/>
  <c r="J4060" i="7" a="1"/>
  <c r="M4060" i="7"/>
  <c r="I4059" i="7"/>
  <c r="J4059" i="7" a="1"/>
  <c r="M4059" i="7"/>
  <c r="I4090" i="7"/>
  <c r="J4090" i="7" a="1"/>
  <c r="M4090" i="7"/>
  <c r="I4089" i="7"/>
  <c r="J4089" i="7" a="1"/>
  <c r="M4089" i="7"/>
  <c r="I4088" i="7"/>
  <c r="J4088" i="7" a="1"/>
  <c r="M4088" i="7"/>
  <c r="I4087" i="7"/>
  <c r="J4087" i="7" a="1"/>
  <c r="M4087" i="7"/>
  <c r="I4086" i="7"/>
  <c r="J4086" i="7" a="1"/>
  <c r="M4086" i="7"/>
  <c r="I4085" i="7"/>
  <c r="J4085" i="7" a="1"/>
  <c r="M4085" i="7"/>
  <c r="I4084" i="7"/>
  <c r="J4084" i="7" a="1"/>
  <c r="M4084" i="7"/>
  <c r="I4083" i="7"/>
  <c r="J4083" i="7" a="1"/>
  <c r="M4083" i="7"/>
  <c r="I4082" i="7"/>
  <c r="J4082" i="7" a="1"/>
  <c r="M4082" i="7"/>
  <c r="I4081" i="7"/>
  <c r="J4081" i="7" a="1"/>
  <c r="M4081" i="7"/>
  <c r="I4080" i="7"/>
  <c r="J4080" i="7" a="1"/>
  <c r="M4080" i="7"/>
  <c r="I4079" i="7"/>
  <c r="J4079" i="7" a="1"/>
  <c r="M4079" i="7"/>
  <c r="I4078" i="7"/>
  <c r="J4078" i="7" a="1"/>
  <c r="M4078" i="7"/>
  <c r="I4077" i="7"/>
  <c r="J4077" i="7" a="1"/>
  <c r="M4077" i="7"/>
  <c r="I4076" i="7"/>
  <c r="J4076" i="7" a="1"/>
  <c r="M4076" i="7"/>
  <c r="I4075" i="7"/>
  <c r="J4075" i="7" a="1"/>
  <c r="M4075" i="7"/>
  <c r="I4074" i="7"/>
  <c r="J4074" i="7" a="1"/>
  <c r="M4074" i="7"/>
  <c r="I4108" i="7"/>
  <c r="J4108" i="7" a="1"/>
  <c r="M4108" i="7"/>
  <c r="I4107" i="7"/>
  <c r="J4107" i="7" a="1"/>
  <c r="M4107" i="7"/>
  <c r="I4106" i="7"/>
  <c r="J4106" i="7" a="1"/>
  <c r="M4106" i="7"/>
  <c r="I4105" i="7"/>
  <c r="J4105" i="7" a="1"/>
  <c r="M4105" i="7"/>
  <c r="I4104" i="7"/>
  <c r="J4104" i="7" a="1"/>
  <c r="M4104" i="7"/>
  <c r="I4103" i="7"/>
  <c r="J4103" i="7" a="1"/>
  <c r="M4103" i="7"/>
  <c r="I4102" i="7"/>
  <c r="J4102" i="7" a="1"/>
  <c r="M4102" i="7"/>
  <c r="I4101" i="7"/>
  <c r="J4101" i="7" a="1"/>
  <c r="M4101" i="7"/>
  <c r="I4100" i="7"/>
  <c r="J4100" i="7" a="1"/>
  <c r="M4100" i="7"/>
  <c r="I4099" i="7"/>
  <c r="J4099" i="7" a="1"/>
  <c r="M4099" i="7"/>
  <c r="I4098" i="7"/>
  <c r="J4098" i="7" a="1"/>
  <c r="M4098" i="7"/>
  <c r="I4097" i="7"/>
  <c r="J4097" i="7" a="1"/>
  <c r="M4097" i="7"/>
  <c r="I4096" i="7"/>
  <c r="J4096" i="7" a="1"/>
  <c r="M4096" i="7"/>
  <c r="I4095" i="7"/>
  <c r="J4095" i="7" a="1"/>
  <c r="M4095" i="7"/>
  <c r="I4094" i="7"/>
  <c r="J4094" i="7" a="1"/>
  <c r="M4094" i="7"/>
  <c r="I4093" i="7"/>
  <c r="J4093" i="7" a="1"/>
  <c r="M4093" i="7"/>
  <c r="I4092" i="7"/>
  <c r="J4092" i="7" a="1"/>
  <c r="M4092" i="7"/>
  <c r="I4124" i="7"/>
  <c r="J4124" i="7" a="1"/>
  <c r="M4124" i="7"/>
  <c r="I4123" i="7"/>
  <c r="J4123" i="7" a="1"/>
  <c r="M4123" i="7"/>
  <c r="I4122" i="7"/>
  <c r="J4122" i="7" a="1"/>
  <c r="M4122" i="7"/>
  <c r="I4121" i="7"/>
  <c r="J4121" i="7" a="1"/>
  <c r="M4121" i="7"/>
  <c r="I4120" i="7"/>
  <c r="J4120" i="7" a="1"/>
  <c r="M4120" i="7"/>
  <c r="I4119" i="7"/>
  <c r="J4119" i="7" a="1"/>
  <c r="M4119" i="7"/>
  <c r="I4118" i="7"/>
  <c r="J4118" i="7" a="1"/>
  <c r="M4118" i="7"/>
  <c r="I4117" i="7"/>
  <c r="J4117" i="7" a="1"/>
  <c r="M4117" i="7"/>
  <c r="I4116" i="7"/>
  <c r="J4116" i="7" a="1"/>
  <c r="M4116" i="7"/>
  <c r="I4115" i="7"/>
  <c r="J4115" i="7" a="1"/>
  <c r="M4115" i="7"/>
  <c r="I4114" i="7"/>
  <c r="J4114" i="7" a="1"/>
  <c r="M4114" i="7"/>
  <c r="I4113" i="7"/>
  <c r="J4113" i="7" a="1"/>
  <c r="M4113" i="7"/>
  <c r="I4112" i="7"/>
  <c r="J4112" i="7" a="1"/>
  <c r="M4112" i="7"/>
  <c r="I4111" i="7"/>
  <c r="J4111" i="7" a="1"/>
  <c r="M4111" i="7"/>
  <c r="I4110" i="7"/>
  <c r="J4110" i="7" a="1"/>
  <c r="M4110" i="7"/>
  <c r="I4109" i="7"/>
  <c r="J4109" i="7" a="1"/>
  <c r="M4109" i="7"/>
  <c r="I4141" i="7"/>
  <c r="J4141" i="7" a="1"/>
  <c r="M4141" i="7"/>
  <c r="I4140" i="7"/>
  <c r="J4140" i="7" a="1"/>
  <c r="M4140" i="7"/>
  <c r="I4139" i="7"/>
  <c r="J4139" i="7" a="1"/>
  <c r="M4139" i="7"/>
  <c r="I4138" i="7"/>
  <c r="J4138" i="7" a="1"/>
  <c r="M4138" i="7"/>
  <c r="I4137" i="7"/>
  <c r="J4137" i="7" a="1"/>
  <c r="M4137" i="7"/>
  <c r="I4136" i="7"/>
  <c r="J4136" i="7" a="1"/>
  <c r="M4136" i="7"/>
  <c r="I4135" i="7"/>
  <c r="J4135" i="7" a="1"/>
  <c r="M4135" i="7"/>
  <c r="I4134" i="7"/>
  <c r="J4134" i="7" a="1"/>
  <c r="M4134" i="7"/>
  <c r="I4133" i="7"/>
  <c r="J4133" i="7" a="1"/>
  <c r="M4133" i="7"/>
  <c r="I4132" i="7"/>
  <c r="J4132" i="7" a="1"/>
  <c r="M4132" i="7"/>
  <c r="I4131" i="7"/>
  <c r="J4131" i="7" a="1"/>
  <c r="M4131" i="7"/>
  <c r="I4130" i="7"/>
  <c r="J4130" i="7" a="1"/>
  <c r="M4130" i="7"/>
  <c r="I4129" i="7"/>
  <c r="J4129" i="7" a="1"/>
  <c r="M4129" i="7"/>
  <c r="I4128" i="7"/>
  <c r="J4128" i="7" a="1"/>
  <c r="M4128" i="7"/>
  <c r="I4127" i="7"/>
  <c r="J4127" i="7" a="1"/>
  <c r="M4127" i="7"/>
  <c r="I4126" i="7"/>
  <c r="J4126" i="7" a="1"/>
  <c r="M4126" i="7"/>
  <c r="I4125" i="7"/>
  <c r="J4125" i="7" a="1"/>
  <c r="M4125" i="7"/>
  <c r="I4155" i="7"/>
  <c r="J4155" i="7" a="1"/>
  <c r="M4155" i="7"/>
  <c r="I4154" i="7"/>
  <c r="J4154" i="7" a="1"/>
  <c r="M4154" i="7"/>
  <c r="I4153" i="7"/>
  <c r="J4153" i="7" a="1"/>
  <c r="M4153" i="7"/>
  <c r="I4152" i="7"/>
  <c r="J4152" i="7" a="1"/>
  <c r="M4152" i="7"/>
  <c r="I4151" i="7"/>
  <c r="J4151" i="7" a="1"/>
  <c r="M4151" i="7"/>
  <c r="I4150" i="7"/>
  <c r="J4150" i="7" a="1"/>
  <c r="M4150" i="7"/>
  <c r="I4149" i="7"/>
  <c r="J4149" i="7" a="1"/>
  <c r="M4149" i="7"/>
  <c r="I4148" i="7"/>
  <c r="J4148" i="7" a="1"/>
  <c r="M4148" i="7"/>
  <c r="I4147" i="7"/>
  <c r="J4147" i="7" a="1"/>
  <c r="M4147" i="7"/>
  <c r="I4146" i="7"/>
  <c r="J4146" i="7" a="1"/>
  <c r="M4146" i="7"/>
  <c r="I4145" i="7"/>
  <c r="J4145" i="7" a="1"/>
  <c r="M4145" i="7"/>
  <c r="I4144" i="7"/>
  <c r="J4144" i="7" a="1"/>
  <c r="M4144" i="7"/>
  <c r="I4143" i="7"/>
  <c r="J4143" i="7" a="1"/>
  <c r="M4143" i="7"/>
  <c r="I4142" i="7"/>
  <c r="J4142" i="7" a="1"/>
  <c r="M4142" i="7"/>
  <c r="I4171" i="7"/>
  <c r="J4171" i="7" a="1"/>
  <c r="M4171" i="7"/>
  <c r="I4170" i="7"/>
  <c r="J4170" i="7" a="1"/>
  <c r="M4170" i="7"/>
  <c r="I4169" i="7"/>
  <c r="J4169" i="7" a="1"/>
  <c r="M4169" i="7"/>
  <c r="I4168" i="7"/>
  <c r="J4168" i="7" a="1"/>
  <c r="M4168" i="7"/>
  <c r="I4167" i="7"/>
  <c r="J4167" i="7" a="1"/>
  <c r="M4167" i="7"/>
  <c r="I4166" i="7"/>
  <c r="J4166" i="7" a="1"/>
  <c r="M4166" i="7"/>
  <c r="I4165" i="7"/>
  <c r="J4165" i="7" a="1"/>
  <c r="M4165" i="7"/>
  <c r="I4164" i="7"/>
  <c r="J4164" i="7" a="1"/>
  <c r="M4164" i="7"/>
  <c r="I4163" i="7"/>
  <c r="J4163" i="7" a="1"/>
  <c r="M4163" i="7"/>
  <c r="I4162" i="7"/>
  <c r="J4162" i="7" a="1"/>
  <c r="M4162" i="7"/>
  <c r="I4161" i="7"/>
  <c r="J4161" i="7" a="1"/>
  <c r="M4161" i="7"/>
  <c r="I4160" i="7"/>
  <c r="J4160" i="7" a="1"/>
  <c r="M4160" i="7"/>
  <c r="I4159" i="7"/>
  <c r="J4159" i="7" a="1"/>
  <c r="M4159" i="7"/>
  <c r="I4158" i="7"/>
  <c r="J4158" i="7" a="1"/>
  <c r="M4158" i="7"/>
  <c r="I4157" i="7"/>
  <c r="J4157" i="7" a="1"/>
  <c r="M4157" i="7"/>
  <c r="I4156" i="7"/>
  <c r="J4156" i="7" a="1"/>
  <c r="M4156" i="7"/>
  <c r="I4185" i="7"/>
  <c r="J4185" i="7" a="1"/>
  <c r="M4185" i="7"/>
  <c r="I4184" i="7"/>
  <c r="J4184" i="7" a="1"/>
  <c r="M4184" i="7"/>
  <c r="I4182" i="7"/>
  <c r="J4182" i="7" a="1"/>
  <c r="M4182" i="7"/>
  <c r="I4181" i="7"/>
  <c r="J4181" i="7" a="1"/>
  <c r="M4181" i="7"/>
  <c r="I4180" i="7"/>
  <c r="J4180" i="7" a="1"/>
  <c r="M4180" i="7"/>
  <c r="I4179" i="7"/>
  <c r="J4179" i="7" a="1"/>
  <c r="M4179" i="7"/>
  <c r="I4178" i="7"/>
  <c r="J4178" i="7" a="1"/>
  <c r="M4178" i="7"/>
  <c r="I4177" i="7"/>
  <c r="J4177" i="7" a="1"/>
  <c r="M4177" i="7"/>
  <c r="I4176" i="7"/>
  <c r="J4176" i="7" a="1"/>
  <c r="M4176" i="7"/>
  <c r="I4175" i="7"/>
  <c r="J4175" i="7" a="1"/>
  <c r="M4175" i="7"/>
  <c r="I4174" i="7"/>
  <c r="J4174" i="7" a="1"/>
  <c r="M4174" i="7"/>
  <c r="I4173" i="7"/>
  <c r="J4173" i="7" a="1"/>
  <c r="M4173" i="7"/>
  <c r="I4172" i="7"/>
  <c r="J4172" i="7" a="1"/>
  <c r="M4172" i="7"/>
  <c r="I4203" i="7"/>
  <c r="J4203" i="7" a="1"/>
  <c r="M4203" i="7"/>
  <c r="I4202" i="7"/>
  <c r="J4202" i="7" a="1"/>
  <c r="M4202" i="7"/>
  <c r="I4201" i="7"/>
  <c r="J4201" i="7" a="1"/>
  <c r="M4201" i="7"/>
  <c r="I4200" i="7"/>
  <c r="J4200" i="7" a="1"/>
  <c r="M4200" i="7"/>
  <c r="I4199" i="7"/>
  <c r="J4199" i="7" a="1"/>
  <c r="M4199" i="7"/>
  <c r="I4198" i="7"/>
  <c r="J4198" i="7" a="1"/>
  <c r="M4198" i="7"/>
  <c r="I4197" i="7"/>
  <c r="J4197" i="7" a="1"/>
  <c r="M4197" i="7"/>
  <c r="I4196" i="7"/>
  <c r="J4196" i="7" a="1"/>
  <c r="M4196" i="7"/>
  <c r="I4195" i="7"/>
  <c r="J4195" i="7" a="1"/>
  <c r="M4195" i="7"/>
  <c r="I4194" i="7"/>
  <c r="J4194" i="7" a="1"/>
  <c r="M4194" i="7"/>
  <c r="I4193" i="7"/>
  <c r="J4193" i="7" a="1"/>
  <c r="M4193" i="7"/>
  <c r="I4192" i="7"/>
  <c r="J4192" i="7" a="1"/>
  <c r="M4192" i="7"/>
  <c r="I4191" i="7"/>
  <c r="J4191" i="7" a="1"/>
  <c r="M4191" i="7"/>
  <c r="I4190" i="7"/>
  <c r="J4190" i="7" a="1"/>
  <c r="M4190" i="7"/>
  <c r="I4189" i="7"/>
  <c r="J4189" i="7" a="1"/>
  <c r="M4189" i="7"/>
  <c r="I4188" i="7"/>
  <c r="J4188" i="7" a="1"/>
  <c r="M4188" i="7"/>
  <c r="I4187" i="7"/>
  <c r="J4187" i="7" a="1"/>
  <c r="M4187" i="7"/>
  <c r="I4186" i="7"/>
  <c r="J4186" i="7" a="1"/>
  <c r="M4186" i="7"/>
  <c r="I4218" i="7"/>
  <c r="J4218" i="7" a="1"/>
  <c r="M4218" i="7"/>
  <c r="I4217" i="7"/>
  <c r="J4217" i="7" a="1"/>
  <c r="M4217" i="7"/>
  <c r="I4216" i="7"/>
  <c r="J4216" i="7" a="1"/>
  <c r="M4216" i="7"/>
  <c r="I4215" i="7"/>
  <c r="J4215" i="7" a="1"/>
  <c r="M4215" i="7"/>
  <c r="I4214" i="7"/>
  <c r="J4214" i="7" a="1"/>
  <c r="M4214" i="7"/>
  <c r="I4213" i="7"/>
  <c r="J4213" i="7" a="1"/>
  <c r="M4213" i="7"/>
  <c r="I4212" i="7"/>
  <c r="J4212" i="7" a="1"/>
  <c r="M4212" i="7"/>
  <c r="I4211" i="7"/>
  <c r="J4211" i="7" a="1"/>
  <c r="M4211" i="7"/>
  <c r="I4210" i="7"/>
  <c r="J4210" i="7" a="1"/>
  <c r="M4210" i="7"/>
  <c r="I4209" i="7"/>
  <c r="J4209" i="7" a="1"/>
  <c r="M4209" i="7"/>
  <c r="I4208" i="7"/>
  <c r="J4208" i="7" a="1"/>
  <c r="M4208" i="7"/>
  <c r="I4207" i="7"/>
  <c r="J4207" i="7" a="1"/>
  <c r="M4207" i="7"/>
  <c r="I4206" i="7"/>
  <c r="J4206" i="7" a="1"/>
  <c r="M4206" i="7"/>
  <c r="I4205" i="7"/>
  <c r="J4205" i="7" a="1"/>
  <c r="M4205" i="7"/>
  <c r="I4204" i="7"/>
  <c r="J4204" i="7" a="1"/>
  <c r="M4204" i="7"/>
  <c r="I4232" i="7"/>
  <c r="J4232" i="7" a="1"/>
  <c r="M4232" i="7"/>
  <c r="I4231" i="7"/>
  <c r="J4231" i="7" a="1"/>
  <c r="M4231" i="7"/>
  <c r="I4230" i="7"/>
  <c r="J4230" i="7" a="1"/>
  <c r="M4230" i="7"/>
  <c r="I4229" i="7"/>
  <c r="J4229" i="7" a="1"/>
  <c r="M4229" i="7"/>
  <c r="I4228" i="7"/>
  <c r="J4228" i="7" a="1"/>
  <c r="M4228" i="7"/>
  <c r="I4227" i="7"/>
  <c r="J4227" i="7" a="1"/>
  <c r="M4227" i="7"/>
  <c r="I4226" i="7"/>
  <c r="J4226" i="7" a="1"/>
  <c r="M4226" i="7"/>
  <c r="I4225" i="7"/>
  <c r="J4225" i="7" a="1"/>
  <c r="M4225" i="7"/>
  <c r="I4224" i="7"/>
  <c r="J4224" i="7" a="1"/>
  <c r="M4224" i="7"/>
  <c r="I4223" i="7"/>
  <c r="J4223" i="7" a="1"/>
  <c r="M4223" i="7"/>
  <c r="I4222" i="7"/>
  <c r="J4222" i="7" a="1"/>
  <c r="M4222" i="7"/>
  <c r="I4221" i="7"/>
  <c r="J4221" i="7" a="1"/>
  <c r="M4221" i="7"/>
  <c r="I4220" i="7"/>
  <c r="J4220" i="7" a="1"/>
  <c r="M4220" i="7"/>
  <c r="I4219" i="7"/>
  <c r="J4219" i="7" a="1"/>
  <c r="M4219" i="7"/>
  <c r="I4245" i="7"/>
  <c r="J4245" i="7" a="1"/>
  <c r="M4245" i="7"/>
  <c r="I4244" i="7"/>
  <c r="J4244" i="7" a="1"/>
  <c r="M4244" i="7"/>
  <c r="I4243" i="7"/>
  <c r="J4243" i="7" a="1"/>
  <c r="M4243" i="7"/>
  <c r="I4242" i="7"/>
  <c r="J4242" i="7" a="1"/>
  <c r="M4242" i="7"/>
  <c r="I4241" i="7"/>
  <c r="J4241" i="7" a="1"/>
  <c r="M4241" i="7"/>
  <c r="I4240" i="7"/>
  <c r="J4240" i="7" a="1"/>
  <c r="M4240" i="7"/>
  <c r="I4239" i="7"/>
  <c r="J4239" i="7" a="1"/>
  <c r="M4239" i="7"/>
  <c r="I4237" i="7"/>
  <c r="J4237" i="7" a="1"/>
  <c r="M4237" i="7"/>
  <c r="I4236" i="7"/>
  <c r="J4236" i="7" a="1"/>
  <c r="M4236" i="7"/>
  <c r="I4235" i="7"/>
  <c r="J4235" i="7" a="1"/>
  <c r="M4235" i="7"/>
  <c r="I4234" i="7"/>
  <c r="J4234" i="7" a="1"/>
  <c r="M4234" i="7"/>
  <c r="I4233" i="7"/>
  <c r="J4233" i="7" a="1"/>
  <c r="M4233" i="7"/>
  <c r="I4260" i="7"/>
  <c r="J4260" i="7" a="1"/>
  <c r="M4260" i="7"/>
  <c r="I4259" i="7"/>
  <c r="J4259" i="7" a="1"/>
  <c r="M4259" i="7"/>
  <c r="I4258" i="7"/>
  <c r="J4258" i="7" a="1"/>
  <c r="M4258" i="7"/>
  <c r="I4257" i="7"/>
  <c r="J4257" i="7" a="1"/>
  <c r="M4257" i="7"/>
  <c r="I4256" i="7"/>
  <c r="J4256" i="7" a="1"/>
  <c r="M4256" i="7"/>
  <c r="I4255" i="7"/>
  <c r="J4255" i="7" a="1"/>
  <c r="M4255" i="7"/>
  <c r="I4254" i="7"/>
  <c r="J4254" i="7" a="1"/>
  <c r="M4254" i="7"/>
  <c r="I4253" i="7"/>
  <c r="J4253" i="7" a="1"/>
  <c r="M4253" i="7"/>
  <c r="I4252" i="7"/>
  <c r="J4252" i="7" a="1"/>
  <c r="M4252" i="7"/>
  <c r="I4251" i="7"/>
  <c r="J4251" i="7" a="1"/>
  <c r="M4251" i="7"/>
  <c r="I4250" i="7"/>
  <c r="J4250" i="7" a="1"/>
  <c r="M4250" i="7"/>
  <c r="I4249" i="7"/>
  <c r="J4249" i="7" a="1"/>
  <c r="M4249" i="7"/>
  <c r="I4248" i="7"/>
  <c r="J4248" i="7" a="1"/>
  <c r="M4248" i="7"/>
  <c r="I4247" i="7"/>
  <c r="J4247" i="7" a="1"/>
  <c r="M4247" i="7"/>
  <c r="I4246" i="7"/>
  <c r="J4246" i="7" a="1"/>
  <c r="M4246" i="7"/>
  <c r="I4278" i="7"/>
  <c r="J4278" i="7" a="1"/>
  <c r="M4278" i="7"/>
  <c r="J4277" i="7" a="1"/>
  <c r="M4277" i="7"/>
  <c r="I4277" i="7"/>
  <c r="I4276" i="7"/>
  <c r="J4276" i="7" a="1"/>
  <c r="M4276" i="7"/>
  <c r="I4275" i="7"/>
  <c r="J4275" i="7" a="1"/>
  <c r="M4275" i="7"/>
  <c r="M4274" i="7"/>
  <c r="I4274" i="7"/>
  <c r="J4274" i="7" a="1"/>
  <c r="I4273" i="7"/>
  <c r="J4273" i="7" a="1"/>
  <c r="M4273" i="7"/>
  <c r="I4272" i="7"/>
  <c r="J4272" i="7" a="1"/>
  <c r="M4272" i="7"/>
  <c r="I4271" i="7"/>
  <c r="J4271" i="7" a="1"/>
  <c r="M4271" i="7"/>
  <c r="I4270" i="7"/>
  <c r="J4270" i="7" a="1"/>
  <c r="M4270" i="7"/>
  <c r="I4269" i="7"/>
  <c r="J4269" i="7" a="1"/>
  <c r="M4269" i="7"/>
  <c r="I4268" i="7"/>
  <c r="J4268" i="7" a="1"/>
  <c r="M4268" i="7"/>
  <c r="I4267" i="7"/>
  <c r="J4267" i="7" a="1"/>
  <c r="M4267" i="7"/>
  <c r="I4266" i="7"/>
  <c r="J4266" i="7" a="1"/>
  <c r="M4266" i="7"/>
  <c r="J4265" i="7" a="1"/>
  <c r="M4265" i="7"/>
  <c r="I4265" i="7"/>
  <c r="I4264" i="7"/>
  <c r="J4264" i="7" a="1"/>
  <c r="M4264" i="7"/>
  <c r="J4263" i="7" a="1"/>
  <c r="M4263" i="7"/>
  <c r="I4263" i="7"/>
  <c r="I4262" i="7"/>
  <c r="J4262" i="7" a="1"/>
  <c r="M4262" i="7"/>
  <c r="J4261" i="7" a="1"/>
  <c r="I4261" i="7"/>
  <c r="M4261" i="7"/>
  <c r="I4293" i="7"/>
  <c r="J4293" i="7" a="1"/>
  <c r="M4293" i="7"/>
  <c r="I4292" i="7"/>
  <c r="J4292" i="7" a="1"/>
  <c r="M4292" i="7"/>
  <c r="M4291" i="7"/>
  <c r="I4291" i="7"/>
  <c r="J4291" i="7" a="1"/>
  <c r="I4290" i="7"/>
  <c r="J4290" i="7" a="1"/>
  <c r="M4290" i="7"/>
  <c r="M4289" i="7"/>
  <c r="J4289" i="7" a="1"/>
  <c r="I4289" i="7"/>
  <c r="I4288" i="7"/>
  <c r="J4288" i="7" a="1"/>
  <c r="M4288" i="7"/>
  <c r="M4287" i="7"/>
  <c r="J4287" i="7" a="1"/>
  <c r="I4287" i="7"/>
  <c r="I4286" i="7"/>
  <c r="J4286" i="7" a="1"/>
  <c r="M4286" i="7"/>
  <c r="I4284" i="7"/>
  <c r="J4284" i="7" a="1"/>
  <c r="M4284" i="7"/>
  <c r="I4283" i="7"/>
  <c r="J4283" i="7" a="1"/>
  <c r="M4283" i="7"/>
  <c r="I4282" i="7"/>
  <c r="J4282" i="7" a="1"/>
  <c r="M4282" i="7"/>
  <c r="I4281" i="7"/>
  <c r="J4281" i="7" a="1"/>
  <c r="M4281" i="7"/>
  <c r="I4280" i="7"/>
  <c r="J4280" i="7" a="1"/>
  <c r="M4280" i="7"/>
  <c r="J4279" i="7" a="1"/>
  <c r="M4279" i="7"/>
  <c r="I4279" i="7"/>
  <c r="I4314" i="7"/>
  <c r="J4314" i="7" a="1"/>
  <c r="M4314" i="7"/>
  <c r="I4313" i="7"/>
  <c r="J4313" i="7" a="1"/>
  <c r="M4313" i="7"/>
  <c r="I4312" i="7"/>
  <c r="J4312" i="7" a="1"/>
  <c r="M4312" i="7"/>
  <c r="I4310" i="7"/>
  <c r="J4310" i="7" a="1"/>
  <c r="M4310" i="7"/>
  <c r="I4309" i="7"/>
  <c r="J4309" i="7" a="1"/>
  <c r="M4309" i="7"/>
  <c r="I4308" i="7"/>
  <c r="J4308" i="7" a="1"/>
  <c r="M4308" i="7"/>
  <c r="I4307" i="7"/>
  <c r="J4307" i="7" a="1"/>
  <c r="M4307" i="7"/>
  <c r="I4306" i="7"/>
  <c r="J4306" i="7" a="1"/>
  <c r="M4306" i="7"/>
  <c r="I4304" i="7"/>
  <c r="J4304" i="7" a="1"/>
  <c r="M4304" i="7"/>
  <c r="I4303" i="7"/>
  <c r="M4303" i="7"/>
  <c r="J4303" i="7" a="1"/>
  <c r="I4301" i="7"/>
  <c r="J4301" i="7" a="1"/>
  <c r="M4301" i="7"/>
  <c r="I4300" i="7"/>
  <c r="J4300" i="7" a="1"/>
  <c r="M4300" i="7"/>
  <c r="I4298" i="7"/>
  <c r="J4298" i="7" a="1"/>
  <c r="M4298" i="7"/>
  <c r="J4297" i="7" a="1"/>
  <c r="M4297" i="7"/>
  <c r="I4297" i="7"/>
  <c r="I4296" i="7"/>
  <c r="J4296" i="7" a="1"/>
  <c r="M4296" i="7"/>
  <c r="M4295" i="7"/>
  <c r="I4295" i="7"/>
  <c r="J4295" i="7" a="1"/>
  <c r="I4294" i="7"/>
  <c r="J4294" i="7" a="1"/>
  <c r="M4294" i="7"/>
  <c r="I4340" i="7"/>
  <c r="J4340" i="7" a="1"/>
  <c r="M4340" i="7"/>
  <c r="I4339" i="7"/>
  <c r="J4339" i="7" a="1"/>
  <c r="M4339" i="7"/>
  <c r="I4338" i="7"/>
  <c r="J4338" i="7" a="1"/>
  <c r="M4338" i="7"/>
  <c r="I4337" i="7"/>
  <c r="J4337" i="7" a="1"/>
  <c r="M4337" i="7"/>
  <c r="I4336" i="7"/>
  <c r="J4336" i="7" a="1"/>
  <c r="M4336" i="7"/>
  <c r="I4335" i="7"/>
  <c r="J4335" i="7" a="1"/>
  <c r="M4335" i="7"/>
  <c r="I4334" i="7"/>
  <c r="J4334" i="7" a="1"/>
  <c r="M4334" i="7"/>
  <c r="I4333" i="7"/>
  <c r="J4333" i="7" a="1"/>
  <c r="M4333" i="7"/>
  <c r="I4331" i="7"/>
  <c r="J4331" i="7" a="1"/>
  <c r="M4331" i="7"/>
  <c r="I4330" i="7"/>
  <c r="J4330" i="7" a="1"/>
  <c r="M4330" i="7"/>
  <c r="J4329" i="7" a="1"/>
  <c r="M4329" i="7"/>
  <c r="I4329" i="7"/>
  <c r="I4328" i="7"/>
  <c r="J4328" i="7" a="1"/>
  <c r="M4328" i="7"/>
  <c r="J4327" i="7" a="1"/>
  <c r="I4327" i="7"/>
  <c r="M4327" i="7"/>
  <c r="I4326" i="7"/>
  <c r="J4326" i="7" a="1"/>
  <c r="M4326" i="7"/>
  <c r="I4325" i="7"/>
  <c r="J4325" i="7" a="1"/>
  <c r="M4325" i="7"/>
  <c r="I4324" i="7"/>
  <c r="J4324" i="7" a="1"/>
  <c r="M4324" i="7"/>
  <c r="I4323" i="7"/>
  <c r="J4323" i="7" a="1"/>
  <c r="M4323" i="7"/>
  <c r="I4322" i="7"/>
  <c r="J4322" i="7" a="1"/>
  <c r="M4322" i="7"/>
  <c r="I4321" i="7"/>
  <c r="J4321" i="7" a="1"/>
  <c r="M4321" i="7"/>
  <c r="J4320" i="7" a="1"/>
  <c r="M4320" i="7"/>
  <c r="I4320" i="7"/>
  <c r="I4319" i="7"/>
  <c r="J4319" i="7" a="1"/>
  <c r="M4319" i="7"/>
  <c r="I4318" i="7"/>
  <c r="J4318" i="7" a="1"/>
  <c r="M4318" i="7"/>
  <c r="I4317" i="7"/>
  <c r="J4317" i="7" a="1"/>
  <c r="M4317" i="7"/>
  <c r="I4316" i="7"/>
  <c r="J4316" i="7" a="1"/>
  <c r="M4316" i="7"/>
  <c r="I4315" i="7"/>
  <c r="J4315" i="7" a="1"/>
  <c r="M4315" i="7"/>
  <c r="I4356" i="7"/>
  <c r="J4356" i="7" a="1"/>
  <c r="M4356" i="7"/>
  <c r="J4355" i="7" a="1"/>
  <c r="M4355" i="7"/>
  <c r="I4355" i="7"/>
  <c r="I4354" i="7"/>
  <c r="J4354" i="7" a="1"/>
  <c r="M4354" i="7"/>
  <c r="I4353" i="7"/>
  <c r="J4353" i="7" a="1"/>
  <c r="M4353" i="7"/>
  <c r="J4352" i="7" a="1"/>
  <c r="I4352" i="7"/>
  <c r="M4352" i="7"/>
  <c r="M4351" i="7"/>
  <c r="I4351" i="7"/>
  <c r="J4351" i="7" a="1"/>
  <c r="I4350" i="7"/>
  <c r="J4350" i="7" a="1"/>
  <c r="M4350" i="7"/>
  <c r="I4349" i="7"/>
  <c r="J4349" i="7" a="1"/>
  <c r="M4349" i="7"/>
  <c r="I4347" i="7"/>
  <c r="J4347" i="7" a="1"/>
  <c r="M4347" i="7"/>
  <c r="J4346" i="7" a="1"/>
  <c r="M4346" i="7"/>
  <c r="I4346" i="7"/>
  <c r="I4345" i="7"/>
  <c r="J4345" i="7" a="1"/>
  <c r="M4345" i="7"/>
  <c r="I4343" i="7"/>
  <c r="J4343" i="7" a="1"/>
  <c r="M4343" i="7"/>
  <c r="J4342" i="7" a="1"/>
  <c r="M4342" i="7"/>
  <c r="I4342" i="7"/>
  <c r="I4341" i="7"/>
  <c r="J4341" i="7" a="1"/>
  <c r="M4341" i="7"/>
  <c r="I4372" i="7"/>
  <c r="J4372" i="7" a="1"/>
  <c r="M4372" i="7"/>
  <c r="I4370" i="7"/>
  <c r="J4370" i="7" a="1"/>
  <c r="M4370" i="7"/>
  <c r="I4369" i="7"/>
  <c r="J4369" i="7" a="1"/>
  <c r="M4369" i="7"/>
  <c r="I4368" i="7"/>
  <c r="J4368" i="7" a="1"/>
  <c r="M4368" i="7"/>
  <c r="I4367" i="7"/>
  <c r="J4367" i="7" a="1"/>
  <c r="M4367" i="7"/>
  <c r="I4366" i="7"/>
  <c r="J4366" i="7" a="1"/>
  <c r="M4366" i="7"/>
  <c r="I4364" i="7"/>
  <c r="J4364" i="7" a="1"/>
  <c r="M4364" i="7"/>
  <c r="I4363" i="7"/>
  <c r="J4363" i="7" a="1"/>
  <c r="M4363" i="7"/>
  <c r="I4362" i="7"/>
  <c r="J4362" i="7" a="1"/>
  <c r="M4362" i="7"/>
  <c r="I4361" i="7"/>
  <c r="J4361" i="7" a="1"/>
  <c r="M4361" i="7"/>
  <c r="I4360" i="7"/>
  <c r="J4360" i="7" a="1"/>
  <c r="M4360" i="7"/>
  <c r="I4359" i="7"/>
  <c r="J4359" i="7" a="1"/>
  <c r="M4359" i="7"/>
  <c r="M4358" i="7"/>
  <c r="I4358" i="7"/>
  <c r="J4358" i="7" a="1"/>
  <c r="I4357" i="7"/>
  <c r="J4357" i="7" a="1"/>
  <c r="M4357" i="7"/>
  <c r="I4385" i="7"/>
  <c r="M4385" i="7"/>
  <c r="J4385" i="7" a="1"/>
  <c r="I4384" i="7"/>
  <c r="J4384" i="7" a="1"/>
  <c r="M4384" i="7"/>
  <c r="I4383" i="7"/>
  <c r="J4383" i="7" a="1"/>
  <c r="M4383" i="7"/>
  <c r="I4382" i="7"/>
  <c r="J4382" i="7" a="1"/>
  <c r="M4382" i="7"/>
  <c r="I4380" i="7"/>
  <c r="J4380" i="7" a="1"/>
  <c r="M4380" i="7"/>
  <c r="I4379" i="7"/>
  <c r="J4379" i="7" a="1"/>
  <c r="M4379" i="7"/>
  <c r="I4378" i="7"/>
  <c r="J4378" i="7" a="1"/>
  <c r="M4378" i="7"/>
  <c r="I4377" i="7"/>
  <c r="J4377" i="7" a="1"/>
  <c r="M4377" i="7"/>
  <c r="I4375" i="7"/>
  <c r="J4375" i="7" a="1"/>
  <c r="M4375" i="7"/>
  <c r="I4374" i="7"/>
  <c r="J4374" i="7" a="1"/>
  <c r="M4374" i="7"/>
  <c r="I4373" i="7"/>
  <c r="J4373" i="7" a="1"/>
  <c r="M4373" i="7"/>
  <c r="I4400" i="7"/>
  <c r="J4400" i="7" a="1"/>
  <c r="M4400" i="7"/>
  <c r="I4399" i="7"/>
  <c r="J4399" i="7" a="1"/>
  <c r="M4399" i="7"/>
  <c r="I4398" i="7"/>
  <c r="J4398" i="7" a="1"/>
  <c r="M4398" i="7"/>
  <c r="J4397" i="7" a="1"/>
  <c r="M4397" i="7"/>
  <c r="I4397" i="7"/>
  <c r="I4396" i="7"/>
  <c r="J4396" i="7" a="1"/>
  <c r="M4396" i="7"/>
  <c r="I4395" i="7"/>
  <c r="J4395" i="7" a="1"/>
  <c r="M4395" i="7"/>
  <c r="I4394" i="7"/>
  <c r="J4394" i="7" a="1"/>
  <c r="M4394" i="7"/>
  <c r="I4393" i="7"/>
  <c r="J4393" i="7" a="1"/>
  <c r="M4393" i="7"/>
  <c r="I4392" i="7"/>
  <c r="J4392" i="7" a="1"/>
  <c r="M4392" i="7"/>
  <c r="I4391" i="7"/>
  <c r="J4391" i="7" a="1"/>
  <c r="M4391" i="7"/>
  <c r="I4390" i="7"/>
  <c r="J4390" i="7" a="1"/>
  <c r="M4390" i="7"/>
  <c r="I4389" i="7"/>
  <c r="J4389" i="7" a="1"/>
  <c r="M4389" i="7"/>
  <c r="I4388" i="7"/>
  <c r="J4388" i="7" a="1"/>
  <c r="M4388" i="7"/>
  <c r="I4387" i="7"/>
  <c r="J4387" i="7" a="1"/>
  <c r="M4387" i="7"/>
  <c r="I4386" i="7"/>
  <c r="J4386" i="7" a="1"/>
  <c r="M4386" i="7"/>
  <c r="I4413" i="7"/>
  <c r="J4413" i="7" a="1"/>
  <c r="M4413" i="7"/>
  <c r="I4412" i="7"/>
  <c r="J4412" i="7" a="1"/>
  <c r="M4412" i="7"/>
  <c r="I4411" i="7"/>
  <c r="J4411" i="7" a="1"/>
  <c r="M4411" i="7"/>
  <c r="I4410" i="7"/>
  <c r="J4410" i="7" a="1"/>
  <c r="M4410" i="7"/>
  <c r="I4409" i="7"/>
  <c r="J4409" i="7" a="1"/>
  <c r="M4409" i="7"/>
  <c r="I4408" i="7"/>
  <c r="J4408" i="7" a="1"/>
  <c r="M4408" i="7"/>
  <c r="I4407" i="7"/>
  <c r="J4407" i="7" a="1"/>
  <c r="M4407" i="7"/>
  <c r="J4406" i="7" a="1"/>
  <c r="M4406" i="7"/>
  <c r="I4406" i="7"/>
  <c r="I4405" i="7"/>
  <c r="J4405" i="7" a="1"/>
  <c r="M4405" i="7"/>
  <c r="I4404" i="7"/>
  <c r="J4404" i="7" a="1"/>
  <c r="M4404" i="7"/>
  <c r="I4403" i="7"/>
  <c r="J4403" i="7" a="1"/>
  <c r="M4403" i="7"/>
  <c r="I4402" i="7"/>
  <c r="J4402" i="7" a="1"/>
  <c r="M4402" i="7"/>
  <c r="I4401" i="7"/>
  <c r="J4401" i="7" a="1"/>
  <c r="M4401" i="7"/>
  <c r="I4425" i="7"/>
  <c r="J4425" i="7" a="1"/>
  <c r="M4425" i="7"/>
  <c r="I4424" i="7"/>
  <c r="J4424" i="7" a="1"/>
  <c r="M4424" i="7"/>
  <c r="I4423" i="7"/>
  <c r="J4423" i="7" a="1"/>
  <c r="M4423" i="7"/>
  <c r="I4422" i="7"/>
  <c r="J4422" i="7" a="1"/>
  <c r="M4422" i="7"/>
  <c r="I4421" i="7"/>
  <c r="J4421" i="7" a="1"/>
  <c r="M4421" i="7"/>
  <c r="I4418" i="7"/>
  <c r="J4418" i="7" a="1"/>
  <c r="M4418" i="7"/>
  <c r="J4417" i="7" a="1"/>
  <c r="I4417" i="7"/>
  <c r="M4417" i="7"/>
  <c r="I4416" i="7"/>
  <c r="J4416" i="7" a="1"/>
  <c r="M4416" i="7"/>
  <c r="I4415" i="7"/>
  <c r="J4415" i="7" a="1"/>
  <c r="M4415" i="7"/>
  <c r="I4414" i="7"/>
  <c r="J4414" i="7" a="1"/>
  <c r="M4414" i="7"/>
  <c r="I4433" i="7"/>
  <c r="J4433" i="7" a="1"/>
  <c r="M4433" i="7"/>
  <c r="I4432" i="7"/>
  <c r="J4432" i="7" a="1"/>
  <c r="M4432" i="7"/>
  <c r="I4431" i="7"/>
  <c r="J4431" i="7" a="1"/>
  <c r="M4431" i="7"/>
  <c r="I4430" i="7"/>
  <c r="J4430" i="7" a="1"/>
  <c r="M4430" i="7"/>
  <c r="I4429" i="7"/>
  <c r="J4429" i="7" a="1"/>
  <c r="M4429" i="7"/>
  <c r="J4428" i="7" a="1"/>
  <c r="M4428" i="7"/>
  <c r="I4428" i="7"/>
  <c r="I4427" i="7"/>
  <c r="J4427" i="7" a="1"/>
  <c r="M4427" i="7"/>
  <c r="I4426" i="7"/>
  <c r="J4426" i="7" a="1"/>
  <c r="M4426" i="7"/>
  <c r="I4445" i="7"/>
  <c r="J4445" i="7" a="1"/>
  <c r="M4445" i="7"/>
  <c r="I4444" i="7"/>
  <c r="J4444" i="7" a="1"/>
  <c r="M4444" i="7"/>
  <c r="I4443" i="7"/>
  <c r="J4443" i="7" a="1"/>
  <c r="M4443" i="7"/>
  <c r="I4442" i="7"/>
  <c r="J4442" i="7" a="1"/>
  <c r="M4442" i="7"/>
  <c r="I4441" i="7"/>
  <c r="J4441" i="7" a="1"/>
  <c r="M4441" i="7"/>
  <c r="I4440" i="7"/>
  <c r="M4440" i="7"/>
  <c r="J4440" i="7" a="1"/>
  <c r="I4439" i="7"/>
  <c r="J4439" i="7" a="1"/>
  <c r="M4439" i="7"/>
  <c r="J4438" i="7" a="1"/>
  <c r="M4438" i="7"/>
  <c r="I4438" i="7"/>
  <c r="I4437" i="7"/>
  <c r="J4437" i="7" a="1"/>
  <c r="M4437" i="7"/>
  <c r="I4436" i="7"/>
  <c r="J4436" i="7" a="1"/>
  <c r="M4436" i="7"/>
  <c r="I4435" i="7"/>
  <c r="J4435" i="7" a="1"/>
  <c r="M4435" i="7"/>
  <c r="I4434" i="7"/>
  <c r="J4434" i="7" a="1"/>
  <c r="M4434" i="7"/>
  <c r="I4455" i="7"/>
  <c r="J4455" i="7" a="1"/>
  <c r="M4455" i="7"/>
  <c r="I4453" i="7"/>
  <c r="J4453" i="7" a="1"/>
  <c r="M4453" i="7"/>
  <c r="I4452" i="7"/>
  <c r="J4452" i="7" a="1"/>
  <c r="M4452" i="7"/>
  <c r="I4451" i="7"/>
  <c r="J4451" i="7" a="1"/>
  <c r="M4451" i="7"/>
  <c r="I4450" i="7"/>
  <c r="J4450" i="7" a="1"/>
  <c r="M4450" i="7"/>
  <c r="J4449" i="7" a="1"/>
  <c r="M4449" i="7"/>
  <c r="I4449" i="7"/>
  <c r="I4448" i="7"/>
  <c r="J4448" i="7" a="1"/>
  <c r="M4448" i="7"/>
  <c r="I4447" i="7"/>
  <c r="J4447" i="7" a="1"/>
  <c r="M4447" i="7"/>
  <c r="I4446" i="7"/>
  <c r="J4446" i="7" a="1"/>
  <c r="M4446" i="7"/>
  <c r="I4467" i="7"/>
  <c r="J4467" i="7" a="1"/>
  <c r="M4467" i="7"/>
  <c r="I4466" i="7"/>
  <c r="J4466" i="7" a="1"/>
  <c r="M4466" i="7"/>
  <c r="I4465" i="7"/>
  <c r="J4465" i="7" a="1"/>
  <c r="M4465" i="7"/>
  <c r="I4464" i="7"/>
  <c r="J4464" i="7" a="1"/>
  <c r="M4464" i="7"/>
  <c r="I4463" i="7"/>
  <c r="J4463" i="7" a="1"/>
  <c r="M4463" i="7"/>
  <c r="I4462" i="7"/>
  <c r="J4462" i="7" a="1"/>
  <c r="M4462" i="7"/>
  <c r="I4461" i="7"/>
  <c r="J4461" i="7" a="1"/>
  <c r="M4461" i="7"/>
  <c r="I4460" i="7"/>
  <c r="J4460" i="7" a="1"/>
  <c r="M4460" i="7"/>
  <c r="I4459" i="7"/>
  <c r="J4459" i="7" a="1"/>
  <c r="M4459" i="7"/>
  <c r="I4458" i="7"/>
  <c r="J4458" i="7" a="1"/>
  <c r="M4458" i="7"/>
  <c r="I4457" i="7"/>
  <c r="J4457" i="7" a="1"/>
  <c r="M4457" i="7"/>
  <c r="I4473" i="7"/>
  <c r="J4473" i="7" a="1"/>
  <c r="M4473" i="7"/>
  <c r="I4472" i="7"/>
  <c r="M4472" i="7"/>
  <c r="J4472" i="7" a="1"/>
  <c r="I4471" i="7"/>
  <c r="J4471" i="7" a="1"/>
  <c r="M4471" i="7"/>
  <c r="I4470" i="7"/>
  <c r="J4470" i="7" a="1"/>
  <c r="M4470" i="7"/>
  <c r="I4469" i="7"/>
  <c r="J4469" i="7" a="1"/>
  <c r="M4469" i="7"/>
  <c r="J4468" i="7" a="1"/>
  <c r="M4468" i="7"/>
  <c r="I4468" i="7"/>
  <c r="I4483" i="7"/>
  <c r="J4483" i="7" a="1"/>
  <c r="M4483" i="7"/>
  <c r="I4482" i="7"/>
  <c r="J4482" i="7" a="1"/>
  <c r="M4482" i="7"/>
  <c r="I4481" i="7"/>
  <c r="J4481" i="7" a="1"/>
  <c r="M4481" i="7"/>
  <c r="I4480" i="7"/>
  <c r="J4480" i="7" a="1"/>
  <c r="M4480" i="7"/>
  <c r="I4479" i="7"/>
  <c r="J4479" i="7" a="1"/>
  <c r="M4479" i="7"/>
  <c r="I4478" i="7"/>
  <c r="J4478" i="7" a="1"/>
  <c r="M4478" i="7"/>
  <c r="I4477" i="7"/>
  <c r="J4477" i="7" a="1"/>
  <c r="M4477" i="7"/>
  <c r="I4476" i="7"/>
  <c r="J4476" i="7" a="1"/>
  <c r="M4476" i="7"/>
  <c r="J4475" i="7" a="1"/>
  <c r="M4475" i="7"/>
  <c r="I4475" i="7"/>
  <c r="I4474" i="7"/>
  <c r="M4474" i="7"/>
  <c r="J4474" i="7" a="1"/>
  <c r="I4491" i="7"/>
  <c r="J4491" i="7" a="1"/>
  <c r="M4491" i="7"/>
  <c r="I4489" i="7"/>
  <c r="J4489" i="7" a="1"/>
  <c r="M4489" i="7"/>
  <c r="J4488" i="7" a="1"/>
  <c r="I4488" i="7"/>
  <c r="M4488" i="7"/>
  <c r="I4487" i="7"/>
  <c r="J4487" i="7" a="1"/>
  <c r="M4487" i="7"/>
  <c r="I4486" i="7"/>
  <c r="J4486" i="7" a="1"/>
  <c r="M4486" i="7"/>
  <c r="I4485" i="7"/>
  <c r="J4485" i="7" a="1"/>
  <c r="M4485" i="7"/>
  <c r="I4484" i="7"/>
  <c r="J4484" i="7" a="1"/>
  <c r="M4484" i="7"/>
  <c r="I4496" i="7"/>
  <c r="J4496" i="7" a="1"/>
  <c r="M4496" i="7"/>
  <c r="I4495" i="7"/>
  <c r="J4495" i="7" a="1"/>
  <c r="M4495" i="7"/>
  <c r="I4494" i="7"/>
  <c r="J4494" i="7" a="1"/>
  <c r="M4494" i="7"/>
  <c r="I4493" i="7"/>
  <c r="J4493" i="7" a="1"/>
  <c r="M4493" i="7"/>
  <c r="I4492" i="7"/>
  <c r="J4492" i="7" a="1"/>
  <c r="M4492" i="7"/>
  <c r="I4501" i="7"/>
  <c r="J4501" i="7" a="1"/>
  <c r="M4501" i="7"/>
  <c r="I4500" i="7"/>
  <c r="J4500" i="7" a="1"/>
  <c r="M4500" i="7"/>
  <c r="I4499" i="7"/>
  <c r="J4499" i="7" a="1"/>
  <c r="M4499" i="7"/>
  <c r="I4498" i="7"/>
  <c r="J4498" i="7" a="1"/>
  <c r="M4498" i="7"/>
  <c r="I4507" i="7"/>
  <c r="M4507" i="7"/>
  <c r="J4507" i="7" a="1"/>
  <c r="I4506" i="7"/>
  <c r="M4506" i="7"/>
  <c r="J4506" i="7" a="1"/>
  <c r="M4505" i="7"/>
  <c r="I4505" i="7"/>
  <c r="J4505" i="7" a="1"/>
  <c r="J4504" i="7" a="1"/>
  <c r="M4504" i="7"/>
  <c r="I4504" i="7"/>
  <c r="M4503" i="7"/>
  <c r="J4503" i="7" a="1"/>
  <c r="I4503" i="7"/>
  <c r="J4502" i="7" a="1"/>
  <c r="M450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<sst xmlns="http://schemas.openxmlformats.org/spreadsheetml/2006/main" count="5141" uniqueCount="147">
  <si>
    <t>Industry</t>
  </si>
  <si>
    <t>Region</t>
  </si>
  <si>
    <t>Payment_Terms</t>
  </si>
  <si>
    <t>Customer_Size</t>
  </si>
  <si>
    <t>Customer_ID</t>
  </si>
  <si>
    <t>Typical_Payment_Behaviour</t>
  </si>
  <si>
    <t>Account_Manager</t>
  </si>
  <si>
    <t>Invoice_ID</t>
  </si>
  <si>
    <t>Invoice_Date</t>
  </si>
  <si>
    <t>Due_Date</t>
  </si>
  <si>
    <t>Paid_Date</t>
  </si>
  <si>
    <t>Invoice_Value</t>
  </si>
  <si>
    <t>Days_Late</t>
  </si>
  <si>
    <t>Invoice_Status</t>
  </si>
  <si>
    <t>Reminder_Count</t>
  </si>
  <si>
    <t>Disputed_Flag</t>
  </si>
  <si>
    <t>Write_Off_Flag</t>
  </si>
  <si>
    <t>Cash_Flow_Risk_Flag</t>
  </si>
  <si>
    <t>Month</t>
  </si>
  <si>
    <t>Quarter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</si>
  <si>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</si>
  <si>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</si>
  <si>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</si>
  <si>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</si>
  <si>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</si>
  <si>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</si>
  <si>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</si>
  <si>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</si>
  <si>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</si>
  <si>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</si>
  <si>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</si>
  <si>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</si>
  <si>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</si>
  <si>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</si>
  <si>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</si>
  <si>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</si>
  <si>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</si>
  <si>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</si>
  <si>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</si>
  <si>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</si>
  <si>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</si>
  <si>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</si>
  <si>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</si>
  <si>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</si>
  <si>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</si>
  <si>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</si>
  <si>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</si>
  <si>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</si>
  <si>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</si>
  <si>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</si>
  <si>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</si>
  <si>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</si>
  <si>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</si>
  <si>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</si>
  <si>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</si>
  <si>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</si>
  <si>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</si>
  <si>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</si>
  <si>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</si>
  <si>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</si>
  <si>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</si>
  <si>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</si>
  <si>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</si>
  <si>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</si>
  <si>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</si>
  <si>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</si>
  <si>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</si>
  <si>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</si>
  <si>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</si>
  <si>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</si>
  <si>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</si>
  <si>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</si>
  <si>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</si>
  <si>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</si>
  <si>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</si>
  <si>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</si>
  <si>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</si>
  <si>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</si>
  <si>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</si>
  <si>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</si>
  <si>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</si>
  <si>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</si>
  <si>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</si>
  <si>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</si>
  <si>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</si>
  <si>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</si>
  <si>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</si>
  <si>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</si>
  <si>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</si>
  <si>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</si>
  <si>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</si>
  <si>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</si>
  <si>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</si>
  <si>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</si>
  <si>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</si>
  <si>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</si>
  <si>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</si>
  <si>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</si>
  <si>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</si>
  <si>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</si>
  <si>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</si>
  <si>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</si>
  <si>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</si>
  <si>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</si>
  <si>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</si>
  <si>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</si>
  <si>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</si>
  <si>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</si>
  <si>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</si>
  <si>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</si>
  <si>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</si>
  <si>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</si>
  <si>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</si>
  <si>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</si>
  <si>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</si>
  <si>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</si>
  <si>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</si>
  <si>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</si>
  <si>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</si>
  <si>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</si>
  <si>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South-West</t>
  </si>
  <si>
    <t>Mid-West</t>
  </si>
  <si>
    <t>Mid-East</t>
  </si>
  <si>
    <t>South-East</t>
  </si>
  <si>
    <t>North-West</t>
  </si>
  <si>
    <t>North-East</t>
  </si>
  <si>
    <t>JD</t>
  </si>
  <si>
    <t>AB</t>
  </si>
  <si>
    <t>GP</t>
  </si>
  <si>
    <t>MD</t>
  </si>
  <si>
    <t>TM</t>
  </si>
  <si>
    <t>TJ</t>
  </si>
  <si>
    <t>Wholesale</t>
  </si>
  <si>
    <t>Manufacturing</t>
  </si>
  <si>
    <t>SME</t>
  </si>
  <si>
    <t>Mid-Size</t>
  </si>
  <si>
    <t>Enterprise</t>
  </si>
  <si>
    <t>Retail</t>
  </si>
  <si>
    <t>Distribution</t>
  </si>
  <si>
    <t>Late</t>
  </si>
  <si>
    <t>On Time</t>
  </si>
  <si>
    <t>Early</t>
  </si>
  <si>
    <t>Hospitality</t>
  </si>
  <si>
    <t>Yes</t>
  </si>
  <si>
    <t>Seriously Late</t>
  </si>
  <si>
    <t>High</t>
  </si>
  <si>
    <t>Extract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</si>
</sst>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43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EF9F-D453-4AE7-A167-9926462F74D9}">
  <dimension ref="A1:G101"/>
  <sheetViews>
    <sheetView workbookViewId="0">
      <selection activeCell="H8" sqref="H8:H9"/>
    </sheetView>
  </sheetViews>
  <sheetFormatPr defaultRowHeight="14.4" x14ac:dyDescent="0.3"/>
  <cols>
    <col min="1" max="1" width="16.109375" customWidth="1"/>
    <col min="2" max="2" width="13.44140625" customWidth="1"/>
    <col min="3" max="4" width="14.77734375" customWidth="1"/>
    <col min="5" max="5" width="16.44140625" bestFit="1" customWidth="1"/>
    <col min="6" max="6" width="23.77734375" customWidth="1"/>
    <col min="7" max="7" width="19.77734375" customWidth="1"/>
  </cols>
  <sheetData>
    <row r="1" spans="1:7" x14ac:dyDescent="0.3">
      <c r="A1" t="s">
        <v>4</v>
      </c>
      <c r="B1" t="s">
        <v>0</v>
      </c>
      <c r="C1" t="s">
        <v>3</v>
      </c>
      <c r="D1" t="s">
        <v>1</v>
      </c>
      <c r="E1" t="s">
        <v>2</v>
      </c>
      <c r="F1" t="s">
        <v>5</v>
      </c>
      <c r="G1" t="s">
        <v>6</v>
      </c>
    </row>
    <row r="2" spans="1:7" x14ac:dyDescent="0.3">
      <c r="A2" t="s">
        <v>20</v>
      </c>
      <c r="B2" t="s">
        <v>133</v>
      </c>
      <c r="C2" t="s">
        <v>134</v>
      </c>
      <c r="D2" t="s">
        <v>124</v>
      </c>
      <c r="E2">
        <v>30</v>
      </c>
      <c r="F2" t="s">
        <v>139</v>
      </c>
      <c r="G2" t="s">
        <v>126</v>
      </c>
    </row>
    <row r="3" spans="1:7" x14ac:dyDescent="0.3">
      <c r="A3" t="s">
        <v>21</v>
      </c>
      <c r="B3" t="s">
        <v>133</v>
      </c>
      <c r="C3" t="s">
        <v>135</v>
      </c>
      <c r="D3" t="s">
        <v>120</v>
      </c>
      <c r="E3">
        <v>30</v>
      </c>
      <c r="F3" t="s">
        <v>139</v>
      </c>
      <c r="G3" t="s">
        <v>127</v>
      </c>
    </row>
    <row r="4" spans="1:7" x14ac:dyDescent="0.3">
      <c r="A4" t="s">
        <v>22</v>
      </c>
      <c r="B4" t="s">
        <v>133</v>
      </c>
      <c r="C4" t="s">
        <v>135</v>
      </c>
      <c r="D4" t="s">
        <v>121</v>
      </c>
      <c r="E4">
        <v>30</v>
      </c>
      <c r="F4" t="s">
        <v>140</v>
      </c>
      <c r="G4" t="s">
        <v>128</v>
      </c>
    </row>
    <row r="5" spans="1:7" x14ac:dyDescent="0.3">
      <c r="A5" t="s">
        <v>23</v>
      </c>
      <c r="B5" t="s">
        <v>132</v>
      </c>
      <c r="C5" t="s">
        <v>134</v>
      </c>
      <c r="D5" t="s">
        <v>123</v>
      </c>
      <c r="E5">
        <v>45</v>
      </c>
      <c r="F5" t="s">
        <v>141</v>
      </c>
      <c r="G5" t="s">
        <v>130</v>
      </c>
    </row>
    <row r="6" spans="1:7" x14ac:dyDescent="0.3">
      <c r="A6" t="s">
        <v>24</v>
      </c>
      <c r="B6" t="s">
        <v>132</v>
      </c>
      <c r="C6" t="s">
        <v>136</v>
      </c>
      <c r="D6" t="s">
        <v>123</v>
      </c>
      <c r="E6">
        <v>45</v>
      </c>
      <c r="F6" t="s">
        <v>140</v>
      </c>
      <c r="G6" t="s">
        <v>130</v>
      </c>
    </row>
    <row r="7" spans="1:7" x14ac:dyDescent="0.3">
      <c r="A7" t="s">
        <v>25</v>
      </c>
      <c r="B7" t="s">
        <v>132</v>
      </c>
      <c r="C7" t="s">
        <v>135</v>
      </c>
      <c r="D7" t="s">
        <v>125</v>
      </c>
      <c r="E7">
        <v>60</v>
      </c>
      <c r="F7" t="s">
        <v>141</v>
      </c>
      <c r="G7" t="s">
        <v>131</v>
      </c>
    </row>
    <row r="8" spans="1:7" x14ac:dyDescent="0.3">
      <c r="A8" t="s">
        <v>26</v>
      </c>
      <c r="B8" t="s">
        <v>132</v>
      </c>
      <c r="C8" t="s">
        <v>134</v>
      </c>
      <c r="D8" t="s">
        <v>124</v>
      </c>
      <c r="E8">
        <v>30</v>
      </c>
      <c r="F8" t="s">
        <v>139</v>
      </c>
      <c r="G8" t="s">
        <v>126</v>
      </c>
    </row>
    <row r="9" spans="1:7" x14ac:dyDescent="0.3">
      <c r="A9" t="s">
        <v>27</v>
      </c>
      <c r="B9" t="s">
        <v>133</v>
      </c>
      <c r="C9" t="s">
        <v>136</v>
      </c>
      <c r="D9" t="s">
        <v>120</v>
      </c>
      <c r="E9">
        <v>60</v>
      </c>
      <c r="F9" t="s">
        <v>139</v>
      </c>
      <c r="G9" t="s">
        <v>127</v>
      </c>
    </row>
    <row r="10" spans="1:7" x14ac:dyDescent="0.3">
      <c r="A10" t="s">
        <v>28</v>
      </c>
      <c r="B10" t="s">
        <v>137</v>
      </c>
      <c r="C10" t="s">
        <v>134</v>
      </c>
      <c r="D10" t="s">
        <v>121</v>
      </c>
      <c r="E10">
        <v>30</v>
      </c>
      <c r="F10" t="s">
        <v>140</v>
      </c>
      <c r="G10" t="s">
        <v>128</v>
      </c>
    </row>
    <row r="11" spans="1:7" x14ac:dyDescent="0.3">
      <c r="A11" t="s">
        <v>29</v>
      </c>
      <c r="B11" t="s">
        <v>137</v>
      </c>
      <c r="C11" t="s">
        <v>134</v>
      </c>
      <c r="D11" t="s">
        <v>122</v>
      </c>
      <c r="E11">
        <v>30</v>
      </c>
      <c r="F11" t="s">
        <v>141</v>
      </c>
      <c r="G11" t="s">
        <v>129</v>
      </c>
    </row>
    <row r="12" spans="1:7" x14ac:dyDescent="0.3">
      <c r="A12" t="s">
        <v>30</v>
      </c>
      <c r="B12" t="s">
        <v>137</v>
      </c>
      <c r="C12" t="s">
        <v>134</v>
      </c>
      <c r="D12" t="s">
        <v>123</v>
      </c>
      <c r="E12">
        <v>30</v>
      </c>
      <c r="F12" t="s">
        <v>140</v>
      </c>
      <c r="G12" t="s">
        <v>130</v>
      </c>
    </row>
    <row r="13" spans="1:7" x14ac:dyDescent="0.3">
      <c r="A13" t="s">
        <v>31</v>
      </c>
      <c r="B13" t="s">
        <v>137</v>
      </c>
      <c r="C13" t="s">
        <v>135</v>
      </c>
      <c r="D13" t="s">
        <v>125</v>
      </c>
      <c r="E13">
        <v>45</v>
      </c>
      <c r="F13" t="s">
        <v>140</v>
      </c>
      <c r="G13" t="s">
        <v>131</v>
      </c>
    </row>
    <row r="14" spans="1:7" x14ac:dyDescent="0.3">
      <c r="A14" t="s">
        <v>32</v>
      </c>
      <c r="B14" t="s">
        <v>137</v>
      </c>
      <c r="C14" t="s">
        <v>134</v>
      </c>
      <c r="D14" t="s">
        <v>120</v>
      </c>
      <c r="E14">
        <v>45</v>
      </c>
      <c r="F14" t="s">
        <v>139</v>
      </c>
      <c r="G14" t="s">
        <v>127</v>
      </c>
    </row>
    <row r="15" spans="1:7" x14ac:dyDescent="0.3">
      <c r="A15" t="s">
        <v>33</v>
      </c>
      <c r="B15" t="s">
        <v>137</v>
      </c>
      <c r="C15" t="s">
        <v>134</v>
      </c>
      <c r="D15" t="s">
        <v>121</v>
      </c>
      <c r="E15">
        <v>30</v>
      </c>
      <c r="F15" t="s">
        <v>139</v>
      </c>
      <c r="G15" t="s">
        <v>128</v>
      </c>
    </row>
    <row r="16" spans="1:7" x14ac:dyDescent="0.3">
      <c r="A16" t="s">
        <v>34</v>
      </c>
      <c r="B16" t="s">
        <v>137</v>
      </c>
      <c r="C16" t="s">
        <v>136</v>
      </c>
      <c r="D16" t="s">
        <v>122</v>
      </c>
      <c r="E16">
        <v>60</v>
      </c>
      <c r="F16" t="s">
        <v>140</v>
      </c>
      <c r="G16" t="s">
        <v>129</v>
      </c>
    </row>
    <row r="17" spans="1:7" x14ac:dyDescent="0.3">
      <c r="A17" t="s">
        <v>35</v>
      </c>
      <c r="B17" t="s">
        <v>137</v>
      </c>
      <c r="C17" t="s">
        <v>134</v>
      </c>
      <c r="D17" t="s">
        <v>123</v>
      </c>
      <c r="E17">
        <v>45</v>
      </c>
      <c r="F17" t="s">
        <v>140</v>
      </c>
      <c r="G17" t="s">
        <v>130</v>
      </c>
    </row>
    <row r="18" spans="1:7" x14ac:dyDescent="0.3">
      <c r="A18" t="s">
        <v>36</v>
      </c>
      <c r="B18" t="s">
        <v>137</v>
      </c>
      <c r="C18" t="s">
        <v>134</v>
      </c>
      <c r="D18" t="s">
        <v>125</v>
      </c>
      <c r="E18">
        <v>30</v>
      </c>
      <c r="F18" t="s">
        <v>140</v>
      </c>
      <c r="G18" t="s">
        <v>131</v>
      </c>
    </row>
    <row r="19" spans="1:7" x14ac:dyDescent="0.3">
      <c r="A19" t="s">
        <v>37</v>
      </c>
      <c r="B19" t="s">
        <v>137</v>
      </c>
      <c r="C19" t="s">
        <v>134</v>
      </c>
      <c r="D19" t="s">
        <v>124</v>
      </c>
      <c r="E19">
        <v>30</v>
      </c>
      <c r="F19" t="s">
        <v>141</v>
      </c>
      <c r="G19" t="s">
        <v>126</v>
      </c>
    </row>
    <row r="20" spans="1:7" x14ac:dyDescent="0.3">
      <c r="A20" t="s">
        <v>38</v>
      </c>
      <c r="B20" t="s">
        <v>137</v>
      </c>
      <c r="C20" t="s">
        <v>134</v>
      </c>
      <c r="D20" t="s">
        <v>120</v>
      </c>
      <c r="E20">
        <v>30</v>
      </c>
      <c r="F20" t="s">
        <v>140</v>
      </c>
      <c r="G20" t="s">
        <v>127</v>
      </c>
    </row>
    <row r="21" spans="1:7" x14ac:dyDescent="0.3">
      <c r="A21" t="s">
        <v>39</v>
      </c>
      <c r="B21" t="s">
        <v>137</v>
      </c>
      <c r="C21" t="s">
        <v>134</v>
      </c>
      <c r="D21" t="s">
        <v>121</v>
      </c>
      <c r="E21">
        <v>30</v>
      </c>
      <c r="F21" t="s">
        <v>140</v>
      </c>
      <c r="G21" t="s">
        <v>128</v>
      </c>
    </row>
    <row r="22" spans="1:7" x14ac:dyDescent="0.3">
      <c r="A22" t="s">
        <v>40</v>
      </c>
      <c r="B22" t="s">
        <v>137</v>
      </c>
      <c r="C22" t="s">
        <v>134</v>
      </c>
      <c r="D22" t="s">
        <v>122</v>
      </c>
      <c r="E22">
        <v>30</v>
      </c>
      <c r="F22" t="s">
        <v>140</v>
      </c>
      <c r="G22" t="s">
        <v>129</v>
      </c>
    </row>
    <row r="23" spans="1:7" x14ac:dyDescent="0.3">
      <c r="A23" t="s">
        <v>41</v>
      </c>
      <c r="B23" t="s">
        <v>142</v>
      </c>
      <c r="C23" t="s">
        <v>134</v>
      </c>
      <c r="D23" t="s">
        <v>121</v>
      </c>
      <c r="E23">
        <v>30</v>
      </c>
      <c r="F23" t="s">
        <v>139</v>
      </c>
      <c r="G23" t="s">
        <v>128</v>
      </c>
    </row>
    <row r="24" spans="1:7" x14ac:dyDescent="0.3">
      <c r="A24" t="s">
        <v>42</v>
      </c>
      <c r="B24" t="s">
        <v>142</v>
      </c>
      <c r="C24" t="s">
        <v>134</v>
      </c>
      <c r="D24" t="s">
        <v>125</v>
      </c>
      <c r="E24">
        <v>30</v>
      </c>
      <c r="F24" t="s">
        <v>139</v>
      </c>
      <c r="G24" t="s">
        <v>131</v>
      </c>
    </row>
    <row r="25" spans="1:7" x14ac:dyDescent="0.3">
      <c r="A25" t="s">
        <v>43</v>
      </c>
      <c r="B25" t="s">
        <v>142</v>
      </c>
      <c r="C25" t="s">
        <v>134</v>
      </c>
      <c r="D25" t="s">
        <v>124</v>
      </c>
      <c r="E25">
        <v>30</v>
      </c>
      <c r="F25" t="s">
        <v>140</v>
      </c>
      <c r="G25" t="s">
        <v>126</v>
      </c>
    </row>
    <row r="26" spans="1:7" x14ac:dyDescent="0.3">
      <c r="A26" t="s">
        <v>44</v>
      </c>
      <c r="B26" t="s">
        <v>137</v>
      </c>
      <c r="C26" t="s">
        <v>134</v>
      </c>
      <c r="D26" t="s">
        <v>121</v>
      </c>
      <c r="E26">
        <v>45</v>
      </c>
      <c r="F26" t="s">
        <v>141</v>
      </c>
      <c r="G26" t="s">
        <v>128</v>
      </c>
    </row>
    <row r="27" spans="1:7" x14ac:dyDescent="0.3">
      <c r="A27" t="s">
        <v>45</v>
      </c>
      <c r="B27" t="s">
        <v>137</v>
      </c>
      <c r="C27" t="s">
        <v>134</v>
      </c>
      <c r="D27" t="s">
        <v>121</v>
      </c>
      <c r="E27">
        <v>45</v>
      </c>
      <c r="F27" t="s">
        <v>140</v>
      </c>
      <c r="G27" t="s">
        <v>128</v>
      </c>
    </row>
    <row r="28" spans="1:7" x14ac:dyDescent="0.3">
      <c r="A28" t="s">
        <v>46</v>
      </c>
      <c r="B28" t="s">
        <v>132</v>
      </c>
      <c r="C28" t="s">
        <v>136</v>
      </c>
      <c r="D28" t="s">
        <v>123</v>
      </c>
      <c r="E28">
        <v>60</v>
      </c>
      <c r="F28" t="s">
        <v>141</v>
      </c>
      <c r="G28" t="s">
        <v>130</v>
      </c>
    </row>
    <row r="29" spans="1:7" x14ac:dyDescent="0.3">
      <c r="A29" t="s">
        <v>47</v>
      </c>
      <c r="B29" t="s">
        <v>133</v>
      </c>
      <c r="C29" t="s">
        <v>136</v>
      </c>
      <c r="D29" t="s">
        <v>123</v>
      </c>
      <c r="E29">
        <v>60</v>
      </c>
      <c r="F29" t="s">
        <v>139</v>
      </c>
      <c r="G29" t="s">
        <v>130</v>
      </c>
    </row>
    <row r="30" spans="1:7" x14ac:dyDescent="0.3">
      <c r="A30" t="s">
        <v>48</v>
      </c>
      <c r="B30" t="s">
        <v>138</v>
      </c>
      <c r="C30" t="s">
        <v>135</v>
      </c>
      <c r="D30" t="s">
        <v>121</v>
      </c>
      <c r="E30">
        <v>45</v>
      </c>
      <c r="F30" t="s">
        <v>139</v>
      </c>
      <c r="G30" t="s">
        <v>128</v>
      </c>
    </row>
    <row r="31" spans="1:7" x14ac:dyDescent="0.3">
      <c r="A31" t="s">
        <v>49</v>
      </c>
      <c r="B31" t="s">
        <v>138</v>
      </c>
      <c r="C31" t="s">
        <v>134</v>
      </c>
      <c r="D31" t="s">
        <v>124</v>
      </c>
      <c r="E31">
        <v>30</v>
      </c>
      <c r="F31" t="s">
        <v>140</v>
      </c>
      <c r="G31" t="s">
        <v>126</v>
      </c>
    </row>
    <row r="32" spans="1:7" x14ac:dyDescent="0.3">
      <c r="A32" t="s">
        <v>50</v>
      </c>
      <c r="B32" t="s">
        <v>138</v>
      </c>
      <c r="C32" t="s">
        <v>134</v>
      </c>
      <c r="D32" t="s">
        <v>120</v>
      </c>
      <c r="E32">
        <v>30</v>
      </c>
      <c r="F32" t="s">
        <v>141</v>
      </c>
      <c r="G32" t="s">
        <v>127</v>
      </c>
    </row>
    <row r="33" spans="1:7" x14ac:dyDescent="0.3">
      <c r="A33" t="s">
        <v>51</v>
      </c>
      <c r="B33" t="s">
        <v>138</v>
      </c>
      <c r="C33" t="s">
        <v>134</v>
      </c>
      <c r="D33" t="s">
        <v>121</v>
      </c>
      <c r="E33">
        <v>30</v>
      </c>
      <c r="F33" t="s">
        <v>140</v>
      </c>
      <c r="G33" t="s">
        <v>128</v>
      </c>
    </row>
    <row r="34" spans="1:7" x14ac:dyDescent="0.3">
      <c r="A34" t="s">
        <v>52</v>
      </c>
      <c r="B34" t="s">
        <v>142</v>
      </c>
      <c r="C34" t="s">
        <v>134</v>
      </c>
      <c r="D34" t="s">
        <v>122</v>
      </c>
      <c r="E34">
        <v>30</v>
      </c>
      <c r="F34" t="s">
        <v>141</v>
      </c>
      <c r="G34" t="s">
        <v>129</v>
      </c>
    </row>
    <row r="35" spans="1:7" x14ac:dyDescent="0.3">
      <c r="A35" t="s">
        <v>53</v>
      </c>
      <c r="B35" t="s">
        <v>142</v>
      </c>
      <c r="C35" t="s">
        <v>134</v>
      </c>
      <c r="D35" t="s">
        <v>123</v>
      </c>
      <c r="E35">
        <v>30</v>
      </c>
      <c r="F35" t="s">
        <v>139</v>
      </c>
      <c r="G35" t="s">
        <v>130</v>
      </c>
    </row>
    <row r="36" spans="1:7" x14ac:dyDescent="0.3">
      <c r="A36" t="s">
        <v>54</v>
      </c>
      <c r="B36" t="s">
        <v>142</v>
      </c>
      <c r="C36" t="s">
        <v>134</v>
      </c>
      <c r="D36" t="s">
        <v>125</v>
      </c>
      <c r="E36">
        <v>30</v>
      </c>
      <c r="F36" t="s">
        <v>139</v>
      </c>
      <c r="G36" t="s">
        <v>131</v>
      </c>
    </row>
    <row r="37" spans="1:7" x14ac:dyDescent="0.3">
      <c r="A37" t="s">
        <v>55</v>
      </c>
      <c r="B37" t="s">
        <v>142</v>
      </c>
      <c r="C37" t="s">
        <v>134</v>
      </c>
      <c r="D37" t="s">
        <v>124</v>
      </c>
      <c r="E37">
        <v>30</v>
      </c>
      <c r="F37" t="s">
        <v>140</v>
      </c>
      <c r="G37" t="s">
        <v>126</v>
      </c>
    </row>
    <row r="38" spans="1:7" x14ac:dyDescent="0.3">
      <c r="A38" t="s">
        <v>56</v>
      </c>
      <c r="B38" t="s">
        <v>138</v>
      </c>
      <c r="C38" t="s">
        <v>135</v>
      </c>
      <c r="D38" t="s">
        <v>120</v>
      </c>
      <c r="E38">
        <v>45</v>
      </c>
      <c r="F38" t="s">
        <v>140</v>
      </c>
      <c r="G38" t="s">
        <v>127</v>
      </c>
    </row>
    <row r="39" spans="1:7" x14ac:dyDescent="0.3">
      <c r="A39" t="s">
        <v>57</v>
      </c>
      <c r="B39" t="s">
        <v>138</v>
      </c>
      <c r="C39" t="s">
        <v>135</v>
      </c>
      <c r="D39" t="s">
        <v>121</v>
      </c>
      <c r="E39">
        <v>60</v>
      </c>
      <c r="F39" t="s">
        <v>140</v>
      </c>
      <c r="G39" t="s">
        <v>128</v>
      </c>
    </row>
    <row r="40" spans="1:7" x14ac:dyDescent="0.3">
      <c r="A40" t="s">
        <v>58</v>
      </c>
      <c r="B40" t="s">
        <v>142</v>
      </c>
      <c r="C40" t="s">
        <v>135</v>
      </c>
      <c r="D40" t="s">
        <v>122</v>
      </c>
      <c r="E40">
        <v>30</v>
      </c>
      <c r="F40" t="s">
        <v>141</v>
      </c>
      <c r="G40" t="s">
        <v>129</v>
      </c>
    </row>
    <row r="41" spans="1:7" x14ac:dyDescent="0.3">
      <c r="A41" t="s">
        <v>59</v>
      </c>
      <c r="B41" t="s">
        <v>137</v>
      </c>
      <c r="C41" t="s">
        <v>134</v>
      </c>
      <c r="D41" t="s">
        <v>123</v>
      </c>
      <c r="E41">
        <v>30</v>
      </c>
      <c r="F41" t="s">
        <v>139</v>
      </c>
      <c r="G41" t="s">
        <v>130</v>
      </c>
    </row>
    <row r="42" spans="1:7" x14ac:dyDescent="0.3">
      <c r="A42" t="s">
        <v>60</v>
      </c>
      <c r="B42" t="s">
        <v>133</v>
      </c>
      <c r="C42" t="s">
        <v>134</v>
      </c>
      <c r="D42" t="s">
        <v>125</v>
      </c>
      <c r="E42">
        <v>30</v>
      </c>
      <c r="F42" t="s">
        <v>139</v>
      </c>
      <c r="G42" t="s">
        <v>131</v>
      </c>
    </row>
    <row r="43" spans="1:7" x14ac:dyDescent="0.3">
      <c r="A43" t="s">
        <v>61</v>
      </c>
      <c r="B43" t="s">
        <v>138</v>
      </c>
      <c r="C43" t="s">
        <v>134</v>
      </c>
      <c r="D43" t="s">
        <v>125</v>
      </c>
      <c r="E43">
        <v>30</v>
      </c>
      <c r="F43" t="s">
        <v>140</v>
      </c>
      <c r="G43" t="s">
        <v>131</v>
      </c>
    </row>
    <row r="44" spans="1:7" x14ac:dyDescent="0.3">
      <c r="A44" t="s">
        <v>62</v>
      </c>
      <c r="B44" t="s">
        <v>138</v>
      </c>
      <c r="C44" t="s">
        <v>134</v>
      </c>
      <c r="D44" t="s">
        <v>120</v>
      </c>
      <c r="E44">
        <v>30</v>
      </c>
      <c r="F44" t="s">
        <v>141</v>
      </c>
      <c r="G44" t="s">
        <v>127</v>
      </c>
    </row>
    <row r="45" spans="1:7" x14ac:dyDescent="0.3">
      <c r="A45" t="s">
        <v>63</v>
      </c>
      <c r="B45" t="s">
        <v>138</v>
      </c>
      <c r="C45" t="s">
        <v>134</v>
      </c>
      <c r="D45" t="s">
        <v>121</v>
      </c>
      <c r="E45">
        <v>30</v>
      </c>
      <c r="F45" t="s">
        <v>140</v>
      </c>
      <c r="G45" t="s">
        <v>128</v>
      </c>
    </row>
    <row r="46" spans="1:7" x14ac:dyDescent="0.3">
      <c r="A46" t="s">
        <v>64</v>
      </c>
      <c r="B46" t="s">
        <v>138</v>
      </c>
      <c r="C46" t="s">
        <v>134</v>
      </c>
      <c r="D46" t="s">
        <v>122</v>
      </c>
      <c r="E46">
        <v>30</v>
      </c>
      <c r="F46" t="s">
        <v>141</v>
      </c>
      <c r="G46" t="s">
        <v>129</v>
      </c>
    </row>
    <row r="47" spans="1:7" x14ac:dyDescent="0.3">
      <c r="A47" t="s">
        <v>65</v>
      </c>
      <c r="B47" t="s">
        <v>137</v>
      </c>
      <c r="C47" t="s">
        <v>136</v>
      </c>
      <c r="D47" t="s">
        <v>123</v>
      </c>
      <c r="E47">
        <v>45</v>
      </c>
      <c r="F47" t="s">
        <v>139</v>
      </c>
      <c r="G47" t="s">
        <v>130</v>
      </c>
    </row>
    <row r="48" spans="1:7" x14ac:dyDescent="0.3">
      <c r="A48" t="s">
        <v>66</v>
      </c>
      <c r="B48" t="s">
        <v>133</v>
      </c>
      <c r="C48" t="s">
        <v>136</v>
      </c>
      <c r="D48" t="s">
        <v>125</v>
      </c>
      <c r="E48">
        <v>60</v>
      </c>
      <c r="F48" t="s">
        <v>139</v>
      </c>
      <c r="G48" t="s">
        <v>131</v>
      </c>
    </row>
    <row r="49" spans="1:7" x14ac:dyDescent="0.3">
      <c r="A49" t="s">
        <v>67</v>
      </c>
      <c r="B49" t="s">
        <v>137</v>
      </c>
      <c r="C49" t="s">
        <v>135</v>
      </c>
      <c r="D49" t="s">
        <v>123</v>
      </c>
      <c r="E49">
        <v>30</v>
      </c>
      <c r="F49" t="s">
        <v>140</v>
      </c>
      <c r="G49" t="s">
        <v>130</v>
      </c>
    </row>
    <row r="50" spans="1:7" x14ac:dyDescent="0.3">
      <c r="A50" t="s">
        <v>68</v>
      </c>
      <c r="B50" t="s">
        <v>142</v>
      </c>
      <c r="C50" t="s">
        <v>135</v>
      </c>
      <c r="D50" t="s">
        <v>121</v>
      </c>
      <c r="E50">
        <v>30</v>
      </c>
      <c r="F50" t="s">
        <v>141</v>
      </c>
      <c r="G50" t="s">
        <v>128</v>
      </c>
    </row>
    <row r="51" spans="1:7" x14ac:dyDescent="0.3">
      <c r="A51" t="s">
        <v>69</v>
      </c>
      <c r="B51" t="s">
        <v>137</v>
      </c>
      <c r="C51" t="s">
        <v>134</v>
      </c>
      <c r="D51" t="s">
        <v>121</v>
      </c>
      <c r="E51">
        <v>30</v>
      </c>
      <c r="F51" t="s">
        <v>140</v>
      </c>
      <c r="G51" t="s">
        <v>128</v>
      </c>
    </row>
    <row r="52" spans="1:7" x14ac:dyDescent="0.3">
      <c r="A52" t="s">
        <v>70</v>
      </c>
      <c r="B52" t="s">
        <v>138</v>
      </c>
      <c r="C52" t="s">
        <v>134</v>
      </c>
      <c r="D52" t="s">
        <v>122</v>
      </c>
      <c r="E52">
        <v>30</v>
      </c>
      <c r="F52" t="s">
        <v>141</v>
      </c>
      <c r="G52" t="s">
        <v>129</v>
      </c>
    </row>
    <row r="53" spans="1:7" x14ac:dyDescent="0.3">
      <c r="A53" t="s">
        <v>71</v>
      </c>
      <c r="B53" t="s">
        <v>138</v>
      </c>
      <c r="C53" t="s">
        <v>134</v>
      </c>
      <c r="D53" t="s">
        <v>125</v>
      </c>
      <c r="E53">
        <v>30</v>
      </c>
      <c r="F53" t="s">
        <v>139</v>
      </c>
      <c r="G53" t="s">
        <v>131</v>
      </c>
    </row>
    <row r="54" spans="1:7" x14ac:dyDescent="0.3">
      <c r="A54" t="s">
        <v>72</v>
      </c>
      <c r="B54" t="s">
        <v>138</v>
      </c>
      <c r="C54" t="s">
        <v>134</v>
      </c>
      <c r="D54" t="s">
        <v>125</v>
      </c>
      <c r="E54">
        <v>30</v>
      </c>
      <c r="F54" t="s">
        <v>139</v>
      </c>
      <c r="G54" t="s">
        <v>131</v>
      </c>
    </row>
    <row r="55" spans="1:7" x14ac:dyDescent="0.3">
      <c r="A55" t="s">
        <v>73</v>
      </c>
      <c r="B55" t="s">
        <v>132</v>
      </c>
      <c r="C55" t="s">
        <v>134</v>
      </c>
      <c r="D55" t="s">
        <v>124</v>
      </c>
      <c r="E55">
        <v>45</v>
      </c>
      <c r="F55" t="s">
        <v>140</v>
      </c>
      <c r="G55" t="s">
        <v>126</v>
      </c>
    </row>
    <row r="56" spans="1:7" x14ac:dyDescent="0.3">
      <c r="A56" t="s">
        <v>74</v>
      </c>
      <c r="B56" t="s">
        <v>132</v>
      </c>
      <c r="C56" t="s">
        <v>134</v>
      </c>
      <c r="D56" t="s">
        <v>123</v>
      </c>
      <c r="E56">
        <v>45</v>
      </c>
      <c r="F56" t="s">
        <v>140</v>
      </c>
      <c r="G56" t="s">
        <v>130</v>
      </c>
    </row>
    <row r="57" spans="1:7" x14ac:dyDescent="0.3">
      <c r="A57" t="s">
        <v>75</v>
      </c>
      <c r="B57" t="s">
        <v>133</v>
      </c>
      <c r="C57" t="s">
        <v>136</v>
      </c>
      <c r="D57" t="s">
        <v>121</v>
      </c>
      <c r="E57">
        <v>60</v>
      </c>
      <c r="F57" t="s">
        <v>140</v>
      </c>
      <c r="G57" t="s">
        <v>128</v>
      </c>
    </row>
    <row r="58" spans="1:7" x14ac:dyDescent="0.3">
      <c r="A58" t="s">
        <v>76</v>
      </c>
      <c r="B58" t="s">
        <v>133</v>
      </c>
      <c r="C58" t="s">
        <v>134</v>
      </c>
      <c r="D58" t="s">
        <v>121</v>
      </c>
      <c r="E58">
        <v>30</v>
      </c>
      <c r="F58" t="s">
        <v>141</v>
      </c>
      <c r="G58" t="s">
        <v>128</v>
      </c>
    </row>
    <row r="59" spans="1:7" x14ac:dyDescent="0.3">
      <c r="A59" t="s">
        <v>77</v>
      </c>
      <c r="B59" t="s">
        <v>137</v>
      </c>
      <c r="C59" t="s">
        <v>134</v>
      </c>
      <c r="D59" t="s">
        <v>123</v>
      </c>
      <c r="E59">
        <v>30</v>
      </c>
      <c r="F59" t="s">
        <v>139</v>
      </c>
      <c r="G59" t="s">
        <v>130</v>
      </c>
    </row>
    <row r="60" spans="1:7" x14ac:dyDescent="0.3">
      <c r="A60" t="s">
        <v>78</v>
      </c>
      <c r="B60" t="s">
        <v>137</v>
      </c>
      <c r="C60" t="s">
        <v>135</v>
      </c>
      <c r="D60" t="s">
        <v>125</v>
      </c>
      <c r="E60">
        <v>30</v>
      </c>
      <c r="F60" t="s">
        <v>139</v>
      </c>
      <c r="G60" t="s">
        <v>131</v>
      </c>
    </row>
    <row r="61" spans="1:7" x14ac:dyDescent="0.3">
      <c r="A61" t="s">
        <v>79</v>
      </c>
      <c r="B61" t="s">
        <v>137</v>
      </c>
      <c r="C61" t="s">
        <v>135</v>
      </c>
      <c r="D61" t="s">
        <v>124</v>
      </c>
      <c r="E61">
        <v>30</v>
      </c>
      <c r="F61" t="s">
        <v>140</v>
      </c>
      <c r="G61" t="s">
        <v>126</v>
      </c>
    </row>
    <row r="62" spans="1:7" x14ac:dyDescent="0.3">
      <c r="A62" t="s">
        <v>80</v>
      </c>
      <c r="B62" t="s">
        <v>142</v>
      </c>
      <c r="C62" t="s">
        <v>134</v>
      </c>
      <c r="D62" t="s">
        <v>120</v>
      </c>
      <c r="E62">
        <v>30</v>
      </c>
      <c r="F62" t="s">
        <v>141</v>
      </c>
      <c r="G62" t="s">
        <v>127</v>
      </c>
    </row>
    <row r="63" spans="1:7" x14ac:dyDescent="0.3">
      <c r="A63" t="s">
        <v>81</v>
      </c>
      <c r="B63" t="s">
        <v>142</v>
      </c>
      <c r="C63" t="s">
        <v>134</v>
      </c>
      <c r="D63" t="s">
        <v>121</v>
      </c>
      <c r="E63">
        <v>30</v>
      </c>
      <c r="F63" t="s">
        <v>140</v>
      </c>
      <c r="G63" t="s">
        <v>128</v>
      </c>
    </row>
    <row r="64" spans="1:7" x14ac:dyDescent="0.3">
      <c r="A64" t="s">
        <v>82</v>
      </c>
      <c r="B64" t="s">
        <v>137</v>
      </c>
      <c r="C64" t="s">
        <v>135</v>
      </c>
      <c r="D64" t="s">
        <v>123</v>
      </c>
      <c r="E64">
        <v>45</v>
      </c>
      <c r="F64" t="s">
        <v>141</v>
      </c>
      <c r="G64" t="s">
        <v>130</v>
      </c>
    </row>
    <row r="65" spans="1:7" x14ac:dyDescent="0.3">
      <c r="A65" t="s">
        <v>83</v>
      </c>
      <c r="B65" t="s">
        <v>137</v>
      </c>
      <c r="C65" t="s">
        <v>135</v>
      </c>
      <c r="D65" t="s">
        <v>123</v>
      </c>
      <c r="E65">
        <v>45</v>
      </c>
      <c r="F65" t="s">
        <v>139</v>
      </c>
      <c r="G65" t="s">
        <v>130</v>
      </c>
    </row>
    <row r="66" spans="1:7" x14ac:dyDescent="0.3">
      <c r="A66" t="s">
        <v>84</v>
      </c>
      <c r="B66" t="s">
        <v>132</v>
      </c>
      <c r="C66" t="s">
        <v>136</v>
      </c>
      <c r="D66" t="s">
        <v>121</v>
      </c>
      <c r="E66">
        <v>60</v>
      </c>
      <c r="F66" t="s">
        <v>139</v>
      </c>
      <c r="G66" t="s">
        <v>128</v>
      </c>
    </row>
    <row r="67" spans="1:7" x14ac:dyDescent="0.3">
      <c r="A67" t="s">
        <v>85</v>
      </c>
      <c r="B67" t="s">
        <v>138</v>
      </c>
      <c r="C67" t="s">
        <v>135</v>
      </c>
      <c r="D67" t="s">
        <v>124</v>
      </c>
      <c r="E67">
        <v>60</v>
      </c>
      <c r="F67" t="s">
        <v>140</v>
      </c>
      <c r="G67" t="s">
        <v>126</v>
      </c>
    </row>
    <row r="68" spans="1:7" x14ac:dyDescent="0.3">
      <c r="A68" t="s">
        <v>86</v>
      </c>
      <c r="B68" t="s">
        <v>133</v>
      </c>
      <c r="C68" t="s">
        <v>134</v>
      </c>
      <c r="D68" t="s">
        <v>120</v>
      </c>
      <c r="E68">
        <v>30</v>
      </c>
      <c r="F68" t="s">
        <v>141</v>
      </c>
      <c r="G68" t="s">
        <v>127</v>
      </c>
    </row>
    <row r="69" spans="1:7" x14ac:dyDescent="0.3">
      <c r="A69" t="s">
        <v>87</v>
      </c>
      <c r="B69" t="s">
        <v>133</v>
      </c>
      <c r="C69" t="s">
        <v>134</v>
      </c>
      <c r="D69" t="s">
        <v>125</v>
      </c>
      <c r="E69">
        <v>30</v>
      </c>
      <c r="F69" t="s">
        <v>140</v>
      </c>
      <c r="G69" t="s">
        <v>131</v>
      </c>
    </row>
    <row r="70" spans="1:7" x14ac:dyDescent="0.3">
      <c r="A70" t="s">
        <v>88</v>
      </c>
      <c r="B70" t="s">
        <v>132</v>
      </c>
      <c r="C70" t="s">
        <v>134</v>
      </c>
      <c r="D70" t="s">
        <v>122</v>
      </c>
      <c r="E70">
        <v>30</v>
      </c>
      <c r="F70" t="s">
        <v>141</v>
      </c>
      <c r="G70" t="s">
        <v>129</v>
      </c>
    </row>
    <row r="71" spans="1:7" x14ac:dyDescent="0.3">
      <c r="A71" t="s">
        <v>89</v>
      </c>
      <c r="B71" t="s">
        <v>132</v>
      </c>
      <c r="C71" t="s">
        <v>134</v>
      </c>
      <c r="D71" t="s">
        <v>121</v>
      </c>
      <c r="E71">
        <v>30</v>
      </c>
      <c r="F71" t="s">
        <v>139</v>
      </c>
      <c r="G71" t="s">
        <v>128</v>
      </c>
    </row>
    <row r="72" spans="1:7" x14ac:dyDescent="0.3">
      <c r="A72" t="s">
        <v>90</v>
      </c>
      <c r="B72" t="s">
        <v>133</v>
      </c>
      <c r="C72" t="s">
        <v>134</v>
      </c>
      <c r="D72" t="s">
        <v>125</v>
      </c>
      <c r="E72">
        <v>30</v>
      </c>
      <c r="F72" t="s">
        <v>139</v>
      </c>
      <c r="G72" t="s">
        <v>131</v>
      </c>
    </row>
    <row r="73" spans="1:7" x14ac:dyDescent="0.3">
      <c r="A73" t="s">
        <v>91</v>
      </c>
      <c r="B73" t="s">
        <v>133</v>
      </c>
      <c r="C73" t="s">
        <v>134</v>
      </c>
      <c r="D73" t="s">
        <v>123</v>
      </c>
      <c r="E73">
        <v>30</v>
      </c>
      <c r="F73" t="s">
        <v>140</v>
      </c>
      <c r="G73" t="s">
        <v>130</v>
      </c>
    </row>
    <row r="74" spans="1:7" x14ac:dyDescent="0.3">
      <c r="A74" t="s">
        <v>92</v>
      </c>
      <c r="B74" t="s">
        <v>137</v>
      </c>
      <c r="C74" t="s">
        <v>134</v>
      </c>
      <c r="D74" t="s">
        <v>120</v>
      </c>
      <c r="E74">
        <v>30</v>
      </c>
      <c r="F74" t="s">
        <v>141</v>
      </c>
      <c r="G74" t="s">
        <v>127</v>
      </c>
    </row>
    <row r="75" spans="1:7" x14ac:dyDescent="0.3">
      <c r="A75" t="s">
        <v>93</v>
      </c>
      <c r="B75" t="s">
        <v>137</v>
      </c>
      <c r="C75" t="s">
        <v>134</v>
      </c>
      <c r="D75" t="s">
        <v>121</v>
      </c>
      <c r="E75">
        <v>30</v>
      </c>
      <c r="F75" t="s">
        <v>140</v>
      </c>
      <c r="G75" t="s">
        <v>128</v>
      </c>
    </row>
    <row r="76" spans="1:7" x14ac:dyDescent="0.3">
      <c r="A76" t="s">
        <v>94</v>
      </c>
      <c r="B76" t="s">
        <v>137</v>
      </c>
      <c r="C76" t="s">
        <v>134</v>
      </c>
      <c r="D76" t="s">
        <v>122</v>
      </c>
      <c r="E76">
        <v>30</v>
      </c>
      <c r="F76" t="s">
        <v>141</v>
      </c>
      <c r="G76" t="s">
        <v>129</v>
      </c>
    </row>
    <row r="77" spans="1:7" x14ac:dyDescent="0.3">
      <c r="A77" t="s">
        <v>95</v>
      </c>
      <c r="B77" t="s">
        <v>142</v>
      </c>
      <c r="C77" t="s">
        <v>134</v>
      </c>
      <c r="D77" t="s">
        <v>123</v>
      </c>
      <c r="E77">
        <v>45</v>
      </c>
      <c r="F77" t="s">
        <v>139</v>
      </c>
      <c r="G77" t="s">
        <v>130</v>
      </c>
    </row>
    <row r="78" spans="1:7" x14ac:dyDescent="0.3">
      <c r="A78" t="s">
        <v>96</v>
      </c>
      <c r="B78" t="s">
        <v>142</v>
      </c>
      <c r="C78" t="s">
        <v>135</v>
      </c>
      <c r="D78" t="s">
        <v>125</v>
      </c>
      <c r="E78">
        <v>60</v>
      </c>
      <c r="F78" t="s">
        <v>139</v>
      </c>
      <c r="G78" t="s">
        <v>131</v>
      </c>
    </row>
    <row r="79" spans="1:7" x14ac:dyDescent="0.3">
      <c r="A79" t="s">
        <v>97</v>
      </c>
      <c r="B79" t="s">
        <v>137</v>
      </c>
      <c r="C79" t="s">
        <v>134</v>
      </c>
      <c r="D79" t="s">
        <v>124</v>
      </c>
      <c r="E79">
        <v>30</v>
      </c>
      <c r="F79" t="s">
        <v>140</v>
      </c>
      <c r="G79" t="s">
        <v>126</v>
      </c>
    </row>
    <row r="80" spans="1:7" x14ac:dyDescent="0.3">
      <c r="A80" t="s">
        <v>98</v>
      </c>
      <c r="B80" t="s">
        <v>137</v>
      </c>
      <c r="C80" t="s">
        <v>134</v>
      </c>
      <c r="D80" t="s">
        <v>120</v>
      </c>
      <c r="E80">
        <v>30</v>
      </c>
      <c r="F80" t="s">
        <v>141</v>
      </c>
      <c r="G80" t="s">
        <v>127</v>
      </c>
    </row>
    <row r="81" spans="1:7" x14ac:dyDescent="0.3">
      <c r="A81" t="s">
        <v>99</v>
      </c>
      <c r="B81" t="s">
        <v>132</v>
      </c>
      <c r="C81" t="s">
        <v>134</v>
      </c>
      <c r="D81" t="s">
        <v>121</v>
      </c>
      <c r="E81">
        <v>30</v>
      </c>
      <c r="F81" t="s">
        <v>140</v>
      </c>
      <c r="G81" t="s">
        <v>128</v>
      </c>
    </row>
    <row r="82" spans="1:7" x14ac:dyDescent="0.3">
      <c r="A82" t="s">
        <v>100</v>
      </c>
      <c r="B82" t="s">
        <v>138</v>
      </c>
      <c r="C82" t="s">
        <v>134</v>
      </c>
      <c r="D82" t="s">
        <v>121</v>
      </c>
      <c r="E82">
        <v>30</v>
      </c>
      <c r="F82" t="s">
        <v>141</v>
      </c>
      <c r="G82" t="s">
        <v>128</v>
      </c>
    </row>
    <row r="83" spans="1:7" x14ac:dyDescent="0.3">
      <c r="A83" t="s">
        <v>101</v>
      </c>
      <c r="B83" t="s">
        <v>133</v>
      </c>
      <c r="C83" t="s">
        <v>134</v>
      </c>
      <c r="D83" t="s">
        <v>123</v>
      </c>
      <c r="E83">
        <v>30</v>
      </c>
      <c r="F83" t="s">
        <v>139</v>
      </c>
      <c r="G83" t="s">
        <v>130</v>
      </c>
    </row>
    <row r="84" spans="1:7" x14ac:dyDescent="0.3">
      <c r="A84" t="s">
        <v>102</v>
      </c>
      <c r="B84" t="s">
        <v>133</v>
      </c>
      <c r="C84" t="s">
        <v>134</v>
      </c>
      <c r="D84" t="s">
        <v>125</v>
      </c>
      <c r="E84">
        <v>30</v>
      </c>
      <c r="F84" t="s">
        <v>139</v>
      </c>
      <c r="G84" t="s">
        <v>131</v>
      </c>
    </row>
    <row r="85" spans="1:7" x14ac:dyDescent="0.3">
      <c r="A85" t="s">
        <v>103</v>
      </c>
      <c r="B85" t="s">
        <v>132</v>
      </c>
      <c r="C85" t="s">
        <v>134</v>
      </c>
      <c r="D85" t="s">
        <v>124</v>
      </c>
      <c r="E85">
        <v>30</v>
      </c>
      <c r="F85" t="s">
        <v>140</v>
      </c>
      <c r="G85" t="s">
        <v>126</v>
      </c>
    </row>
    <row r="86" spans="1:7" x14ac:dyDescent="0.3">
      <c r="A86" t="s">
        <v>104</v>
      </c>
      <c r="B86" t="s">
        <v>132</v>
      </c>
      <c r="C86" t="s">
        <v>134</v>
      </c>
      <c r="D86" t="s">
        <v>123</v>
      </c>
      <c r="E86">
        <v>30</v>
      </c>
      <c r="F86" t="s">
        <v>141</v>
      </c>
      <c r="G86" t="s">
        <v>130</v>
      </c>
    </row>
    <row r="87" spans="1:7" x14ac:dyDescent="0.3">
      <c r="A87" t="s">
        <v>105</v>
      </c>
      <c r="B87" t="s">
        <v>133</v>
      </c>
      <c r="C87" t="s">
        <v>134</v>
      </c>
      <c r="D87" t="s">
        <v>121</v>
      </c>
      <c r="E87">
        <v>30</v>
      </c>
      <c r="F87" t="s">
        <v>140</v>
      </c>
      <c r="G87" t="s">
        <v>128</v>
      </c>
    </row>
    <row r="88" spans="1:7" x14ac:dyDescent="0.3">
      <c r="A88" t="s">
        <v>106</v>
      </c>
      <c r="B88" t="s">
        <v>133</v>
      </c>
      <c r="C88" t="s">
        <v>134</v>
      </c>
      <c r="D88" t="s">
        <v>122</v>
      </c>
      <c r="E88">
        <v>30</v>
      </c>
      <c r="F88" t="s">
        <v>141</v>
      </c>
      <c r="G88" t="s">
        <v>129</v>
      </c>
    </row>
    <row r="89" spans="1:7" x14ac:dyDescent="0.3">
      <c r="A89" t="s">
        <v>107</v>
      </c>
      <c r="B89" t="s">
        <v>137</v>
      </c>
      <c r="C89" t="s">
        <v>134</v>
      </c>
      <c r="D89" t="s">
        <v>123</v>
      </c>
      <c r="E89">
        <v>30</v>
      </c>
      <c r="F89" t="s">
        <v>139</v>
      </c>
      <c r="G89" t="s">
        <v>130</v>
      </c>
    </row>
    <row r="90" spans="1:7" x14ac:dyDescent="0.3">
      <c r="A90" t="s">
        <v>108</v>
      </c>
      <c r="B90" t="s">
        <v>137</v>
      </c>
      <c r="C90" t="s">
        <v>134</v>
      </c>
      <c r="D90" t="s">
        <v>121</v>
      </c>
      <c r="E90">
        <v>30</v>
      </c>
      <c r="F90" t="s">
        <v>139</v>
      </c>
      <c r="G90" t="s">
        <v>128</v>
      </c>
    </row>
    <row r="91" spans="1:7" x14ac:dyDescent="0.3">
      <c r="A91" t="s">
        <v>109</v>
      </c>
      <c r="B91" t="s">
        <v>137</v>
      </c>
      <c r="C91" t="s">
        <v>134</v>
      </c>
      <c r="D91" t="s">
        <v>124</v>
      </c>
      <c r="E91">
        <v>30</v>
      </c>
      <c r="F91" t="s">
        <v>140</v>
      </c>
      <c r="G91" t="s">
        <v>126</v>
      </c>
    </row>
    <row r="92" spans="1:7" x14ac:dyDescent="0.3">
      <c r="A92" t="s">
        <v>110</v>
      </c>
      <c r="B92" t="s">
        <v>142</v>
      </c>
      <c r="C92" t="s">
        <v>136</v>
      </c>
      <c r="D92" t="s">
        <v>125</v>
      </c>
      <c r="E92">
        <v>45</v>
      </c>
      <c r="F92" t="s">
        <v>140</v>
      </c>
      <c r="G92" t="s">
        <v>131</v>
      </c>
    </row>
    <row r="93" spans="1:7" x14ac:dyDescent="0.3">
      <c r="A93" t="s">
        <v>111</v>
      </c>
      <c r="B93" t="s">
        <v>142</v>
      </c>
      <c r="C93" t="s">
        <v>136</v>
      </c>
      <c r="D93" t="s">
        <v>121</v>
      </c>
      <c r="E93">
        <v>60</v>
      </c>
      <c r="F93" t="s">
        <v>140</v>
      </c>
      <c r="G93" t="s">
        <v>128</v>
      </c>
    </row>
    <row r="94" spans="1:7" x14ac:dyDescent="0.3">
      <c r="A94" t="s">
        <v>112</v>
      </c>
      <c r="B94" t="s">
        <v>137</v>
      </c>
      <c r="C94" t="s">
        <v>136</v>
      </c>
      <c r="D94" t="s">
        <v>123</v>
      </c>
      <c r="E94">
        <v>45</v>
      </c>
      <c r="F94" t="s">
        <v>140</v>
      </c>
      <c r="G94" t="s">
        <v>130</v>
      </c>
    </row>
    <row r="95" spans="1:7" x14ac:dyDescent="0.3">
      <c r="A95" t="s">
        <v>113</v>
      </c>
      <c r="B95" t="s">
        <v>137</v>
      </c>
      <c r="C95" t="s">
        <v>135</v>
      </c>
      <c r="D95" t="s">
        <v>123</v>
      </c>
      <c r="E95">
        <v>45</v>
      </c>
      <c r="F95" t="s">
        <v>140</v>
      </c>
      <c r="G95" t="s">
        <v>130</v>
      </c>
    </row>
    <row r="96" spans="1:7" x14ac:dyDescent="0.3">
      <c r="A96" t="s">
        <v>114</v>
      </c>
      <c r="B96" t="s">
        <v>132</v>
      </c>
      <c r="C96" t="s">
        <v>134</v>
      </c>
      <c r="D96" t="s">
        <v>125</v>
      </c>
      <c r="E96">
        <v>30</v>
      </c>
      <c r="F96" t="s">
        <v>139</v>
      </c>
      <c r="G96" t="s">
        <v>131</v>
      </c>
    </row>
    <row r="97" spans="1:7" x14ac:dyDescent="0.3">
      <c r="A97" t="s">
        <v>115</v>
      </c>
      <c r="B97" t="s">
        <v>138</v>
      </c>
      <c r="C97" t="s">
        <v>134</v>
      </c>
      <c r="D97" t="s">
        <v>124</v>
      </c>
      <c r="E97">
        <v>30</v>
      </c>
      <c r="F97" t="s">
        <v>140</v>
      </c>
      <c r="G97" t="s">
        <v>126</v>
      </c>
    </row>
    <row r="98" spans="1:7" x14ac:dyDescent="0.3">
      <c r="A98" t="s">
        <v>116</v>
      </c>
      <c r="B98" t="s">
        <v>133</v>
      </c>
      <c r="C98" t="s">
        <v>134</v>
      </c>
      <c r="D98" t="s">
        <v>121</v>
      </c>
      <c r="E98">
        <v>30</v>
      </c>
      <c r="F98" t="s">
        <v>140</v>
      </c>
      <c r="G98" t="s">
        <v>128</v>
      </c>
    </row>
    <row r="99" spans="1:7" x14ac:dyDescent="0.3">
      <c r="A99" t="s">
        <v>117</v>
      </c>
      <c r="B99" t="s">
        <v>133</v>
      </c>
      <c r="C99" t="s">
        <v>134</v>
      </c>
      <c r="D99" t="s">
        <v>121</v>
      </c>
      <c r="E99">
        <v>30</v>
      </c>
      <c r="F99" t="s">
        <v>140</v>
      </c>
      <c r="G99" t="s">
        <v>128</v>
      </c>
    </row>
    <row r="100" spans="1:7" x14ac:dyDescent="0.3">
      <c r="A100" t="s">
        <v>118</v>
      </c>
      <c r="B100" t="s">
        <v>142</v>
      </c>
      <c r="C100" t="s">
        <v>134</v>
      </c>
      <c r="D100" t="s">
        <v>122</v>
      </c>
      <c r="E100">
        <v>30</v>
      </c>
      <c r="F100" t="s">
        <v>140</v>
      </c>
      <c r="G100" t="s">
        <v>129</v>
      </c>
    </row>
    <row r="101" spans="1:7" x14ac:dyDescent="0.3">
      <c r="A101" t="s">
        <v>119</v>
      </c>
      <c r="B101" t="s">
        <v>142</v>
      </c>
      <c r="C101" t="s">
        <v>134</v>
      </c>
      <c r="D101" t="s">
        <v>123</v>
      </c>
      <c r="E101">
        <v>30</v>
      </c>
      <c r="F101" t="s">
        <v>139</v>
      </c>
      <c r="G101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222C-A87A-431E-AD4D-29F27FACB7C5}">
  <dimension ref="A1:P4507"/>
  <sheetViews>
    <sheetView tabSelected="1" topLeftCell="C4476" zoomScale="98" workbookViewId="0">
      <selection activeCell="J4489" sqref="J4489"/>
    </sheetView>
  </sheetViews>
  <sheetFormatPr defaultRowHeight="14.4" x14ac:dyDescent="0.3"/>
  <cols>
    <col min="1" max="1" width="12.21875" customWidth="1"/>
    <col min="2" max="2" width="15.77734375" customWidth="1"/>
    <col min="3" max="3" width="12.109375" style="2" customWidth="1"/>
    <col min="4" max="4" width="14.44140625" style="1" customWidth="1"/>
    <col min="5" max="5" width="12.33203125" style="1" customWidth="1"/>
    <col min="6" max="6" width="15.77734375" customWidth="1"/>
    <col min="7" max="7" width="17.5546875" customWidth="1"/>
    <col min="8" max="8" width="11.88671875" customWidth="1"/>
    <col min="9" max="9" width="15.33203125" customWidth="1"/>
    <col min="10" max="10" width="17" customWidth="1"/>
    <col min="11" max="11" width="14.88671875" bestFit="1" customWidth="1"/>
    <col min="12" max="12" width="16.109375" bestFit="1" customWidth="1"/>
    <col min="13" max="13" width="21.109375" bestFit="1" customWidth="1"/>
    <col min="14" max="14" width="9" customWidth="1"/>
    <col min="15" max="15" width="10.77734375" customWidth="1"/>
    <col min="16" max="16" width="12.21875" customWidth="1"/>
  </cols>
  <sheetData>
    <row r="1" spans="1:16" x14ac:dyDescent="0.3">
      <c r="A1" t="s">
        <v>7</v>
      </c>
      <c r="B1" t="s">
        <v>4</v>
      </c>
      <c r="C1" s="2" t="s">
        <v>8</v>
      </c>
      <c r="D1" s="1" t="s">
        <v>9</v>
      </c>
      <c r="E1" s="1" t="s">
        <v>10</v>
      </c>
      <c r="F1" t="s">
        <v>11</v>
      </c>
      <c r="G1" t="s">
        <v>2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s="2" t="s">
        <v>146</v>
      </c>
    </row>
    <row r="2" spans="1:16" x14ac:dyDescent="0.3">
      <c r="A2">
        <v>200483</v>
      </c>
      <c r="B2" t="s">
        <v>114</v>
      </c>
      <c r="C2" s="2">
        <v>46193</v>
      </c>
      <c r="D2" s="2">
        <f t="shared" ref="D2:D65" si="0">C2+G2</f>
        <v>46223</v>
      </c>
      <c r="E2" s="1">
        <f>D2+2</f>
        <v>46225</v>
      </c>
      <c r="F2">
        <v>612</v>
      </c>
      <c r="G2">
        <v>30</v>
      </c>
      <c r="H2">
        <f t="shared" ref="H2:H20" si="1">MAX(0, E2 - D2)</f>
        <v>2</v>
      </c>
      <c r="I2" t="str">
        <f t="shared" ref="I2:I20" si="2">IF(H2=0,"On Time",IF(H2&lt;=15,"Paid Late","Seriously Late"))</f>
        <v>Paid Late</v>
      </c>
      <c r="J2" cm="1">
        <f t="array" ref="J2">_xlfn.IFS(H2&lt;30,0,H2&lt;60,1,H2&lt;90,2,H2&lt;120,3)</f>
        <v>0</v>
      </c>
      <c r="M2" t="str">
        <f t="shared" ref="M2:M20" si="3">IF(H2&gt;30,"High",IF(H2&gt;10,"Medium","Low"))</f>
        <v>Low</v>
      </c>
      <c r="N2" t="str">
        <f t="shared" ref="N2:N65" si="4">TEXT(C2,"mmm")</f>
        <v>Jun</v>
      </c>
      <c r="O2">
        <f t="shared" ref="O2:O65" si="5">YEAR(C2)</f>
        <v>2026</v>
      </c>
      <c r="P2" s="2">
        <v>46116</v>
      </c>
    </row>
    <row r="3" spans="1:16" x14ac:dyDescent="0.3">
      <c r="A3">
        <v>200484</v>
      </c>
      <c r="B3" t="s">
        <v>115</v>
      </c>
      <c r="C3" s="2">
        <v>46193</v>
      </c>
      <c r="D3" s="2">
        <f t="shared" si="0"/>
        <v>46223</v>
      </c>
      <c r="E3" s="1">
        <f>D3+2</f>
        <v>46225</v>
      </c>
      <c r="F3">
        <v>303</v>
      </c>
      <c r="G3">
        <v>30</v>
      </c>
      <c r="H3">
        <f t="shared" si="1"/>
        <v>2</v>
      </c>
      <c r="I3" t="str">
        <f t="shared" si="2"/>
        <v>Paid Late</v>
      </c>
      <c r="J3" cm="1">
        <f t="array" ref="J3">_xlfn.IFS(H3&lt;30,0,H3&lt;60,1,H3&lt;90,2,H3&lt;120,3)</f>
        <v>0</v>
      </c>
      <c r="M3" t="str">
        <f t="shared" si="3"/>
        <v>Low</v>
      </c>
      <c r="N3" t="str">
        <f t="shared" si="4"/>
        <v>Jun</v>
      </c>
      <c r="O3">
        <f t="shared" si="5"/>
        <v>2026</v>
      </c>
    </row>
    <row r="4" spans="1:16" x14ac:dyDescent="0.3">
      <c r="A4">
        <v>200485</v>
      </c>
      <c r="B4" t="s">
        <v>116</v>
      </c>
      <c r="C4" s="2">
        <v>46193</v>
      </c>
      <c r="D4" s="2">
        <f t="shared" si="0"/>
        <v>46223</v>
      </c>
      <c r="E4" s="1">
        <f>D4+2</f>
        <v>46225</v>
      </c>
      <c r="F4">
        <v>1728</v>
      </c>
      <c r="G4">
        <v>30</v>
      </c>
      <c r="H4">
        <f t="shared" si="1"/>
        <v>2</v>
      </c>
      <c r="I4" t="str">
        <f t="shared" si="2"/>
        <v>Paid Late</v>
      </c>
      <c r="J4" cm="1">
        <f t="array" ref="J4">_xlfn.IFS(H4&lt;30,0,H4&lt;60,1,H4&lt;90,2,H4&lt;120,3)</f>
        <v>0</v>
      </c>
      <c r="M4" t="str">
        <f t="shared" si="3"/>
        <v>Low</v>
      </c>
      <c r="N4" t="str">
        <f t="shared" si="4"/>
        <v>Jun</v>
      </c>
      <c r="O4">
        <f t="shared" si="5"/>
        <v>2026</v>
      </c>
    </row>
    <row r="5" spans="1:16" x14ac:dyDescent="0.3">
      <c r="A5">
        <v>200486</v>
      </c>
      <c r="B5" t="s">
        <v>117</v>
      </c>
      <c r="C5" s="2">
        <v>46193</v>
      </c>
      <c r="D5" s="2">
        <f t="shared" si="0"/>
        <v>46223</v>
      </c>
      <c r="E5" s="1">
        <f>D5</f>
        <v>46223</v>
      </c>
      <c r="F5">
        <v>3959</v>
      </c>
      <c r="G5">
        <v>30</v>
      </c>
      <c r="H5">
        <f t="shared" si="1"/>
        <v>0</v>
      </c>
      <c r="I5" t="str">
        <f t="shared" si="2"/>
        <v>On Time</v>
      </c>
      <c r="J5" cm="1">
        <f t="array" ref="J5">_xlfn.IFS(H5&lt;30,0,H5&lt;60,1,H5&lt;90,2,H5&lt;120,3)</f>
        <v>0</v>
      </c>
      <c r="M5" t="str">
        <f t="shared" si="3"/>
        <v>Low</v>
      </c>
      <c r="N5" t="str">
        <f t="shared" si="4"/>
        <v>Jun</v>
      </c>
      <c r="O5">
        <f t="shared" si="5"/>
        <v>2026</v>
      </c>
    </row>
    <row r="6" spans="1:16" x14ac:dyDescent="0.3">
      <c r="A6">
        <v>200487</v>
      </c>
      <c r="B6" t="s">
        <v>118</v>
      </c>
      <c r="C6" s="2">
        <v>46193</v>
      </c>
      <c r="D6" s="2">
        <f t="shared" si="0"/>
        <v>46223</v>
      </c>
      <c r="E6" s="1">
        <f>D6+20</f>
        <v>46243</v>
      </c>
      <c r="F6">
        <v>5480</v>
      </c>
      <c r="G6">
        <v>30</v>
      </c>
      <c r="H6">
        <f t="shared" si="1"/>
        <v>20</v>
      </c>
      <c r="I6" t="str">
        <f t="shared" si="2"/>
        <v>Seriously Late</v>
      </c>
      <c r="J6" cm="1">
        <f t="array" ref="J6">_xlfn.IFS(H6&lt;30,0,H6&lt;60,1,H6&lt;90,2,H6&lt;120,3)</f>
        <v>0</v>
      </c>
      <c r="M6" t="str">
        <f t="shared" si="3"/>
        <v>Medium</v>
      </c>
      <c r="N6" t="str">
        <f t="shared" si="4"/>
        <v>Jun</v>
      </c>
      <c r="O6">
        <f t="shared" si="5"/>
        <v>2026</v>
      </c>
    </row>
    <row r="7" spans="1:16" x14ac:dyDescent="0.3">
      <c r="A7">
        <v>200488</v>
      </c>
      <c r="B7" t="s">
        <v>119</v>
      </c>
      <c r="C7" s="2">
        <v>46193</v>
      </c>
      <c r="D7" s="2">
        <f t="shared" si="0"/>
        <v>46223</v>
      </c>
      <c r="E7" s="1">
        <f>D7</f>
        <v>46223</v>
      </c>
      <c r="F7">
        <v>2720</v>
      </c>
      <c r="G7">
        <v>30</v>
      </c>
      <c r="H7">
        <f t="shared" si="1"/>
        <v>0</v>
      </c>
      <c r="I7" t="str">
        <f t="shared" si="2"/>
        <v>On Time</v>
      </c>
      <c r="J7" cm="1">
        <f t="array" ref="J7">_xlfn.IFS(H7&lt;30,0,H7&lt;60,1,H7&lt;90,2,H7&lt;120,3)</f>
        <v>0</v>
      </c>
      <c r="M7" t="str">
        <f t="shared" si="3"/>
        <v>Low</v>
      </c>
      <c r="N7" t="str">
        <f t="shared" si="4"/>
        <v>Jun</v>
      </c>
      <c r="O7">
        <f t="shared" si="5"/>
        <v>2026</v>
      </c>
    </row>
    <row r="8" spans="1:16" x14ac:dyDescent="0.3">
      <c r="A8">
        <v>200489</v>
      </c>
      <c r="B8" t="s">
        <v>31</v>
      </c>
      <c r="C8" s="2">
        <v>46193</v>
      </c>
      <c r="D8" s="2">
        <f t="shared" si="0"/>
        <v>46238</v>
      </c>
      <c r="E8" s="1">
        <f>D8+1</f>
        <v>46239</v>
      </c>
      <c r="F8">
        <v>4567</v>
      </c>
      <c r="G8">
        <v>45</v>
      </c>
      <c r="H8">
        <f t="shared" si="1"/>
        <v>1</v>
      </c>
      <c r="I8" t="str">
        <f t="shared" si="2"/>
        <v>Paid Late</v>
      </c>
      <c r="J8" cm="1">
        <f t="array" ref="J8">_xlfn.IFS(H8&lt;30,0,H8&lt;60,1,H8&lt;90,2,H8&lt;120,3)</f>
        <v>0</v>
      </c>
      <c r="M8" t="str">
        <f t="shared" si="3"/>
        <v>Low</v>
      </c>
      <c r="N8" t="str">
        <f t="shared" si="4"/>
        <v>Jun</v>
      </c>
      <c r="O8">
        <f t="shared" si="5"/>
        <v>2026</v>
      </c>
    </row>
    <row r="9" spans="1:16" x14ac:dyDescent="0.3">
      <c r="A9">
        <v>200490</v>
      </c>
      <c r="B9" t="s">
        <v>32</v>
      </c>
      <c r="C9" s="2">
        <v>46193</v>
      </c>
      <c r="D9" s="2">
        <f t="shared" si="0"/>
        <v>46238</v>
      </c>
      <c r="E9" s="1">
        <f>D9</f>
        <v>46238</v>
      </c>
      <c r="F9">
        <v>2407</v>
      </c>
      <c r="G9">
        <v>45</v>
      </c>
      <c r="H9">
        <f t="shared" si="1"/>
        <v>0</v>
      </c>
      <c r="I9" t="str">
        <f t="shared" si="2"/>
        <v>On Time</v>
      </c>
      <c r="J9" cm="1">
        <f t="array" ref="J9">_xlfn.IFS(H9&lt;30,0,H9&lt;60,1,H9&lt;90,2,H9&lt;120,3)</f>
        <v>0</v>
      </c>
      <c r="M9" t="str">
        <f t="shared" si="3"/>
        <v>Low</v>
      </c>
      <c r="N9" t="str">
        <f t="shared" si="4"/>
        <v>Jun</v>
      </c>
      <c r="O9">
        <f t="shared" si="5"/>
        <v>2026</v>
      </c>
    </row>
    <row r="10" spans="1:16" x14ac:dyDescent="0.3">
      <c r="A10">
        <v>200491</v>
      </c>
      <c r="B10" t="s">
        <v>33</v>
      </c>
      <c r="C10" s="2">
        <v>46193</v>
      </c>
      <c r="D10" s="2">
        <f t="shared" si="0"/>
        <v>46223</v>
      </c>
      <c r="E10" s="1">
        <f>D10</f>
        <v>46223</v>
      </c>
      <c r="F10">
        <v>1603</v>
      </c>
      <c r="G10">
        <v>30</v>
      </c>
      <c r="H10">
        <f t="shared" si="1"/>
        <v>0</v>
      </c>
      <c r="I10" t="str">
        <f t="shared" si="2"/>
        <v>On Time</v>
      </c>
      <c r="J10" cm="1">
        <f t="array" ref="J10">_xlfn.IFS(H10&lt;30,0,H10&lt;60,1,H10&lt;90,2,H10&lt;120,3)</f>
        <v>0</v>
      </c>
      <c r="M10" t="str">
        <f t="shared" si="3"/>
        <v>Low</v>
      </c>
      <c r="N10" t="str">
        <f t="shared" si="4"/>
        <v>Jun</v>
      </c>
      <c r="O10">
        <f t="shared" si="5"/>
        <v>2026</v>
      </c>
    </row>
    <row r="11" spans="1:16" x14ac:dyDescent="0.3">
      <c r="A11">
        <v>200492</v>
      </c>
      <c r="B11" t="s">
        <v>34</v>
      </c>
      <c r="C11" s="2">
        <v>46193</v>
      </c>
      <c r="D11" s="2">
        <f t="shared" si="0"/>
        <v>46253</v>
      </c>
      <c r="E11" s="1">
        <f>D11+5</f>
        <v>46258</v>
      </c>
      <c r="F11">
        <v>4742</v>
      </c>
      <c r="G11">
        <v>60</v>
      </c>
      <c r="H11">
        <f t="shared" si="1"/>
        <v>5</v>
      </c>
      <c r="I11" t="str">
        <f t="shared" si="2"/>
        <v>Paid Late</v>
      </c>
      <c r="J11" cm="1">
        <f t="array" ref="J11">_xlfn.IFS(H11&lt;30,0,H11&lt;60,1,H11&lt;90,2,H11&lt;120,3)</f>
        <v>0</v>
      </c>
      <c r="M11" t="str">
        <f t="shared" si="3"/>
        <v>Low</v>
      </c>
      <c r="N11" t="str">
        <f t="shared" si="4"/>
        <v>Jun</v>
      </c>
      <c r="O11">
        <f t="shared" si="5"/>
        <v>2026</v>
      </c>
    </row>
    <row r="12" spans="1:16" x14ac:dyDescent="0.3">
      <c r="A12">
        <v>200493</v>
      </c>
      <c r="B12" t="s">
        <v>35</v>
      </c>
      <c r="C12" s="2">
        <v>46193</v>
      </c>
      <c r="D12" s="2">
        <f t="shared" si="0"/>
        <v>46238</v>
      </c>
      <c r="E12" s="1">
        <f>D12+2</f>
        <v>46240</v>
      </c>
      <c r="F12">
        <v>4915</v>
      </c>
      <c r="G12">
        <v>45</v>
      </c>
      <c r="H12">
        <f t="shared" si="1"/>
        <v>2</v>
      </c>
      <c r="I12" t="str">
        <f t="shared" si="2"/>
        <v>Paid Late</v>
      </c>
      <c r="J12" cm="1">
        <f t="array" ref="J12">_xlfn.IFS(H12&lt;30,0,H12&lt;60,1,H12&lt;90,2,H12&lt;120,3)</f>
        <v>0</v>
      </c>
      <c r="M12" t="str">
        <f t="shared" si="3"/>
        <v>Low</v>
      </c>
      <c r="N12" t="str">
        <f t="shared" si="4"/>
        <v>Jun</v>
      </c>
      <c r="O12">
        <f t="shared" si="5"/>
        <v>2026</v>
      </c>
    </row>
    <row r="13" spans="1:16" x14ac:dyDescent="0.3">
      <c r="A13">
        <v>200494</v>
      </c>
      <c r="B13" t="s">
        <v>36</v>
      </c>
      <c r="C13" s="2">
        <v>46193</v>
      </c>
      <c r="D13" s="2">
        <f t="shared" si="0"/>
        <v>46223</v>
      </c>
      <c r="E13" s="1">
        <f>D13+5</f>
        <v>46228</v>
      </c>
      <c r="F13">
        <v>9263</v>
      </c>
      <c r="G13">
        <v>30</v>
      </c>
      <c r="H13">
        <f t="shared" si="1"/>
        <v>5</v>
      </c>
      <c r="I13" t="str">
        <f t="shared" si="2"/>
        <v>Paid Late</v>
      </c>
      <c r="J13" cm="1">
        <f t="array" ref="J13">_xlfn.IFS(H13&lt;30,0,H13&lt;60,1,H13&lt;90,2,H13&lt;120,3)</f>
        <v>0</v>
      </c>
      <c r="M13" t="str">
        <f t="shared" si="3"/>
        <v>Low</v>
      </c>
      <c r="N13" t="str">
        <f t="shared" si="4"/>
        <v>Jun</v>
      </c>
      <c r="O13">
        <f t="shared" si="5"/>
        <v>2026</v>
      </c>
    </row>
    <row r="14" spans="1:16" x14ac:dyDescent="0.3">
      <c r="A14">
        <v>200495</v>
      </c>
      <c r="B14" t="s">
        <v>64</v>
      </c>
      <c r="C14" s="2">
        <v>46193</v>
      </c>
      <c r="D14" s="2">
        <f t="shared" si="0"/>
        <v>46223</v>
      </c>
      <c r="E14" s="1">
        <f>D14</f>
        <v>46223</v>
      </c>
      <c r="F14">
        <v>1217</v>
      </c>
      <c r="G14">
        <v>30</v>
      </c>
      <c r="H14">
        <f t="shared" si="1"/>
        <v>0</v>
      </c>
      <c r="I14" t="str">
        <f t="shared" si="2"/>
        <v>On Time</v>
      </c>
      <c r="J14" cm="1">
        <f t="array" ref="J14">_xlfn.IFS(H14&lt;30,0,H14&lt;60,1,H14&lt;90,2,H14&lt;120,3)</f>
        <v>0</v>
      </c>
      <c r="M14" t="str">
        <f t="shared" si="3"/>
        <v>Low</v>
      </c>
      <c r="N14" t="str">
        <f t="shared" si="4"/>
        <v>Jun</v>
      </c>
      <c r="O14">
        <f t="shared" si="5"/>
        <v>2026</v>
      </c>
    </row>
    <row r="15" spans="1:16" x14ac:dyDescent="0.3">
      <c r="A15">
        <v>200496</v>
      </c>
      <c r="B15" t="s">
        <v>45</v>
      </c>
      <c r="C15" s="2">
        <v>46193</v>
      </c>
      <c r="D15" s="2">
        <f t="shared" si="0"/>
        <v>46238</v>
      </c>
      <c r="E15" s="1">
        <f>D15</f>
        <v>46238</v>
      </c>
      <c r="F15">
        <v>286</v>
      </c>
      <c r="G15">
        <v>45</v>
      </c>
      <c r="H15">
        <f t="shared" si="1"/>
        <v>0</v>
      </c>
      <c r="I15" t="str">
        <f t="shared" si="2"/>
        <v>On Time</v>
      </c>
      <c r="J15" cm="1">
        <f t="array" ref="J15">_xlfn.IFS(H15&lt;30,0,H15&lt;60,1,H15&lt;90,2,H15&lt;120,3)</f>
        <v>0</v>
      </c>
      <c r="M15" t="str">
        <f t="shared" si="3"/>
        <v>Low</v>
      </c>
      <c r="N15" t="str">
        <f t="shared" si="4"/>
        <v>Jun</v>
      </c>
      <c r="O15">
        <f t="shared" si="5"/>
        <v>2026</v>
      </c>
    </row>
    <row r="16" spans="1:16" x14ac:dyDescent="0.3">
      <c r="A16">
        <v>200497</v>
      </c>
      <c r="B16" t="s">
        <v>46</v>
      </c>
      <c r="C16" s="2">
        <v>46193</v>
      </c>
      <c r="D16" s="2">
        <f t="shared" si="0"/>
        <v>46253</v>
      </c>
      <c r="E16" s="1">
        <f>D16+60</f>
        <v>46313</v>
      </c>
      <c r="F16">
        <v>3536</v>
      </c>
      <c r="G16">
        <v>60</v>
      </c>
      <c r="H16">
        <f t="shared" si="1"/>
        <v>60</v>
      </c>
      <c r="I16" t="str">
        <f t="shared" si="2"/>
        <v>Seriously Late</v>
      </c>
      <c r="J16" cm="1">
        <f t="array" ref="J16">_xlfn.IFS(H16&lt;30,0,H16&lt;60,1,H16&lt;90,2,H16&lt;120,3)</f>
        <v>2</v>
      </c>
      <c r="M16" t="str">
        <f t="shared" si="3"/>
        <v>High</v>
      </c>
      <c r="N16" t="str">
        <f t="shared" si="4"/>
        <v>Jun</v>
      </c>
      <c r="O16">
        <f t="shared" si="5"/>
        <v>2026</v>
      </c>
    </row>
    <row r="17" spans="1:15" x14ac:dyDescent="0.3">
      <c r="A17">
        <v>200498</v>
      </c>
      <c r="B17" t="s">
        <v>114</v>
      </c>
      <c r="C17" s="2">
        <v>46193</v>
      </c>
      <c r="D17" s="2">
        <f t="shared" si="0"/>
        <v>46223</v>
      </c>
      <c r="E17" s="1">
        <f>D17</f>
        <v>46223</v>
      </c>
      <c r="F17">
        <v>19304</v>
      </c>
      <c r="G17">
        <v>30</v>
      </c>
      <c r="H17">
        <f t="shared" si="1"/>
        <v>0</v>
      </c>
      <c r="I17" t="str">
        <f t="shared" si="2"/>
        <v>On Time</v>
      </c>
      <c r="J17" cm="1">
        <f t="array" ref="J17">_xlfn.IFS(H17&lt;30,0,H17&lt;60,1,H17&lt;90,2,H17&lt;120,3)</f>
        <v>0</v>
      </c>
      <c r="M17" t="str">
        <f t="shared" si="3"/>
        <v>Low</v>
      </c>
      <c r="N17" t="str">
        <f t="shared" si="4"/>
        <v>Jun</v>
      </c>
      <c r="O17">
        <f t="shared" si="5"/>
        <v>2026</v>
      </c>
    </row>
    <row r="18" spans="1:15" x14ac:dyDescent="0.3">
      <c r="A18">
        <v>200166</v>
      </c>
      <c r="B18" t="s">
        <v>31</v>
      </c>
      <c r="C18" s="2">
        <v>46168</v>
      </c>
      <c r="D18" s="2">
        <f t="shared" si="0"/>
        <v>46213</v>
      </c>
      <c r="E18" s="1">
        <f>D18</f>
        <v>46213</v>
      </c>
      <c r="F18">
        <v>733</v>
      </c>
      <c r="G18">
        <v>45</v>
      </c>
      <c r="H18">
        <f t="shared" si="1"/>
        <v>0</v>
      </c>
      <c r="I18" t="str">
        <f t="shared" si="2"/>
        <v>On Time</v>
      </c>
      <c r="J18" cm="1">
        <f t="array" ref="J18">_xlfn.IFS(H18&lt;30,0,H18&lt;60,1,H18&lt;90,2,H18&lt;120,3)</f>
        <v>0</v>
      </c>
      <c r="M18" t="str">
        <f t="shared" si="3"/>
        <v>Low</v>
      </c>
      <c r="N18" t="str">
        <f t="shared" si="4"/>
        <v>May</v>
      </c>
      <c r="O18">
        <f t="shared" si="5"/>
        <v>2026</v>
      </c>
    </row>
    <row r="19" spans="1:15" x14ac:dyDescent="0.3">
      <c r="A19">
        <v>200167</v>
      </c>
      <c r="B19" t="s">
        <v>54</v>
      </c>
      <c r="C19" s="2">
        <v>46168</v>
      </c>
      <c r="D19" s="2">
        <f t="shared" si="0"/>
        <v>46198</v>
      </c>
      <c r="E19" s="1">
        <f>D19+60</f>
        <v>46258</v>
      </c>
      <c r="F19">
        <v>4511</v>
      </c>
      <c r="G19">
        <v>30</v>
      </c>
      <c r="H19">
        <f t="shared" si="1"/>
        <v>60</v>
      </c>
      <c r="I19" t="str">
        <f t="shared" si="2"/>
        <v>Seriously Late</v>
      </c>
      <c r="J19" cm="1">
        <f t="array" ref="J19">_xlfn.IFS(H19&lt;30,0,H19&lt;60,1,H19&lt;90,2,H19&lt;120,3)</f>
        <v>2</v>
      </c>
      <c r="M19" t="str">
        <f t="shared" si="3"/>
        <v>High</v>
      </c>
      <c r="N19" t="str">
        <f t="shared" si="4"/>
        <v>May</v>
      </c>
      <c r="O19">
        <f t="shared" si="5"/>
        <v>2026</v>
      </c>
    </row>
    <row r="20" spans="1:15" x14ac:dyDescent="0.3">
      <c r="A20">
        <v>200168</v>
      </c>
      <c r="B20" t="s">
        <v>55</v>
      </c>
      <c r="C20" s="2">
        <v>46168</v>
      </c>
      <c r="D20" s="2">
        <f t="shared" si="0"/>
        <v>46198</v>
      </c>
      <c r="E20" s="1">
        <f>D20</f>
        <v>46198</v>
      </c>
      <c r="F20">
        <v>2485</v>
      </c>
      <c r="G20">
        <v>30</v>
      </c>
      <c r="H20">
        <f t="shared" si="1"/>
        <v>0</v>
      </c>
      <c r="I20" t="str">
        <f t="shared" si="2"/>
        <v>On Time</v>
      </c>
      <c r="J20" cm="1">
        <f t="array" ref="J20">_xlfn.IFS(H20&lt;30,0,H20&lt;60,1,H20&lt;90,2,H20&lt;120,3)</f>
        <v>0</v>
      </c>
      <c r="M20" t="str">
        <f t="shared" si="3"/>
        <v>Low</v>
      </c>
      <c r="N20" t="str">
        <f t="shared" si="4"/>
        <v>May</v>
      </c>
      <c r="O20">
        <f t="shared" si="5"/>
        <v>2026</v>
      </c>
    </row>
    <row r="21" spans="1:15" x14ac:dyDescent="0.3">
      <c r="A21">
        <v>200169</v>
      </c>
      <c r="B21" t="s">
        <v>56</v>
      </c>
      <c r="C21" s="2">
        <v>46168</v>
      </c>
      <c r="D21" s="2">
        <f t="shared" si="0"/>
        <v>46213</v>
      </c>
      <c r="F21">
        <v>1928</v>
      </c>
      <c r="G21">
        <v>45</v>
      </c>
      <c r="I21" t="s">
        <v>144</v>
      </c>
      <c r="J21">
        <v>3</v>
      </c>
      <c r="K21" t="s">
        <v>143</v>
      </c>
      <c r="L21" t="s">
        <v>143</v>
      </c>
      <c r="M21" t="s">
        <v>145</v>
      </c>
      <c r="N21" t="str">
        <f t="shared" si="4"/>
        <v>May</v>
      </c>
      <c r="O21">
        <f t="shared" si="5"/>
        <v>2026</v>
      </c>
    </row>
    <row r="22" spans="1:15" x14ac:dyDescent="0.3">
      <c r="A22">
        <v>200170</v>
      </c>
      <c r="B22" t="s">
        <v>57</v>
      </c>
      <c r="C22" s="2">
        <v>46168</v>
      </c>
      <c r="D22" s="2">
        <f t="shared" si="0"/>
        <v>46228</v>
      </c>
      <c r="E22" s="1">
        <f>D22+3</f>
        <v>46231</v>
      </c>
      <c r="F22">
        <v>3331</v>
      </c>
      <c r="G22">
        <v>60</v>
      </c>
      <c r="H22">
        <f t="shared" ref="H22:H36" si="6">MAX(0, E22 - D22)</f>
        <v>3</v>
      </c>
      <c r="I22" t="str">
        <f t="shared" ref="I22:I85" si="7">IF(H22=0,"On Time",IF(H22&lt;=15,"Paid Late","Seriously Late"))</f>
        <v>Paid Late</v>
      </c>
      <c r="J22" cm="1">
        <f t="array" ref="J22">_xlfn.IFS(H22&lt;30,0,H22&lt;60,1,H22&lt;90,2,H22&lt;120,3)</f>
        <v>0</v>
      </c>
      <c r="M22" t="str">
        <f t="shared" ref="M22:M85" si="8">IF(H22&gt;30,"High",IF(H22&gt;10,"Medium","Low"))</f>
        <v>Low</v>
      </c>
      <c r="N22" t="str">
        <f t="shared" si="4"/>
        <v>May</v>
      </c>
      <c r="O22">
        <f t="shared" si="5"/>
        <v>2026</v>
      </c>
    </row>
    <row r="23" spans="1:15" x14ac:dyDescent="0.3">
      <c r="A23">
        <v>200171</v>
      </c>
      <c r="B23" t="s">
        <v>58</v>
      </c>
      <c r="C23" s="2">
        <v>46168</v>
      </c>
      <c r="D23" s="2">
        <f t="shared" si="0"/>
        <v>46198</v>
      </c>
      <c r="E23" s="1">
        <f>D23+1</f>
        <v>46199</v>
      </c>
      <c r="F23">
        <v>4531</v>
      </c>
      <c r="G23">
        <v>30</v>
      </c>
      <c r="H23">
        <f t="shared" si="6"/>
        <v>1</v>
      </c>
      <c r="I23" t="str">
        <f t="shared" si="7"/>
        <v>Paid Late</v>
      </c>
      <c r="J23" cm="1">
        <f t="array" ref="J23">_xlfn.IFS(H23&lt;30,0,H23&lt;60,1,H23&lt;90,2,H23&lt;120,3)</f>
        <v>0</v>
      </c>
      <c r="M23" t="str">
        <f t="shared" si="8"/>
        <v>Low</v>
      </c>
      <c r="N23" t="str">
        <f t="shared" si="4"/>
        <v>May</v>
      </c>
      <c r="O23">
        <f t="shared" si="5"/>
        <v>2026</v>
      </c>
    </row>
    <row r="24" spans="1:15" x14ac:dyDescent="0.3">
      <c r="A24">
        <v>200172</v>
      </c>
      <c r="B24" t="s">
        <v>59</v>
      </c>
      <c r="C24" s="2">
        <v>46168</v>
      </c>
      <c r="D24" s="2">
        <f t="shared" si="0"/>
        <v>46198</v>
      </c>
      <c r="E24" s="1">
        <f>D24-1</f>
        <v>46197</v>
      </c>
      <c r="F24">
        <v>1144</v>
      </c>
      <c r="G24">
        <v>30</v>
      </c>
      <c r="H24">
        <f t="shared" si="6"/>
        <v>0</v>
      </c>
      <c r="I24" t="str">
        <f t="shared" si="7"/>
        <v>On Time</v>
      </c>
      <c r="J24" cm="1">
        <f t="array" ref="J24">_xlfn.IFS(H24&lt;30,0,H24&lt;60,1,H24&lt;90,2,H24&lt;120,3)</f>
        <v>0</v>
      </c>
      <c r="M24" t="str">
        <f t="shared" si="8"/>
        <v>Low</v>
      </c>
      <c r="N24" t="str">
        <f t="shared" si="4"/>
        <v>May</v>
      </c>
      <c r="O24">
        <f t="shared" si="5"/>
        <v>2026</v>
      </c>
    </row>
    <row r="25" spans="1:15" x14ac:dyDescent="0.3">
      <c r="A25">
        <v>200173</v>
      </c>
      <c r="B25" t="s">
        <v>60</v>
      </c>
      <c r="C25" s="2">
        <v>46168</v>
      </c>
      <c r="D25" s="2">
        <f t="shared" si="0"/>
        <v>46198</v>
      </c>
      <c r="E25" s="1">
        <f>D25</f>
        <v>46198</v>
      </c>
      <c r="F25">
        <v>2984</v>
      </c>
      <c r="G25">
        <v>30</v>
      </c>
      <c r="H25">
        <f t="shared" si="6"/>
        <v>0</v>
      </c>
      <c r="I25" t="str">
        <f t="shared" si="7"/>
        <v>On Time</v>
      </c>
      <c r="J25" cm="1">
        <f t="array" ref="J25">_xlfn.IFS(H25&lt;30,0,H25&lt;60,1,H25&lt;90,2,H25&lt;120,3)</f>
        <v>0</v>
      </c>
      <c r="M25" t="str">
        <f t="shared" si="8"/>
        <v>Low</v>
      </c>
      <c r="N25" t="str">
        <f t="shared" si="4"/>
        <v>May</v>
      </c>
      <c r="O25">
        <f t="shared" si="5"/>
        <v>2026</v>
      </c>
    </row>
    <row r="26" spans="1:15" x14ac:dyDescent="0.3">
      <c r="A26">
        <v>200174</v>
      </c>
      <c r="B26" t="s">
        <v>61</v>
      </c>
      <c r="C26" s="2">
        <v>46168</v>
      </c>
      <c r="D26" s="2">
        <f t="shared" si="0"/>
        <v>46198</v>
      </c>
      <c r="E26" s="1">
        <f>D26-5</f>
        <v>46193</v>
      </c>
      <c r="F26">
        <v>2972</v>
      </c>
      <c r="G26">
        <v>30</v>
      </c>
      <c r="H26">
        <f t="shared" si="6"/>
        <v>0</v>
      </c>
      <c r="I26" t="str">
        <f t="shared" si="7"/>
        <v>On Time</v>
      </c>
      <c r="J26" cm="1">
        <f t="array" ref="J26">_xlfn.IFS(H26&lt;30,0,H26&lt;60,1,H26&lt;90,2,H26&lt;120,3)</f>
        <v>0</v>
      </c>
      <c r="M26" t="str">
        <f t="shared" si="8"/>
        <v>Low</v>
      </c>
      <c r="N26" t="str">
        <f t="shared" si="4"/>
        <v>May</v>
      </c>
      <c r="O26">
        <f t="shared" si="5"/>
        <v>2026</v>
      </c>
    </row>
    <row r="27" spans="1:15" x14ac:dyDescent="0.3">
      <c r="A27">
        <v>200175</v>
      </c>
      <c r="B27" t="s">
        <v>62</v>
      </c>
      <c r="C27" s="2">
        <v>46168</v>
      </c>
      <c r="D27" s="2">
        <f t="shared" si="0"/>
        <v>46198</v>
      </c>
      <c r="E27" s="1">
        <f>D27+35</f>
        <v>46233</v>
      </c>
      <c r="F27">
        <v>3629</v>
      </c>
      <c r="G27">
        <v>30</v>
      </c>
      <c r="H27">
        <f t="shared" si="6"/>
        <v>35</v>
      </c>
      <c r="I27" t="str">
        <f t="shared" si="7"/>
        <v>Seriously Late</v>
      </c>
      <c r="J27" cm="1">
        <f t="array" ref="J27">_xlfn.IFS(H27&lt;30,0,H27&lt;60,1,H27&lt;90,2,H27&lt;120,3)</f>
        <v>1</v>
      </c>
      <c r="M27" t="str">
        <f t="shared" si="8"/>
        <v>High</v>
      </c>
      <c r="N27" t="str">
        <f t="shared" si="4"/>
        <v>May</v>
      </c>
      <c r="O27">
        <f t="shared" si="5"/>
        <v>2026</v>
      </c>
    </row>
    <row r="28" spans="1:15" x14ac:dyDescent="0.3">
      <c r="A28">
        <v>200176</v>
      </c>
      <c r="B28" t="s">
        <v>63</v>
      </c>
      <c r="C28" s="2">
        <v>46168</v>
      </c>
      <c r="D28" s="2">
        <f t="shared" si="0"/>
        <v>46198</v>
      </c>
      <c r="E28" s="1">
        <f>D28+55</f>
        <v>46253</v>
      </c>
      <c r="F28">
        <v>173</v>
      </c>
      <c r="G28">
        <v>30</v>
      </c>
      <c r="H28">
        <f t="shared" si="6"/>
        <v>55</v>
      </c>
      <c r="I28" t="str">
        <f t="shared" si="7"/>
        <v>Seriously Late</v>
      </c>
      <c r="J28" cm="1">
        <f t="array" ref="J28">_xlfn.IFS(H28&lt;30,0,H28&lt;60,1,H28&lt;90,2,H28&lt;120,3)</f>
        <v>1</v>
      </c>
      <c r="M28" t="str">
        <f t="shared" si="8"/>
        <v>High</v>
      </c>
      <c r="N28" t="str">
        <f t="shared" si="4"/>
        <v>May</v>
      </c>
      <c r="O28">
        <f t="shared" si="5"/>
        <v>2026</v>
      </c>
    </row>
    <row r="29" spans="1:15" x14ac:dyDescent="0.3">
      <c r="A29">
        <v>200177</v>
      </c>
      <c r="B29" t="s">
        <v>64</v>
      </c>
      <c r="C29" s="2">
        <v>46168</v>
      </c>
      <c r="D29" s="2">
        <f t="shared" si="0"/>
        <v>46198</v>
      </c>
      <c r="E29" s="1">
        <f>D29+5</f>
        <v>46203</v>
      </c>
      <c r="F29">
        <v>7716</v>
      </c>
      <c r="G29">
        <v>30</v>
      </c>
      <c r="H29">
        <f t="shared" si="6"/>
        <v>5</v>
      </c>
      <c r="I29" t="str">
        <f t="shared" si="7"/>
        <v>Paid Late</v>
      </c>
      <c r="J29" cm="1">
        <f t="array" ref="J29">_xlfn.IFS(H29&lt;30,0,H29&lt;60,1,H29&lt;90,2,H29&lt;120,3)</f>
        <v>0</v>
      </c>
      <c r="M29" t="str">
        <f t="shared" si="8"/>
        <v>Low</v>
      </c>
      <c r="N29" t="str">
        <f t="shared" si="4"/>
        <v>May</v>
      </c>
      <c r="O29">
        <f t="shared" si="5"/>
        <v>2026</v>
      </c>
    </row>
    <row r="30" spans="1:15" x14ac:dyDescent="0.3">
      <c r="A30">
        <v>200178</v>
      </c>
      <c r="B30" t="s">
        <v>65</v>
      </c>
      <c r="C30" s="2">
        <v>46168</v>
      </c>
      <c r="D30" s="2">
        <f t="shared" si="0"/>
        <v>46213</v>
      </c>
      <c r="E30" s="1">
        <f>D30</f>
        <v>46213</v>
      </c>
      <c r="F30">
        <v>3393</v>
      </c>
      <c r="G30">
        <v>45</v>
      </c>
      <c r="H30">
        <f t="shared" si="6"/>
        <v>0</v>
      </c>
      <c r="I30" t="str">
        <f t="shared" si="7"/>
        <v>On Time</v>
      </c>
      <c r="J30" cm="1">
        <f t="array" ref="J30">_xlfn.IFS(H30&lt;30,0,H30&lt;60,1,H30&lt;90,2,H30&lt;120,3)</f>
        <v>0</v>
      </c>
      <c r="M30" t="str">
        <f t="shared" si="8"/>
        <v>Low</v>
      </c>
      <c r="N30" t="str">
        <f t="shared" si="4"/>
        <v>May</v>
      </c>
      <c r="O30">
        <f t="shared" si="5"/>
        <v>2026</v>
      </c>
    </row>
    <row r="31" spans="1:15" x14ac:dyDescent="0.3">
      <c r="A31">
        <v>200179</v>
      </c>
      <c r="B31" t="s">
        <v>94</v>
      </c>
      <c r="C31" s="2">
        <v>46168</v>
      </c>
      <c r="D31" s="2">
        <f t="shared" si="0"/>
        <v>46198</v>
      </c>
      <c r="E31" s="1">
        <f>D31-1</f>
        <v>46197</v>
      </c>
      <c r="F31">
        <v>3712</v>
      </c>
      <c r="G31">
        <v>30</v>
      </c>
      <c r="H31">
        <f t="shared" si="6"/>
        <v>0</v>
      </c>
      <c r="I31" t="str">
        <f t="shared" si="7"/>
        <v>On Time</v>
      </c>
      <c r="J31" cm="1">
        <f t="array" ref="J31">_xlfn.IFS(H31&lt;30,0,H31&lt;60,1,H31&lt;90,2,H31&lt;120,3)</f>
        <v>0</v>
      </c>
      <c r="M31" t="str">
        <f t="shared" si="8"/>
        <v>Low</v>
      </c>
      <c r="N31" t="str">
        <f t="shared" si="4"/>
        <v>May</v>
      </c>
      <c r="O31">
        <f t="shared" si="5"/>
        <v>2026</v>
      </c>
    </row>
    <row r="32" spans="1:15" x14ac:dyDescent="0.3">
      <c r="A32">
        <v>200180</v>
      </c>
      <c r="B32" t="s">
        <v>95</v>
      </c>
      <c r="C32" s="2">
        <v>46168</v>
      </c>
      <c r="D32" s="2">
        <f t="shared" si="0"/>
        <v>46213</v>
      </c>
      <c r="E32" s="1">
        <f>D32</f>
        <v>46213</v>
      </c>
      <c r="F32">
        <v>3654</v>
      </c>
      <c r="G32">
        <v>45</v>
      </c>
      <c r="H32">
        <f t="shared" si="6"/>
        <v>0</v>
      </c>
      <c r="I32" t="str">
        <f t="shared" si="7"/>
        <v>On Time</v>
      </c>
      <c r="J32" cm="1">
        <f t="array" ref="J32">_xlfn.IFS(H32&lt;30,0,H32&lt;60,1,H32&lt;90,2,H32&lt;120,3)</f>
        <v>0</v>
      </c>
      <c r="M32" t="str">
        <f t="shared" si="8"/>
        <v>Low</v>
      </c>
      <c r="N32" t="str">
        <f t="shared" si="4"/>
        <v>May</v>
      </c>
      <c r="O32">
        <f t="shared" si="5"/>
        <v>2026</v>
      </c>
    </row>
    <row r="33" spans="1:15" x14ac:dyDescent="0.3">
      <c r="A33">
        <v>200181</v>
      </c>
      <c r="B33" t="s">
        <v>96</v>
      </c>
      <c r="C33" s="2">
        <v>46168</v>
      </c>
      <c r="D33" s="2">
        <f t="shared" si="0"/>
        <v>46228</v>
      </c>
      <c r="E33" s="1">
        <f>D33+32</f>
        <v>46260</v>
      </c>
      <c r="F33">
        <v>4998</v>
      </c>
      <c r="G33">
        <v>60</v>
      </c>
      <c r="H33">
        <f t="shared" si="6"/>
        <v>32</v>
      </c>
      <c r="I33" t="str">
        <f t="shared" si="7"/>
        <v>Seriously Late</v>
      </c>
      <c r="J33" cm="1">
        <f t="array" ref="J33">_xlfn.IFS(H33&lt;30,0,H33&lt;60,1,H33&lt;90,2,H33&lt;120,3)</f>
        <v>1</v>
      </c>
      <c r="M33" t="str">
        <f t="shared" si="8"/>
        <v>High</v>
      </c>
      <c r="N33" t="str">
        <f t="shared" si="4"/>
        <v>May</v>
      </c>
      <c r="O33">
        <f t="shared" si="5"/>
        <v>2026</v>
      </c>
    </row>
    <row r="34" spans="1:15" x14ac:dyDescent="0.3">
      <c r="A34">
        <v>200182</v>
      </c>
      <c r="B34" t="s">
        <v>97</v>
      </c>
      <c r="C34" s="2">
        <v>46168</v>
      </c>
      <c r="D34" s="2">
        <f t="shared" si="0"/>
        <v>46198</v>
      </c>
      <c r="E34" s="1">
        <f>D34+15</f>
        <v>46213</v>
      </c>
      <c r="F34">
        <v>982</v>
      </c>
      <c r="G34">
        <v>30</v>
      </c>
      <c r="H34">
        <f t="shared" si="6"/>
        <v>15</v>
      </c>
      <c r="I34" t="str">
        <f t="shared" si="7"/>
        <v>Paid Late</v>
      </c>
      <c r="J34" cm="1">
        <f t="array" ref="J34">_xlfn.IFS(H34&lt;30,0,H34&lt;60,1,H34&lt;90,2,H34&lt;120,3)</f>
        <v>0</v>
      </c>
      <c r="M34" t="str">
        <f t="shared" si="8"/>
        <v>Medium</v>
      </c>
      <c r="N34" t="str">
        <f t="shared" si="4"/>
        <v>May</v>
      </c>
      <c r="O34">
        <f t="shared" si="5"/>
        <v>2026</v>
      </c>
    </row>
    <row r="35" spans="1:15" x14ac:dyDescent="0.3">
      <c r="A35">
        <v>200183</v>
      </c>
      <c r="B35" t="s">
        <v>98</v>
      </c>
      <c r="C35" s="2">
        <v>46168</v>
      </c>
      <c r="D35" s="2">
        <f t="shared" si="0"/>
        <v>46198</v>
      </c>
      <c r="E35" s="1">
        <f>D35</f>
        <v>46198</v>
      </c>
      <c r="F35">
        <v>808</v>
      </c>
      <c r="G35">
        <v>30</v>
      </c>
      <c r="H35">
        <f t="shared" si="6"/>
        <v>0</v>
      </c>
      <c r="I35" t="str">
        <f t="shared" si="7"/>
        <v>On Time</v>
      </c>
      <c r="J35" cm="1">
        <f t="array" ref="J35">_xlfn.IFS(H35&lt;30,0,H35&lt;60,1,H35&lt;90,2,H35&lt;120,3)</f>
        <v>0</v>
      </c>
      <c r="M35" t="str">
        <f t="shared" si="8"/>
        <v>Low</v>
      </c>
      <c r="N35" t="str">
        <f t="shared" si="4"/>
        <v>May</v>
      </c>
      <c r="O35">
        <f t="shared" si="5"/>
        <v>2026</v>
      </c>
    </row>
    <row r="36" spans="1:15" x14ac:dyDescent="0.3">
      <c r="A36">
        <v>200184</v>
      </c>
      <c r="B36" t="s">
        <v>99</v>
      </c>
      <c r="C36" s="2">
        <v>46168</v>
      </c>
      <c r="D36" s="2">
        <f t="shared" si="0"/>
        <v>46198</v>
      </c>
      <c r="E36" s="1">
        <f>D36-2</f>
        <v>46196</v>
      </c>
      <c r="F36">
        <v>753</v>
      </c>
      <c r="G36">
        <v>30</v>
      </c>
      <c r="H36">
        <f t="shared" si="6"/>
        <v>0</v>
      </c>
      <c r="I36" t="str">
        <f t="shared" si="7"/>
        <v>On Time</v>
      </c>
      <c r="J36" cm="1">
        <f t="array" ref="J36">_xlfn.IFS(H36&lt;30,0,H36&lt;60,1,H36&lt;90,2,H36&lt;120,3)</f>
        <v>0</v>
      </c>
      <c r="M36" t="str">
        <f t="shared" si="8"/>
        <v>Low</v>
      </c>
      <c r="N36" t="str">
        <f t="shared" si="4"/>
        <v>May</v>
      </c>
      <c r="O36">
        <f t="shared" si="5"/>
        <v>2026</v>
      </c>
    </row>
    <row r="37" spans="1:15" x14ac:dyDescent="0.3">
      <c r="A37">
        <v>204503</v>
      </c>
      <c r="B37" t="s">
        <v>56</v>
      </c>
      <c r="C37" s="2">
        <v>46115</v>
      </c>
      <c r="D37" s="2">
        <f t="shared" si="0"/>
        <v>46160</v>
      </c>
      <c r="F37">
        <v>4237</v>
      </c>
      <c r="G37">
        <v>45</v>
      </c>
      <c r="H37">
        <f>MAX(0,P2-D37)</f>
        <v>0</v>
      </c>
      <c r="I37" t="str">
        <f t="shared" si="7"/>
        <v>On Time</v>
      </c>
      <c r="J37" cm="1">
        <f t="array" ref="J37">_xlfn.IFS(H37&lt;30,0,H37&lt;60,1,H37&lt;90,2,H37&lt;120,3)</f>
        <v>0</v>
      </c>
      <c r="M37" t="str">
        <f t="shared" si="8"/>
        <v>Low</v>
      </c>
      <c r="N37" t="str">
        <f t="shared" si="4"/>
        <v>Apr</v>
      </c>
      <c r="O37">
        <f t="shared" si="5"/>
        <v>2026</v>
      </c>
    </row>
    <row r="38" spans="1:15" x14ac:dyDescent="0.3">
      <c r="A38">
        <v>204504</v>
      </c>
      <c r="B38" t="s">
        <v>57</v>
      </c>
      <c r="C38" s="2">
        <v>46115</v>
      </c>
      <c r="D38" s="2">
        <f t="shared" si="0"/>
        <v>46175</v>
      </c>
      <c r="F38">
        <v>2838</v>
      </c>
      <c r="G38">
        <v>60</v>
      </c>
      <c r="H38">
        <f t="shared" ref="H38:H101" si="9">MAX(0,P3-D38)</f>
        <v>0</v>
      </c>
      <c r="I38" t="str">
        <f t="shared" si="7"/>
        <v>On Time</v>
      </c>
      <c r="J38" cm="1">
        <f t="array" ref="J38">_xlfn.IFS(H38&lt;30,0,H38&lt;60,1,H38&lt;90,2,H38&lt;120,3)</f>
        <v>0</v>
      </c>
      <c r="M38" t="str">
        <f t="shared" si="8"/>
        <v>Low</v>
      </c>
      <c r="N38" t="str">
        <f t="shared" si="4"/>
        <v>Apr</v>
      </c>
      <c r="O38">
        <f t="shared" si="5"/>
        <v>2026</v>
      </c>
    </row>
    <row r="39" spans="1:15" x14ac:dyDescent="0.3">
      <c r="A39">
        <v>204505</v>
      </c>
      <c r="B39" t="s">
        <v>58</v>
      </c>
      <c r="C39" s="2">
        <v>46115</v>
      </c>
      <c r="D39" s="2">
        <f t="shared" si="0"/>
        <v>46145</v>
      </c>
      <c r="F39">
        <v>393</v>
      </c>
      <c r="G39">
        <v>30</v>
      </c>
      <c r="H39">
        <f t="shared" si="9"/>
        <v>0</v>
      </c>
      <c r="I39" t="str">
        <f t="shared" si="7"/>
        <v>On Time</v>
      </c>
      <c r="J39" cm="1">
        <f t="array" ref="J39">_xlfn.IFS(H39&lt;30,0,H39&lt;60,1,H39&lt;90,2,H39&lt;120,3)</f>
        <v>0</v>
      </c>
      <c r="M39" t="str">
        <f t="shared" si="8"/>
        <v>Low</v>
      </c>
      <c r="N39" t="str">
        <f t="shared" si="4"/>
        <v>Apr</v>
      </c>
      <c r="O39">
        <f t="shared" si="5"/>
        <v>2026</v>
      </c>
    </row>
    <row r="40" spans="1:15" x14ac:dyDescent="0.3">
      <c r="A40">
        <v>204506</v>
      </c>
      <c r="B40" t="s">
        <v>59</v>
      </c>
      <c r="C40" s="2">
        <v>46115</v>
      </c>
      <c r="D40" s="2">
        <f t="shared" si="0"/>
        <v>46145</v>
      </c>
      <c r="F40">
        <v>4161</v>
      </c>
      <c r="G40">
        <v>30</v>
      </c>
      <c r="H40">
        <f t="shared" si="9"/>
        <v>0</v>
      </c>
      <c r="I40" t="str">
        <f t="shared" si="7"/>
        <v>On Time</v>
      </c>
      <c r="J40" cm="1">
        <f t="array" ref="J40">_xlfn.IFS(H40&lt;30,0,H40&lt;60,1,H40&lt;90,2,H40&lt;120,3)</f>
        <v>0</v>
      </c>
      <c r="M40" t="str">
        <f t="shared" si="8"/>
        <v>Low</v>
      </c>
      <c r="N40" t="str">
        <f t="shared" si="4"/>
        <v>Apr</v>
      </c>
      <c r="O40">
        <f t="shared" si="5"/>
        <v>2026</v>
      </c>
    </row>
    <row r="41" spans="1:15" x14ac:dyDescent="0.3">
      <c r="A41">
        <v>204507</v>
      </c>
      <c r="B41" t="s">
        <v>60</v>
      </c>
      <c r="C41" s="2">
        <v>46115</v>
      </c>
      <c r="D41" s="2">
        <f t="shared" si="0"/>
        <v>46145</v>
      </c>
      <c r="F41">
        <v>1556</v>
      </c>
      <c r="G41">
        <v>30</v>
      </c>
      <c r="H41">
        <f t="shared" si="9"/>
        <v>0</v>
      </c>
      <c r="I41" t="str">
        <f t="shared" si="7"/>
        <v>On Time</v>
      </c>
      <c r="J41" cm="1">
        <f t="array" ref="J41">_xlfn.IFS(H41&lt;30,0,H41&lt;60,1,H41&lt;90,2,H41&lt;120,3)</f>
        <v>0</v>
      </c>
      <c r="M41" t="str">
        <f t="shared" si="8"/>
        <v>Low</v>
      </c>
      <c r="N41" t="str">
        <f t="shared" si="4"/>
        <v>Apr</v>
      </c>
      <c r="O41">
        <f t="shared" si="5"/>
        <v>2026</v>
      </c>
    </row>
    <row r="42" spans="1:15" x14ac:dyDescent="0.3">
      <c r="A42">
        <v>204508</v>
      </c>
      <c r="B42" t="s">
        <v>61</v>
      </c>
      <c r="C42" s="2">
        <v>46115</v>
      </c>
      <c r="D42" s="2">
        <f t="shared" si="0"/>
        <v>46145</v>
      </c>
      <c r="F42">
        <v>3462</v>
      </c>
      <c r="G42">
        <v>30</v>
      </c>
      <c r="H42">
        <f t="shared" si="9"/>
        <v>0</v>
      </c>
      <c r="I42" t="str">
        <f t="shared" si="7"/>
        <v>On Time</v>
      </c>
      <c r="J42" cm="1">
        <f t="array" ref="J42">_xlfn.IFS(H42&lt;30,0,H42&lt;60,1,H42&lt;90,2,H42&lt;120,3)</f>
        <v>0</v>
      </c>
      <c r="M42" t="str">
        <f t="shared" si="8"/>
        <v>Low</v>
      </c>
      <c r="N42" t="str">
        <f t="shared" si="4"/>
        <v>Apr</v>
      </c>
      <c r="O42">
        <f t="shared" si="5"/>
        <v>2026</v>
      </c>
    </row>
    <row r="43" spans="1:15" x14ac:dyDescent="0.3">
      <c r="A43">
        <v>204509</v>
      </c>
      <c r="B43" t="s">
        <v>62</v>
      </c>
      <c r="C43" s="2">
        <v>46115</v>
      </c>
      <c r="D43" s="2">
        <f t="shared" si="0"/>
        <v>46145</v>
      </c>
      <c r="F43">
        <v>2176</v>
      </c>
      <c r="G43">
        <v>30</v>
      </c>
      <c r="H43">
        <f t="shared" si="9"/>
        <v>0</v>
      </c>
      <c r="I43" t="str">
        <f t="shared" si="7"/>
        <v>On Time</v>
      </c>
      <c r="J43" cm="1">
        <f t="array" ref="J43">_xlfn.IFS(H43&lt;30,0,H43&lt;60,1,H43&lt;90,2,H43&lt;120,3)</f>
        <v>0</v>
      </c>
      <c r="M43" t="str">
        <f t="shared" si="8"/>
        <v>Low</v>
      </c>
      <c r="N43" t="str">
        <f t="shared" si="4"/>
        <v>Apr</v>
      </c>
      <c r="O43">
        <f t="shared" si="5"/>
        <v>2026</v>
      </c>
    </row>
    <row r="44" spans="1:15" x14ac:dyDescent="0.3">
      <c r="A44">
        <v>204510</v>
      </c>
      <c r="B44" t="s">
        <v>63</v>
      </c>
      <c r="C44" s="2">
        <v>46115</v>
      </c>
      <c r="D44" s="2">
        <f t="shared" si="0"/>
        <v>46145</v>
      </c>
      <c r="F44">
        <v>360</v>
      </c>
      <c r="G44">
        <v>30</v>
      </c>
      <c r="H44">
        <f t="shared" si="9"/>
        <v>0</v>
      </c>
      <c r="I44" t="str">
        <f t="shared" si="7"/>
        <v>On Time</v>
      </c>
      <c r="J44" cm="1">
        <f t="array" ref="J44">_xlfn.IFS(H44&lt;30,0,H44&lt;60,1,H44&lt;90,2,H44&lt;120,3)</f>
        <v>0</v>
      </c>
      <c r="M44" t="str">
        <f t="shared" si="8"/>
        <v>Low</v>
      </c>
      <c r="N44" t="str">
        <f t="shared" si="4"/>
        <v>Apr</v>
      </c>
      <c r="O44">
        <f t="shared" si="5"/>
        <v>2026</v>
      </c>
    </row>
    <row r="45" spans="1:15" x14ac:dyDescent="0.3">
      <c r="A45">
        <v>204511</v>
      </c>
      <c r="B45" t="s">
        <v>64</v>
      </c>
      <c r="C45" s="2">
        <v>46115</v>
      </c>
      <c r="D45" s="2">
        <f t="shared" si="0"/>
        <v>46145</v>
      </c>
      <c r="F45">
        <v>4611</v>
      </c>
      <c r="G45">
        <v>30</v>
      </c>
      <c r="H45">
        <f t="shared" si="9"/>
        <v>0</v>
      </c>
      <c r="I45" t="str">
        <f t="shared" si="7"/>
        <v>On Time</v>
      </c>
      <c r="J45" cm="1">
        <f t="array" ref="J45">_xlfn.IFS(H45&lt;30,0,H45&lt;60,1,H45&lt;90,2,H45&lt;120,3)</f>
        <v>0</v>
      </c>
      <c r="M45" t="str">
        <f t="shared" si="8"/>
        <v>Low</v>
      </c>
      <c r="N45" t="str">
        <f t="shared" si="4"/>
        <v>Apr</v>
      </c>
      <c r="O45">
        <f t="shared" si="5"/>
        <v>2026</v>
      </c>
    </row>
    <row r="46" spans="1:15" x14ac:dyDescent="0.3">
      <c r="A46">
        <v>204512</v>
      </c>
      <c r="B46" t="s">
        <v>65</v>
      </c>
      <c r="C46" s="2">
        <v>46115</v>
      </c>
      <c r="D46" s="2">
        <f t="shared" si="0"/>
        <v>46160</v>
      </c>
      <c r="F46">
        <v>119</v>
      </c>
      <c r="G46">
        <v>45</v>
      </c>
      <c r="H46">
        <f t="shared" si="9"/>
        <v>0</v>
      </c>
      <c r="I46" t="str">
        <f t="shared" si="7"/>
        <v>On Time</v>
      </c>
      <c r="J46" cm="1">
        <f t="array" ref="J46">_xlfn.IFS(H46&lt;30,0,H46&lt;60,1,H46&lt;90,2,H46&lt;120,3)</f>
        <v>0</v>
      </c>
      <c r="M46" t="str">
        <f t="shared" si="8"/>
        <v>Low</v>
      </c>
      <c r="N46" t="str">
        <f t="shared" si="4"/>
        <v>Apr</v>
      </c>
      <c r="O46">
        <f t="shared" si="5"/>
        <v>2026</v>
      </c>
    </row>
    <row r="47" spans="1:15" x14ac:dyDescent="0.3">
      <c r="A47">
        <v>204513</v>
      </c>
      <c r="B47" t="s">
        <v>66</v>
      </c>
      <c r="C47" s="2">
        <v>46115</v>
      </c>
      <c r="D47" s="2">
        <f t="shared" si="0"/>
        <v>46175</v>
      </c>
      <c r="F47">
        <v>4269</v>
      </c>
      <c r="G47">
        <v>60</v>
      </c>
      <c r="H47">
        <f t="shared" si="9"/>
        <v>0</v>
      </c>
      <c r="I47" t="str">
        <f t="shared" si="7"/>
        <v>On Time</v>
      </c>
      <c r="J47" cm="1">
        <f t="array" ref="J47">_xlfn.IFS(H47&lt;30,0,H47&lt;60,1,H47&lt;90,2,H47&lt;120,3)</f>
        <v>0</v>
      </c>
      <c r="M47" t="str">
        <f t="shared" si="8"/>
        <v>Low</v>
      </c>
      <c r="N47" t="str">
        <f t="shared" si="4"/>
        <v>Apr</v>
      </c>
      <c r="O47">
        <f t="shared" si="5"/>
        <v>2026</v>
      </c>
    </row>
    <row r="48" spans="1:15" x14ac:dyDescent="0.3">
      <c r="A48">
        <v>204514</v>
      </c>
      <c r="B48" t="s">
        <v>108</v>
      </c>
      <c r="C48" s="2">
        <v>46115</v>
      </c>
      <c r="D48" s="2">
        <f t="shared" si="0"/>
        <v>46145</v>
      </c>
      <c r="F48">
        <v>223</v>
      </c>
      <c r="G48">
        <v>30</v>
      </c>
      <c r="H48">
        <f t="shared" si="9"/>
        <v>0</v>
      </c>
      <c r="I48" t="str">
        <f t="shared" si="7"/>
        <v>On Time</v>
      </c>
      <c r="J48" cm="1">
        <f t="array" ref="J48">_xlfn.IFS(H48&lt;30,0,H48&lt;60,1,H48&lt;90,2,H48&lt;120,3)</f>
        <v>0</v>
      </c>
      <c r="M48" t="str">
        <f t="shared" si="8"/>
        <v>Low</v>
      </c>
      <c r="N48" t="str">
        <f t="shared" si="4"/>
        <v>Apr</v>
      </c>
      <c r="O48">
        <f t="shared" si="5"/>
        <v>2026</v>
      </c>
    </row>
    <row r="49" spans="1:15" x14ac:dyDescent="0.3">
      <c r="A49">
        <v>204515</v>
      </c>
      <c r="B49" t="s">
        <v>109</v>
      </c>
      <c r="C49" s="2">
        <v>46115</v>
      </c>
      <c r="D49" s="2">
        <f t="shared" si="0"/>
        <v>46145</v>
      </c>
      <c r="F49">
        <v>1030</v>
      </c>
      <c r="G49">
        <v>30</v>
      </c>
      <c r="H49">
        <f t="shared" si="9"/>
        <v>0</v>
      </c>
      <c r="I49" t="str">
        <f t="shared" si="7"/>
        <v>On Time</v>
      </c>
      <c r="J49" cm="1">
        <f t="array" ref="J49">_xlfn.IFS(H49&lt;30,0,H49&lt;60,1,H49&lt;90,2,H49&lt;120,3)</f>
        <v>0</v>
      </c>
      <c r="M49" t="str">
        <f t="shared" si="8"/>
        <v>Low</v>
      </c>
      <c r="N49" t="str">
        <f t="shared" si="4"/>
        <v>Apr</v>
      </c>
      <c r="O49">
        <f t="shared" si="5"/>
        <v>2026</v>
      </c>
    </row>
    <row r="50" spans="1:15" x14ac:dyDescent="0.3">
      <c r="A50">
        <v>204516</v>
      </c>
      <c r="B50" t="s">
        <v>110</v>
      </c>
      <c r="C50" s="2">
        <v>46115</v>
      </c>
      <c r="D50" s="2">
        <f t="shared" si="0"/>
        <v>46160</v>
      </c>
      <c r="F50">
        <v>3121</v>
      </c>
      <c r="G50">
        <v>45</v>
      </c>
      <c r="H50">
        <f t="shared" si="9"/>
        <v>0</v>
      </c>
      <c r="I50" t="str">
        <f t="shared" si="7"/>
        <v>On Time</v>
      </c>
      <c r="J50" cm="1">
        <f t="array" ref="J50">_xlfn.IFS(H50&lt;30,0,H50&lt;60,1,H50&lt;90,2,H50&lt;120,3)</f>
        <v>0</v>
      </c>
      <c r="M50" t="str">
        <f t="shared" si="8"/>
        <v>Low</v>
      </c>
      <c r="N50" t="str">
        <f t="shared" si="4"/>
        <v>Apr</v>
      </c>
      <c r="O50">
        <f t="shared" si="5"/>
        <v>2026</v>
      </c>
    </row>
    <row r="51" spans="1:15" x14ac:dyDescent="0.3">
      <c r="A51">
        <v>204517</v>
      </c>
      <c r="B51" t="s">
        <v>111</v>
      </c>
      <c r="C51" s="2">
        <v>46115</v>
      </c>
      <c r="D51" s="2">
        <f t="shared" si="0"/>
        <v>46175</v>
      </c>
      <c r="F51">
        <v>3842</v>
      </c>
      <c r="G51">
        <v>60</v>
      </c>
      <c r="H51">
        <f t="shared" si="9"/>
        <v>0</v>
      </c>
      <c r="I51" t="str">
        <f t="shared" si="7"/>
        <v>On Time</v>
      </c>
      <c r="J51" cm="1">
        <f t="array" ref="J51">_xlfn.IFS(H51&lt;30,0,H51&lt;60,1,H51&lt;90,2,H51&lt;120,3)</f>
        <v>0</v>
      </c>
      <c r="M51" t="str">
        <f t="shared" si="8"/>
        <v>Low</v>
      </c>
      <c r="N51" t="str">
        <f t="shared" si="4"/>
        <v>Apr</v>
      </c>
      <c r="O51">
        <f t="shared" si="5"/>
        <v>2026</v>
      </c>
    </row>
    <row r="52" spans="1:15" x14ac:dyDescent="0.3">
      <c r="A52">
        <v>204518</v>
      </c>
      <c r="B52" t="s">
        <v>112</v>
      </c>
      <c r="C52" s="2">
        <v>46115</v>
      </c>
      <c r="D52" s="2">
        <f t="shared" si="0"/>
        <v>46160</v>
      </c>
      <c r="F52">
        <v>4321</v>
      </c>
      <c r="G52">
        <v>45</v>
      </c>
      <c r="H52">
        <f t="shared" si="9"/>
        <v>0</v>
      </c>
      <c r="I52" t="str">
        <f t="shared" si="7"/>
        <v>On Time</v>
      </c>
      <c r="J52" cm="1">
        <f t="array" ref="J52">_xlfn.IFS(H52&lt;30,0,H52&lt;60,1,H52&lt;90,2,H52&lt;120,3)</f>
        <v>0</v>
      </c>
      <c r="M52" t="str">
        <f t="shared" si="8"/>
        <v>Low</v>
      </c>
      <c r="N52" t="str">
        <f t="shared" si="4"/>
        <v>Apr</v>
      </c>
      <c r="O52">
        <f t="shared" si="5"/>
        <v>2026</v>
      </c>
    </row>
    <row r="53" spans="1:15" x14ac:dyDescent="0.3">
      <c r="A53">
        <v>204519</v>
      </c>
      <c r="B53" t="s">
        <v>113</v>
      </c>
      <c r="C53" s="2">
        <v>46115</v>
      </c>
      <c r="D53" s="2">
        <f t="shared" si="0"/>
        <v>46160</v>
      </c>
      <c r="F53">
        <v>293</v>
      </c>
      <c r="G53">
        <v>45</v>
      </c>
      <c r="H53">
        <f t="shared" si="9"/>
        <v>0</v>
      </c>
      <c r="I53" t="str">
        <f t="shared" si="7"/>
        <v>On Time</v>
      </c>
      <c r="J53" cm="1">
        <f t="array" ref="J53">_xlfn.IFS(H53&lt;30,0,H53&lt;60,1,H53&lt;90,2,H53&lt;120,3)</f>
        <v>0</v>
      </c>
      <c r="M53" t="str">
        <f t="shared" si="8"/>
        <v>Low</v>
      </c>
      <c r="N53" t="str">
        <f t="shared" si="4"/>
        <v>Apr</v>
      </c>
      <c r="O53">
        <f t="shared" si="5"/>
        <v>2026</v>
      </c>
    </row>
    <row r="54" spans="1:15" x14ac:dyDescent="0.3">
      <c r="A54">
        <v>204520</v>
      </c>
      <c r="B54" t="s">
        <v>114</v>
      </c>
      <c r="C54" s="2">
        <v>46115</v>
      </c>
      <c r="D54" s="2">
        <f t="shared" si="0"/>
        <v>46145</v>
      </c>
      <c r="F54">
        <v>106</v>
      </c>
      <c r="G54">
        <v>30</v>
      </c>
      <c r="H54">
        <f t="shared" si="9"/>
        <v>0</v>
      </c>
      <c r="I54" t="str">
        <f t="shared" si="7"/>
        <v>On Time</v>
      </c>
      <c r="J54" cm="1">
        <f t="array" ref="J54">_xlfn.IFS(H54&lt;30,0,H54&lt;60,1,H54&lt;90,2,H54&lt;120,3)</f>
        <v>0</v>
      </c>
      <c r="M54" t="str">
        <f t="shared" si="8"/>
        <v>Low</v>
      </c>
      <c r="N54" t="str">
        <f t="shared" si="4"/>
        <v>Apr</v>
      </c>
      <c r="O54">
        <f t="shared" si="5"/>
        <v>2026</v>
      </c>
    </row>
    <row r="55" spans="1:15" x14ac:dyDescent="0.3">
      <c r="A55">
        <v>204484</v>
      </c>
      <c r="B55" t="s">
        <v>38</v>
      </c>
      <c r="C55" s="2">
        <v>46114</v>
      </c>
      <c r="D55" s="2">
        <f t="shared" si="0"/>
        <v>46144</v>
      </c>
      <c r="F55">
        <v>16897</v>
      </c>
      <c r="G55">
        <v>30</v>
      </c>
      <c r="H55">
        <f t="shared" si="9"/>
        <v>0</v>
      </c>
      <c r="I55" t="str">
        <f t="shared" si="7"/>
        <v>On Time</v>
      </c>
      <c r="J55" cm="1">
        <f t="array" ref="J55">_xlfn.IFS(H55&lt;30,0,H55&lt;60,1,H55&lt;90,2,H55&lt;120,3)</f>
        <v>0</v>
      </c>
      <c r="M55" t="str">
        <f t="shared" si="8"/>
        <v>Low</v>
      </c>
      <c r="N55" t="str">
        <f t="shared" si="4"/>
        <v>Apr</v>
      </c>
      <c r="O55">
        <f t="shared" si="5"/>
        <v>2026</v>
      </c>
    </row>
    <row r="56" spans="1:15" x14ac:dyDescent="0.3">
      <c r="A56">
        <v>204485</v>
      </c>
      <c r="B56" t="s">
        <v>39</v>
      </c>
      <c r="C56" s="2">
        <v>46114</v>
      </c>
      <c r="D56" s="2">
        <f t="shared" si="0"/>
        <v>46144</v>
      </c>
      <c r="F56">
        <v>4857</v>
      </c>
      <c r="G56">
        <v>30</v>
      </c>
      <c r="H56">
        <f t="shared" si="9"/>
        <v>0</v>
      </c>
      <c r="I56" t="str">
        <f t="shared" si="7"/>
        <v>On Time</v>
      </c>
      <c r="J56" cm="1">
        <f t="array" ref="J56">_xlfn.IFS(H56&lt;30,0,H56&lt;60,1,H56&lt;90,2,H56&lt;120,3)</f>
        <v>0</v>
      </c>
      <c r="M56" t="str">
        <f t="shared" si="8"/>
        <v>Low</v>
      </c>
      <c r="N56" t="str">
        <f t="shared" si="4"/>
        <v>Apr</v>
      </c>
      <c r="O56">
        <f t="shared" si="5"/>
        <v>2026</v>
      </c>
    </row>
    <row r="57" spans="1:15" x14ac:dyDescent="0.3">
      <c r="A57">
        <v>204486</v>
      </c>
      <c r="B57" t="s">
        <v>40</v>
      </c>
      <c r="C57" s="2">
        <v>46114</v>
      </c>
      <c r="D57" s="2">
        <f t="shared" si="0"/>
        <v>46144</v>
      </c>
      <c r="F57">
        <v>4085</v>
      </c>
      <c r="G57">
        <v>30</v>
      </c>
      <c r="H57">
        <f t="shared" si="9"/>
        <v>0</v>
      </c>
      <c r="I57" t="str">
        <f t="shared" si="7"/>
        <v>On Time</v>
      </c>
      <c r="J57" cm="1">
        <f t="array" ref="J57">_xlfn.IFS(H57&lt;30,0,H57&lt;60,1,H57&lt;90,2,H57&lt;120,3)</f>
        <v>0</v>
      </c>
      <c r="M57" t="str">
        <f t="shared" si="8"/>
        <v>Low</v>
      </c>
      <c r="N57" t="str">
        <f t="shared" si="4"/>
        <v>Apr</v>
      </c>
      <c r="O57">
        <f t="shared" si="5"/>
        <v>2026</v>
      </c>
    </row>
    <row r="58" spans="1:15" x14ac:dyDescent="0.3">
      <c r="A58">
        <v>204487</v>
      </c>
      <c r="B58" t="s">
        <v>41</v>
      </c>
      <c r="C58" s="2">
        <v>46114</v>
      </c>
      <c r="D58" s="2">
        <f t="shared" si="0"/>
        <v>46144</v>
      </c>
      <c r="F58">
        <v>4079</v>
      </c>
      <c r="G58">
        <v>30</v>
      </c>
      <c r="H58">
        <f t="shared" si="9"/>
        <v>0</v>
      </c>
      <c r="I58" t="str">
        <f t="shared" si="7"/>
        <v>On Time</v>
      </c>
      <c r="J58" cm="1">
        <f t="array" ref="J58">_xlfn.IFS(H58&lt;30,0,H58&lt;60,1,H58&lt;90,2,H58&lt;120,3)</f>
        <v>0</v>
      </c>
      <c r="M58" t="str">
        <f t="shared" si="8"/>
        <v>Low</v>
      </c>
      <c r="N58" t="str">
        <f t="shared" si="4"/>
        <v>Apr</v>
      </c>
      <c r="O58">
        <f t="shared" si="5"/>
        <v>2026</v>
      </c>
    </row>
    <row r="59" spans="1:15" x14ac:dyDescent="0.3">
      <c r="A59">
        <v>204488</v>
      </c>
      <c r="B59" t="s">
        <v>42</v>
      </c>
      <c r="C59" s="2">
        <v>46114</v>
      </c>
      <c r="D59" s="2">
        <f t="shared" si="0"/>
        <v>46144</v>
      </c>
      <c r="F59">
        <v>10962</v>
      </c>
      <c r="G59">
        <v>30</v>
      </c>
      <c r="H59">
        <f t="shared" si="9"/>
        <v>0</v>
      </c>
      <c r="I59" t="str">
        <f t="shared" si="7"/>
        <v>On Time</v>
      </c>
      <c r="J59" cm="1">
        <f t="array" ref="J59">_xlfn.IFS(H59&lt;30,0,H59&lt;60,1,H59&lt;90,2,H59&lt;120,3)</f>
        <v>0</v>
      </c>
      <c r="M59" t="str">
        <f t="shared" si="8"/>
        <v>Low</v>
      </c>
      <c r="N59" t="str">
        <f t="shared" si="4"/>
        <v>Apr</v>
      </c>
      <c r="O59">
        <f t="shared" si="5"/>
        <v>2026</v>
      </c>
    </row>
    <row r="60" spans="1:15" x14ac:dyDescent="0.3">
      <c r="A60">
        <v>204489</v>
      </c>
      <c r="B60" t="s">
        <v>43</v>
      </c>
      <c r="C60" s="2">
        <v>46114</v>
      </c>
      <c r="D60" s="2">
        <f t="shared" si="0"/>
        <v>46144</v>
      </c>
      <c r="F60">
        <v>3750</v>
      </c>
      <c r="G60">
        <v>30</v>
      </c>
      <c r="H60">
        <f t="shared" si="9"/>
        <v>0</v>
      </c>
      <c r="I60" t="str">
        <f t="shared" si="7"/>
        <v>On Time</v>
      </c>
      <c r="J60" cm="1">
        <f t="array" ref="J60">_xlfn.IFS(H60&lt;30,0,H60&lt;60,1,H60&lt;90,2,H60&lt;120,3)</f>
        <v>0</v>
      </c>
      <c r="M60" t="str">
        <f t="shared" si="8"/>
        <v>Low</v>
      </c>
      <c r="N60" t="str">
        <f t="shared" si="4"/>
        <v>Apr</v>
      </c>
      <c r="O60">
        <f t="shared" si="5"/>
        <v>2026</v>
      </c>
    </row>
    <row r="61" spans="1:15" x14ac:dyDescent="0.3">
      <c r="A61">
        <v>204490</v>
      </c>
      <c r="B61" t="s">
        <v>44</v>
      </c>
      <c r="C61" s="2">
        <v>46114</v>
      </c>
      <c r="D61" s="2">
        <f t="shared" si="0"/>
        <v>46159</v>
      </c>
      <c r="F61">
        <v>4589</v>
      </c>
      <c r="G61">
        <v>45</v>
      </c>
      <c r="H61">
        <f t="shared" si="9"/>
        <v>0</v>
      </c>
      <c r="I61" t="str">
        <f t="shared" si="7"/>
        <v>On Time</v>
      </c>
      <c r="J61" cm="1">
        <f t="array" ref="J61">_xlfn.IFS(H61&lt;30,0,H61&lt;60,1,H61&lt;90,2,H61&lt;120,3)</f>
        <v>0</v>
      </c>
      <c r="M61" t="str">
        <f t="shared" si="8"/>
        <v>Low</v>
      </c>
      <c r="N61" t="str">
        <f t="shared" si="4"/>
        <v>Apr</v>
      </c>
      <c r="O61">
        <f t="shared" si="5"/>
        <v>2026</v>
      </c>
    </row>
    <row r="62" spans="1:15" x14ac:dyDescent="0.3">
      <c r="A62">
        <v>204491</v>
      </c>
      <c r="B62" t="s">
        <v>96</v>
      </c>
      <c r="C62" s="2">
        <v>46114</v>
      </c>
      <c r="D62" s="2">
        <f t="shared" si="0"/>
        <v>46174</v>
      </c>
      <c r="F62">
        <v>9779</v>
      </c>
      <c r="G62">
        <v>60</v>
      </c>
      <c r="H62">
        <f t="shared" si="9"/>
        <v>0</v>
      </c>
      <c r="I62" t="str">
        <f t="shared" si="7"/>
        <v>On Time</v>
      </c>
      <c r="J62" cm="1">
        <f t="array" ref="J62">_xlfn.IFS(H62&lt;30,0,H62&lt;60,1,H62&lt;90,2,H62&lt;120,3)</f>
        <v>0</v>
      </c>
      <c r="M62" t="str">
        <f t="shared" si="8"/>
        <v>Low</v>
      </c>
      <c r="N62" t="str">
        <f t="shared" si="4"/>
        <v>Apr</v>
      </c>
      <c r="O62">
        <f t="shared" si="5"/>
        <v>2026</v>
      </c>
    </row>
    <row r="63" spans="1:15" x14ac:dyDescent="0.3">
      <c r="A63">
        <v>204492</v>
      </c>
      <c r="B63" t="s">
        <v>97</v>
      </c>
      <c r="C63" s="2">
        <v>46114</v>
      </c>
      <c r="D63" s="2">
        <f t="shared" si="0"/>
        <v>46144</v>
      </c>
      <c r="F63">
        <v>16522</v>
      </c>
      <c r="G63">
        <v>30</v>
      </c>
      <c r="H63">
        <f t="shared" si="9"/>
        <v>0</v>
      </c>
      <c r="I63" t="str">
        <f t="shared" si="7"/>
        <v>On Time</v>
      </c>
      <c r="J63" cm="1">
        <f t="array" ref="J63">_xlfn.IFS(H63&lt;30,0,H63&lt;60,1,H63&lt;90,2,H63&lt;120,3)</f>
        <v>0</v>
      </c>
      <c r="M63" t="str">
        <f t="shared" si="8"/>
        <v>Low</v>
      </c>
      <c r="N63" t="str">
        <f t="shared" si="4"/>
        <v>Apr</v>
      </c>
      <c r="O63">
        <f t="shared" si="5"/>
        <v>2026</v>
      </c>
    </row>
    <row r="64" spans="1:15" x14ac:dyDescent="0.3">
      <c r="A64">
        <v>204493</v>
      </c>
      <c r="B64" t="s">
        <v>98</v>
      </c>
      <c r="C64" s="2">
        <v>46114</v>
      </c>
      <c r="D64" s="2">
        <f t="shared" si="0"/>
        <v>46144</v>
      </c>
      <c r="F64">
        <v>3379</v>
      </c>
      <c r="G64">
        <v>30</v>
      </c>
      <c r="H64">
        <f t="shared" si="9"/>
        <v>0</v>
      </c>
      <c r="I64" t="str">
        <f t="shared" si="7"/>
        <v>On Time</v>
      </c>
      <c r="J64" cm="1">
        <f t="array" ref="J64">_xlfn.IFS(H64&lt;30,0,H64&lt;60,1,H64&lt;90,2,H64&lt;120,3)</f>
        <v>0</v>
      </c>
      <c r="M64" t="str">
        <f t="shared" si="8"/>
        <v>Low</v>
      </c>
      <c r="N64" t="str">
        <f t="shared" si="4"/>
        <v>Apr</v>
      </c>
      <c r="O64">
        <f t="shared" si="5"/>
        <v>2026</v>
      </c>
    </row>
    <row r="65" spans="1:15" x14ac:dyDescent="0.3">
      <c r="A65">
        <v>204494</v>
      </c>
      <c r="B65" t="s">
        <v>99</v>
      </c>
      <c r="C65" s="2">
        <v>46114</v>
      </c>
      <c r="D65" s="2">
        <f t="shared" si="0"/>
        <v>46144</v>
      </c>
      <c r="F65">
        <v>1379</v>
      </c>
      <c r="G65">
        <v>30</v>
      </c>
      <c r="H65">
        <f t="shared" si="9"/>
        <v>0</v>
      </c>
      <c r="I65" t="str">
        <f t="shared" si="7"/>
        <v>On Time</v>
      </c>
      <c r="J65" cm="1">
        <f t="array" ref="J65">_xlfn.IFS(H65&lt;30,0,H65&lt;60,1,H65&lt;90,2,H65&lt;120,3)</f>
        <v>0</v>
      </c>
      <c r="M65" t="str">
        <f t="shared" si="8"/>
        <v>Low</v>
      </c>
      <c r="N65" t="str">
        <f t="shared" si="4"/>
        <v>Apr</v>
      </c>
      <c r="O65">
        <f t="shared" si="5"/>
        <v>2026</v>
      </c>
    </row>
    <row r="66" spans="1:15" x14ac:dyDescent="0.3">
      <c r="A66">
        <v>204495</v>
      </c>
      <c r="B66" t="s">
        <v>100</v>
      </c>
      <c r="C66" s="2">
        <v>46114</v>
      </c>
      <c r="D66" s="2">
        <f t="shared" ref="D66:D129" si="10">C66+G66</f>
        <v>46144</v>
      </c>
      <c r="F66">
        <v>1228</v>
      </c>
      <c r="G66">
        <v>30</v>
      </c>
      <c r="H66">
        <f t="shared" si="9"/>
        <v>0</v>
      </c>
      <c r="I66" t="str">
        <f t="shared" si="7"/>
        <v>On Time</v>
      </c>
      <c r="J66" cm="1">
        <f t="array" ref="J66">_xlfn.IFS(H66&lt;30,0,H66&lt;60,1,H66&lt;90,2,H66&lt;120,3)</f>
        <v>0</v>
      </c>
      <c r="M66" t="str">
        <f t="shared" si="8"/>
        <v>Low</v>
      </c>
      <c r="N66" t="str">
        <f t="shared" ref="N66:N129" si="11">TEXT(C66,"mmm")</f>
        <v>Apr</v>
      </c>
      <c r="O66">
        <f t="shared" ref="O66:O129" si="12">YEAR(C66)</f>
        <v>2026</v>
      </c>
    </row>
    <row r="67" spans="1:15" x14ac:dyDescent="0.3">
      <c r="A67">
        <v>204496</v>
      </c>
      <c r="B67" t="s">
        <v>101</v>
      </c>
      <c r="C67" s="2">
        <v>46114</v>
      </c>
      <c r="D67" s="2">
        <f t="shared" si="10"/>
        <v>46144</v>
      </c>
      <c r="F67">
        <v>1252</v>
      </c>
      <c r="G67">
        <v>30</v>
      </c>
      <c r="H67">
        <f t="shared" si="9"/>
        <v>0</v>
      </c>
      <c r="I67" t="str">
        <f t="shared" si="7"/>
        <v>On Time</v>
      </c>
      <c r="J67" cm="1">
        <f t="array" ref="J67">_xlfn.IFS(H67&lt;30,0,H67&lt;60,1,H67&lt;90,2,H67&lt;120,3)</f>
        <v>0</v>
      </c>
      <c r="M67" t="str">
        <f t="shared" si="8"/>
        <v>Low</v>
      </c>
      <c r="N67" t="str">
        <f t="shared" si="11"/>
        <v>Apr</v>
      </c>
      <c r="O67">
        <f t="shared" si="12"/>
        <v>2026</v>
      </c>
    </row>
    <row r="68" spans="1:15" x14ac:dyDescent="0.3">
      <c r="A68">
        <v>204497</v>
      </c>
      <c r="B68" t="s">
        <v>102</v>
      </c>
      <c r="C68" s="2">
        <v>46114</v>
      </c>
      <c r="D68" s="2">
        <f t="shared" si="10"/>
        <v>46144</v>
      </c>
      <c r="F68">
        <v>4677</v>
      </c>
      <c r="G68">
        <v>30</v>
      </c>
      <c r="H68">
        <f t="shared" si="9"/>
        <v>0</v>
      </c>
      <c r="I68" t="str">
        <f t="shared" si="7"/>
        <v>On Time</v>
      </c>
      <c r="J68" cm="1">
        <f t="array" ref="J68">_xlfn.IFS(H68&lt;30,0,H68&lt;60,1,H68&lt;90,2,H68&lt;120,3)</f>
        <v>0</v>
      </c>
      <c r="M68" t="str">
        <f t="shared" si="8"/>
        <v>Low</v>
      </c>
      <c r="N68" t="str">
        <f t="shared" si="11"/>
        <v>Apr</v>
      </c>
      <c r="O68">
        <f t="shared" si="12"/>
        <v>2026</v>
      </c>
    </row>
    <row r="69" spans="1:15" x14ac:dyDescent="0.3">
      <c r="A69">
        <v>204498</v>
      </c>
      <c r="B69" t="s">
        <v>103</v>
      </c>
      <c r="C69" s="2">
        <v>46114</v>
      </c>
      <c r="D69" s="2">
        <f t="shared" si="10"/>
        <v>46144</v>
      </c>
      <c r="F69">
        <v>4141</v>
      </c>
      <c r="G69">
        <v>30</v>
      </c>
      <c r="H69">
        <f t="shared" si="9"/>
        <v>0</v>
      </c>
      <c r="I69" t="str">
        <f t="shared" si="7"/>
        <v>On Time</v>
      </c>
      <c r="J69" cm="1">
        <f t="array" ref="J69">_xlfn.IFS(H69&lt;30,0,H69&lt;60,1,H69&lt;90,2,H69&lt;120,3)</f>
        <v>0</v>
      </c>
      <c r="M69" t="str">
        <f t="shared" si="8"/>
        <v>Low</v>
      </c>
      <c r="N69" t="str">
        <f t="shared" si="11"/>
        <v>Apr</v>
      </c>
      <c r="O69">
        <f t="shared" si="12"/>
        <v>2026</v>
      </c>
    </row>
    <row r="70" spans="1:15" x14ac:dyDescent="0.3">
      <c r="A70">
        <v>204499</v>
      </c>
      <c r="B70" t="s">
        <v>104</v>
      </c>
      <c r="C70" s="2">
        <v>46114</v>
      </c>
      <c r="D70" s="2">
        <f t="shared" si="10"/>
        <v>46144</v>
      </c>
      <c r="F70">
        <v>19763</v>
      </c>
      <c r="G70">
        <v>30</v>
      </c>
      <c r="H70">
        <f t="shared" si="9"/>
        <v>0</v>
      </c>
      <c r="I70" t="str">
        <f t="shared" si="7"/>
        <v>On Time</v>
      </c>
      <c r="J70" cm="1">
        <f t="array" ref="J70">_xlfn.IFS(H70&lt;30,0,H70&lt;60,1,H70&lt;90,2,H70&lt;120,3)</f>
        <v>0</v>
      </c>
      <c r="M70" t="str">
        <f t="shared" si="8"/>
        <v>Low</v>
      </c>
      <c r="N70" t="str">
        <f t="shared" si="11"/>
        <v>Apr</v>
      </c>
      <c r="O70">
        <f t="shared" si="12"/>
        <v>2026</v>
      </c>
    </row>
    <row r="71" spans="1:15" x14ac:dyDescent="0.3">
      <c r="A71">
        <v>204500</v>
      </c>
      <c r="B71" t="s">
        <v>105</v>
      </c>
      <c r="C71" s="2">
        <v>46114</v>
      </c>
      <c r="D71" s="2">
        <f t="shared" si="10"/>
        <v>46144</v>
      </c>
      <c r="F71">
        <v>2129</v>
      </c>
      <c r="G71">
        <v>30</v>
      </c>
      <c r="H71">
        <f t="shared" si="9"/>
        <v>0</v>
      </c>
      <c r="I71" t="str">
        <f t="shared" si="7"/>
        <v>On Time</v>
      </c>
      <c r="J71" cm="1">
        <f t="array" ref="J71">_xlfn.IFS(H71&lt;30,0,H71&lt;60,1,H71&lt;90,2,H71&lt;120,3)</f>
        <v>0</v>
      </c>
      <c r="M71" t="str">
        <f t="shared" si="8"/>
        <v>Low</v>
      </c>
      <c r="N71" t="str">
        <f t="shared" si="11"/>
        <v>Apr</v>
      </c>
      <c r="O71">
        <f t="shared" si="12"/>
        <v>2026</v>
      </c>
    </row>
    <row r="72" spans="1:15" x14ac:dyDescent="0.3">
      <c r="A72">
        <v>204501</v>
      </c>
      <c r="B72" t="s">
        <v>106</v>
      </c>
      <c r="C72" s="2">
        <v>46114</v>
      </c>
      <c r="D72" s="2">
        <f t="shared" si="10"/>
        <v>46144</v>
      </c>
      <c r="F72">
        <v>2620</v>
      </c>
      <c r="G72">
        <v>30</v>
      </c>
      <c r="H72">
        <f t="shared" si="9"/>
        <v>0</v>
      </c>
      <c r="I72" t="str">
        <f t="shared" si="7"/>
        <v>On Time</v>
      </c>
      <c r="J72" cm="1">
        <f t="array" ref="J72">_xlfn.IFS(H72&lt;30,0,H72&lt;60,1,H72&lt;90,2,H72&lt;120,3)</f>
        <v>0</v>
      </c>
      <c r="M72" t="str">
        <f t="shared" si="8"/>
        <v>Low</v>
      </c>
      <c r="N72" t="str">
        <f t="shared" si="11"/>
        <v>Apr</v>
      </c>
      <c r="O72">
        <f t="shared" si="12"/>
        <v>2026</v>
      </c>
    </row>
    <row r="73" spans="1:15" x14ac:dyDescent="0.3">
      <c r="A73">
        <v>204502</v>
      </c>
      <c r="B73" t="s">
        <v>107</v>
      </c>
      <c r="C73" s="2">
        <v>46114</v>
      </c>
      <c r="D73" s="2">
        <f t="shared" si="10"/>
        <v>46144</v>
      </c>
      <c r="F73">
        <v>1562</v>
      </c>
      <c r="G73">
        <v>30</v>
      </c>
      <c r="H73">
        <f t="shared" si="9"/>
        <v>0</v>
      </c>
      <c r="I73" t="str">
        <f t="shared" si="7"/>
        <v>On Time</v>
      </c>
      <c r="J73" cm="1">
        <f t="array" ref="J73">_xlfn.IFS(H73&lt;30,0,H73&lt;60,1,H73&lt;90,2,H73&lt;120,3)</f>
        <v>0</v>
      </c>
      <c r="M73" t="str">
        <f t="shared" si="8"/>
        <v>Low</v>
      </c>
      <c r="N73" t="str">
        <f t="shared" si="11"/>
        <v>Apr</v>
      </c>
      <c r="O73">
        <f t="shared" si="12"/>
        <v>2026</v>
      </c>
    </row>
    <row r="74" spans="1:15" x14ac:dyDescent="0.3">
      <c r="A74">
        <v>204464</v>
      </c>
      <c r="B74" t="s">
        <v>76</v>
      </c>
      <c r="C74" s="2">
        <v>46113</v>
      </c>
      <c r="D74" s="2">
        <f t="shared" si="10"/>
        <v>46143</v>
      </c>
      <c r="F74">
        <v>4069</v>
      </c>
      <c r="G74">
        <v>30</v>
      </c>
      <c r="H74">
        <f t="shared" si="9"/>
        <v>0</v>
      </c>
      <c r="I74" t="str">
        <f t="shared" si="7"/>
        <v>On Time</v>
      </c>
      <c r="J74" cm="1">
        <f t="array" ref="J74">_xlfn.IFS(H74&lt;30,0,H74&lt;60,1,H74&lt;90,2,H74&lt;120,3)</f>
        <v>0</v>
      </c>
      <c r="M74" t="str">
        <f t="shared" si="8"/>
        <v>Low</v>
      </c>
      <c r="N74" t="str">
        <f t="shared" si="11"/>
        <v>Apr</v>
      </c>
      <c r="O74">
        <f t="shared" si="12"/>
        <v>2026</v>
      </c>
    </row>
    <row r="75" spans="1:15" x14ac:dyDescent="0.3">
      <c r="A75">
        <v>204465</v>
      </c>
      <c r="B75" t="s">
        <v>77</v>
      </c>
      <c r="C75" s="2">
        <v>46113</v>
      </c>
      <c r="D75" s="2">
        <f t="shared" si="10"/>
        <v>46143</v>
      </c>
      <c r="F75">
        <v>402</v>
      </c>
      <c r="G75">
        <v>30</v>
      </c>
      <c r="H75">
        <f t="shared" si="9"/>
        <v>0</v>
      </c>
      <c r="I75" t="str">
        <f t="shared" si="7"/>
        <v>On Time</v>
      </c>
      <c r="J75" cm="1">
        <f t="array" ref="J75">_xlfn.IFS(H75&lt;30,0,H75&lt;60,1,H75&lt;90,2,H75&lt;120,3)</f>
        <v>0</v>
      </c>
      <c r="M75" t="str">
        <f t="shared" si="8"/>
        <v>Low</v>
      </c>
      <c r="N75" t="str">
        <f t="shared" si="11"/>
        <v>Apr</v>
      </c>
      <c r="O75">
        <f t="shared" si="12"/>
        <v>2026</v>
      </c>
    </row>
    <row r="76" spans="1:15" x14ac:dyDescent="0.3">
      <c r="A76">
        <v>204466</v>
      </c>
      <c r="B76" t="s">
        <v>78</v>
      </c>
      <c r="C76" s="2">
        <v>46113</v>
      </c>
      <c r="D76" s="2">
        <f t="shared" si="10"/>
        <v>46143</v>
      </c>
      <c r="F76">
        <v>3144</v>
      </c>
      <c r="G76">
        <v>30</v>
      </c>
      <c r="H76">
        <f t="shared" si="9"/>
        <v>0</v>
      </c>
      <c r="I76" t="str">
        <f t="shared" si="7"/>
        <v>On Time</v>
      </c>
      <c r="J76" cm="1">
        <f t="array" ref="J76">_xlfn.IFS(H76&lt;30,0,H76&lt;60,1,H76&lt;90,2,H76&lt;120,3)</f>
        <v>0</v>
      </c>
      <c r="M76" t="str">
        <f t="shared" si="8"/>
        <v>Low</v>
      </c>
      <c r="N76" t="str">
        <f t="shared" si="11"/>
        <v>Apr</v>
      </c>
      <c r="O76">
        <f t="shared" si="12"/>
        <v>2026</v>
      </c>
    </row>
    <row r="77" spans="1:15" x14ac:dyDescent="0.3">
      <c r="A77">
        <v>204467</v>
      </c>
      <c r="B77" t="s">
        <v>79</v>
      </c>
      <c r="C77" s="2">
        <v>46113</v>
      </c>
      <c r="D77" s="2">
        <f t="shared" si="10"/>
        <v>46143</v>
      </c>
      <c r="F77">
        <v>333</v>
      </c>
      <c r="G77">
        <v>30</v>
      </c>
      <c r="H77">
        <f t="shared" si="9"/>
        <v>0</v>
      </c>
      <c r="I77" t="str">
        <f t="shared" si="7"/>
        <v>On Time</v>
      </c>
      <c r="J77" cm="1">
        <f t="array" ref="J77">_xlfn.IFS(H77&lt;30,0,H77&lt;60,1,H77&lt;90,2,H77&lt;120,3)</f>
        <v>0</v>
      </c>
      <c r="M77" t="str">
        <f t="shared" si="8"/>
        <v>Low</v>
      </c>
      <c r="N77" t="str">
        <f t="shared" si="11"/>
        <v>Apr</v>
      </c>
      <c r="O77">
        <f t="shared" si="12"/>
        <v>2026</v>
      </c>
    </row>
    <row r="78" spans="1:15" x14ac:dyDescent="0.3">
      <c r="A78">
        <v>204468</v>
      </c>
      <c r="B78" t="s">
        <v>80</v>
      </c>
      <c r="C78" s="2">
        <v>46113</v>
      </c>
      <c r="D78" s="2">
        <f t="shared" si="10"/>
        <v>46143</v>
      </c>
      <c r="F78">
        <v>8489</v>
      </c>
      <c r="G78">
        <v>30</v>
      </c>
      <c r="H78">
        <f t="shared" si="9"/>
        <v>0</v>
      </c>
      <c r="I78" t="str">
        <f t="shared" si="7"/>
        <v>On Time</v>
      </c>
      <c r="J78" cm="1">
        <f t="array" ref="J78">_xlfn.IFS(H78&lt;30,0,H78&lt;60,1,H78&lt;90,2,H78&lt;120,3)</f>
        <v>0</v>
      </c>
      <c r="M78" t="str">
        <f t="shared" si="8"/>
        <v>Low</v>
      </c>
      <c r="N78" t="str">
        <f t="shared" si="11"/>
        <v>Apr</v>
      </c>
      <c r="O78">
        <f t="shared" si="12"/>
        <v>2026</v>
      </c>
    </row>
    <row r="79" spans="1:15" x14ac:dyDescent="0.3">
      <c r="A79">
        <v>204469</v>
      </c>
      <c r="B79" t="s">
        <v>81</v>
      </c>
      <c r="C79" s="2">
        <v>46113</v>
      </c>
      <c r="D79" s="2">
        <f t="shared" si="10"/>
        <v>46143</v>
      </c>
      <c r="F79">
        <v>4052</v>
      </c>
      <c r="G79">
        <v>30</v>
      </c>
      <c r="H79">
        <f t="shared" si="9"/>
        <v>0</v>
      </c>
      <c r="I79" t="str">
        <f t="shared" si="7"/>
        <v>On Time</v>
      </c>
      <c r="J79" cm="1">
        <f t="array" ref="J79">_xlfn.IFS(H79&lt;30,0,H79&lt;60,1,H79&lt;90,2,H79&lt;120,3)</f>
        <v>0</v>
      </c>
      <c r="M79" t="str">
        <f t="shared" si="8"/>
        <v>Low</v>
      </c>
      <c r="N79" t="str">
        <f t="shared" si="11"/>
        <v>Apr</v>
      </c>
      <c r="O79">
        <f t="shared" si="12"/>
        <v>2026</v>
      </c>
    </row>
    <row r="80" spans="1:15" x14ac:dyDescent="0.3">
      <c r="A80">
        <v>204470</v>
      </c>
      <c r="B80" t="s">
        <v>82</v>
      </c>
      <c r="C80" s="2">
        <v>46113</v>
      </c>
      <c r="D80" s="2">
        <f t="shared" si="10"/>
        <v>46158</v>
      </c>
      <c r="F80">
        <v>3516</v>
      </c>
      <c r="G80">
        <v>45</v>
      </c>
      <c r="H80">
        <f t="shared" si="9"/>
        <v>0</v>
      </c>
      <c r="I80" t="str">
        <f t="shared" si="7"/>
        <v>On Time</v>
      </c>
      <c r="J80" cm="1">
        <f t="array" ref="J80">_xlfn.IFS(H80&lt;30,0,H80&lt;60,1,H80&lt;90,2,H80&lt;120,3)</f>
        <v>0</v>
      </c>
      <c r="M80" t="str">
        <f t="shared" si="8"/>
        <v>Low</v>
      </c>
      <c r="N80" t="str">
        <f t="shared" si="11"/>
        <v>Apr</v>
      </c>
      <c r="O80">
        <f t="shared" si="12"/>
        <v>2026</v>
      </c>
    </row>
    <row r="81" spans="1:15" x14ac:dyDescent="0.3">
      <c r="A81">
        <v>204471</v>
      </c>
      <c r="B81" t="s">
        <v>83</v>
      </c>
      <c r="C81" s="2">
        <v>46113</v>
      </c>
      <c r="D81" s="2">
        <f t="shared" si="10"/>
        <v>46158</v>
      </c>
      <c r="F81">
        <v>2755</v>
      </c>
      <c r="G81">
        <v>45</v>
      </c>
      <c r="H81">
        <f t="shared" si="9"/>
        <v>0</v>
      </c>
      <c r="I81" t="str">
        <f t="shared" si="7"/>
        <v>On Time</v>
      </c>
      <c r="J81" cm="1">
        <f t="array" ref="J81">_xlfn.IFS(H81&lt;30,0,H81&lt;60,1,H81&lt;90,2,H81&lt;120,3)</f>
        <v>0</v>
      </c>
      <c r="M81" t="str">
        <f t="shared" si="8"/>
        <v>Low</v>
      </c>
      <c r="N81" t="str">
        <f t="shared" si="11"/>
        <v>Apr</v>
      </c>
      <c r="O81">
        <f t="shared" si="12"/>
        <v>2026</v>
      </c>
    </row>
    <row r="82" spans="1:15" x14ac:dyDescent="0.3">
      <c r="A82">
        <v>204472</v>
      </c>
      <c r="B82" t="s">
        <v>84</v>
      </c>
      <c r="C82" s="2">
        <v>46113</v>
      </c>
      <c r="D82" s="2">
        <f t="shared" si="10"/>
        <v>46173</v>
      </c>
      <c r="F82">
        <v>4527</v>
      </c>
      <c r="G82">
        <v>60</v>
      </c>
      <c r="H82">
        <f t="shared" si="9"/>
        <v>0</v>
      </c>
      <c r="I82" t="str">
        <f t="shared" si="7"/>
        <v>On Time</v>
      </c>
      <c r="J82" cm="1">
        <f t="array" ref="J82">_xlfn.IFS(H82&lt;30,0,H82&lt;60,1,H82&lt;90,2,H82&lt;120,3)</f>
        <v>0</v>
      </c>
      <c r="M82" t="str">
        <f t="shared" si="8"/>
        <v>Low</v>
      </c>
      <c r="N82" t="str">
        <f t="shared" si="11"/>
        <v>Apr</v>
      </c>
      <c r="O82">
        <f t="shared" si="12"/>
        <v>2026</v>
      </c>
    </row>
    <row r="83" spans="1:15" x14ac:dyDescent="0.3">
      <c r="A83">
        <v>204473</v>
      </c>
      <c r="B83" t="s">
        <v>92</v>
      </c>
      <c r="C83" s="2">
        <v>46113</v>
      </c>
      <c r="D83" s="2">
        <f t="shared" si="10"/>
        <v>46143</v>
      </c>
      <c r="F83">
        <v>4807</v>
      </c>
      <c r="G83">
        <v>30</v>
      </c>
      <c r="H83">
        <f t="shared" si="9"/>
        <v>0</v>
      </c>
      <c r="I83" t="str">
        <f t="shared" si="7"/>
        <v>On Time</v>
      </c>
      <c r="J83" cm="1">
        <f t="array" ref="J83">_xlfn.IFS(H83&lt;30,0,H83&lt;60,1,H83&lt;90,2,H83&lt;120,3)</f>
        <v>0</v>
      </c>
      <c r="M83" t="str">
        <f t="shared" si="8"/>
        <v>Low</v>
      </c>
      <c r="N83" t="str">
        <f t="shared" si="11"/>
        <v>Apr</v>
      </c>
      <c r="O83">
        <f t="shared" si="12"/>
        <v>2026</v>
      </c>
    </row>
    <row r="84" spans="1:15" x14ac:dyDescent="0.3">
      <c r="A84">
        <v>204474</v>
      </c>
      <c r="B84" t="s">
        <v>93</v>
      </c>
      <c r="C84" s="2">
        <v>46113</v>
      </c>
      <c r="D84" s="2">
        <f t="shared" si="10"/>
        <v>46143</v>
      </c>
      <c r="F84">
        <v>2627</v>
      </c>
      <c r="G84">
        <v>30</v>
      </c>
      <c r="H84">
        <f t="shared" si="9"/>
        <v>0</v>
      </c>
      <c r="I84" t="str">
        <f t="shared" si="7"/>
        <v>On Time</v>
      </c>
      <c r="J84" cm="1">
        <f t="array" ref="J84">_xlfn.IFS(H84&lt;30,0,H84&lt;60,1,H84&lt;90,2,H84&lt;120,3)</f>
        <v>0</v>
      </c>
      <c r="M84" t="str">
        <f t="shared" si="8"/>
        <v>Low</v>
      </c>
      <c r="N84" t="str">
        <f t="shared" si="11"/>
        <v>Apr</v>
      </c>
      <c r="O84">
        <f t="shared" si="12"/>
        <v>2026</v>
      </c>
    </row>
    <row r="85" spans="1:15" x14ac:dyDescent="0.3">
      <c r="A85">
        <v>204475</v>
      </c>
      <c r="B85" t="s">
        <v>94</v>
      </c>
      <c r="C85" s="2">
        <v>46113</v>
      </c>
      <c r="D85" s="2">
        <f t="shared" si="10"/>
        <v>46143</v>
      </c>
      <c r="F85">
        <v>341</v>
      </c>
      <c r="G85">
        <v>30</v>
      </c>
      <c r="H85">
        <f t="shared" si="9"/>
        <v>0</v>
      </c>
      <c r="I85" t="str">
        <f t="shared" si="7"/>
        <v>On Time</v>
      </c>
      <c r="J85" cm="1">
        <f t="array" ref="J85">_xlfn.IFS(H85&lt;30,0,H85&lt;60,1,H85&lt;90,2,H85&lt;120,3)</f>
        <v>0</v>
      </c>
      <c r="M85" t="str">
        <f t="shared" si="8"/>
        <v>Low</v>
      </c>
      <c r="N85" t="str">
        <f t="shared" si="11"/>
        <v>Apr</v>
      </c>
      <c r="O85">
        <f t="shared" si="12"/>
        <v>2026</v>
      </c>
    </row>
    <row r="86" spans="1:15" x14ac:dyDescent="0.3">
      <c r="A86">
        <v>204476</v>
      </c>
      <c r="B86" t="s">
        <v>95</v>
      </c>
      <c r="C86" s="2">
        <v>46113</v>
      </c>
      <c r="D86" s="2">
        <f t="shared" si="10"/>
        <v>46158</v>
      </c>
      <c r="F86">
        <v>3805</v>
      </c>
      <c r="G86">
        <v>45</v>
      </c>
      <c r="H86">
        <f t="shared" si="9"/>
        <v>0</v>
      </c>
      <c r="I86" t="str">
        <f t="shared" ref="I86:I149" si="13">IF(H86=0,"On Time",IF(H86&lt;=15,"Paid Late","Seriously Late"))</f>
        <v>On Time</v>
      </c>
      <c r="J86" cm="1">
        <f t="array" ref="J86">_xlfn.IFS(H86&lt;30,0,H86&lt;60,1,H86&lt;90,2,H86&lt;120,3)</f>
        <v>0</v>
      </c>
      <c r="M86" t="str">
        <f t="shared" ref="M86:M149" si="14">IF(H86&gt;30,"High",IF(H86&gt;10,"Medium","Low"))</f>
        <v>Low</v>
      </c>
      <c r="N86" t="str">
        <f t="shared" si="11"/>
        <v>Apr</v>
      </c>
      <c r="O86">
        <f t="shared" si="12"/>
        <v>2026</v>
      </c>
    </row>
    <row r="87" spans="1:15" x14ac:dyDescent="0.3">
      <c r="A87">
        <v>204477</v>
      </c>
      <c r="B87" t="s">
        <v>96</v>
      </c>
      <c r="C87" s="2">
        <v>46113</v>
      </c>
      <c r="D87" s="2">
        <f t="shared" si="10"/>
        <v>46173</v>
      </c>
      <c r="F87">
        <v>172</v>
      </c>
      <c r="G87">
        <v>60</v>
      </c>
      <c r="H87">
        <f t="shared" si="9"/>
        <v>0</v>
      </c>
      <c r="I87" t="str">
        <f t="shared" si="13"/>
        <v>On Time</v>
      </c>
      <c r="J87" cm="1">
        <f t="array" ref="J87">_xlfn.IFS(H87&lt;30,0,H87&lt;60,1,H87&lt;90,2,H87&lt;120,3)</f>
        <v>0</v>
      </c>
      <c r="M87" t="str">
        <f t="shared" si="14"/>
        <v>Low</v>
      </c>
      <c r="N87" t="str">
        <f t="shared" si="11"/>
        <v>Apr</v>
      </c>
      <c r="O87">
        <f t="shared" si="12"/>
        <v>2026</v>
      </c>
    </row>
    <row r="88" spans="1:15" x14ac:dyDescent="0.3">
      <c r="A88">
        <v>204478</v>
      </c>
      <c r="B88" t="s">
        <v>97</v>
      </c>
      <c r="C88" s="2">
        <v>46113</v>
      </c>
      <c r="D88" s="2">
        <f t="shared" si="10"/>
        <v>46143</v>
      </c>
      <c r="F88">
        <v>4185</v>
      </c>
      <c r="G88">
        <v>30</v>
      </c>
      <c r="H88">
        <f t="shared" si="9"/>
        <v>0</v>
      </c>
      <c r="I88" t="str">
        <f t="shared" si="13"/>
        <v>On Time</v>
      </c>
      <c r="J88" cm="1">
        <f t="array" ref="J88">_xlfn.IFS(H88&lt;30,0,H88&lt;60,1,H88&lt;90,2,H88&lt;120,3)</f>
        <v>0</v>
      </c>
      <c r="M88" t="str">
        <f t="shared" si="14"/>
        <v>Low</v>
      </c>
      <c r="N88" t="str">
        <f t="shared" si="11"/>
        <v>Apr</v>
      </c>
      <c r="O88">
        <f t="shared" si="12"/>
        <v>2026</v>
      </c>
    </row>
    <row r="89" spans="1:15" x14ac:dyDescent="0.3">
      <c r="A89">
        <v>204479</v>
      </c>
      <c r="B89" t="s">
        <v>98</v>
      </c>
      <c r="C89" s="2">
        <v>46113</v>
      </c>
      <c r="D89" s="2">
        <f t="shared" si="10"/>
        <v>46143</v>
      </c>
      <c r="F89">
        <v>4596</v>
      </c>
      <c r="G89">
        <v>30</v>
      </c>
      <c r="H89">
        <f t="shared" si="9"/>
        <v>0</v>
      </c>
      <c r="I89" t="str">
        <f t="shared" si="13"/>
        <v>On Time</v>
      </c>
      <c r="J89" cm="1">
        <f t="array" ref="J89">_xlfn.IFS(H89&lt;30,0,H89&lt;60,1,H89&lt;90,2,H89&lt;120,3)</f>
        <v>0</v>
      </c>
      <c r="M89" t="str">
        <f t="shared" si="14"/>
        <v>Low</v>
      </c>
      <c r="N89" t="str">
        <f t="shared" si="11"/>
        <v>Apr</v>
      </c>
      <c r="O89">
        <f t="shared" si="12"/>
        <v>2026</v>
      </c>
    </row>
    <row r="90" spans="1:15" x14ac:dyDescent="0.3">
      <c r="A90">
        <v>204480</v>
      </c>
      <c r="B90" t="s">
        <v>99</v>
      </c>
      <c r="C90" s="2">
        <v>46113</v>
      </c>
      <c r="D90" s="2">
        <f t="shared" si="10"/>
        <v>46143</v>
      </c>
      <c r="F90">
        <v>3892</v>
      </c>
      <c r="G90">
        <v>30</v>
      </c>
      <c r="H90">
        <f t="shared" si="9"/>
        <v>0</v>
      </c>
      <c r="I90" t="str">
        <f t="shared" si="13"/>
        <v>On Time</v>
      </c>
      <c r="J90" cm="1">
        <f t="array" ref="J90">_xlfn.IFS(H90&lt;30,0,H90&lt;60,1,H90&lt;90,2,H90&lt;120,3)</f>
        <v>0</v>
      </c>
      <c r="M90" t="str">
        <f t="shared" si="14"/>
        <v>Low</v>
      </c>
      <c r="N90" t="str">
        <f t="shared" si="11"/>
        <v>Apr</v>
      </c>
      <c r="O90">
        <f t="shared" si="12"/>
        <v>2026</v>
      </c>
    </row>
    <row r="91" spans="1:15" x14ac:dyDescent="0.3">
      <c r="A91">
        <v>204481</v>
      </c>
      <c r="B91" t="s">
        <v>100</v>
      </c>
      <c r="C91" s="2">
        <v>46113</v>
      </c>
      <c r="D91" s="2">
        <f t="shared" si="10"/>
        <v>46143</v>
      </c>
      <c r="F91">
        <v>4717</v>
      </c>
      <c r="G91">
        <v>30</v>
      </c>
      <c r="H91">
        <f t="shared" si="9"/>
        <v>0</v>
      </c>
      <c r="I91" t="str">
        <f t="shared" si="13"/>
        <v>On Time</v>
      </c>
      <c r="J91" cm="1">
        <f t="array" ref="J91">_xlfn.IFS(H91&lt;30,0,H91&lt;60,1,H91&lt;90,2,H91&lt;120,3)</f>
        <v>0</v>
      </c>
      <c r="M91" t="str">
        <f t="shared" si="14"/>
        <v>Low</v>
      </c>
      <c r="N91" t="str">
        <f t="shared" si="11"/>
        <v>Apr</v>
      </c>
      <c r="O91">
        <f t="shared" si="12"/>
        <v>2026</v>
      </c>
    </row>
    <row r="92" spans="1:15" x14ac:dyDescent="0.3">
      <c r="A92">
        <v>204482</v>
      </c>
      <c r="B92" t="s">
        <v>101</v>
      </c>
      <c r="C92" s="2">
        <v>46113</v>
      </c>
      <c r="D92" s="2">
        <f t="shared" si="10"/>
        <v>46143</v>
      </c>
      <c r="F92">
        <v>4912</v>
      </c>
      <c r="G92">
        <v>30</v>
      </c>
      <c r="H92">
        <f t="shared" si="9"/>
        <v>0</v>
      </c>
      <c r="I92" t="str">
        <f t="shared" si="13"/>
        <v>On Time</v>
      </c>
      <c r="J92" cm="1">
        <f t="array" ref="J92">_xlfn.IFS(H92&lt;30,0,H92&lt;60,1,H92&lt;90,2,H92&lt;120,3)</f>
        <v>0</v>
      </c>
      <c r="M92" t="str">
        <f t="shared" si="14"/>
        <v>Low</v>
      </c>
      <c r="N92" t="str">
        <f t="shared" si="11"/>
        <v>Apr</v>
      </c>
      <c r="O92">
        <f t="shared" si="12"/>
        <v>2026</v>
      </c>
    </row>
    <row r="93" spans="1:15" x14ac:dyDescent="0.3">
      <c r="A93">
        <v>204483</v>
      </c>
      <c r="B93" t="s">
        <v>102</v>
      </c>
      <c r="C93" s="2">
        <v>46113</v>
      </c>
      <c r="D93" s="2">
        <f t="shared" si="10"/>
        <v>46143</v>
      </c>
      <c r="F93">
        <v>1146</v>
      </c>
      <c r="G93">
        <v>30</v>
      </c>
      <c r="H93">
        <f t="shared" si="9"/>
        <v>0</v>
      </c>
      <c r="I93" t="str">
        <f t="shared" si="13"/>
        <v>On Time</v>
      </c>
      <c r="J93" cm="1">
        <f t="array" ref="J93">_xlfn.IFS(H93&lt;30,0,H93&lt;60,1,H93&lt;90,2,H93&lt;120,3)</f>
        <v>0</v>
      </c>
      <c r="M93" t="str">
        <f t="shared" si="14"/>
        <v>Low</v>
      </c>
      <c r="N93" t="str">
        <f t="shared" si="11"/>
        <v>Apr</v>
      </c>
      <c r="O93">
        <f t="shared" si="12"/>
        <v>2026</v>
      </c>
    </row>
    <row r="94" spans="1:15" x14ac:dyDescent="0.3">
      <c r="A94">
        <v>204449</v>
      </c>
      <c r="B94" t="s">
        <v>41</v>
      </c>
      <c r="C94" s="2">
        <v>46112</v>
      </c>
      <c r="D94" s="2">
        <f t="shared" si="10"/>
        <v>46142</v>
      </c>
      <c r="F94">
        <v>686</v>
      </c>
      <c r="G94">
        <v>30</v>
      </c>
      <c r="H94">
        <f t="shared" si="9"/>
        <v>0</v>
      </c>
      <c r="I94" t="str">
        <f t="shared" si="13"/>
        <v>On Time</v>
      </c>
      <c r="J94" cm="1">
        <f t="array" ref="J94">_xlfn.IFS(H94&lt;30,0,H94&lt;60,1,H94&lt;90,2,H94&lt;120,3)</f>
        <v>0</v>
      </c>
      <c r="M94" t="str">
        <f t="shared" si="14"/>
        <v>Low</v>
      </c>
      <c r="N94" t="str">
        <f t="shared" si="11"/>
        <v>Mar</v>
      </c>
      <c r="O94">
        <f t="shared" si="12"/>
        <v>2026</v>
      </c>
    </row>
    <row r="95" spans="1:15" x14ac:dyDescent="0.3">
      <c r="A95">
        <v>204450</v>
      </c>
      <c r="B95" t="s">
        <v>42</v>
      </c>
      <c r="C95" s="2">
        <v>46112</v>
      </c>
      <c r="D95" s="2">
        <f t="shared" si="10"/>
        <v>46142</v>
      </c>
      <c r="F95">
        <v>2077</v>
      </c>
      <c r="G95">
        <v>30</v>
      </c>
      <c r="H95">
        <f t="shared" si="9"/>
        <v>0</v>
      </c>
      <c r="I95" t="str">
        <f t="shared" si="13"/>
        <v>On Time</v>
      </c>
      <c r="J95" cm="1">
        <f t="array" ref="J95">_xlfn.IFS(H95&lt;30,0,H95&lt;60,1,H95&lt;90,2,H95&lt;120,3)</f>
        <v>0</v>
      </c>
      <c r="M95" t="str">
        <f t="shared" si="14"/>
        <v>Low</v>
      </c>
      <c r="N95" t="str">
        <f t="shared" si="11"/>
        <v>Mar</v>
      </c>
      <c r="O95">
        <f t="shared" si="12"/>
        <v>2026</v>
      </c>
    </row>
    <row r="96" spans="1:15" x14ac:dyDescent="0.3">
      <c r="A96">
        <v>204451</v>
      </c>
      <c r="B96" t="s">
        <v>43</v>
      </c>
      <c r="C96" s="2">
        <v>46112</v>
      </c>
      <c r="D96" s="2">
        <f t="shared" si="10"/>
        <v>46142</v>
      </c>
      <c r="F96">
        <v>2653</v>
      </c>
      <c r="G96">
        <v>30</v>
      </c>
      <c r="H96">
        <f t="shared" si="9"/>
        <v>0</v>
      </c>
      <c r="I96" t="str">
        <f t="shared" si="13"/>
        <v>On Time</v>
      </c>
      <c r="J96" cm="1">
        <f t="array" ref="J96">_xlfn.IFS(H96&lt;30,0,H96&lt;60,1,H96&lt;90,2,H96&lt;120,3)</f>
        <v>0</v>
      </c>
      <c r="M96" t="str">
        <f t="shared" si="14"/>
        <v>Low</v>
      </c>
      <c r="N96" t="str">
        <f t="shared" si="11"/>
        <v>Mar</v>
      </c>
      <c r="O96">
        <f t="shared" si="12"/>
        <v>2026</v>
      </c>
    </row>
    <row r="97" spans="1:15" x14ac:dyDescent="0.3">
      <c r="A97">
        <v>204452</v>
      </c>
      <c r="B97" t="s">
        <v>44</v>
      </c>
      <c r="C97" s="2">
        <v>46112</v>
      </c>
      <c r="D97" s="2">
        <f t="shared" si="10"/>
        <v>46157</v>
      </c>
      <c r="F97">
        <v>3686</v>
      </c>
      <c r="G97">
        <v>45</v>
      </c>
      <c r="H97">
        <f t="shared" si="9"/>
        <v>0</v>
      </c>
      <c r="I97" t="str">
        <f t="shared" si="13"/>
        <v>On Time</v>
      </c>
      <c r="J97" cm="1">
        <f t="array" ref="J97">_xlfn.IFS(H97&lt;30,0,H97&lt;60,1,H97&lt;90,2,H97&lt;120,3)</f>
        <v>0</v>
      </c>
      <c r="M97" t="str">
        <f t="shared" si="14"/>
        <v>Low</v>
      </c>
      <c r="N97" t="str">
        <f t="shared" si="11"/>
        <v>Mar</v>
      </c>
      <c r="O97">
        <f t="shared" si="12"/>
        <v>2026</v>
      </c>
    </row>
    <row r="98" spans="1:15" x14ac:dyDescent="0.3">
      <c r="A98">
        <v>204453</v>
      </c>
      <c r="B98" t="s">
        <v>20</v>
      </c>
      <c r="C98" s="2">
        <v>46112</v>
      </c>
      <c r="D98" s="2">
        <f t="shared" si="10"/>
        <v>46142</v>
      </c>
      <c r="F98">
        <v>844</v>
      </c>
      <c r="G98">
        <v>30</v>
      </c>
      <c r="H98">
        <f t="shared" si="9"/>
        <v>0</v>
      </c>
      <c r="I98" t="str">
        <f t="shared" si="13"/>
        <v>On Time</v>
      </c>
      <c r="J98" cm="1">
        <f t="array" ref="J98">_xlfn.IFS(H98&lt;30,0,H98&lt;60,1,H98&lt;90,2,H98&lt;120,3)</f>
        <v>0</v>
      </c>
      <c r="M98" t="str">
        <f t="shared" si="14"/>
        <v>Low</v>
      </c>
      <c r="N98" t="str">
        <f t="shared" si="11"/>
        <v>Mar</v>
      </c>
      <c r="O98">
        <f t="shared" si="12"/>
        <v>2026</v>
      </c>
    </row>
    <row r="99" spans="1:15" x14ac:dyDescent="0.3">
      <c r="A99">
        <v>204454</v>
      </c>
      <c r="B99" t="s">
        <v>21</v>
      </c>
      <c r="C99" s="2">
        <v>46112</v>
      </c>
      <c r="D99" s="2">
        <f t="shared" si="10"/>
        <v>46142</v>
      </c>
      <c r="F99">
        <v>2278</v>
      </c>
      <c r="G99">
        <v>30</v>
      </c>
      <c r="H99">
        <f t="shared" si="9"/>
        <v>0</v>
      </c>
      <c r="I99" t="str">
        <f t="shared" si="13"/>
        <v>On Time</v>
      </c>
      <c r="J99" cm="1">
        <f t="array" ref="J99">_xlfn.IFS(H99&lt;30,0,H99&lt;60,1,H99&lt;90,2,H99&lt;120,3)</f>
        <v>0</v>
      </c>
      <c r="M99" t="str">
        <f t="shared" si="14"/>
        <v>Low</v>
      </c>
      <c r="N99" t="str">
        <f t="shared" si="11"/>
        <v>Mar</v>
      </c>
      <c r="O99">
        <f t="shared" si="12"/>
        <v>2026</v>
      </c>
    </row>
    <row r="100" spans="1:15" x14ac:dyDescent="0.3">
      <c r="A100">
        <v>204455</v>
      </c>
      <c r="B100" t="s">
        <v>22</v>
      </c>
      <c r="C100" s="2">
        <v>46112</v>
      </c>
      <c r="D100" s="2">
        <f t="shared" si="10"/>
        <v>46142</v>
      </c>
      <c r="F100">
        <v>3916</v>
      </c>
      <c r="G100">
        <v>30</v>
      </c>
      <c r="H100">
        <f t="shared" si="9"/>
        <v>0</v>
      </c>
      <c r="I100" t="str">
        <f t="shared" si="13"/>
        <v>On Time</v>
      </c>
      <c r="J100" cm="1">
        <f t="array" ref="J100">_xlfn.IFS(H100&lt;30,0,H100&lt;60,1,H100&lt;90,2,H100&lt;120,3)</f>
        <v>0</v>
      </c>
      <c r="M100" t="str">
        <f t="shared" si="14"/>
        <v>Low</v>
      </c>
      <c r="N100" t="str">
        <f t="shared" si="11"/>
        <v>Mar</v>
      </c>
      <c r="O100">
        <f t="shared" si="12"/>
        <v>2026</v>
      </c>
    </row>
    <row r="101" spans="1:15" x14ac:dyDescent="0.3">
      <c r="A101">
        <v>204456</v>
      </c>
      <c r="B101" t="s">
        <v>23</v>
      </c>
      <c r="C101" s="2">
        <v>46112</v>
      </c>
      <c r="D101" s="2">
        <f t="shared" si="10"/>
        <v>46157</v>
      </c>
      <c r="F101">
        <v>3081</v>
      </c>
      <c r="G101">
        <v>45</v>
      </c>
      <c r="H101">
        <f t="shared" si="9"/>
        <v>0</v>
      </c>
      <c r="I101" t="str">
        <f t="shared" si="13"/>
        <v>On Time</v>
      </c>
      <c r="J101" cm="1">
        <f t="array" ref="J101">_xlfn.IFS(H101&lt;30,0,H101&lt;60,1,H101&lt;90,2,H101&lt;120,3)</f>
        <v>0</v>
      </c>
      <c r="M101" t="str">
        <f t="shared" si="14"/>
        <v>Low</v>
      </c>
      <c r="N101" t="str">
        <f t="shared" si="11"/>
        <v>Mar</v>
      </c>
      <c r="O101">
        <f t="shared" si="12"/>
        <v>2026</v>
      </c>
    </row>
    <row r="102" spans="1:15" x14ac:dyDescent="0.3">
      <c r="A102">
        <v>204457</v>
      </c>
      <c r="B102" t="s">
        <v>24</v>
      </c>
      <c r="C102" s="2">
        <v>46112</v>
      </c>
      <c r="D102" s="2">
        <f t="shared" si="10"/>
        <v>46157</v>
      </c>
      <c r="F102">
        <v>258</v>
      </c>
      <c r="G102">
        <v>45</v>
      </c>
      <c r="H102">
        <f t="shared" ref="H102:H165" si="15">MAX(0,P67-D102)</f>
        <v>0</v>
      </c>
      <c r="I102" t="str">
        <f t="shared" si="13"/>
        <v>On Time</v>
      </c>
      <c r="J102" cm="1">
        <f t="array" ref="J102">_xlfn.IFS(H102&lt;30,0,H102&lt;60,1,H102&lt;90,2,H102&lt;120,3)</f>
        <v>0</v>
      </c>
      <c r="M102" t="str">
        <f t="shared" si="14"/>
        <v>Low</v>
      </c>
      <c r="N102" t="str">
        <f t="shared" si="11"/>
        <v>Mar</v>
      </c>
      <c r="O102">
        <f t="shared" si="12"/>
        <v>2026</v>
      </c>
    </row>
    <row r="103" spans="1:15" x14ac:dyDescent="0.3">
      <c r="A103">
        <v>204458</v>
      </c>
      <c r="B103" t="s">
        <v>25</v>
      </c>
      <c r="C103" s="2">
        <v>46112</v>
      </c>
      <c r="D103" s="2">
        <f t="shared" si="10"/>
        <v>46172</v>
      </c>
      <c r="F103">
        <v>2433</v>
      </c>
      <c r="G103">
        <v>60</v>
      </c>
      <c r="H103">
        <f t="shared" si="15"/>
        <v>0</v>
      </c>
      <c r="I103" t="str">
        <f t="shared" si="13"/>
        <v>On Time</v>
      </c>
      <c r="J103" cm="1">
        <f t="array" ref="J103">_xlfn.IFS(H103&lt;30,0,H103&lt;60,1,H103&lt;90,2,H103&lt;120,3)</f>
        <v>0</v>
      </c>
      <c r="M103" t="str">
        <f t="shared" si="14"/>
        <v>Low</v>
      </c>
      <c r="N103" t="str">
        <f t="shared" si="11"/>
        <v>Mar</v>
      </c>
      <c r="O103">
        <f t="shared" si="12"/>
        <v>2026</v>
      </c>
    </row>
    <row r="104" spans="1:15" x14ac:dyDescent="0.3">
      <c r="A104">
        <v>204459</v>
      </c>
      <c r="B104" t="s">
        <v>26</v>
      </c>
      <c r="C104" s="2">
        <v>46112</v>
      </c>
      <c r="D104" s="2">
        <f t="shared" si="10"/>
        <v>46142</v>
      </c>
      <c r="F104">
        <v>3199</v>
      </c>
      <c r="G104">
        <v>30</v>
      </c>
      <c r="H104">
        <f t="shared" si="15"/>
        <v>0</v>
      </c>
      <c r="I104" t="str">
        <f t="shared" si="13"/>
        <v>On Time</v>
      </c>
      <c r="J104" cm="1">
        <f t="array" ref="J104">_xlfn.IFS(H104&lt;30,0,H104&lt;60,1,H104&lt;90,2,H104&lt;120,3)</f>
        <v>0</v>
      </c>
      <c r="M104" t="str">
        <f t="shared" si="14"/>
        <v>Low</v>
      </c>
      <c r="N104" t="str">
        <f t="shared" si="11"/>
        <v>Mar</v>
      </c>
      <c r="O104">
        <f t="shared" si="12"/>
        <v>2026</v>
      </c>
    </row>
    <row r="105" spans="1:15" x14ac:dyDescent="0.3">
      <c r="A105">
        <v>204460</v>
      </c>
      <c r="B105" t="s">
        <v>27</v>
      </c>
      <c r="C105" s="2">
        <v>46112</v>
      </c>
      <c r="D105" s="2">
        <f t="shared" si="10"/>
        <v>46172</v>
      </c>
      <c r="F105">
        <v>841</v>
      </c>
      <c r="G105">
        <v>60</v>
      </c>
      <c r="H105">
        <f t="shared" si="15"/>
        <v>0</v>
      </c>
      <c r="I105" t="str">
        <f t="shared" si="13"/>
        <v>On Time</v>
      </c>
      <c r="J105" cm="1">
        <f t="array" ref="J105">_xlfn.IFS(H105&lt;30,0,H105&lt;60,1,H105&lt;90,2,H105&lt;120,3)</f>
        <v>0</v>
      </c>
      <c r="M105" t="str">
        <f t="shared" si="14"/>
        <v>Low</v>
      </c>
      <c r="N105" t="str">
        <f t="shared" si="11"/>
        <v>Mar</v>
      </c>
      <c r="O105">
        <f t="shared" si="12"/>
        <v>2026</v>
      </c>
    </row>
    <row r="106" spans="1:15" x14ac:dyDescent="0.3">
      <c r="A106">
        <v>204461</v>
      </c>
      <c r="B106" t="s">
        <v>28</v>
      </c>
      <c r="C106" s="2">
        <v>46112</v>
      </c>
      <c r="D106" s="2">
        <f t="shared" si="10"/>
        <v>46142</v>
      </c>
      <c r="F106">
        <v>3204</v>
      </c>
      <c r="G106">
        <v>30</v>
      </c>
      <c r="H106">
        <f t="shared" si="15"/>
        <v>0</v>
      </c>
      <c r="I106" t="str">
        <f t="shared" si="13"/>
        <v>On Time</v>
      </c>
      <c r="J106" cm="1">
        <f t="array" ref="J106">_xlfn.IFS(H106&lt;30,0,H106&lt;60,1,H106&lt;90,2,H106&lt;120,3)</f>
        <v>0</v>
      </c>
      <c r="M106" t="str">
        <f t="shared" si="14"/>
        <v>Low</v>
      </c>
      <c r="N106" t="str">
        <f t="shared" si="11"/>
        <v>Mar</v>
      </c>
      <c r="O106">
        <f t="shared" si="12"/>
        <v>2026</v>
      </c>
    </row>
    <row r="107" spans="1:15" x14ac:dyDescent="0.3">
      <c r="A107">
        <v>204462</v>
      </c>
      <c r="B107" t="s">
        <v>29</v>
      </c>
      <c r="C107" s="2">
        <v>46112</v>
      </c>
      <c r="D107" s="2">
        <f t="shared" si="10"/>
        <v>46142</v>
      </c>
      <c r="F107">
        <v>4863</v>
      </c>
      <c r="G107">
        <v>30</v>
      </c>
      <c r="H107">
        <f t="shared" si="15"/>
        <v>0</v>
      </c>
      <c r="I107" t="str">
        <f t="shared" si="13"/>
        <v>On Time</v>
      </c>
      <c r="J107" cm="1">
        <f t="array" ref="J107">_xlfn.IFS(H107&lt;30,0,H107&lt;60,1,H107&lt;90,2,H107&lt;120,3)</f>
        <v>0</v>
      </c>
      <c r="M107" t="str">
        <f t="shared" si="14"/>
        <v>Low</v>
      </c>
      <c r="N107" t="str">
        <f t="shared" si="11"/>
        <v>Mar</v>
      </c>
      <c r="O107">
        <f t="shared" si="12"/>
        <v>2026</v>
      </c>
    </row>
    <row r="108" spans="1:15" x14ac:dyDescent="0.3">
      <c r="A108">
        <v>204463</v>
      </c>
      <c r="B108" t="s">
        <v>75</v>
      </c>
      <c r="C108" s="2">
        <v>46112</v>
      </c>
      <c r="D108" s="2">
        <f t="shared" si="10"/>
        <v>46172</v>
      </c>
      <c r="F108">
        <v>1183</v>
      </c>
      <c r="G108">
        <v>60</v>
      </c>
      <c r="H108">
        <f t="shared" si="15"/>
        <v>0</v>
      </c>
      <c r="I108" t="str">
        <f t="shared" si="13"/>
        <v>On Time</v>
      </c>
      <c r="J108" cm="1">
        <f t="array" ref="J108">_xlfn.IFS(H108&lt;30,0,H108&lt;60,1,H108&lt;90,2,H108&lt;120,3)</f>
        <v>0</v>
      </c>
      <c r="M108" t="str">
        <f t="shared" si="14"/>
        <v>Low</v>
      </c>
      <c r="N108" t="str">
        <f t="shared" si="11"/>
        <v>Mar</v>
      </c>
      <c r="O108">
        <f t="shared" si="12"/>
        <v>2026</v>
      </c>
    </row>
    <row r="109" spans="1:15" x14ac:dyDescent="0.3">
      <c r="A109">
        <v>204429</v>
      </c>
      <c r="B109" t="s">
        <v>73</v>
      </c>
      <c r="C109" s="2">
        <v>46111</v>
      </c>
      <c r="D109" s="2">
        <f t="shared" si="10"/>
        <v>46156</v>
      </c>
      <c r="F109">
        <v>3847</v>
      </c>
      <c r="G109">
        <v>45</v>
      </c>
      <c r="H109">
        <f t="shared" si="15"/>
        <v>0</v>
      </c>
      <c r="I109" t="str">
        <f t="shared" si="13"/>
        <v>On Time</v>
      </c>
      <c r="J109" cm="1">
        <f t="array" ref="J109">_xlfn.IFS(H109&lt;30,0,H109&lt;60,1,H109&lt;90,2,H109&lt;120,3)</f>
        <v>0</v>
      </c>
      <c r="M109" t="str">
        <f t="shared" si="14"/>
        <v>Low</v>
      </c>
      <c r="N109" t="str">
        <f t="shared" si="11"/>
        <v>Mar</v>
      </c>
      <c r="O109">
        <f t="shared" si="12"/>
        <v>2026</v>
      </c>
    </row>
    <row r="110" spans="1:15" x14ac:dyDescent="0.3">
      <c r="A110">
        <v>204430</v>
      </c>
      <c r="B110" t="s">
        <v>74</v>
      </c>
      <c r="C110" s="2">
        <v>46111</v>
      </c>
      <c r="D110" s="2">
        <f t="shared" si="10"/>
        <v>46156</v>
      </c>
      <c r="F110">
        <v>4981</v>
      </c>
      <c r="G110">
        <v>45</v>
      </c>
      <c r="H110">
        <f t="shared" si="15"/>
        <v>0</v>
      </c>
      <c r="I110" t="str">
        <f t="shared" si="13"/>
        <v>On Time</v>
      </c>
      <c r="J110" cm="1">
        <f t="array" ref="J110">_xlfn.IFS(H110&lt;30,0,H110&lt;60,1,H110&lt;90,2,H110&lt;120,3)</f>
        <v>0</v>
      </c>
      <c r="M110" t="str">
        <f t="shared" si="14"/>
        <v>Low</v>
      </c>
      <c r="N110" t="str">
        <f t="shared" si="11"/>
        <v>Mar</v>
      </c>
      <c r="O110">
        <f t="shared" si="12"/>
        <v>2026</v>
      </c>
    </row>
    <row r="111" spans="1:15" x14ac:dyDescent="0.3">
      <c r="A111">
        <v>204431</v>
      </c>
      <c r="B111" t="s">
        <v>75</v>
      </c>
      <c r="C111" s="2">
        <v>46111</v>
      </c>
      <c r="D111" s="2">
        <f t="shared" si="10"/>
        <v>46171</v>
      </c>
      <c r="F111">
        <v>4272</v>
      </c>
      <c r="G111">
        <v>60</v>
      </c>
      <c r="H111">
        <f t="shared" si="15"/>
        <v>0</v>
      </c>
      <c r="I111" t="str">
        <f t="shared" si="13"/>
        <v>On Time</v>
      </c>
      <c r="J111" cm="1">
        <f t="array" ref="J111">_xlfn.IFS(H111&lt;30,0,H111&lt;60,1,H111&lt;90,2,H111&lt;120,3)</f>
        <v>0</v>
      </c>
      <c r="M111" t="str">
        <f t="shared" si="14"/>
        <v>Low</v>
      </c>
      <c r="N111" t="str">
        <f t="shared" si="11"/>
        <v>Mar</v>
      </c>
      <c r="O111">
        <f t="shared" si="12"/>
        <v>2026</v>
      </c>
    </row>
    <row r="112" spans="1:15" x14ac:dyDescent="0.3">
      <c r="A112">
        <v>204432</v>
      </c>
      <c r="B112" t="s">
        <v>76</v>
      </c>
      <c r="C112" s="2">
        <v>46111</v>
      </c>
      <c r="D112" s="2">
        <f t="shared" si="10"/>
        <v>46141</v>
      </c>
      <c r="F112">
        <v>1392</v>
      </c>
      <c r="G112">
        <v>30</v>
      </c>
      <c r="H112">
        <f t="shared" si="15"/>
        <v>0</v>
      </c>
      <c r="I112" t="str">
        <f t="shared" si="13"/>
        <v>On Time</v>
      </c>
      <c r="J112" cm="1">
        <f t="array" ref="J112">_xlfn.IFS(H112&lt;30,0,H112&lt;60,1,H112&lt;90,2,H112&lt;120,3)</f>
        <v>0</v>
      </c>
      <c r="M112" t="str">
        <f t="shared" si="14"/>
        <v>Low</v>
      </c>
      <c r="N112" t="str">
        <f t="shared" si="11"/>
        <v>Mar</v>
      </c>
      <c r="O112">
        <f t="shared" si="12"/>
        <v>2026</v>
      </c>
    </row>
    <row r="113" spans="1:15" x14ac:dyDescent="0.3">
      <c r="A113">
        <v>204433</v>
      </c>
      <c r="B113" t="s">
        <v>44</v>
      </c>
      <c r="C113" s="2">
        <v>46111</v>
      </c>
      <c r="D113" s="2">
        <f t="shared" si="10"/>
        <v>46156</v>
      </c>
      <c r="F113">
        <v>4468</v>
      </c>
      <c r="G113">
        <v>45</v>
      </c>
      <c r="H113">
        <f t="shared" si="15"/>
        <v>0</v>
      </c>
      <c r="I113" t="str">
        <f t="shared" si="13"/>
        <v>On Time</v>
      </c>
      <c r="J113" cm="1">
        <f t="array" ref="J113">_xlfn.IFS(H113&lt;30,0,H113&lt;60,1,H113&lt;90,2,H113&lt;120,3)</f>
        <v>0</v>
      </c>
      <c r="M113" t="str">
        <f t="shared" si="14"/>
        <v>Low</v>
      </c>
      <c r="N113" t="str">
        <f t="shared" si="11"/>
        <v>Mar</v>
      </c>
      <c r="O113">
        <f t="shared" si="12"/>
        <v>2026</v>
      </c>
    </row>
    <row r="114" spans="1:15" x14ac:dyDescent="0.3">
      <c r="A114">
        <v>204434</v>
      </c>
      <c r="B114" t="s">
        <v>45</v>
      </c>
      <c r="C114" s="2">
        <v>46111</v>
      </c>
      <c r="D114" s="2">
        <f t="shared" si="10"/>
        <v>46156</v>
      </c>
      <c r="F114">
        <v>1004</v>
      </c>
      <c r="G114">
        <v>45</v>
      </c>
      <c r="H114">
        <f t="shared" si="15"/>
        <v>0</v>
      </c>
      <c r="I114" t="str">
        <f t="shared" si="13"/>
        <v>On Time</v>
      </c>
      <c r="J114" cm="1">
        <f t="array" ref="J114">_xlfn.IFS(H114&lt;30,0,H114&lt;60,1,H114&lt;90,2,H114&lt;120,3)</f>
        <v>0</v>
      </c>
      <c r="M114" t="str">
        <f t="shared" si="14"/>
        <v>Low</v>
      </c>
      <c r="N114" t="str">
        <f t="shared" si="11"/>
        <v>Mar</v>
      </c>
      <c r="O114">
        <f t="shared" si="12"/>
        <v>2026</v>
      </c>
    </row>
    <row r="115" spans="1:15" x14ac:dyDescent="0.3">
      <c r="A115">
        <v>204435</v>
      </c>
      <c r="B115" t="s">
        <v>46</v>
      </c>
      <c r="C115" s="2">
        <v>46111</v>
      </c>
      <c r="D115" s="2">
        <f t="shared" si="10"/>
        <v>46171</v>
      </c>
      <c r="F115">
        <v>1634</v>
      </c>
      <c r="G115">
        <v>60</v>
      </c>
      <c r="H115">
        <f t="shared" si="15"/>
        <v>0</v>
      </c>
      <c r="I115" t="str">
        <f t="shared" si="13"/>
        <v>On Time</v>
      </c>
      <c r="J115" cm="1">
        <f t="array" ref="J115">_xlfn.IFS(H115&lt;30,0,H115&lt;60,1,H115&lt;90,2,H115&lt;120,3)</f>
        <v>0</v>
      </c>
      <c r="M115" t="str">
        <f t="shared" si="14"/>
        <v>Low</v>
      </c>
      <c r="N115" t="str">
        <f t="shared" si="11"/>
        <v>Mar</v>
      </c>
      <c r="O115">
        <f t="shared" si="12"/>
        <v>2026</v>
      </c>
    </row>
    <row r="116" spans="1:15" x14ac:dyDescent="0.3">
      <c r="A116">
        <v>204436</v>
      </c>
      <c r="B116" t="s">
        <v>47</v>
      </c>
      <c r="C116" s="2">
        <v>46111</v>
      </c>
      <c r="D116" s="2">
        <f t="shared" si="10"/>
        <v>46171</v>
      </c>
      <c r="F116">
        <v>2527</v>
      </c>
      <c r="G116">
        <v>60</v>
      </c>
      <c r="H116">
        <f t="shared" si="15"/>
        <v>0</v>
      </c>
      <c r="I116" t="str">
        <f t="shared" si="13"/>
        <v>On Time</v>
      </c>
      <c r="J116" cm="1">
        <f t="array" ref="J116">_xlfn.IFS(H116&lt;30,0,H116&lt;60,1,H116&lt;90,2,H116&lt;120,3)</f>
        <v>0</v>
      </c>
      <c r="M116" t="str">
        <f t="shared" si="14"/>
        <v>Low</v>
      </c>
      <c r="N116" t="str">
        <f t="shared" si="11"/>
        <v>Mar</v>
      </c>
      <c r="O116">
        <f t="shared" si="12"/>
        <v>2026</v>
      </c>
    </row>
    <row r="117" spans="1:15" x14ac:dyDescent="0.3">
      <c r="A117">
        <v>204437</v>
      </c>
      <c r="B117" t="s">
        <v>48</v>
      </c>
      <c r="C117" s="2">
        <v>46111</v>
      </c>
      <c r="D117" s="2">
        <f t="shared" si="10"/>
        <v>46156</v>
      </c>
      <c r="F117">
        <v>11635</v>
      </c>
      <c r="G117">
        <v>45</v>
      </c>
      <c r="H117">
        <f t="shared" si="15"/>
        <v>0</v>
      </c>
      <c r="I117" t="str">
        <f t="shared" si="13"/>
        <v>On Time</v>
      </c>
      <c r="J117" cm="1">
        <f t="array" ref="J117">_xlfn.IFS(H117&lt;30,0,H117&lt;60,1,H117&lt;90,2,H117&lt;120,3)</f>
        <v>0</v>
      </c>
      <c r="M117" t="str">
        <f t="shared" si="14"/>
        <v>Low</v>
      </c>
      <c r="N117" t="str">
        <f t="shared" si="11"/>
        <v>Mar</v>
      </c>
      <c r="O117">
        <f t="shared" si="12"/>
        <v>2026</v>
      </c>
    </row>
    <row r="118" spans="1:15" x14ac:dyDescent="0.3">
      <c r="A118">
        <v>204438</v>
      </c>
      <c r="B118" t="s">
        <v>49</v>
      </c>
      <c r="C118" s="2">
        <v>46111</v>
      </c>
      <c r="D118" s="2">
        <f t="shared" si="10"/>
        <v>46141</v>
      </c>
      <c r="F118">
        <v>1391</v>
      </c>
      <c r="G118">
        <v>30</v>
      </c>
      <c r="H118">
        <f t="shared" si="15"/>
        <v>0</v>
      </c>
      <c r="I118" t="str">
        <f t="shared" si="13"/>
        <v>On Time</v>
      </c>
      <c r="J118" cm="1">
        <f t="array" ref="J118">_xlfn.IFS(H118&lt;30,0,H118&lt;60,1,H118&lt;90,2,H118&lt;120,3)</f>
        <v>0</v>
      </c>
      <c r="M118" t="str">
        <f t="shared" si="14"/>
        <v>Low</v>
      </c>
      <c r="N118" t="str">
        <f t="shared" si="11"/>
        <v>Mar</v>
      </c>
      <c r="O118">
        <f t="shared" si="12"/>
        <v>2026</v>
      </c>
    </row>
    <row r="119" spans="1:15" x14ac:dyDescent="0.3">
      <c r="A119">
        <v>204439</v>
      </c>
      <c r="B119" t="s">
        <v>50</v>
      </c>
      <c r="C119" s="2">
        <v>46111</v>
      </c>
      <c r="D119" s="2">
        <f t="shared" si="10"/>
        <v>46141</v>
      </c>
      <c r="F119">
        <v>1565</v>
      </c>
      <c r="G119">
        <v>30</v>
      </c>
      <c r="H119">
        <f t="shared" si="15"/>
        <v>0</v>
      </c>
      <c r="I119" t="str">
        <f t="shared" si="13"/>
        <v>On Time</v>
      </c>
      <c r="J119" cm="1">
        <f t="array" ref="J119">_xlfn.IFS(H119&lt;30,0,H119&lt;60,1,H119&lt;90,2,H119&lt;120,3)</f>
        <v>0</v>
      </c>
      <c r="M119" t="str">
        <f t="shared" si="14"/>
        <v>Low</v>
      </c>
      <c r="N119" t="str">
        <f t="shared" si="11"/>
        <v>Mar</v>
      </c>
      <c r="O119">
        <f t="shared" si="12"/>
        <v>2026</v>
      </c>
    </row>
    <row r="120" spans="1:15" x14ac:dyDescent="0.3">
      <c r="A120">
        <v>204440</v>
      </c>
      <c r="B120" t="s">
        <v>51</v>
      </c>
      <c r="C120" s="2">
        <v>46111</v>
      </c>
      <c r="D120" s="2">
        <f t="shared" si="10"/>
        <v>46141</v>
      </c>
      <c r="F120">
        <v>1575</v>
      </c>
      <c r="G120">
        <v>30</v>
      </c>
      <c r="H120">
        <f t="shared" si="15"/>
        <v>0</v>
      </c>
      <c r="I120" t="str">
        <f t="shared" si="13"/>
        <v>On Time</v>
      </c>
      <c r="J120" cm="1">
        <f t="array" ref="J120">_xlfn.IFS(H120&lt;30,0,H120&lt;60,1,H120&lt;90,2,H120&lt;120,3)</f>
        <v>0</v>
      </c>
      <c r="M120" t="str">
        <f t="shared" si="14"/>
        <v>Low</v>
      </c>
      <c r="N120" t="str">
        <f t="shared" si="11"/>
        <v>Mar</v>
      </c>
      <c r="O120">
        <f t="shared" si="12"/>
        <v>2026</v>
      </c>
    </row>
    <row r="121" spans="1:15" x14ac:dyDescent="0.3">
      <c r="A121">
        <v>204441</v>
      </c>
      <c r="B121" t="s">
        <v>52</v>
      </c>
      <c r="C121" s="2">
        <v>46111</v>
      </c>
      <c r="D121" s="2">
        <f t="shared" si="10"/>
        <v>46141</v>
      </c>
      <c r="F121">
        <v>4190</v>
      </c>
      <c r="G121">
        <v>30</v>
      </c>
      <c r="H121">
        <f t="shared" si="15"/>
        <v>0</v>
      </c>
      <c r="I121" t="str">
        <f t="shared" si="13"/>
        <v>On Time</v>
      </c>
      <c r="J121" cm="1">
        <f t="array" ref="J121">_xlfn.IFS(H121&lt;30,0,H121&lt;60,1,H121&lt;90,2,H121&lt;120,3)</f>
        <v>0</v>
      </c>
      <c r="M121" t="str">
        <f t="shared" si="14"/>
        <v>Low</v>
      </c>
      <c r="N121" t="str">
        <f t="shared" si="11"/>
        <v>Mar</v>
      </c>
      <c r="O121">
        <f t="shared" si="12"/>
        <v>2026</v>
      </c>
    </row>
    <row r="122" spans="1:15" x14ac:dyDescent="0.3">
      <c r="A122">
        <v>204442</v>
      </c>
      <c r="B122" t="s">
        <v>53</v>
      </c>
      <c r="C122" s="2">
        <v>46111</v>
      </c>
      <c r="D122" s="2">
        <f t="shared" si="10"/>
        <v>46141</v>
      </c>
      <c r="F122">
        <v>3072</v>
      </c>
      <c r="G122">
        <v>30</v>
      </c>
      <c r="H122">
        <f t="shared" si="15"/>
        <v>0</v>
      </c>
      <c r="I122" t="str">
        <f t="shared" si="13"/>
        <v>On Time</v>
      </c>
      <c r="J122" cm="1">
        <f t="array" ref="J122">_xlfn.IFS(H122&lt;30,0,H122&lt;60,1,H122&lt;90,2,H122&lt;120,3)</f>
        <v>0</v>
      </c>
      <c r="M122" t="str">
        <f t="shared" si="14"/>
        <v>Low</v>
      </c>
      <c r="N122" t="str">
        <f t="shared" si="11"/>
        <v>Mar</v>
      </c>
      <c r="O122">
        <f t="shared" si="12"/>
        <v>2026</v>
      </c>
    </row>
    <row r="123" spans="1:15" x14ac:dyDescent="0.3">
      <c r="A123">
        <v>204443</v>
      </c>
      <c r="B123" t="s">
        <v>54</v>
      </c>
      <c r="C123" s="2">
        <v>46111</v>
      </c>
      <c r="D123" s="2">
        <f t="shared" si="10"/>
        <v>46141</v>
      </c>
      <c r="F123">
        <v>3754</v>
      </c>
      <c r="G123">
        <v>30</v>
      </c>
      <c r="H123">
        <f t="shared" si="15"/>
        <v>0</v>
      </c>
      <c r="I123" t="str">
        <f t="shared" si="13"/>
        <v>On Time</v>
      </c>
      <c r="J123" cm="1">
        <f t="array" ref="J123">_xlfn.IFS(H123&lt;30,0,H123&lt;60,1,H123&lt;90,2,H123&lt;120,3)</f>
        <v>0</v>
      </c>
      <c r="M123" t="str">
        <f t="shared" si="14"/>
        <v>Low</v>
      </c>
      <c r="N123" t="str">
        <f t="shared" si="11"/>
        <v>Mar</v>
      </c>
      <c r="O123">
        <f t="shared" si="12"/>
        <v>2026</v>
      </c>
    </row>
    <row r="124" spans="1:15" x14ac:dyDescent="0.3">
      <c r="A124">
        <v>204444</v>
      </c>
      <c r="B124" t="s">
        <v>36</v>
      </c>
      <c r="C124" s="2">
        <v>46111</v>
      </c>
      <c r="D124" s="2">
        <f t="shared" si="10"/>
        <v>46141</v>
      </c>
      <c r="F124">
        <v>4304</v>
      </c>
      <c r="G124">
        <v>30</v>
      </c>
      <c r="H124">
        <f t="shared" si="15"/>
        <v>0</v>
      </c>
      <c r="I124" t="str">
        <f t="shared" si="13"/>
        <v>On Time</v>
      </c>
      <c r="J124" cm="1">
        <f t="array" ref="J124">_xlfn.IFS(H124&lt;30,0,H124&lt;60,1,H124&lt;90,2,H124&lt;120,3)</f>
        <v>0</v>
      </c>
      <c r="M124" t="str">
        <f t="shared" si="14"/>
        <v>Low</v>
      </c>
      <c r="N124" t="str">
        <f t="shared" si="11"/>
        <v>Mar</v>
      </c>
      <c r="O124">
        <f t="shared" si="12"/>
        <v>2026</v>
      </c>
    </row>
    <row r="125" spans="1:15" x14ac:dyDescent="0.3">
      <c r="A125">
        <v>204445</v>
      </c>
      <c r="B125" t="s">
        <v>37</v>
      </c>
      <c r="C125" s="2">
        <v>46111</v>
      </c>
      <c r="D125" s="2">
        <f t="shared" si="10"/>
        <v>46141</v>
      </c>
      <c r="F125">
        <v>4269</v>
      </c>
      <c r="G125">
        <v>30</v>
      </c>
      <c r="H125">
        <f t="shared" si="15"/>
        <v>0</v>
      </c>
      <c r="I125" t="str">
        <f t="shared" si="13"/>
        <v>On Time</v>
      </c>
      <c r="J125" cm="1">
        <f t="array" ref="J125">_xlfn.IFS(H125&lt;30,0,H125&lt;60,1,H125&lt;90,2,H125&lt;120,3)</f>
        <v>0</v>
      </c>
      <c r="M125" t="str">
        <f t="shared" si="14"/>
        <v>Low</v>
      </c>
      <c r="N125" t="str">
        <f t="shared" si="11"/>
        <v>Mar</v>
      </c>
      <c r="O125">
        <f t="shared" si="12"/>
        <v>2026</v>
      </c>
    </row>
    <row r="126" spans="1:15" x14ac:dyDescent="0.3">
      <c r="A126">
        <v>204446</v>
      </c>
      <c r="B126" t="s">
        <v>38</v>
      </c>
      <c r="C126" s="2">
        <v>46111</v>
      </c>
      <c r="D126" s="2">
        <f t="shared" si="10"/>
        <v>46141</v>
      </c>
      <c r="F126">
        <v>4644</v>
      </c>
      <c r="G126">
        <v>30</v>
      </c>
      <c r="H126">
        <f t="shared" si="15"/>
        <v>0</v>
      </c>
      <c r="I126" t="str">
        <f t="shared" si="13"/>
        <v>On Time</v>
      </c>
      <c r="J126" cm="1">
        <f t="array" ref="J126">_xlfn.IFS(H126&lt;30,0,H126&lt;60,1,H126&lt;90,2,H126&lt;120,3)</f>
        <v>0</v>
      </c>
      <c r="M126" t="str">
        <f t="shared" si="14"/>
        <v>Low</v>
      </c>
      <c r="N126" t="str">
        <f t="shared" si="11"/>
        <v>Mar</v>
      </c>
      <c r="O126">
        <f t="shared" si="12"/>
        <v>2026</v>
      </c>
    </row>
    <row r="127" spans="1:15" x14ac:dyDescent="0.3">
      <c r="A127">
        <v>204447</v>
      </c>
      <c r="B127" t="s">
        <v>39</v>
      </c>
      <c r="C127" s="2">
        <v>46111</v>
      </c>
      <c r="D127" s="2">
        <f t="shared" si="10"/>
        <v>46141</v>
      </c>
      <c r="F127">
        <v>1751</v>
      </c>
      <c r="G127">
        <v>30</v>
      </c>
      <c r="H127">
        <f t="shared" si="15"/>
        <v>0</v>
      </c>
      <c r="I127" t="str">
        <f t="shared" si="13"/>
        <v>On Time</v>
      </c>
      <c r="J127" cm="1">
        <f t="array" ref="J127">_xlfn.IFS(H127&lt;30,0,H127&lt;60,1,H127&lt;90,2,H127&lt;120,3)</f>
        <v>0</v>
      </c>
      <c r="M127" t="str">
        <f t="shared" si="14"/>
        <v>Low</v>
      </c>
      <c r="N127" t="str">
        <f t="shared" si="11"/>
        <v>Mar</v>
      </c>
      <c r="O127">
        <f t="shared" si="12"/>
        <v>2026</v>
      </c>
    </row>
    <row r="128" spans="1:15" x14ac:dyDescent="0.3">
      <c r="A128">
        <v>204448</v>
      </c>
      <c r="B128" t="s">
        <v>40</v>
      </c>
      <c r="C128" s="2">
        <v>46111</v>
      </c>
      <c r="D128" s="2">
        <f t="shared" si="10"/>
        <v>46141</v>
      </c>
      <c r="F128">
        <v>1981</v>
      </c>
      <c r="G128">
        <v>30</v>
      </c>
      <c r="H128">
        <f t="shared" si="15"/>
        <v>0</v>
      </c>
      <c r="I128" t="str">
        <f t="shared" si="13"/>
        <v>On Time</v>
      </c>
      <c r="J128" cm="1">
        <f t="array" ref="J128">_xlfn.IFS(H128&lt;30,0,H128&lt;60,1,H128&lt;90,2,H128&lt;120,3)</f>
        <v>0</v>
      </c>
      <c r="M128" t="str">
        <f t="shared" si="14"/>
        <v>Low</v>
      </c>
      <c r="N128" t="str">
        <f t="shared" si="11"/>
        <v>Mar</v>
      </c>
      <c r="O128">
        <f t="shared" si="12"/>
        <v>2026</v>
      </c>
    </row>
    <row r="129" spans="1:15" x14ac:dyDescent="0.3">
      <c r="A129">
        <v>204409</v>
      </c>
      <c r="B129" t="s">
        <v>105</v>
      </c>
      <c r="C129" s="2">
        <v>46108</v>
      </c>
      <c r="D129" s="2">
        <f t="shared" si="10"/>
        <v>46138</v>
      </c>
      <c r="F129">
        <v>2965</v>
      </c>
      <c r="G129">
        <v>30</v>
      </c>
      <c r="H129">
        <f t="shared" si="15"/>
        <v>0</v>
      </c>
      <c r="I129" t="str">
        <f t="shared" si="13"/>
        <v>On Time</v>
      </c>
      <c r="J129" cm="1">
        <f t="array" ref="J129">_xlfn.IFS(H129&lt;30,0,H129&lt;60,1,H129&lt;90,2,H129&lt;120,3)</f>
        <v>0</v>
      </c>
      <c r="M129" t="str">
        <f t="shared" si="14"/>
        <v>Low</v>
      </c>
      <c r="N129" t="str">
        <f t="shared" si="11"/>
        <v>Mar</v>
      </c>
      <c r="O129">
        <f t="shared" si="12"/>
        <v>2026</v>
      </c>
    </row>
    <row r="130" spans="1:15" x14ac:dyDescent="0.3">
      <c r="A130">
        <v>204410</v>
      </c>
      <c r="B130" t="s">
        <v>106</v>
      </c>
      <c r="C130" s="2">
        <v>46108</v>
      </c>
      <c r="D130" s="2">
        <f t="shared" ref="D130:D193" si="16">C130+G130</f>
        <v>46138</v>
      </c>
      <c r="F130">
        <v>735</v>
      </c>
      <c r="G130">
        <v>30</v>
      </c>
      <c r="H130">
        <f t="shared" si="15"/>
        <v>0</v>
      </c>
      <c r="I130" t="str">
        <f t="shared" si="13"/>
        <v>On Time</v>
      </c>
      <c r="J130" cm="1">
        <f t="array" ref="J130">_xlfn.IFS(H130&lt;30,0,H130&lt;60,1,H130&lt;90,2,H130&lt;120,3)</f>
        <v>0</v>
      </c>
      <c r="M130" t="str">
        <f t="shared" si="14"/>
        <v>Low</v>
      </c>
      <c r="N130" t="str">
        <f t="shared" ref="N130:N193" si="17">TEXT(C130,"mmm")</f>
        <v>Mar</v>
      </c>
      <c r="O130">
        <f t="shared" ref="O130:O193" si="18">YEAR(C130)</f>
        <v>2026</v>
      </c>
    </row>
    <row r="131" spans="1:15" x14ac:dyDescent="0.3">
      <c r="A131">
        <v>204411</v>
      </c>
      <c r="B131" t="s">
        <v>107</v>
      </c>
      <c r="C131" s="2">
        <v>46108</v>
      </c>
      <c r="D131" s="2">
        <f t="shared" si="16"/>
        <v>46138</v>
      </c>
      <c r="F131">
        <v>2504</v>
      </c>
      <c r="G131">
        <v>30</v>
      </c>
      <c r="H131">
        <f t="shared" si="15"/>
        <v>0</v>
      </c>
      <c r="I131" t="str">
        <f t="shared" si="13"/>
        <v>On Time</v>
      </c>
      <c r="J131" cm="1">
        <f t="array" ref="J131">_xlfn.IFS(H131&lt;30,0,H131&lt;60,1,H131&lt;90,2,H131&lt;120,3)</f>
        <v>0</v>
      </c>
      <c r="M131" t="str">
        <f t="shared" si="14"/>
        <v>Low</v>
      </c>
      <c r="N131" t="str">
        <f t="shared" si="17"/>
        <v>Mar</v>
      </c>
      <c r="O131">
        <f t="shared" si="18"/>
        <v>2026</v>
      </c>
    </row>
    <row r="132" spans="1:15" x14ac:dyDescent="0.3">
      <c r="A132">
        <v>204412</v>
      </c>
      <c r="B132" t="s">
        <v>108</v>
      </c>
      <c r="C132" s="2">
        <v>46108</v>
      </c>
      <c r="D132" s="2">
        <f t="shared" si="16"/>
        <v>46138</v>
      </c>
      <c r="F132">
        <v>14278</v>
      </c>
      <c r="G132">
        <v>30</v>
      </c>
      <c r="H132">
        <f t="shared" si="15"/>
        <v>0</v>
      </c>
      <c r="I132" t="str">
        <f t="shared" si="13"/>
        <v>On Time</v>
      </c>
      <c r="J132" cm="1">
        <f t="array" ref="J132">_xlfn.IFS(H132&lt;30,0,H132&lt;60,1,H132&lt;90,2,H132&lt;120,3)</f>
        <v>0</v>
      </c>
      <c r="M132" t="str">
        <f t="shared" si="14"/>
        <v>Low</v>
      </c>
      <c r="N132" t="str">
        <f t="shared" si="17"/>
        <v>Mar</v>
      </c>
      <c r="O132">
        <f t="shared" si="18"/>
        <v>2026</v>
      </c>
    </row>
    <row r="133" spans="1:15" x14ac:dyDescent="0.3">
      <c r="A133">
        <v>204413</v>
      </c>
      <c r="B133" t="s">
        <v>85</v>
      </c>
      <c r="C133" s="2">
        <v>46108</v>
      </c>
      <c r="D133" s="2">
        <f t="shared" si="16"/>
        <v>46168</v>
      </c>
      <c r="F133">
        <v>143</v>
      </c>
      <c r="G133">
        <v>60</v>
      </c>
      <c r="H133">
        <f t="shared" si="15"/>
        <v>0</v>
      </c>
      <c r="I133" t="str">
        <f t="shared" si="13"/>
        <v>On Time</v>
      </c>
      <c r="J133" cm="1">
        <f t="array" ref="J133">_xlfn.IFS(H133&lt;30,0,H133&lt;60,1,H133&lt;90,2,H133&lt;120,3)</f>
        <v>0</v>
      </c>
      <c r="M133" t="str">
        <f t="shared" si="14"/>
        <v>Low</v>
      </c>
      <c r="N133" t="str">
        <f t="shared" si="17"/>
        <v>Mar</v>
      </c>
      <c r="O133">
        <f t="shared" si="18"/>
        <v>2026</v>
      </c>
    </row>
    <row r="134" spans="1:15" x14ac:dyDescent="0.3">
      <c r="A134">
        <v>204414</v>
      </c>
      <c r="B134" t="s">
        <v>86</v>
      </c>
      <c r="C134" s="2">
        <v>46108</v>
      </c>
      <c r="D134" s="2">
        <f t="shared" si="16"/>
        <v>46138</v>
      </c>
      <c r="F134">
        <v>1871</v>
      </c>
      <c r="G134">
        <v>30</v>
      </c>
      <c r="H134">
        <f t="shared" si="15"/>
        <v>0</v>
      </c>
      <c r="I134" t="str">
        <f t="shared" si="13"/>
        <v>On Time</v>
      </c>
      <c r="J134" cm="1">
        <f t="array" ref="J134">_xlfn.IFS(H134&lt;30,0,H134&lt;60,1,H134&lt;90,2,H134&lt;120,3)</f>
        <v>0</v>
      </c>
      <c r="M134" t="str">
        <f t="shared" si="14"/>
        <v>Low</v>
      </c>
      <c r="N134" t="str">
        <f t="shared" si="17"/>
        <v>Mar</v>
      </c>
      <c r="O134">
        <f t="shared" si="18"/>
        <v>2026</v>
      </c>
    </row>
    <row r="135" spans="1:15" x14ac:dyDescent="0.3">
      <c r="A135">
        <v>204415</v>
      </c>
      <c r="B135" t="s">
        <v>87</v>
      </c>
      <c r="C135" s="2">
        <v>46108</v>
      </c>
      <c r="D135" s="2">
        <f t="shared" si="16"/>
        <v>46138</v>
      </c>
      <c r="F135">
        <v>3913</v>
      </c>
      <c r="G135">
        <v>30</v>
      </c>
      <c r="H135">
        <f t="shared" si="15"/>
        <v>0</v>
      </c>
      <c r="I135" t="str">
        <f t="shared" si="13"/>
        <v>On Time</v>
      </c>
      <c r="J135" cm="1">
        <f t="array" ref="J135">_xlfn.IFS(H135&lt;30,0,H135&lt;60,1,H135&lt;90,2,H135&lt;120,3)</f>
        <v>0</v>
      </c>
      <c r="M135" t="str">
        <f t="shared" si="14"/>
        <v>Low</v>
      </c>
      <c r="N135" t="str">
        <f t="shared" si="17"/>
        <v>Mar</v>
      </c>
      <c r="O135">
        <f t="shared" si="18"/>
        <v>2026</v>
      </c>
    </row>
    <row r="136" spans="1:15" x14ac:dyDescent="0.3">
      <c r="A136">
        <v>204416</v>
      </c>
      <c r="B136" t="s">
        <v>88</v>
      </c>
      <c r="C136" s="2">
        <v>46108</v>
      </c>
      <c r="D136" s="2">
        <f t="shared" si="16"/>
        <v>46138</v>
      </c>
      <c r="F136">
        <v>455</v>
      </c>
      <c r="G136">
        <v>30</v>
      </c>
      <c r="H136">
        <f t="shared" si="15"/>
        <v>0</v>
      </c>
      <c r="I136" t="str">
        <f t="shared" si="13"/>
        <v>On Time</v>
      </c>
      <c r="J136" cm="1">
        <f t="array" ref="J136">_xlfn.IFS(H136&lt;30,0,H136&lt;60,1,H136&lt;90,2,H136&lt;120,3)</f>
        <v>0</v>
      </c>
      <c r="M136" t="str">
        <f t="shared" si="14"/>
        <v>Low</v>
      </c>
      <c r="N136" t="str">
        <f t="shared" si="17"/>
        <v>Mar</v>
      </c>
      <c r="O136">
        <f t="shared" si="18"/>
        <v>2026</v>
      </c>
    </row>
    <row r="137" spans="1:15" x14ac:dyDescent="0.3">
      <c r="A137">
        <v>204417</v>
      </c>
      <c r="B137" t="s">
        <v>89</v>
      </c>
      <c r="C137" s="2">
        <v>46108</v>
      </c>
      <c r="D137" s="2">
        <f t="shared" si="16"/>
        <v>46138</v>
      </c>
      <c r="F137">
        <v>4553</v>
      </c>
      <c r="G137">
        <v>30</v>
      </c>
      <c r="H137">
        <f t="shared" si="15"/>
        <v>0</v>
      </c>
      <c r="I137" t="str">
        <f t="shared" si="13"/>
        <v>On Time</v>
      </c>
      <c r="J137" cm="1">
        <f t="array" ref="J137">_xlfn.IFS(H137&lt;30,0,H137&lt;60,1,H137&lt;90,2,H137&lt;120,3)</f>
        <v>0</v>
      </c>
      <c r="M137" t="str">
        <f t="shared" si="14"/>
        <v>Low</v>
      </c>
      <c r="N137" t="str">
        <f t="shared" si="17"/>
        <v>Mar</v>
      </c>
      <c r="O137">
        <f t="shared" si="18"/>
        <v>2026</v>
      </c>
    </row>
    <row r="138" spans="1:15" x14ac:dyDescent="0.3">
      <c r="A138">
        <v>204418</v>
      </c>
      <c r="B138" t="s">
        <v>90</v>
      </c>
      <c r="C138" s="2">
        <v>46108</v>
      </c>
      <c r="D138" s="2">
        <f t="shared" si="16"/>
        <v>46138</v>
      </c>
      <c r="F138">
        <v>3134</v>
      </c>
      <c r="G138">
        <v>30</v>
      </c>
      <c r="H138">
        <f t="shared" si="15"/>
        <v>0</v>
      </c>
      <c r="I138" t="str">
        <f t="shared" si="13"/>
        <v>On Time</v>
      </c>
      <c r="J138" cm="1">
        <f t="array" ref="J138">_xlfn.IFS(H138&lt;30,0,H138&lt;60,1,H138&lt;90,2,H138&lt;120,3)</f>
        <v>0</v>
      </c>
      <c r="M138" t="str">
        <f t="shared" si="14"/>
        <v>Low</v>
      </c>
      <c r="N138" t="str">
        <f t="shared" si="17"/>
        <v>Mar</v>
      </c>
      <c r="O138">
        <f t="shared" si="18"/>
        <v>2026</v>
      </c>
    </row>
    <row r="139" spans="1:15" x14ac:dyDescent="0.3">
      <c r="A139">
        <v>204419</v>
      </c>
      <c r="B139" t="s">
        <v>91</v>
      </c>
      <c r="C139" s="2">
        <v>46108</v>
      </c>
      <c r="D139" s="2">
        <f t="shared" si="16"/>
        <v>46138</v>
      </c>
      <c r="F139">
        <v>4300</v>
      </c>
      <c r="G139">
        <v>30</v>
      </c>
      <c r="H139">
        <f t="shared" si="15"/>
        <v>0</v>
      </c>
      <c r="I139" t="str">
        <f t="shared" si="13"/>
        <v>On Time</v>
      </c>
      <c r="J139" cm="1">
        <f t="array" ref="J139">_xlfn.IFS(H139&lt;30,0,H139&lt;60,1,H139&lt;90,2,H139&lt;120,3)</f>
        <v>0</v>
      </c>
      <c r="M139" t="str">
        <f t="shared" si="14"/>
        <v>Low</v>
      </c>
      <c r="N139" t="str">
        <f t="shared" si="17"/>
        <v>Mar</v>
      </c>
      <c r="O139">
        <f t="shared" si="18"/>
        <v>2026</v>
      </c>
    </row>
    <row r="140" spans="1:15" x14ac:dyDescent="0.3">
      <c r="A140">
        <v>204420</v>
      </c>
      <c r="B140" t="s">
        <v>92</v>
      </c>
      <c r="C140" s="2">
        <v>46108</v>
      </c>
      <c r="D140" s="2">
        <f t="shared" si="16"/>
        <v>46138</v>
      </c>
      <c r="F140">
        <v>8199</v>
      </c>
      <c r="G140">
        <v>30</v>
      </c>
      <c r="H140">
        <f t="shared" si="15"/>
        <v>0</v>
      </c>
      <c r="I140" t="str">
        <f t="shared" si="13"/>
        <v>On Time</v>
      </c>
      <c r="J140" cm="1">
        <f t="array" ref="J140">_xlfn.IFS(H140&lt;30,0,H140&lt;60,1,H140&lt;90,2,H140&lt;120,3)</f>
        <v>0</v>
      </c>
      <c r="M140" t="str">
        <f t="shared" si="14"/>
        <v>Low</v>
      </c>
      <c r="N140" t="str">
        <f t="shared" si="17"/>
        <v>Mar</v>
      </c>
      <c r="O140">
        <f t="shared" si="18"/>
        <v>2026</v>
      </c>
    </row>
    <row r="141" spans="1:15" x14ac:dyDescent="0.3">
      <c r="A141">
        <v>204421</v>
      </c>
      <c r="B141" t="s">
        <v>93</v>
      </c>
      <c r="C141" s="2">
        <v>46108</v>
      </c>
      <c r="D141" s="2">
        <f t="shared" si="16"/>
        <v>46138</v>
      </c>
      <c r="F141">
        <v>1748</v>
      </c>
      <c r="G141">
        <v>30</v>
      </c>
      <c r="H141">
        <f t="shared" si="15"/>
        <v>0</v>
      </c>
      <c r="I141" t="str">
        <f t="shared" si="13"/>
        <v>On Time</v>
      </c>
      <c r="J141" cm="1">
        <f t="array" ref="J141">_xlfn.IFS(H141&lt;30,0,H141&lt;60,1,H141&lt;90,2,H141&lt;120,3)</f>
        <v>0</v>
      </c>
      <c r="M141" t="str">
        <f t="shared" si="14"/>
        <v>Low</v>
      </c>
      <c r="N141" t="str">
        <f t="shared" si="17"/>
        <v>Mar</v>
      </c>
      <c r="O141">
        <f t="shared" si="18"/>
        <v>2026</v>
      </c>
    </row>
    <row r="142" spans="1:15" x14ac:dyDescent="0.3">
      <c r="A142">
        <v>204422</v>
      </c>
      <c r="B142" t="s">
        <v>94</v>
      </c>
      <c r="C142" s="2">
        <v>46108</v>
      </c>
      <c r="D142" s="2">
        <f t="shared" si="16"/>
        <v>46138</v>
      </c>
      <c r="F142">
        <v>1801</v>
      </c>
      <c r="G142">
        <v>30</v>
      </c>
      <c r="H142">
        <f t="shared" si="15"/>
        <v>0</v>
      </c>
      <c r="I142" t="str">
        <f t="shared" si="13"/>
        <v>On Time</v>
      </c>
      <c r="J142" cm="1">
        <f t="array" ref="J142">_xlfn.IFS(H142&lt;30,0,H142&lt;60,1,H142&lt;90,2,H142&lt;120,3)</f>
        <v>0</v>
      </c>
      <c r="M142" t="str">
        <f t="shared" si="14"/>
        <v>Low</v>
      </c>
      <c r="N142" t="str">
        <f t="shared" si="17"/>
        <v>Mar</v>
      </c>
      <c r="O142">
        <f t="shared" si="18"/>
        <v>2026</v>
      </c>
    </row>
    <row r="143" spans="1:15" x14ac:dyDescent="0.3">
      <c r="A143">
        <v>204423</v>
      </c>
      <c r="B143" t="s">
        <v>95</v>
      </c>
      <c r="C143" s="2">
        <v>46108</v>
      </c>
      <c r="D143" s="2">
        <f t="shared" si="16"/>
        <v>46153</v>
      </c>
      <c r="F143">
        <v>3327</v>
      </c>
      <c r="G143">
        <v>45</v>
      </c>
      <c r="H143">
        <f t="shared" si="15"/>
        <v>0</v>
      </c>
      <c r="I143" t="str">
        <f t="shared" si="13"/>
        <v>On Time</v>
      </c>
      <c r="J143" cm="1">
        <f t="array" ref="J143">_xlfn.IFS(H143&lt;30,0,H143&lt;60,1,H143&lt;90,2,H143&lt;120,3)</f>
        <v>0</v>
      </c>
      <c r="M143" t="str">
        <f t="shared" si="14"/>
        <v>Low</v>
      </c>
      <c r="N143" t="str">
        <f t="shared" si="17"/>
        <v>Mar</v>
      </c>
      <c r="O143">
        <f t="shared" si="18"/>
        <v>2026</v>
      </c>
    </row>
    <row r="144" spans="1:15" x14ac:dyDescent="0.3">
      <c r="A144">
        <v>204424</v>
      </c>
      <c r="B144" t="s">
        <v>68</v>
      </c>
      <c r="C144" s="2">
        <v>46108</v>
      </c>
      <c r="D144" s="2">
        <f t="shared" si="16"/>
        <v>46138</v>
      </c>
      <c r="F144">
        <v>2628</v>
      </c>
      <c r="G144">
        <v>30</v>
      </c>
      <c r="H144">
        <f t="shared" si="15"/>
        <v>0</v>
      </c>
      <c r="I144" t="str">
        <f t="shared" si="13"/>
        <v>On Time</v>
      </c>
      <c r="J144" cm="1">
        <f t="array" ref="J144">_xlfn.IFS(H144&lt;30,0,H144&lt;60,1,H144&lt;90,2,H144&lt;120,3)</f>
        <v>0</v>
      </c>
      <c r="M144" t="str">
        <f t="shared" si="14"/>
        <v>Low</v>
      </c>
      <c r="N144" t="str">
        <f t="shared" si="17"/>
        <v>Mar</v>
      </c>
      <c r="O144">
        <f t="shared" si="18"/>
        <v>2026</v>
      </c>
    </row>
    <row r="145" spans="1:15" x14ac:dyDescent="0.3">
      <c r="A145">
        <v>204425</v>
      </c>
      <c r="B145" t="s">
        <v>69</v>
      </c>
      <c r="C145" s="2">
        <v>46108</v>
      </c>
      <c r="D145" s="2">
        <f t="shared" si="16"/>
        <v>46138</v>
      </c>
      <c r="F145">
        <v>3597</v>
      </c>
      <c r="G145">
        <v>30</v>
      </c>
      <c r="H145">
        <f t="shared" si="15"/>
        <v>0</v>
      </c>
      <c r="I145" t="str">
        <f t="shared" si="13"/>
        <v>On Time</v>
      </c>
      <c r="J145" cm="1">
        <f t="array" ref="J145">_xlfn.IFS(H145&lt;30,0,H145&lt;60,1,H145&lt;90,2,H145&lt;120,3)</f>
        <v>0</v>
      </c>
      <c r="M145" t="str">
        <f t="shared" si="14"/>
        <v>Low</v>
      </c>
      <c r="N145" t="str">
        <f t="shared" si="17"/>
        <v>Mar</v>
      </c>
      <c r="O145">
        <f t="shared" si="18"/>
        <v>2026</v>
      </c>
    </row>
    <row r="146" spans="1:15" x14ac:dyDescent="0.3">
      <c r="A146">
        <v>204426</v>
      </c>
      <c r="B146" t="s">
        <v>70</v>
      </c>
      <c r="C146" s="2">
        <v>46108</v>
      </c>
      <c r="D146" s="2">
        <f t="shared" si="16"/>
        <v>46138</v>
      </c>
      <c r="F146">
        <v>2225</v>
      </c>
      <c r="G146">
        <v>30</v>
      </c>
      <c r="H146">
        <f t="shared" si="15"/>
        <v>0</v>
      </c>
      <c r="I146" t="str">
        <f t="shared" si="13"/>
        <v>On Time</v>
      </c>
      <c r="J146" cm="1">
        <f t="array" ref="J146">_xlfn.IFS(H146&lt;30,0,H146&lt;60,1,H146&lt;90,2,H146&lt;120,3)</f>
        <v>0</v>
      </c>
      <c r="M146" t="str">
        <f t="shared" si="14"/>
        <v>Low</v>
      </c>
      <c r="N146" t="str">
        <f t="shared" si="17"/>
        <v>Mar</v>
      </c>
      <c r="O146">
        <f t="shared" si="18"/>
        <v>2026</v>
      </c>
    </row>
    <row r="147" spans="1:15" x14ac:dyDescent="0.3">
      <c r="A147">
        <v>204427</v>
      </c>
      <c r="B147" t="s">
        <v>71</v>
      </c>
      <c r="C147" s="2">
        <v>46108</v>
      </c>
      <c r="D147" s="2">
        <f t="shared" si="16"/>
        <v>46138</v>
      </c>
      <c r="F147">
        <v>698</v>
      </c>
      <c r="G147">
        <v>30</v>
      </c>
      <c r="H147">
        <f t="shared" si="15"/>
        <v>0</v>
      </c>
      <c r="I147" t="str">
        <f t="shared" si="13"/>
        <v>On Time</v>
      </c>
      <c r="J147" cm="1">
        <f t="array" ref="J147">_xlfn.IFS(H147&lt;30,0,H147&lt;60,1,H147&lt;90,2,H147&lt;120,3)</f>
        <v>0</v>
      </c>
      <c r="M147" t="str">
        <f t="shared" si="14"/>
        <v>Low</v>
      </c>
      <c r="N147" t="str">
        <f t="shared" si="17"/>
        <v>Mar</v>
      </c>
      <c r="O147">
        <f t="shared" si="18"/>
        <v>2026</v>
      </c>
    </row>
    <row r="148" spans="1:15" x14ac:dyDescent="0.3">
      <c r="A148">
        <v>204428</v>
      </c>
      <c r="B148" t="s">
        <v>72</v>
      </c>
      <c r="C148" s="2">
        <v>46108</v>
      </c>
      <c r="D148" s="2">
        <f t="shared" si="16"/>
        <v>46138</v>
      </c>
      <c r="F148">
        <v>4542</v>
      </c>
      <c r="G148">
        <v>30</v>
      </c>
      <c r="H148">
        <f t="shared" si="15"/>
        <v>0</v>
      </c>
      <c r="I148" t="str">
        <f t="shared" si="13"/>
        <v>On Time</v>
      </c>
      <c r="J148" cm="1">
        <f t="array" ref="J148">_xlfn.IFS(H148&lt;30,0,H148&lt;60,1,H148&lt;90,2,H148&lt;120,3)</f>
        <v>0</v>
      </c>
      <c r="M148" t="str">
        <f t="shared" si="14"/>
        <v>Low</v>
      </c>
      <c r="N148" t="str">
        <f t="shared" si="17"/>
        <v>Mar</v>
      </c>
      <c r="O148">
        <f t="shared" si="18"/>
        <v>2026</v>
      </c>
    </row>
    <row r="149" spans="1:15" x14ac:dyDescent="0.3">
      <c r="A149">
        <v>204392</v>
      </c>
      <c r="B149" t="s">
        <v>41</v>
      </c>
      <c r="C149" s="2">
        <v>46107</v>
      </c>
      <c r="D149" s="2">
        <f t="shared" si="16"/>
        <v>46137</v>
      </c>
      <c r="F149">
        <v>1554</v>
      </c>
      <c r="G149">
        <v>30</v>
      </c>
      <c r="H149">
        <f t="shared" si="15"/>
        <v>0</v>
      </c>
      <c r="I149" t="str">
        <f t="shared" si="13"/>
        <v>On Time</v>
      </c>
      <c r="J149" cm="1">
        <f t="array" ref="J149">_xlfn.IFS(H149&lt;30,0,H149&lt;60,1,H149&lt;90,2,H149&lt;120,3)</f>
        <v>0</v>
      </c>
      <c r="M149" t="str">
        <f t="shared" si="14"/>
        <v>Low</v>
      </c>
      <c r="N149" t="str">
        <f t="shared" si="17"/>
        <v>Mar</v>
      </c>
      <c r="O149">
        <f t="shared" si="18"/>
        <v>2026</v>
      </c>
    </row>
    <row r="150" spans="1:15" x14ac:dyDescent="0.3">
      <c r="A150">
        <v>204393</v>
      </c>
      <c r="B150" t="s">
        <v>42</v>
      </c>
      <c r="C150" s="2">
        <v>46107</v>
      </c>
      <c r="D150" s="2">
        <f t="shared" si="16"/>
        <v>46137</v>
      </c>
      <c r="F150">
        <v>4641</v>
      </c>
      <c r="G150">
        <v>30</v>
      </c>
      <c r="H150">
        <f t="shared" si="15"/>
        <v>0</v>
      </c>
      <c r="I150" t="str">
        <f t="shared" ref="I150:I213" si="19">IF(H150=0,"On Time",IF(H150&lt;=15,"Paid Late","Seriously Late"))</f>
        <v>On Time</v>
      </c>
      <c r="J150" cm="1">
        <f t="array" ref="J150">_xlfn.IFS(H150&lt;30,0,H150&lt;60,1,H150&lt;90,2,H150&lt;120,3)</f>
        <v>0</v>
      </c>
      <c r="M150" t="str">
        <f t="shared" ref="M150:M213" si="20">IF(H150&gt;30,"High",IF(H150&gt;10,"Medium","Low"))</f>
        <v>Low</v>
      </c>
      <c r="N150" t="str">
        <f t="shared" si="17"/>
        <v>Mar</v>
      </c>
      <c r="O150">
        <f t="shared" si="18"/>
        <v>2026</v>
      </c>
    </row>
    <row r="151" spans="1:15" x14ac:dyDescent="0.3">
      <c r="A151">
        <v>204394</v>
      </c>
      <c r="B151" t="s">
        <v>43</v>
      </c>
      <c r="C151" s="2">
        <v>46107</v>
      </c>
      <c r="D151" s="2">
        <f t="shared" si="16"/>
        <v>46137</v>
      </c>
      <c r="F151">
        <v>237</v>
      </c>
      <c r="G151">
        <v>30</v>
      </c>
      <c r="H151">
        <f t="shared" si="15"/>
        <v>0</v>
      </c>
      <c r="I151" t="str">
        <f t="shared" si="19"/>
        <v>On Time</v>
      </c>
      <c r="J151" cm="1">
        <f t="array" ref="J151">_xlfn.IFS(H151&lt;30,0,H151&lt;60,1,H151&lt;90,2,H151&lt;120,3)</f>
        <v>0</v>
      </c>
      <c r="M151" t="str">
        <f t="shared" si="20"/>
        <v>Low</v>
      </c>
      <c r="N151" t="str">
        <f t="shared" si="17"/>
        <v>Mar</v>
      </c>
      <c r="O151">
        <f t="shared" si="18"/>
        <v>2026</v>
      </c>
    </row>
    <row r="152" spans="1:15" x14ac:dyDescent="0.3">
      <c r="A152">
        <v>204395</v>
      </c>
      <c r="B152" t="s">
        <v>44</v>
      </c>
      <c r="C152" s="2">
        <v>46107</v>
      </c>
      <c r="D152" s="2">
        <f t="shared" si="16"/>
        <v>46152</v>
      </c>
      <c r="F152">
        <v>19702</v>
      </c>
      <c r="G152">
        <v>45</v>
      </c>
      <c r="H152">
        <f t="shared" si="15"/>
        <v>0</v>
      </c>
      <c r="I152" t="str">
        <f t="shared" si="19"/>
        <v>On Time</v>
      </c>
      <c r="J152" cm="1">
        <f t="array" ref="J152">_xlfn.IFS(H152&lt;30,0,H152&lt;60,1,H152&lt;90,2,H152&lt;120,3)</f>
        <v>0</v>
      </c>
      <c r="M152" t="str">
        <f t="shared" si="20"/>
        <v>Low</v>
      </c>
      <c r="N152" t="str">
        <f t="shared" si="17"/>
        <v>Mar</v>
      </c>
      <c r="O152">
        <f t="shared" si="18"/>
        <v>2026</v>
      </c>
    </row>
    <row r="153" spans="1:15" x14ac:dyDescent="0.3">
      <c r="A153">
        <v>204396</v>
      </c>
      <c r="B153" t="s">
        <v>45</v>
      </c>
      <c r="C153" s="2">
        <v>46107</v>
      </c>
      <c r="D153" s="2">
        <f t="shared" si="16"/>
        <v>46152</v>
      </c>
      <c r="F153">
        <v>202</v>
      </c>
      <c r="G153">
        <v>45</v>
      </c>
      <c r="H153">
        <f t="shared" si="15"/>
        <v>0</v>
      </c>
      <c r="I153" t="str">
        <f t="shared" si="19"/>
        <v>On Time</v>
      </c>
      <c r="J153" cm="1">
        <f t="array" ref="J153">_xlfn.IFS(H153&lt;30,0,H153&lt;60,1,H153&lt;90,2,H153&lt;120,3)</f>
        <v>0</v>
      </c>
      <c r="M153" t="str">
        <f t="shared" si="20"/>
        <v>Low</v>
      </c>
      <c r="N153" t="str">
        <f t="shared" si="17"/>
        <v>Mar</v>
      </c>
      <c r="O153">
        <f t="shared" si="18"/>
        <v>2026</v>
      </c>
    </row>
    <row r="154" spans="1:15" x14ac:dyDescent="0.3">
      <c r="A154">
        <v>204397</v>
      </c>
      <c r="B154" t="s">
        <v>46</v>
      </c>
      <c r="C154" s="2">
        <v>46107</v>
      </c>
      <c r="D154" s="2">
        <f t="shared" si="16"/>
        <v>46167</v>
      </c>
      <c r="F154">
        <v>1032</v>
      </c>
      <c r="G154">
        <v>60</v>
      </c>
      <c r="H154">
        <f t="shared" si="15"/>
        <v>0</v>
      </c>
      <c r="I154" t="str">
        <f t="shared" si="19"/>
        <v>On Time</v>
      </c>
      <c r="J154" cm="1">
        <f t="array" ref="J154">_xlfn.IFS(H154&lt;30,0,H154&lt;60,1,H154&lt;90,2,H154&lt;120,3)</f>
        <v>0</v>
      </c>
      <c r="M154" t="str">
        <f t="shared" si="20"/>
        <v>Low</v>
      </c>
      <c r="N154" t="str">
        <f t="shared" si="17"/>
        <v>Mar</v>
      </c>
      <c r="O154">
        <f t="shared" si="18"/>
        <v>2026</v>
      </c>
    </row>
    <row r="155" spans="1:15" x14ac:dyDescent="0.3">
      <c r="A155">
        <v>204398</v>
      </c>
      <c r="B155" t="s">
        <v>114</v>
      </c>
      <c r="C155" s="2">
        <v>46107</v>
      </c>
      <c r="D155" s="2">
        <f t="shared" si="16"/>
        <v>46137</v>
      </c>
      <c r="F155">
        <v>3097</v>
      </c>
      <c r="G155">
        <v>30</v>
      </c>
      <c r="H155">
        <f t="shared" si="15"/>
        <v>0</v>
      </c>
      <c r="I155" t="str">
        <f t="shared" si="19"/>
        <v>On Time</v>
      </c>
      <c r="J155" cm="1">
        <f t="array" ref="J155">_xlfn.IFS(H155&lt;30,0,H155&lt;60,1,H155&lt;90,2,H155&lt;120,3)</f>
        <v>0</v>
      </c>
      <c r="M155" t="str">
        <f t="shared" si="20"/>
        <v>Low</v>
      </c>
      <c r="N155" t="str">
        <f t="shared" si="17"/>
        <v>Mar</v>
      </c>
      <c r="O155">
        <f t="shared" si="18"/>
        <v>2026</v>
      </c>
    </row>
    <row r="156" spans="1:15" x14ac:dyDescent="0.3">
      <c r="A156">
        <v>204399</v>
      </c>
      <c r="B156" t="s">
        <v>115</v>
      </c>
      <c r="C156" s="2">
        <v>46107</v>
      </c>
      <c r="D156" s="2">
        <f t="shared" si="16"/>
        <v>46137</v>
      </c>
      <c r="F156">
        <v>1765</v>
      </c>
      <c r="G156">
        <v>30</v>
      </c>
      <c r="H156">
        <f t="shared" si="15"/>
        <v>0</v>
      </c>
      <c r="I156" t="str">
        <f t="shared" si="19"/>
        <v>On Time</v>
      </c>
      <c r="J156" cm="1">
        <f t="array" ref="J156">_xlfn.IFS(H156&lt;30,0,H156&lt;60,1,H156&lt;90,2,H156&lt;120,3)</f>
        <v>0</v>
      </c>
      <c r="M156" t="str">
        <f t="shared" si="20"/>
        <v>Low</v>
      </c>
      <c r="N156" t="str">
        <f t="shared" si="17"/>
        <v>Mar</v>
      </c>
      <c r="O156">
        <f t="shared" si="18"/>
        <v>2026</v>
      </c>
    </row>
    <row r="157" spans="1:15" x14ac:dyDescent="0.3">
      <c r="A157">
        <v>204400</v>
      </c>
      <c r="B157" t="s">
        <v>116</v>
      </c>
      <c r="C157" s="2">
        <v>46107</v>
      </c>
      <c r="D157" s="2">
        <f t="shared" si="16"/>
        <v>46137</v>
      </c>
      <c r="F157">
        <v>536</v>
      </c>
      <c r="G157">
        <v>30</v>
      </c>
      <c r="H157">
        <f t="shared" si="15"/>
        <v>0</v>
      </c>
      <c r="I157" t="str">
        <f t="shared" si="19"/>
        <v>On Time</v>
      </c>
      <c r="J157" cm="1">
        <f t="array" ref="J157">_xlfn.IFS(H157&lt;30,0,H157&lt;60,1,H157&lt;90,2,H157&lt;120,3)</f>
        <v>0</v>
      </c>
      <c r="M157" t="str">
        <f t="shared" si="20"/>
        <v>Low</v>
      </c>
      <c r="N157" t="str">
        <f t="shared" si="17"/>
        <v>Mar</v>
      </c>
      <c r="O157">
        <f t="shared" si="18"/>
        <v>2026</v>
      </c>
    </row>
    <row r="158" spans="1:15" x14ac:dyDescent="0.3">
      <c r="A158">
        <v>204401</v>
      </c>
      <c r="B158" t="s">
        <v>117</v>
      </c>
      <c r="C158" s="2">
        <v>46107</v>
      </c>
      <c r="D158" s="2">
        <f t="shared" si="16"/>
        <v>46137</v>
      </c>
      <c r="F158">
        <v>2763</v>
      </c>
      <c r="G158">
        <v>30</v>
      </c>
      <c r="H158">
        <f t="shared" si="15"/>
        <v>0</v>
      </c>
      <c r="I158" t="str">
        <f t="shared" si="19"/>
        <v>On Time</v>
      </c>
      <c r="J158" cm="1">
        <f t="array" ref="J158">_xlfn.IFS(H158&lt;30,0,H158&lt;60,1,H158&lt;90,2,H158&lt;120,3)</f>
        <v>0</v>
      </c>
      <c r="M158" t="str">
        <f t="shared" si="20"/>
        <v>Low</v>
      </c>
      <c r="N158" t="str">
        <f t="shared" si="17"/>
        <v>Mar</v>
      </c>
      <c r="O158">
        <f t="shared" si="18"/>
        <v>2026</v>
      </c>
    </row>
    <row r="159" spans="1:15" x14ac:dyDescent="0.3">
      <c r="A159">
        <v>204402</v>
      </c>
      <c r="B159" t="s">
        <v>118</v>
      </c>
      <c r="C159" s="2">
        <v>46107</v>
      </c>
      <c r="D159" s="2">
        <f t="shared" si="16"/>
        <v>46137</v>
      </c>
      <c r="F159">
        <v>8807</v>
      </c>
      <c r="G159">
        <v>30</v>
      </c>
      <c r="H159">
        <f t="shared" si="15"/>
        <v>0</v>
      </c>
      <c r="I159" t="str">
        <f t="shared" si="19"/>
        <v>On Time</v>
      </c>
      <c r="J159" cm="1">
        <f t="array" ref="J159">_xlfn.IFS(H159&lt;30,0,H159&lt;60,1,H159&lt;90,2,H159&lt;120,3)</f>
        <v>0</v>
      </c>
      <c r="M159" t="str">
        <f t="shared" si="20"/>
        <v>Low</v>
      </c>
      <c r="N159" t="str">
        <f t="shared" si="17"/>
        <v>Mar</v>
      </c>
      <c r="O159">
        <f t="shared" si="18"/>
        <v>2026</v>
      </c>
    </row>
    <row r="160" spans="1:15" x14ac:dyDescent="0.3">
      <c r="A160">
        <v>204403</v>
      </c>
      <c r="B160" t="s">
        <v>119</v>
      </c>
      <c r="C160" s="2">
        <v>46107</v>
      </c>
      <c r="D160" s="2">
        <f t="shared" si="16"/>
        <v>46137</v>
      </c>
      <c r="F160">
        <v>1008</v>
      </c>
      <c r="G160">
        <v>30</v>
      </c>
      <c r="H160">
        <f t="shared" si="15"/>
        <v>0</v>
      </c>
      <c r="I160" t="str">
        <f t="shared" si="19"/>
        <v>On Time</v>
      </c>
      <c r="J160" cm="1">
        <f t="array" ref="J160">_xlfn.IFS(H160&lt;30,0,H160&lt;60,1,H160&lt;90,2,H160&lt;120,3)</f>
        <v>0</v>
      </c>
      <c r="M160" t="str">
        <f t="shared" si="20"/>
        <v>Low</v>
      </c>
      <c r="N160" t="str">
        <f t="shared" si="17"/>
        <v>Mar</v>
      </c>
      <c r="O160">
        <f t="shared" si="18"/>
        <v>2026</v>
      </c>
    </row>
    <row r="161" spans="1:15" x14ac:dyDescent="0.3">
      <c r="A161">
        <v>204404</v>
      </c>
      <c r="B161" t="s">
        <v>100</v>
      </c>
      <c r="C161" s="2">
        <v>46107</v>
      </c>
      <c r="D161" s="2">
        <f t="shared" si="16"/>
        <v>46137</v>
      </c>
      <c r="F161">
        <v>2878</v>
      </c>
      <c r="G161">
        <v>30</v>
      </c>
      <c r="H161">
        <f t="shared" si="15"/>
        <v>0</v>
      </c>
      <c r="I161" t="str">
        <f t="shared" si="19"/>
        <v>On Time</v>
      </c>
      <c r="J161" cm="1">
        <f t="array" ref="J161">_xlfn.IFS(H161&lt;30,0,H161&lt;60,1,H161&lt;90,2,H161&lt;120,3)</f>
        <v>0</v>
      </c>
      <c r="M161" t="str">
        <f t="shared" si="20"/>
        <v>Low</v>
      </c>
      <c r="N161" t="str">
        <f t="shared" si="17"/>
        <v>Mar</v>
      </c>
      <c r="O161">
        <f t="shared" si="18"/>
        <v>2026</v>
      </c>
    </row>
    <row r="162" spans="1:15" x14ac:dyDescent="0.3">
      <c r="A162">
        <v>204405</v>
      </c>
      <c r="B162" t="s">
        <v>101</v>
      </c>
      <c r="C162" s="2">
        <v>46107</v>
      </c>
      <c r="D162" s="2">
        <f t="shared" si="16"/>
        <v>46137</v>
      </c>
      <c r="F162">
        <v>18138</v>
      </c>
      <c r="G162">
        <v>30</v>
      </c>
      <c r="H162">
        <f t="shared" si="15"/>
        <v>0</v>
      </c>
      <c r="I162" t="str">
        <f t="shared" si="19"/>
        <v>On Time</v>
      </c>
      <c r="J162" cm="1">
        <f t="array" ref="J162">_xlfn.IFS(H162&lt;30,0,H162&lt;60,1,H162&lt;90,2,H162&lt;120,3)</f>
        <v>0</v>
      </c>
      <c r="M162" t="str">
        <f t="shared" si="20"/>
        <v>Low</v>
      </c>
      <c r="N162" t="str">
        <f t="shared" si="17"/>
        <v>Mar</v>
      </c>
      <c r="O162">
        <f t="shared" si="18"/>
        <v>2026</v>
      </c>
    </row>
    <row r="163" spans="1:15" x14ac:dyDescent="0.3">
      <c r="A163">
        <v>204406</v>
      </c>
      <c r="B163" t="s">
        <v>102</v>
      </c>
      <c r="C163" s="2">
        <v>46107</v>
      </c>
      <c r="D163" s="2">
        <f t="shared" si="16"/>
        <v>46137</v>
      </c>
      <c r="F163">
        <v>1708</v>
      </c>
      <c r="G163">
        <v>30</v>
      </c>
      <c r="H163">
        <f t="shared" si="15"/>
        <v>0</v>
      </c>
      <c r="I163" t="str">
        <f t="shared" si="19"/>
        <v>On Time</v>
      </c>
      <c r="J163" cm="1">
        <f t="array" ref="J163">_xlfn.IFS(H163&lt;30,0,H163&lt;60,1,H163&lt;90,2,H163&lt;120,3)</f>
        <v>0</v>
      </c>
      <c r="M163" t="str">
        <f t="shared" si="20"/>
        <v>Low</v>
      </c>
      <c r="N163" t="str">
        <f t="shared" si="17"/>
        <v>Mar</v>
      </c>
      <c r="O163">
        <f t="shared" si="18"/>
        <v>2026</v>
      </c>
    </row>
    <row r="164" spans="1:15" x14ac:dyDescent="0.3">
      <c r="A164">
        <v>204407</v>
      </c>
      <c r="B164" t="s">
        <v>103</v>
      </c>
      <c r="C164" s="2">
        <v>46107</v>
      </c>
      <c r="D164" s="2">
        <f t="shared" si="16"/>
        <v>46137</v>
      </c>
      <c r="F164">
        <v>1546</v>
      </c>
      <c r="G164">
        <v>30</v>
      </c>
      <c r="H164">
        <f t="shared" si="15"/>
        <v>0</v>
      </c>
      <c r="I164" t="str">
        <f t="shared" si="19"/>
        <v>On Time</v>
      </c>
      <c r="J164" cm="1">
        <f t="array" ref="J164">_xlfn.IFS(H164&lt;30,0,H164&lt;60,1,H164&lt;90,2,H164&lt;120,3)</f>
        <v>0</v>
      </c>
      <c r="M164" t="str">
        <f t="shared" si="20"/>
        <v>Low</v>
      </c>
      <c r="N164" t="str">
        <f t="shared" si="17"/>
        <v>Mar</v>
      </c>
      <c r="O164">
        <f t="shared" si="18"/>
        <v>2026</v>
      </c>
    </row>
    <row r="165" spans="1:15" x14ac:dyDescent="0.3">
      <c r="A165">
        <v>204408</v>
      </c>
      <c r="B165" t="s">
        <v>104</v>
      </c>
      <c r="C165" s="2">
        <v>46107</v>
      </c>
      <c r="D165" s="2">
        <f t="shared" si="16"/>
        <v>46137</v>
      </c>
      <c r="F165">
        <v>6903</v>
      </c>
      <c r="G165">
        <v>30</v>
      </c>
      <c r="H165">
        <f t="shared" si="15"/>
        <v>0</v>
      </c>
      <c r="I165" t="str">
        <f t="shared" si="19"/>
        <v>On Time</v>
      </c>
      <c r="J165" cm="1">
        <f t="array" ref="J165">_xlfn.IFS(H165&lt;30,0,H165&lt;60,1,H165&lt;90,2,H165&lt;120,3)</f>
        <v>0</v>
      </c>
      <c r="M165" t="str">
        <f t="shared" si="20"/>
        <v>Low</v>
      </c>
      <c r="N165" t="str">
        <f t="shared" si="17"/>
        <v>Mar</v>
      </c>
      <c r="O165">
        <f t="shared" si="18"/>
        <v>2026</v>
      </c>
    </row>
    <row r="166" spans="1:15" x14ac:dyDescent="0.3">
      <c r="A166">
        <v>204375</v>
      </c>
      <c r="B166" t="s">
        <v>119</v>
      </c>
      <c r="C166" s="2">
        <v>46106</v>
      </c>
      <c r="D166" s="2">
        <f t="shared" si="16"/>
        <v>46136</v>
      </c>
      <c r="F166">
        <v>739</v>
      </c>
      <c r="G166">
        <v>30</v>
      </c>
      <c r="H166">
        <f t="shared" ref="H166:H229" si="21">MAX(0,P131-D166)</f>
        <v>0</v>
      </c>
      <c r="I166" t="str">
        <f t="shared" si="19"/>
        <v>On Time</v>
      </c>
      <c r="J166" cm="1">
        <f t="array" ref="J166">_xlfn.IFS(H166&lt;30,0,H166&lt;60,1,H166&lt;90,2,H166&lt;120,3)</f>
        <v>0</v>
      </c>
      <c r="M166" t="str">
        <f t="shared" si="20"/>
        <v>Low</v>
      </c>
      <c r="N166" t="str">
        <f t="shared" si="17"/>
        <v>Mar</v>
      </c>
      <c r="O166">
        <f t="shared" si="18"/>
        <v>2026</v>
      </c>
    </row>
    <row r="167" spans="1:15" x14ac:dyDescent="0.3">
      <c r="A167">
        <v>204376</v>
      </c>
      <c r="B167" t="s">
        <v>31</v>
      </c>
      <c r="C167" s="2">
        <v>46106</v>
      </c>
      <c r="D167" s="2">
        <f t="shared" si="16"/>
        <v>46151</v>
      </c>
      <c r="F167">
        <v>479</v>
      </c>
      <c r="G167">
        <v>45</v>
      </c>
      <c r="H167">
        <f t="shared" si="21"/>
        <v>0</v>
      </c>
      <c r="I167" t="str">
        <f t="shared" si="19"/>
        <v>On Time</v>
      </c>
      <c r="J167" cm="1">
        <f t="array" ref="J167">_xlfn.IFS(H167&lt;30,0,H167&lt;60,1,H167&lt;90,2,H167&lt;120,3)</f>
        <v>0</v>
      </c>
      <c r="M167" t="str">
        <f t="shared" si="20"/>
        <v>Low</v>
      </c>
      <c r="N167" t="str">
        <f t="shared" si="17"/>
        <v>Mar</v>
      </c>
      <c r="O167">
        <f t="shared" si="18"/>
        <v>2026</v>
      </c>
    </row>
    <row r="168" spans="1:15" x14ac:dyDescent="0.3">
      <c r="A168">
        <v>204377</v>
      </c>
      <c r="B168" t="s">
        <v>32</v>
      </c>
      <c r="C168" s="2">
        <v>46106</v>
      </c>
      <c r="D168" s="2">
        <f t="shared" si="16"/>
        <v>46151</v>
      </c>
      <c r="F168">
        <v>4445</v>
      </c>
      <c r="G168">
        <v>45</v>
      </c>
      <c r="H168">
        <f t="shared" si="21"/>
        <v>0</v>
      </c>
      <c r="I168" t="str">
        <f t="shared" si="19"/>
        <v>On Time</v>
      </c>
      <c r="J168" cm="1">
        <f t="array" ref="J168">_xlfn.IFS(H168&lt;30,0,H168&lt;60,1,H168&lt;90,2,H168&lt;120,3)</f>
        <v>0</v>
      </c>
      <c r="M168" t="str">
        <f t="shared" si="20"/>
        <v>Low</v>
      </c>
      <c r="N168" t="str">
        <f t="shared" si="17"/>
        <v>Mar</v>
      </c>
      <c r="O168">
        <f t="shared" si="18"/>
        <v>2026</v>
      </c>
    </row>
    <row r="169" spans="1:15" x14ac:dyDescent="0.3">
      <c r="A169">
        <v>204378</v>
      </c>
      <c r="B169" t="s">
        <v>33</v>
      </c>
      <c r="C169" s="2">
        <v>46106</v>
      </c>
      <c r="D169" s="2">
        <f t="shared" si="16"/>
        <v>46136</v>
      </c>
      <c r="F169">
        <v>3499</v>
      </c>
      <c r="G169">
        <v>30</v>
      </c>
      <c r="H169">
        <f t="shared" si="21"/>
        <v>0</v>
      </c>
      <c r="I169" t="str">
        <f t="shared" si="19"/>
        <v>On Time</v>
      </c>
      <c r="J169" cm="1">
        <f t="array" ref="J169">_xlfn.IFS(H169&lt;30,0,H169&lt;60,1,H169&lt;90,2,H169&lt;120,3)</f>
        <v>0</v>
      </c>
      <c r="M169" t="str">
        <f t="shared" si="20"/>
        <v>Low</v>
      </c>
      <c r="N169" t="str">
        <f t="shared" si="17"/>
        <v>Mar</v>
      </c>
      <c r="O169">
        <f t="shared" si="18"/>
        <v>2026</v>
      </c>
    </row>
    <row r="170" spans="1:15" x14ac:dyDescent="0.3">
      <c r="A170">
        <v>204379</v>
      </c>
      <c r="B170" t="s">
        <v>34</v>
      </c>
      <c r="C170" s="2">
        <v>46106</v>
      </c>
      <c r="D170" s="2">
        <f t="shared" si="16"/>
        <v>46166</v>
      </c>
      <c r="F170">
        <v>1540</v>
      </c>
      <c r="G170">
        <v>60</v>
      </c>
      <c r="H170">
        <f t="shared" si="21"/>
        <v>0</v>
      </c>
      <c r="I170" t="str">
        <f t="shared" si="19"/>
        <v>On Time</v>
      </c>
      <c r="J170" cm="1">
        <f t="array" ref="J170">_xlfn.IFS(H170&lt;30,0,H170&lt;60,1,H170&lt;90,2,H170&lt;120,3)</f>
        <v>0</v>
      </c>
      <c r="M170" t="str">
        <f t="shared" si="20"/>
        <v>Low</v>
      </c>
      <c r="N170" t="str">
        <f t="shared" si="17"/>
        <v>Mar</v>
      </c>
      <c r="O170">
        <f t="shared" si="18"/>
        <v>2026</v>
      </c>
    </row>
    <row r="171" spans="1:15" x14ac:dyDescent="0.3">
      <c r="A171">
        <v>204380</v>
      </c>
      <c r="B171" t="s">
        <v>35</v>
      </c>
      <c r="C171" s="2">
        <v>46106</v>
      </c>
      <c r="D171" s="2">
        <f t="shared" si="16"/>
        <v>46151</v>
      </c>
      <c r="F171">
        <v>4576</v>
      </c>
      <c r="G171">
        <v>45</v>
      </c>
      <c r="H171">
        <f t="shared" si="21"/>
        <v>0</v>
      </c>
      <c r="I171" t="str">
        <f t="shared" si="19"/>
        <v>On Time</v>
      </c>
      <c r="J171" cm="1">
        <f t="array" ref="J171">_xlfn.IFS(H171&lt;30,0,H171&lt;60,1,H171&lt;90,2,H171&lt;120,3)</f>
        <v>0</v>
      </c>
      <c r="M171" t="str">
        <f t="shared" si="20"/>
        <v>Low</v>
      </c>
      <c r="N171" t="str">
        <f t="shared" si="17"/>
        <v>Mar</v>
      </c>
      <c r="O171">
        <f t="shared" si="18"/>
        <v>2026</v>
      </c>
    </row>
    <row r="172" spans="1:15" x14ac:dyDescent="0.3">
      <c r="A172">
        <v>204381</v>
      </c>
      <c r="B172" t="s">
        <v>36</v>
      </c>
      <c r="C172" s="2">
        <v>46106</v>
      </c>
      <c r="D172" s="2">
        <f t="shared" si="16"/>
        <v>46136</v>
      </c>
      <c r="F172">
        <v>7692</v>
      </c>
      <c r="G172">
        <v>30</v>
      </c>
      <c r="H172">
        <f t="shared" si="21"/>
        <v>0</v>
      </c>
      <c r="I172" t="str">
        <f t="shared" si="19"/>
        <v>On Time</v>
      </c>
      <c r="J172" cm="1">
        <f t="array" ref="J172">_xlfn.IFS(H172&lt;30,0,H172&lt;60,1,H172&lt;90,2,H172&lt;120,3)</f>
        <v>0</v>
      </c>
      <c r="M172" t="str">
        <f t="shared" si="20"/>
        <v>Low</v>
      </c>
      <c r="N172" t="str">
        <f t="shared" si="17"/>
        <v>Mar</v>
      </c>
      <c r="O172">
        <f t="shared" si="18"/>
        <v>2026</v>
      </c>
    </row>
    <row r="173" spans="1:15" x14ac:dyDescent="0.3">
      <c r="A173">
        <v>204382</v>
      </c>
      <c r="B173" t="s">
        <v>64</v>
      </c>
      <c r="C173" s="2">
        <v>46106</v>
      </c>
      <c r="D173" s="2">
        <f t="shared" si="16"/>
        <v>46136</v>
      </c>
      <c r="F173">
        <v>1654</v>
      </c>
      <c r="G173">
        <v>30</v>
      </c>
      <c r="H173">
        <f t="shared" si="21"/>
        <v>0</v>
      </c>
      <c r="I173" t="str">
        <f t="shared" si="19"/>
        <v>On Time</v>
      </c>
      <c r="J173" cm="1">
        <f t="array" ref="J173">_xlfn.IFS(H173&lt;30,0,H173&lt;60,1,H173&lt;90,2,H173&lt;120,3)</f>
        <v>0</v>
      </c>
      <c r="M173" t="str">
        <f t="shared" si="20"/>
        <v>Low</v>
      </c>
      <c r="N173" t="str">
        <f t="shared" si="17"/>
        <v>Mar</v>
      </c>
      <c r="O173">
        <f t="shared" si="18"/>
        <v>2026</v>
      </c>
    </row>
    <row r="174" spans="1:15" x14ac:dyDescent="0.3">
      <c r="A174">
        <v>204383</v>
      </c>
      <c r="B174" t="s">
        <v>25</v>
      </c>
      <c r="C174" s="2">
        <v>46106</v>
      </c>
      <c r="D174" s="2">
        <f t="shared" si="16"/>
        <v>46166</v>
      </c>
      <c r="F174">
        <v>2467</v>
      </c>
      <c r="G174">
        <v>60</v>
      </c>
      <c r="H174">
        <f t="shared" si="21"/>
        <v>0</v>
      </c>
      <c r="I174" t="str">
        <f t="shared" si="19"/>
        <v>On Time</v>
      </c>
      <c r="J174" cm="1">
        <f t="array" ref="J174">_xlfn.IFS(H174&lt;30,0,H174&lt;60,1,H174&lt;90,2,H174&lt;120,3)</f>
        <v>0</v>
      </c>
      <c r="M174" t="str">
        <f t="shared" si="20"/>
        <v>Low</v>
      </c>
      <c r="N174" t="str">
        <f t="shared" si="17"/>
        <v>Mar</v>
      </c>
      <c r="O174">
        <f t="shared" si="18"/>
        <v>2026</v>
      </c>
    </row>
    <row r="175" spans="1:15" x14ac:dyDescent="0.3">
      <c r="A175">
        <v>204384</v>
      </c>
      <c r="B175" t="s">
        <v>26</v>
      </c>
      <c r="C175" s="2">
        <v>46106</v>
      </c>
      <c r="D175" s="2">
        <f t="shared" si="16"/>
        <v>46136</v>
      </c>
      <c r="F175">
        <v>1286</v>
      </c>
      <c r="G175">
        <v>30</v>
      </c>
      <c r="H175">
        <f t="shared" si="21"/>
        <v>0</v>
      </c>
      <c r="I175" t="str">
        <f t="shared" si="19"/>
        <v>On Time</v>
      </c>
      <c r="J175" cm="1">
        <f t="array" ref="J175">_xlfn.IFS(H175&lt;30,0,H175&lt;60,1,H175&lt;90,2,H175&lt;120,3)</f>
        <v>0</v>
      </c>
      <c r="M175" t="str">
        <f t="shared" si="20"/>
        <v>Low</v>
      </c>
      <c r="N175" t="str">
        <f t="shared" si="17"/>
        <v>Mar</v>
      </c>
      <c r="O175">
        <f t="shared" si="18"/>
        <v>2026</v>
      </c>
    </row>
    <row r="176" spans="1:15" x14ac:dyDescent="0.3">
      <c r="A176">
        <v>204385</v>
      </c>
      <c r="B176" t="s">
        <v>27</v>
      </c>
      <c r="C176" s="2">
        <v>46106</v>
      </c>
      <c r="D176" s="2">
        <f t="shared" si="16"/>
        <v>46166</v>
      </c>
      <c r="F176">
        <v>576</v>
      </c>
      <c r="G176">
        <v>60</v>
      </c>
      <c r="H176">
        <f t="shared" si="21"/>
        <v>0</v>
      </c>
      <c r="I176" t="str">
        <f t="shared" si="19"/>
        <v>On Time</v>
      </c>
      <c r="J176" cm="1">
        <f t="array" ref="J176">_xlfn.IFS(H176&lt;30,0,H176&lt;60,1,H176&lt;90,2,H176&lt;120,3)</f>
        <v>0</v>
      </c>
      <c r="M176" t="str">
        <f t="shared" si="20"/>
        <v>Low</v>
      </c>
      <c r="N176" t="str">
        <f t="shared" si="17"/>
        <v>Mar</v>
      </c>
      <c r="O176">
        <f t="shared" si="18"/>
        <v>2026</v>
      </c>
    </row>
    <row r="177" spans="1:15" x14ac:dyDescent="0.3">
      <c r="A177">
        <v>204386</v>
      </c>
      <c r="B177" t="s">
        <v>28</v>
      </c>
      <c r="C177" s="2">
        <v>46106</v>
      </c>
      <c r="D177" s="2">
        <f t="shared" si="16"/>
        <v>46136</v>
      </c>
      <c r="F177">
        <v>2328</v>
      </c>
      <c r="G177">
        <v>30</v>
      </c>
      <c r="H177">
        <f t="shared" si="21"/>
        <v>0</v>
      </c>
      <c r="I177" t="str">
        <f t="shared" si="19"/>
        <v>On Time</v>
      </c>
      <c r="J177" cm="1">
        <f t="array" ref="J177">_xlfn.IFS(H177&lt;30,0,H177&lt;60,1,H177&lt;90,2,H177&lt;120,3)</f>
        <v>0</v>
      </c>
      <c r="M177" t="str">
        <f t="shared" si="20"/>
        <v>Low</v>
      </c>
      <c r="N177" t="str">
        <f t="shared" si="17"/>
        <v>Mar</v>
      </c>
      <c r="O177">
        <f t="shared" si="18"/>
        <v>2026</v>
      </c>
    </row>
    <row r="178" spans="1:15" x14ac:dyDescent="0.3">
      <c r="A178">
        <v>204387</v>
      </c>
      <c r="B178" t="s">
        <v>29</v>
      </c>
      <c r="C178" s="2">
        <v>46106</v>
      </c>
      <c r="D178" s="2">
        <f t="shared" si="16"/>
        <v>46136</v>
      </c>
      <c r="F178">
        <v>3524</v>
      </c>
      <c r="G178">
        <v>30</v>
      </c>
      <c r="H178">
        <f t="shared" si="21"/>
        <v>0</v>
      </c>
      <c r="I178" t="str">
        <f t="shared" si="19"/>
        <v>On Time</v>
      </c>
      <c r="J178" cm="1">
        <f t="array" ref="J178">_xlfn.IFS(H178&lt;30,0,H178&lt;60,1,H178&lt;90,2,H178&lt;120,3)</f>
        <v>0</v>
      </c>
      <c r="M178" t="str">
        <f t="shared" si="20"/>
        <v>Low</v>
      </c>
      <c r="N178" t="str">
        <f t="shared" si="17"/>
        <v>Mar</v>
      </c>
      <c r="O178">
        <f t="shared" si="18"/>
        <v>2026</v>
      </c>
    </row>
    <row r="179" spans="1:15" x14ac:dyDescent="0.3">
      <c r="A179">
        <v>204388</v>
      </c>
      <c r="B179" t="s">
        <v>30</v>
      </c>
      <c r="C179" s="2">
        <v>46106</v>
      </c>
      <c r="D179" s="2">
        <f t="shared" si="16"/>
        <v>46136</v>
      </c>
      <c r="F179">
        <v>4962</v>
      </c>
      <c r="G179">
        <v>30</v>
      </c>
      <c r="H179">
        <f t="shared" si="21"/>
        <v>0</v>
      </c>
      <c r="I179" t="str">
        <f t="shared" si="19"/>
        <v>On Time</v>
      </c>
      <c r="J179" cm="1">
        <f t="array" ref="J179">_xlfn.IFS(H179&lt;30,0,H179&lt;60,1,H179&lt;90,2,H179&lt;120,3)</f>
        <v>0</v>
      </c>
      <c r="M179" t="str">
        <f t="shared" si="20"/>
        <v>Low</v>
      </c>
      <c r="N179" t="str">
        <f t="shared" si="17"/>
        <v>Mar</v>
      </c>
      <c r="O179">
        <f t="shared" si="18"/>
        <v>2026</v>
      </c>
    </row>
    <row r="180" spans="1:15" x14ac:dyDescent="0.3">
      <c r="A180">
        <v>204389</v>
      </c>
      <c r="B180" t="s">
        <v>31</v>
      </c>
      <c r="C180" s="2">
        <v>46106</v>
      </c>
      <c r="D180" s="2">
        <f t="shared" si="16"/>
        <v>46151</v>
      </c>
      <c r="F180">
        <v>3581</v>
      </c>
      <c r="G180">
        <v>45</v>
      </c>
      <c r="H180">
        <f t="shared" si="21"/>
        <v>0</v>
      </c>
      <c r="I180" t="str">
        <f t="shared" si="19"/>
        <v>On Time</v>
      </c>
      <c r="J180" cm="1">
        <f t="array" ref="J180">_xlfn.IFS(H180&lt;30,0,H180&lt;60,1,H180&lt;90,2,H180&lt;120,3)</f>
        <v>0</v>
      </c>
      <c r="M180" t="str">
        <f t="shared" si="20"/>
        <v>Low</v>
      </c>
      <c r="N180" t="str">
        <f t="shared" si="17"/>
        <v>Mar</v>
      </c>
      <c r="O180">
        <f t="shared" si="18"/>
        <v>2026</v>
      </c>
    </row>
    <row r="181" spans="1:15" x14ac:dyDescent="0.3">
      <c r="A181">
        <v>204390</v>
      </c>
      <c r="B181" t="s">
        <v>39</v>
      </c>
      <c r="C181" s="2">
        <v>46106</v>
      </c>
      <c r="D181" s="2">
        <f t="shared" si="16"/>
        <v>46136</v>
      </c>
      <c r="F181">
        <v>3522</v>
      </c>
      <c r="G181">
        <v>30</v>
      </c>
      <c r="H181">
        <f t="shared" si="21"/>
        <v>0</v>
      </c>
      <c r="I181" t="str">
        <f t="shared" si="19"/>
        <v>On Time</v>
      </c>
      <c r="J181" cm="1">
        <f t="array" ref="J181">_xlfn.IFS(H181&lt;30,0,H181&lt;60,1,H181&lt;90,2,H181&lt;120,3)</f>
        <v>0</v>
      </c>
      <c r="M181" t="str">
        <f t="shared" si="20"/>
        <v>Low</v>
      </c>
      <c r="N181" t="str">
        <f t="shared" si="17"/>
        <v>Mar</v>
      </c>
      <c r="O181">
        <f t="shared" si="18"/>
        <v>2026</v>
      </c>
    </row>
    <row r="182" spans="1:15" x14ac:dyDescent="0.3">
      <c r="A182">
        <v>204391</v>
      </c>
      <c r="B182" t="s">
        <v>40</v>
      </c>
      <c r="C182" s="2">
        <v>46106</v>
      </c>
      <c r="D182" s="2">
        <f t="shared" si="16"/>
        <v>46136</v>
      </c>
      <c r="F182">
        <v>2369</v>
      </c>
      <c r="G182">
        <v>30</v>
      </c>
      <c r="H182">
        <f t="shared" si="21"/>
        <v>0</v>
      </c>
      <c r="I182" t="str">
        <f t="shared" si="19"/>
        <v>On Time</v>
      </c>
      <c r="J182" cm="1">
        <f t="array" ref="J182">_xlfn.IFS(H182&lt;30,0,H182&lt;60,1,H182&lt;90,2,H182&lt;120,3)</f>
        <v>0</v>
      </c>
      <c r="M182" t="str">
        <f t="shared" si="20"/>
        <v>Low</v>
      </c>
      <c r="N182" t="str">
        <f t="shared" si="17"/>
        <v>Mar</v>
      </c>
      <c r="O182">
        <f t="shared" si="18"/>
        <v>2026</v>
      </c>
    </row>
    <row r="183" spans="1:15" x14ac:dyDescent="0.3">
      <c r="A183">
        <v>204361</v>
      </c>
      <c r="B183" t="s">
        <v>38</v>
      </c>
      <c r="C183" s="2">
        <v>46105</v>
      </c>
      <c r="D183" s="2">
        <f t="shared" si="16"/>
        <v>46135</v>
      </c>
      <c r="F183">
        <v>134</v>
      </c>
      <c r="G183">
        <v>30</v>
      </c>
      <c r="H183">
        <f t="shared" si="21"/>
        <v>0</v>
      </c>
      <c r="I183" t="str">
        <f t="shared" si="19"/>
        <v>On Time</v>
      </c>
      <c r="J183" cm="1">
        <f t="array" ref="J183">_xlfn.IFS(H183&lt;30,0,H183&lt;60,1,H183&lt;90,2,H183&lt;120,3)</f>
        <v>0</v>
      </c>
      <c r="M183" t="str">
        <f t="shared" si="20"/>
        <v>Low</v>
      </c>
      <c r="N183" t="str">
        <f t="shared" si="17"/>
        <v>Mar</v>
      </c>
      <c r="O183">
        <f t="shared" si="18"/>
        <v>2026</v>
      </c>
    </row>
    <row r="184" spans="1:15" x14ac:dyDescent="0.3">
      <c r="A184">
        <v>204362</v>
      </c>
      <c r="B184" t="s">
        <v>39</v>
      </c>
      <c r="C184" s="2">
        <v>46105</v>
      </c>
      <c r="D184" s="2">
        <f t="shared" si="16"/>
        <v>46135</v>
      </c>
      <c r="F184">
        <v>3312</v>
      </c>
      <c r="G184">
        <v>30</v>
      </c>
      <c r="H184">
        <f t="shared" si="21"/>
        <v>0</v>
      </c>
      <c r="I184" t="str">
        <f t="shared" si="19"/>
        <v>On Time</v>
      </c>
      <c r="J184" cm="1">
        <f t="array" ref="J184">_xlfn.IFS(H184&lt;30,0,H184&lt;60,1,H184&lt;90,2,H184&lt;120,3)</f>
        <v>0</v>
      </c>
      <c r="M184" t="str">
        <f t="shared" si="20"/>
        <v>Low</v>
      </c>
      <c r="N184" t="str">
        <f t="shared" si="17"/>
        <v>Mar</v>
      </c>
      <c r="O184">
        <f t="shared" si="18"/>
        <v>2026</v>
      </c>
    </row>
    <row r="185" spans="1:15" x14ac:dyDescent="0.3">
      <c r="A185">
        <v>204363</v>
      </c>
      <c r="B185" t="s">
        <v>40</v>
      </c>
      <c r="C185" s="2">
        <v>46105</v>
      </c>
      <c r="D185" s="2">
        <f t="shared" si="16"/>
        <v>46135</v>
      </c>
      <c r="F185">
        <v>4428</v>
      </c>
      <c r="G185">
        <v>30</v>
      </c>
      <c r="H185">
        <f t="shared" si="21"/>
        <v>0</v>
      </c>
      <c r="I185" t="str">
        <f t="shared" si="19"/>
        <v>On Time</v>
      </c>
      <c r="J185" cm="1">
        <f t="array" ref="J185">_xlfn.IFS(H185&lt;30,0,H185&lt;60,1,H185&lt;90,2,H185&lt;120,3)</f>
        <v>0</v>
      </c>
      <c r="M185" t="str">
        <f t="shared" si="20"/>
        <v>Low</v>
      </c>
      <c r="N185" t="str">
        <f t="shared" si="17"/>
        <v>Mar</v>
      </c>
      <c r="O185">
        <f t="shared" si="18"/>
        <v>2026</v>
      </c>
    </row>
    <row r="186" spans="1:15" x14ac:dyDescent="0.3">
      <c r="A186">
        <v>204364</v>
      </c>
      <c r="B186" t="s">
        <v>41</v>
      </c>
      <c r="C186" s="2">
        <v>46105</v>
      </c>
      <c r="D186" s="2">
        <f t="shared" si="16"/>
        <v>46135</v>
      </c>
      <c r="F186">
        <v>4136</v>
      </c>
      <c r="G186">
        <v>30</v>
      </c>
      <c r="H186">
        <f t="shared" si="21"/>
        <v>0</v>
      </c>
      <c r="I186" t="str">
        <f t="shared" si="19"/>
        <v>On Time</v>
      </c>
      <c r="J186" cm="1">
        <f t="array" ref="J186">_xlfn.IFS(H186&lt;30,0,H186&lt;60,1,H186&lt;90,2,H186&lt;120,3)</f>
        <v>0</v>
      </c>
      <c r="M186" t="str">
        <f t="shared" si="20"/>
        <v>Low</v>
      </c>
      <c r="N186" t="str">
        <f t="shared" si="17"/>
        <v>Mar</v>
      </c>
      <c r="O186">
        <f t="shared" si="18"/>
        <v>2026</v>
      </c>
    </row>
    <row r="187" spans="1:15" x14ac:dyDescent="0.3">
      <c r="A187">
        <v>204365</v>
      </c>
      <c r="B187" t="s">
        <v>42</v>
      </c>
      <c r="C187" s="2">
        <v>46105</v>
      </c>
      <c r="D187" s="2">
        <f t="shared" si="16"/>
        <v>46135</v>
      </c>
      <c r="F187">
        <v>1633</v>
      </c>
      <c r="G187">
        <v>30</v>
      </c>
      <c r="H187">
        <f t="shared" si="21"/>
        <v>0</v>
      </c>
      <c r="I187" t="str">
        <f t="shared" si="19"/>
        <v>On Time</v>
      </c>
      <c r="J187" cm="1">
        <f t="array" ref="J187">_xlfn.IFS(H187&lt;30,0,H187&lt;60,1,H187&lt;90,2,H187&lt;120,3)</f>
        <v>0</v>
      </c>
      <c r="M187" t="str">
        <f t="shared" si="20"/>
        <v>Low</v>
      </c>
      <c r="N187" t="str">
        <f t="shared" si="17"/>
        <v>Mar</v>
      </c>
      <c r="O187">
        <f t="shared" si="18"/>
        <v>2026</v>
      </c>
    </row>
    <row r="188" spans="1:15" x14ac:dyDescent="0.3">
      <c r="A188">
        <v>204366</v>
      </c>
      <c r="B188" t="s">
        <v>43</v>
      </c>
      <c r="C188" s="2">
        <v>46105</v>
      </c>
      <c r="D188" s="2">
        <f t="shared" si="16"/>
        <v>46135</v>
      </c>
      <c r="F188">
        <v>1054</v>
      </c>
      <c r="G188">
        <v>30</v>
      </c>
      <c r="H188">
        <f t="shared" si="21"/>
        <v>0</v>
      </c>
      <c r="I188" t="str">
        <f t="shared" si="19"/>
        <v>On Time</v>
      </c>
      <c r="J188" cm="1">
        <f t="array" ref="J188">_xlfn.IFS(H188&lt;30,0,H188&lt;60,1,H188&lt;90,2,H188&lt;120,3)</f>
        <v>0</v>
      </c>
      <c r="M188" t="str">
        <f t="shared" si="20"/>
        <v>Low</v>
      </c>
      <c r="N188" t="str">
        <f t="shared" si="17"/>
        <v>Mar</v>
      </c>
      <c r="O188">
        <f t="shared" si="18"/>
        <v>2026</v>
      </c>
    </row>
    <row r="189" spans="1:15" x14ac:dyDescent="0.3">
      <c r="A189">
        <v>204367</v>
      </c>
      <c r="B189" t="s">
        <v>103</v>
      </c>
      <c r="C189" s="2">
        <v>46105</v>
      </c>
      <c r="D189" s="2">
        <f t="shared" si="16"/>
        <v>46135</v>
      </c>
      <c r="F189">
        <v>2374</v>
      </c>
      <c r="G189">
        <v>30</v>
      </c>
      <c r="H189">
        <f t="shared" si="21"/>
        <v>0</v>
      </c>
      <c r="I189" t="str">
        <f t="shared" si="19"/>
        <v>On Time</v>
      </c>
      <c r="J189" cm="1">
        <f t="array" ref="J189">_xlfn.IFS(H189&lt;30,0,H189&lt;60,1,H189&lt;90,2,H189&lt;120,3)</f>
        <v>0</v>
      </c>
      <c r="M189" t="str">
        <f t="shared" si="20"/>
        <v>Low</v>
      </c>
      <c r="N189" t="str">
        <f t="shared" si="17"/>
        <v>Mar</v>
      </c>
      <c r="O189">
        <f t="shared" si="18"/>
        <v>2026</v>
      </c>
    </row>
    <row r="190" spans="1:15" x14ac:dyDescent="0.3">
      <c r="A190">
        <v>204368</v>
      </c>
      <c r="B190" t="s">
        <v>104</v>
      </c>
      <c r="C190" s="2">
        <v>46105</v>
      </c>
      <c r="D190" s="2">
        <f t="shared" si="16"/>
        <v>46135</v>
      </c>
      <c r="F190">
        <v>12885</v>
      </c>
      <c r="G190">
        <v>30</v>
      </c>
      <c r="H190">
        <f t="shared" si="21"/>
        <v>0</v>
      </c>
      <c r="I190" t="str">
        <f t="shared" si="19"/>
        <v>On Time</v>
      </c>
      <c r="J190" cm="1">
        <f t="array" ref="J190">_xlfn.IFS(H190&lt;30,0,H190&lt;60,1,H190&lt;90,2,H190&lt;120,3)</f>
        <v>0</v>
      </c>
      <c r="M190" t="str">
        <f t="shared" si="20"/>
        <v>Low</v>
      </c>
      <c r="N190" t="str">
        <f t="shared" si="17"/>
        <v>Mar</v>
      </c>
      <c r="O190">
        <f t="shared" si="18"/>
        <v>2026</v>
      </c>
    </row>
    <row r="191" spans="1:15" x14ac:dyDescent="0.3">
      <c r="A191">
        <v>204369</v>
      </c>
      <c r="B191" t="s">
        <v>105</v>
      </c>
      <c r="C191" s="2">
        <v>46105</v>
      </c>
      <c r="D191" s="2">
        <f t="shared" si="16"/>
        <v>46135</v>
      </c>
      <c r="F191">
        <v>9939</v>
      </c>
      <c r="G191">
        <v>30</v>
      </c>
      <c r="H191">
        <f t="shared" si="21"/>
        <v>0</v>
      </c>
      <c r="I191" t="str">
        <f t="shared" si="19"/>
        <v>On Time</v>
      </c>
      <c r="J191" cm="1">
        <f t="array" ref="J191">_xlfn.IFS(H191&lt;30,0,H191&lt;60,1,H191&lt;90,2,H191&lt;120,3)</f>
        <v>0</v>
      </c>
      <c r="M191" t="str">
        <f t="shared" si="20"/>
        <v>Low</v>
      </c>
      <c r="N191" t="str">
        <f t="shared" si="17"/>
        <v>Mar</v>
      </c>
      <c r="O191">
        <f t="shared" si="18"/>
        <v>2026</v>
      </c>
    </row>
    <row r="192" spans="1:15" x14ac:dyDescent="0.3">
      <c r="A192">
        <v>204370</v>
      </c>
      <c r="B192" t="s">
        <v>114</v>
      </c>
      <c r="C192" s="2">
        <v>46105</v>
      </c>
      <c r="D192" s="2">
        <f t="shared" si="16"/>
        <v>46135</v>
      </c>
      <c r="F192">
        <v>1564</v>
      </c>
      <c r="G192">
        <v>30</v>
      </c>
      <c r="H192">
        <f t="shared" si="21"/>
        <v>0</v>
      </c>
      <c r="I192" t="str">
        <f t="shared" si="19"/>
        <v>On Time</v>
      </c>
      <c r="J192" cm="1">
        <f t="array" ref="J192">_xlfn.IFS(H192&lt;30,0,H192&lt;60,1,H192&lt;90,2,H192&lt;120,3)</f>
        <v>0</v>
      </c>
      <c r="M192" t="str">
        <f t="shared" si="20"/>
        <v>Low</v>
      </c>
      <c r="N192" t="str">
        <f t="shared" si="17"/>
        <v>Mar</v>
      </c>
      <c r="O192">
        <f t="shared" si="18"/>
        <v>2026</v>
      </c>
    </row>
    <row r="193" spans="1:15" x14ac:dyDescent="0.3">
      <c r="A193">
        <v>204371</v>
      </c>
      <c r="B193" t="s">
        <v>115</v>
      </c>
      <c r="C193" s="2">
        <v>46105</v>
      </c>
      <c r="D193" s="2">
        <f t="shared" si="16"/>
        <v>46135</v>
      </c>
      <c r="F193">
        <v>1852</v>
      </c>
      <c r="G193">
        <v>30</v>
      </c>
      <c r="H193">
        <f t="shared" si="21"/>
        <v>0</v>
      </c>
      <c r="I193" t="str">
        <f t="shared" si="19"/>
        <v>On Time</v>
      </c>
      <c r="J193" cm="1">
        <f t="array" ref="J193">_xlfn.IFS(H193&lt;30,0,H193&lt;60,1,H193&lt;90,2,H193&lt;120,3)</f>
        <v>0</v>
      </c>
      <c r="M193" t="str">
        <f t="shared" si="20"/>
        <v>Low</v>
      </c>
      <c r="N193" t="str">
        <f t="shared" si="17"/>
        <v>Mar</v>
      </c>
      <c r="O193">
        <f t="shared" si="18"/>
        <v>2026</v>
      </c>
    </row>
    <row r="194" spans="1:15" x14ac:dyDescent="0.3">
      <c r="A194">
        <v>204372</v>
      </c>
      <c r="B194" t="s">
        <v>116</v>
      </c>
      <c r="C194" s="2">
        <v>46105</v>
      </c>
      <c r="D194" s="2">
        <f t="shared" ref="D194:D257" si="22">C194+G194</f>
        <v>46135</v>
      </c>
      <c r="F194">
        <v>4218</v>
      </c>
      <c r="G194">
        <v>30</v>
      </c>
      <c r="H194">
        <f t="shared" si="21"/>
        <v>0</v>
      </c>
      <c r="I194" t="str">
        <f t="shared" si="19"/>
        <v>On Time</v>
      </c>
      <c r="J194" cm="1">
        <f t="array" ref="J194">_xlfn.IFS(H194&lt;30,0,H194&lt;60,1,H194&lt;90,2,H194&lt;120,3)</f>
        <v>0</v>
      </c>
      <c r="M194" t="str">
        <f t="shared" si="20"/>
        <v>Low</v>
      </c>
      <c r="N194" t="str">
        <f t="shared" ref="N194:N257" si="23">TEXT(C194,"mmm")</f>
        <v>Mar</v>
      </c>
      <c r="O194">
        <f t="shared" ref="O194:O257" si="24">YEAR(C194)</f>
        <v>2026</v>
      </c>
    </row>
    <row r="195" spans="1:15" x14ac:dyDescent="0.3">
      <c r="A195">
        <v>204373</v>
      </c>
      <c r="B195" t="s">
        <v>117</v>
      </c>
      <c r="C195" s="2">
        <v>46105</v>
      </c>
      <c r="D195" s="2">
        <f t="shared" si="22"/>
        <v>46135</v>
      </c>
      <c r="F195">
        <v>216</v>
      </c>
      <c r="G195">
        <v>30</v>
      </c>
      <c r="H195">
        <f t="shared" si="21"/>
        <v>0</v>
      </c>
      <c r="I195" t="str">
        <f t="shared" si="19"/>
        <v>On Time</v>
      </c>
      <c r="J195" cm="1">
        <f t="array" ref="J195">_xlfn.IFS(H195&lt;30,0,H195&lt;60,1,H195&lt;90,2,H195&lt;120,3)</f>
        <v>0</v>
      </c>
      <c r="M195" t="str">
        <f t="shared" si="20"/>
        <v>Low</v>
      </c>
      <c r="N195" t="str">
        <f t="shared" si="23"/>
        <v>Mar</v>
      </c>
      <c r="O195">
        <f t="shared" si="24"/>
        <v>2026</v>
      </c>
    </row>
    <row r="196" spans="1:15" x14ac:dyDescent="0.3">
      <c r="A196">
        <v>204374</v>
      </c>
      <c r="B196" t="s">
        <v>118</v>
      </c>
      <c r="C196" s="2">
        <v>46105</v>
      </c>
      <c r="D196" s="2">
        <f t="shared" si="22"/>
        <v>46135</v>
      </c>
      <c r="F196">
        <v>1237</v>
      </c>
      <c r="G196">
        <v>30</v>
      </c>
      <c r="H196">
        <f t="shared" si="21"/>
        <v>0</v>
      </c>
      <c r="I196" t="str">
        <f t="shared" si="19"/>
        <v>On Time</v>
      </c>
      <c r="J196" cm="1">
        <f t="array" ref="J196">_xlfn.IFS(H196&lt;30,0,H196&lt;60,1,H196&lt;90,2,H196&lt;120,3)</f>
        <v>0</v>
      </c>
      <c r="M196" t="str">
        <f t="shared" si="20"/>
        <v>Low</v>
      </c>
      <c r="N196" t="str">
        <f t="shared" si="23"/>
        <v>Mar</v>
      </c>
      <c r="O196">
        <f t="shared" si="24"/>
        <v>2026</v>
      </c>
    </row>
    <row r="197" spans="1:15" x14ac:dyDescent="0.3">
      <c r="A197">
        <v>204346</v>
      </c>
      <c r="B197" t="s">
        <v>72</v>
      </c>
      <c r="C197" s="2">
        <v>46104</v>
      </c>
      <c r="D197" s="2">
        <f t="shared" si="22"/>
        <v>46134</v>
      </c>
      <c r="F197">
        <v>4249</v>
      </c>
      <c r="G197">
        <v>30</v>
      </c>
      <c r="H197">
        <f t="shared" si="21"/>
        <v>0</v>
      </c>
      <c r="I197" t="str">
        <f t="shared" si="19"/>
        <v>On Time</v>
      </c>
      <c r="J197" cm="1">
        <f t="array" ref="J197">_xlfn.IFS(H197&lt;30,0,H197&lt;60,1,H197&lt;90,2,H197&lt;120,3)</f>
        <v>0</v>
      </c>
      <c r="M197" t="str">
        <f t="shared" si="20"/>
        <v>Low</v>
      </c>
      <c r="N197" t="str">
        <f t="shared" si="23"/>
        <v>Mar</v>
      </c>
      <c r="O197">
        <f t="shared" si="24"/>
        <v>2026</v>
      </c>
    </row>
    <row r="198" spans="1:15" x14ac:dyDescent="0.3">
      <c r="A198">
        <v>204347</v>
      </c>
      <c r="B198" t="s">
        <v>73</v>
      </c>
      <c r="C198" s="2">
        <v>46104</v>
      </c>
      <c r="D198" s="2">
        <f t="shared" si="22"/>
        <v>46149</v>
      </c>
      <c r="F198">
        <v>3982</v>
      </c>
      <c r="G198">
        <v>45</v>
      </c>
      <c r="H198">
        <f t="shared" si="21"/>
        <v>0</v>
      </c>
      <c r="I198" t="str">
        <f t="shared" si="19"/>
        <v>On Time</v>
      </c>
      <c r="J198" cm="1">
        <f t="array" ref="J198">_xlfn.IFS(H198&lt;30,0,H198&lt;60,1,H198&lt;90,2,H198&lt;120,3)</f>
        <v>0</v>
      </c>
      <c r="M198" t="str">
        <f t="shared" si="20"/>
        <v>Low</v>
      </c>
      <c r="N198" t="str">
        <f t="shared" si="23"/>
        <v>Mar</v>
      </c>
      <c r="O198">
        <f t="shared" si="24"/>
        <v>2026</v>
      </c>
    </row>
    <row r="199" spans="1:15" x14ac:dyDescent="0.3">
      <c r="A199">
        <v>204348</v>
      </c>
      <c r="B199" t="s">
        <v>74</v>
      </c>
      <c r="C199" s="2">
        <v>46104</v>
      </c>
      <c r="D199" s="2">
        <f t="shared" si="22"/>
        <v>46149</v>
      </c>
      <c r="F199">
        <v>250</v>
      </c>
      <c r="G199">
        <v>45</v>
      </c>
      <c r="H199">
        <f t="shared" si="21"/>
        <v>0</v>
      </c>
      <c r="I199" t="str">
        <f t="shared" si="19"/>
        <v>On Time</v>
      </c>
      <c r="J199" cm="1">
        <f t="array" ref="J199">_xlfn.IFS(H199&lt;30,0,H199&lt;60,1,H199&lt;90,2,H199&lt;120,3)</f>
        <v>0</v>
      </c>
      <c r="M199" t="str">
        <f t="shared" si="20"/>
        <v>Low</v>
      </c>
      <c r="N199" t="str">
        <f t="shared" si="23"/>
        <v>Mar</v>
      </c>
      <c r="O199">
        <f t="shared" si="24"/>
        <v>2026</v>
      </c>
    </row>
    <row r="200" spans="1:15" x14ac:dyDescent="0.3">
      <c r="A200">
        <v>204349</v>
      </c>
      <c r="B200" t="s">
        <v>45</v>
      </c>
      <c r="C200" s="2">
        <v>46104</v>
      </c>
      <c r="D200" s="2">
        <f t="shared" si="22"/>
        <v>46149</v>
      </c>
      <c r="F200">
        <v>4550</v>
      </c>
      <c r="G200">
        <v>45</v>
      </c>
      <c r="H200">
        <f t="shared" si="21"/>
        <v>0</v>
      </c>
      <c r="I200" t="str">
        <f t="shared" si="19"/>
        <v>On Time</v>
      </c>
      <c r="J200" cm="1">
        <f t="array" ref="J200">_xlfn.IFS(H200&lt;30,0,H200&lt;60,1,H200&lt;90,2,H200&lt;120,3)</f>
        <v>0</v>
      </c>
      <c r="M200" t="str">
        <f t="shared" si="20"/>
        <v>Low</v>
      </c>
      <c r="N200" t="str">
        <f t="shared" si="23"/>
        <v>Mar</v>
      </c>
      <c r="O200">
        <f t="shared" si="24"/>
        <v>2026</v>
      </c>
    </row>
    <row r="201" spans="1:15" x14ac:dyDescent="0.3">
      <c r="A201">
        <v>204350</v>
      </c>
      <c r="B201" t="s">
        <v>46</v>
      </c>
      <c r="C201" s="2">
        <v>46104</v>
      </c>
      <c r="D201" s="2">
        <f t="shared" si="22"/>
        <v>46164</v>
      </c>
      <c r="F201">
        <v>1914</v>
      </c>
      <c r="G201">
        <v>60</v>
      </c>
      <c r="H201">
        <f t="shared" si="21"/>
        <v>0</v>
      </c>
      <c r="I201" t="str">
        <f t="shared" si="19"/>
        <v>On Time</v>
      </c>
      <c r="J201" cm="1">
        <f t="array" ref="J201">_xlfn.IFS(H201&lt;30,0,H201&lt;60,1,H201&lt;90,2,H201&lt;120,3)</f>
        <v>0</v>
      </c>
      <c r="M201" t="str">
        <f t="shared" si="20"/>
        <v>Low</v>
      </c>
      <c r="N201" t="str">
        <f t="shared" si="23"/>
        <v>Mar</v>
      </c>
      <c r="O201">
        <f t="shared" si="24"/>
        <v>2026</v>
      </c>
    </row>
    <row r="202" spans="1:15" x14ac:dyDescent="0.3">
      <c r="A202">
        <v>204351</v>
      </c>
      <c r="B202" t="s">
        <v>47</v>
      </c>
      <c r="C202" s="2">
        <v>46104</v>
      </c>
      <c r="D202" s="2">
        <f t="shared" si="22"/>
        <v>46164</v>
      </c>
      <c r="F202">
        <v>4682</v>
      </c>
      <c r="G202">
        <v>60</v>
      </c>
      <c r="H202">
        <f t="shared" si="21"/>
        <v>0</v>
      </c>
      <c r="I202" t="str">
        <f t="shared" si="19"/>
        <v>On Time</v>
      </c>
      <c r="J202" cm="1">
        <f t="array" ref="J202">_xlfn.IFS(H202&lt;30,0,H202&lt;60,1,H202&lt;90,2,H202&lt;120,3)</f>
        <v>0</v>
      </c>
      <c r="M202" t="str">
        <f t="shared" si="20"/>
        <v>Low</v>
      </c>
      <c r="N202" t="str">
        <f t="shared" si="23"/>
        <v>Mar</v>
      </c>
      <c r="O202">
        <f t="shared" si="24"/>
        <v>2026</v>
      </c>
    </row>
    <row r="203" spans="1:15" x14ac:dyDescent="0.3">
      <c r="A203">
        <v>204352</v>
      </c>
      <c r="B203" t="s">
        <v>48</v>
      </c>
      <c r="C203" s="2">
        <v>46104</v>
      </c>
      <c r="D203" s="2">
        <f t="shared" si="22"/>
        <v>46149</v>
      </c>
      <c r="F203">
        <v>11816</v>
      </c>
      <c r="G203">
        <v>45</v>
      </c>
      <c r="H203">
        <f t="shared" si="21"/>
        <v>0</v>
      </c>
      <c r="I203" t="str">
        <f t="shared" si="19"/>
        <v>On Time</v>
      </c>
      <c r="J203" cm="1">
        <f t="array" ref="J203">_xlfn.IFS(H203&lt;30,0,H203&lt;60,1,H203&lt;90,2,H203&lt;120,3)</f>
        <v>0</v>
      </c>
      <c r="M203" t="str">
        <f t="shared" si="20"/>
        <v>Low</v>
      </c>
      <c r="N203" t="str">
        <f t="shared" si="23"/>
        <v>Mar</v>
      </c>
      <c r="O203">
        <f t="shared" si="24"/>
        <v>2026</v>
      </c>
    </row>
    <row r="204" spans="1:15" x14ac:dyDescent="0.3">
      <c r="A204">
        <v>204353</v>
      </c>
      <c r="B204" t="s">
        <v>49</v>
      </c>
      <c r="C204" s="2">
        <v>46104</v>
      </c>
      <c r="D204" s="2">
        <f t="shared" si="22"/>
        <v>46134</v>
      </c>
      <c r="F204">
        <v>2797</v>
      </c>
      <c r="G204">
        <v>30</v>
      </c>
      <c r="H204">
        <f t="shared" si="21"/>
        <v>0</v>
      </c>
      <c r="I204" t="str">
        <f t="shared" si="19"/>
        <v>On Time</v>
      </c>
      <c r="J204" cm="1">
        <f t="array" ref="J204">_xlfn.IFS(H204&lt;30,0,H204&lt;60,1,H204&lt;90,2,H204&lt;120,3)</f>
        <v>0</v>
      </c>
      <c r="M204" t="str">
        <f t="shared" si="20"/>
        <v>Low</v>
      </c>
      <c r="N204" t="str">
        <f t="shared" si="23"/>
        <v>Mar</v>
      </c>
      <c r="O204">
        <f t="shared" si="24"/>
        <v>2026</v>
      </c>
    </row>
    <row r="205" spans="1:15" x14ac:dyDescent="0.3">
      <c r="A205">
        <v>204354</v>
      </c>
      <c r="B205" t="s">
        <v>50</v>
      </c>
      <c r="C205" s="2">
        <v>46104</v>
      </c>
      <c r="D205" s="2">
        <f t="shared" si="22"/>
        <v>46134</v>
      </c>
      <c r="F205">
        <v>1053</v>
      </c>
      <c r="G205">
        <v>30</v>
      </c>
      <c r="H205">
        <f t="shared" si="21"/>
        <v>0</v>
      </c>
      <c r="I205" t="str">
        <f t="shared" si="19"/>
        <v>On Time</v>
      </c>
      <c r="J205" cm="1">
        <f t="array" ref="J205">_xlfn.IFS(H205&lt;30,0,H205&lt;60,1,H205&lt;90,2,H205&lt;120,3)</f>
        <v>0</v>
      </c>
      <c r="M205" t="str">
        <f t="shared" si="20"/>
        <v>Low</v>
      </c>
      <c r="N205" t="str">
        <f t="shared" si="23"/>
        <v>Mar</v>
      </c>
      <c r="O205">
        <f t="shared" si="24"/>
        <v>2026</v>
      </c>
    </row>
    <row r="206" spans="1:15" x14ac:dyDescent="0.3">
      <c r="A206">
        <v>204355</v>
      </c>
      <c r="B206" t="s">
        <v>51</v>
      </c>
      <c r="C206" s="2">
        <v>46104</v>
      </c>
      <c r="D206" s="2">
        <f t="shared" si="22"/>
        <v>46134</v>
      </c>
      <c r="F206">
        <v>478</v>
      </c>
      <c r="G206">
        <v>30</v>
      </c>
      <c r="H206">
        <f t="shared" si="21"/>
        <v>0</v>
      </c>
      <c r="I206" t="str">
        <f t="shared" si="19"/>
        <v>On Time</v>
      </c>
      <c r="J206" cm="1">
        <f t="array" ref="J206">_xlfn.IFS(H206&lt;30,0,H206&lt;60,1,H206&lt;90,2,H206&lt;120,3)</f>
        <v>0</v>
      </c>
      <c r="M206" t="str">
        <f t="shared" si="20"/>
        <v>Low</v>
      </c>
      <c r="N206" t="str">
        <f t="shared" si="23"/>
        <v>Mar</v>
      </c>
      <c r="O206">
        <f t="shared" si="24"/>
        <v>2026</v>
      </c>
    </row>
    <row r="207" spans="1:15" x14ac:dyDescent="0.3">
      <c r="A207">
        <v>204356</v>
      </c>
      <c r="B207" t="s">
        <v>52</v>
      </c>
      <c r="C207" s="2">
        <v>46104</v>
      </c>
      <c r="D207" s="2">
        <f t="shared" si="22"/>
        <v>46134</v>
      </c>
      <c r="F207">
        <v>3178</v>
      </c>
      <c r="G207">
        <v>30</v>
      </c>
      <c r="H207">
        <f t="shared" si="21"/>
        <v>0</v>
      </c>
      <c r="I207" t="str">
        <f t="shared" si="19"/>
        <v>On Time</v>
      </c>
      <c r="J207" cm="1">
        <f t="array" ref="J207">_xlfn.IFS(H207&lt;30,0,H207&lt;60,1,H207&lt;90,2,H207&lt;120,3)</f>
        <v>0</v>
      </c>
      <c r="M207" t="str">
        <f t="shared" si="20"/>
        <v>Low</v>
      </c>
      <c r="N207" t="str">
        <f t="shared" si="23"/>
        <v>Mar</v>
      </c>
      <c r="O207">
        <f t="shared" si="24"/>
        <v>2026</v>
      </c>
    </row>
    <row r="208" spans="1:15" x14ac:dyDescent="0.3">
      <c r="A208">
        <v>204357</v>
      </c>
      <c r="B208" t="s">
        <v>53</v>
      </c>
      <c r="C208" s="2">
        <v>46104</v>
      </c>
      <c r="D208" s="2">
        <f t="shared" si="22"/>
        <v>46134</v>
      </c>
      <c r="F208">
        <v>4644</v>
      </c>
      <c r="G208">
        <v>30</v>
      </c>
      <c r="H208">
        <f t="shared" si="21"/>
        <v>0</v>
      </c>
      <c r="I208" t="str">
        <f t="shared" si="19"/>
        <v>On Time</v>
      </c>
      <c r="J208" cm="1">
        <f t="array" ref="J208">_xlfn.IFS(H208&lt;30,0,H208&lt;60,1,H208&lt;90,2,H208&lt;120,3)</f>
        <v>0</v>
      </c>
      <c r="M208" t="str">
        <f t="shared" si="20"/>
        <v>Low</v>
      </c>
      <c r="N208" t="str">
        <f t="shared" si="23"/>
        <v>Mar</v>
      </c>
      <c r="O208">
        <f t="shared" si="24"/>
        <v>2026</v>
      </c>
    </row>
    <row r="209" spans="1:15" x14ac:dyDescent="0.3">
      <c r="A209">
        <v>204358</v>
      </c>
      <c r="B209" t="s">
        <v>54</v>
      </c>
      <c r="C209" s="2">
        <v>46104</v>
      </c>
      <c r="D209" s="2">
        <f t="shared" si="22"/>
        <v>46134</v>
      </c>
      <c r="F209">
        <v>1989</v>
      </c>
      <c r="G209">
        <v>30</v>
      </c>
      <c r="H209">
        <f t="shared" si="21"/>
        <v>0</v>
      </c>
      <c r="I209" t="str">
        <f t="shared" si="19"/>
        <v>On Time</v>
      </c>
      <c r="J209" cm="1">
        <f t="array" ref="J209">_xlfn.IFS(H209&lt;30,0,H209&lt;60,1,H209&lt;90,2,H209&lt;120,3)</f>
        <v>0</v>
      </c>
      <c r="M209" t="str">
        <f t="shared" si="20"/>
        <v>Low</v>
      </c>
      <c r="N209" t="str">
        <f t="shared" si="23"/>
        <v>Mar</v>
      </c>
      <c r="O209">
        <f t="shared" si="24"/>
        <v>2026</v>
      </c>
    </row>
    <row r="210" spans="1:15" x14ac:dyDescent="0.3">
      <c r="A210">
        <v>204359</v>
      </c>
      <c r="B210" t="s">
        <v>36</v>
      </c>
      <c r="C210" s="2">
        <v>46104</v>
      </c>
      <c r="D210" s="2">
        <f t="shared" si="22"/>
        <v>46134</v>
      </c>
      <c r="F210">
        <v>1471</v>
      </c>
      <c r="G210">
        <v>30</v>
      </c>
      <c r="H210">
        <f t="shared" si="21"/>
        <v>0</v>
      </c>
      <c r="I210" t="str">
        <f t="shared" si="19"/>
        <v>On Time</v>
      </c>
      <c r="J210" cm="1">
        <f t="array" ref="J210">_xlfn.IFS(H210&lt;30,0,H210&lt;60,1,H210&lt;90,2,H210&lt;120,3)</f>
        <v>0</v>
      </c>
      <c r="M210" t="str">
        <f t="shared" si="20"/>
        <v>Low</v>
      </c>
      <c r="N210" t="str">
        <f t="shared" si="23"/>
        <v>Mar</v>
      </c>
      <c r="O210">
        <f t="shared" si="24"/>
        <v>2026</v>
      </c>
    </row>
    <row r="211" spans="1:15" x14ac:dyDescent="0.3">
      <c r="A211">
        <v>204360</v>
      </c>
      <c r="B211" t="s">
        <v>37</v>
      </c>
      <c r="C211" s="2">
        <v>46104</v>
      </c>
      <c r="D211" s="2">
        <f t="shared" si="22"/>
        <v>46134</v>
      </c>
      <c r="F211">
        <v>3843</v>
      </c>
      <c r="G211">
        <v>30</v>
      </c>
      <c r="H211">
        <f t="shared" si="21"/>
        <v>0</v>
      </c>
      <c r="I211" t="str">
        <f t="shared" si="19"/>
        <v>On Time</v>
      </c>
      <c r="J211" cm="1">
        <f t="array" ref="J211">_xlfn.IFS(H211&lt;30,0,H211&lt;60,1,H211&lt;90,2,H211&lt;120,3)</f>
        <v>0</v>
      </c>
      <c r="M211" t="str">
        <f t="shared" si="20"/>
        <v>Low</v>
      </c>
      <c r="N211" t="str">
        <f t="shared" si="23"/>
        <v>Mar</v>
      </c>
      <c r="O211">
        <f t="shared" si="24"/>
        <v>2026</v>
      </c>
    </row>
    <row r="212" spans="1:15" x14ac:dyDescent="0.3">
      <c r="A212">
        <v>204326</v>
      </c>
      <c r="B212" t="s">
        <v>100</v>
      </c>
      <c r="C212" s="2">
        <v>46101</v>
      </c>
      <c r="D212" s="2">
        <f t="shared" si="22"/>
        <v>46131</v>
      </c>
      <c r="F212">
        <v>3005</v>
      </c>
      <c r="G212">
        <v>30</v>
      </c>
      <c r="H212">
        <f t="shared" si="21"/>
        <v>0</v>
      </c>
      <c r="I212" t="str">
        <f t="shared" si="19"/>
        <v>On Time</v>
      </c>
      <c r="J212" cm="1">
        <f t="array" ref="J212">_xlfn.IFS(H212&lt;30,0,H212&lt;60,1,H212&lt;90,2,H212&lt;120,3)</f>
        <v>0</v>
      </c>
      <c r="M212" t="str">
        <f t="shared" si="20"/>
        <v>Low</v>
      </c>
      <c r="N212" t="str">
        <f t="shared" si="23"/>
        <v>Mar</v>
      </c>
      <c r="O212">
        <f t="shared" si="24"/>
        <v>2026</v>
      </c>
    </row>
    <row r="213" spans="1:15" x14ac:dyDescent="0.3">
      <c r="A213">
        <v>204327</v>
      </c>
      <c r="B213" t="s">
        <v>101</v>
      </c>
      <c r="C213" s="2">
        <v>46101</v>
      </c>
      <c r="D213" s="2">
        <f t="shared" si="22"/>
        <v>46131</v>
      </c>
      <c r="F213">
        <v>4612</v>
      </c>
      <c r="G213">
        <v>30</v>
      </c>
      <c r="H213">
        <f t="shared" si="21"/>
        <v>0</v>
      </c>
      <c r="I213" t="str">
        <f t="shared" si="19"/>
        <v>On Time</v>
      </c>
      <c r="J213" cm="1">
        <f t="array" ref="J213">_xlfn.IFS(H213&lt;30,0,H213&lt;60,1,H213&lt;90,2,H213&lt;120,3)</f>
        <v>0</v>
      </c>
      <c r="M213" t="str">
        <f t="shared" si="20"/>
        <v>Low</v>
      </c>
      <c r="N213" t="str">
        <f t="shared" si="23"/>
        <v>Mar</v>
      </c>
      <c r="O213">
        <f t="shared" si="24"/>
        <v>2026</v>
      </c>
    </row>
    <row r="214" spans="1:15" x14ac:dyDescent="0.3">
      <c r="A214">
        <v>204328</v>
      </c>
      <c r="B214" t="s">
        <v>102</v>
      </c>
      <c r="C214" s="2">
        <v>46101</v>
      </c>
      <c r="D214" s="2">
        <f t="shared" si="22"/>
        <v>46131</v>
      </c>
      <c r="F214">
        <v>2736</v>
      </c>
      <c r="G214">
        <v>30</v>
      </c>
      <c r="H214">
        <f t="shared" si="21"/>
        <v>0</v>
      </c>
      <c r="I214" t="str">
        <f t="shared" ref="I214:I277" si="25">IF(H214=0,"On Time",IF(H214&lt;=15,"Paid Late","Seriously Late"))</f>
        <v>On Time</v>
      </c>
      <c r="J214" cm="1">
        <f t="array" ref="J214">_xlfn.IFS(H214&lt;30,0,H214&lt;60,1,H214&lt;90,2,H214&lt;120,3)</f>
        <v>0</v>
      </c>
      <c r="M214" t="str">
        <f t="shared" ref="M214:M277" si="26">IF(H214&gt;30,"High",IF(H214&gt;10,"Medium","Low"))</f>
        <v>Low</v>
      </c>
      <c r="N214" t="str">
        <f t="shared" si="23"/>
        <v>Mar</v>
      </c>
      <c r="O214">
        <f t="shared" si="24"/>
        <v>2026</v>
      </c>
    </row>
    <row r="215" spans="1:15" x14ac:dyDescent="0.3">
      <c r="A215">
        <v>204329</v>
      </c>
      <c r="B215" t="s">
        <v>103</v>
      </c>
      <c r="C215" s="2">
        <v>46101</v>
      </c>
      <c r="D215" s="2">
        <f t="shared" si="22"/>
        <v>46131</v>
      </c>
      <c r="F215">
        <v>1916</v>
      </c>
      <c r="G215">
        <v>30</v>
      </c>
      <c r="H215">
        <f t="shared" si="21"/>
        <v>0</v>
      </c>
      <c r="I215" t="str">
        <f t="shared" si="25"/>
        <v>On Time</v>
      </c>
      <c r="J215" cm="1">
        <f t="array" ref="J215">_xlfn.IFS(H215&lt;30,0,H215&lt;60,1,H215&lt;90,2,H215&lt;120,3)</f>
        <v>0</v>
      </c>
      <c r="M215" t="str">
        <f t="shared" si="26"/>
        <v>Low</v>
      </c>
      <c r="N215" t="str">
        <f t="shared" si="23"/>
        <v>Mar</v>
      </c>
      <c r="O215">
        <f t="shared" si="24"/>
        <v>2026</v>
      </c>
    </row>
    <row r="216" spans="1:15" x14ac:dyDescent="0.3">
      <c r="A216">
        <v>204330</v>
      </c>
      <c r="B216" t="s">
        <v>104</v>
      </c>
      <c r="C216" s="2">
        <v>46101</v>
      </c>
      <c r="D216" s="2">
        <f t="shared" si="22"/>
        <v>46131</v>
      </c>
      <c r="F216">
        <v>1984</v>
      </c>
      <c r="G216">
        <v>30</v>
      </c>
      <c r="H216">
        <f t="shared" si="21"/>
        <v>0</v>
      </c>
      <c r="I216" t="str">
        <f t="shared" si="25"/>
        <v>On Time</v>
      </c>
      <c r="J216" cm="1">
        <f t="array" ref="J216">_xlfn.IFS(H216&lt;30,0,H216&lt;60,1,H216&lt;90,2,H216&lt;120,3)</f>
        <v>0</v>
      </c>
      <c r="M216" t="str">
        <f t="shared" si="26"/>
        <v>Low</v>
      </c>
      <c r="N216" t="str">
        <f t="shared" si="23"/>
        <v>Mar</v>
      </c>
      <c r="O216">
        <f t="shared" si="24"/>
        <v>2026</v>
      </c>
    </row>
    <row r="217" spans="1:15" x14ac:dyDescent="0.3">
      <c r="A217">
        <v>204331</v>
      </c>
      <c r="B217" t="s">
        <v>105</v>
      </c>
      <c r="C217" s="2">
        <v>46101</v>
      </c>
      <c r="D217" s="2">
        <f t="shared" si="22"/>
        <v>46131</v>
      </c>
      <c r="F217">
        <v>691</v>
      </c>
      <c r="G217">
        <v>30</v>
      </c>
      <c r="H217">
        <f t="shared" si="21"/>
        <v>0</v>
      </c>
      <c r="I217" t="str">
        <f t="shared" si="25"/>
        <v>On Time</v>
      </c>
      <c r="J217" cm="1">
        <f t="array" ref="J217">_xlfn.IFS(H217&lt;30,0,H217&lt;60,1,H217&lt;90,2,H217&lt;120,3)</f>
        <v>0</v>
      </c>
      <c r="M217" t="str">
        <f t="shared" si="26"/>
        <v>Low</v>
      </c>
      <c r="N217" t="str">
        <f t="shared" si="23"/>
        <v>Mar</v>
      </c>
      <c r="O217">
        <f t="shared" si="24"/>
        <v>2026</v>
      </c>
    </row>
    <row r="218" spans="1:15" x14ac:dyDescent="0.3">
      <c r="A218">
        <v>204332</v>
      </c>
      <c r="B218" t="s">
        <v>86</v>
      </c>
      <c r="C218" s="2">
        <v>46101</v>
      </c>
      <c r="D218" s="2">
        <f t="shared" si="22"/>
        <v>46131</v>
      </c>
      <c r="F218">
        <v>2901</v>
      </c>
      <c r="G218">
        <v>30</v>
      </c>
      <c r="H218">
        <f t="shared" si="21"/>
        <v>0</v>
      </c>
      <c r="I218" t="str">
        <f t="shared" si="25"/>
        <v>On Time</v>
      </c>
      <c r="J218" cm="1">
        <f t="array" ref="J218">_xlfn.IFS(H218&lt;30,0,H218&lt;60,1,H218&lt;90,2,H218&lt;120,3)</f>
        <v>0</v>
      </c>
      <c r="M218" t="str">
        <f t="shared" si="26"/>
        <v>Low</v>
      </c>
      <c r="N218" t="str">
        <f t="shared" si="23"/>
        <v>Mar</v>
      </c>
      <c r="O218">
        <f t="shared" si="24"/>
        <v>2026</v>
      </c>
    </row>
    <row r="219" spans="1:15" x14ac:dyDescent="0.3">
      <c r="A219">
        <v>204333</v>
      </c>
      <c r="B219" t="s">
        <v>87</v>
      </c>
      <c r="C219" s="2">
        <v>46101</v>
      </c>
      <c r="D219" s="2">
        <f t="shared" si="22"/>
        <v>46131</v>
      </c>
      <c r="F219">
        <v>1966</v>
      </c>
      <c r="G219">
        <v>30</v>
      </c>
      <c r="H219">
        <f t="shared" si="21"/>
        <v>0</v>
      </c>
      <c r="I219" t="str">
        <f t="shared" si="25"/>
        <v>On Time</v>
      </c>
      <c r="J219" cm="1">
        <f t="array" ref="J219">_xlfn.IFS(H219&lt;30,0,H219&lt;60,1,H219&lt;90,2,H219&lt;120,3)</f>
        <v>0</v>
      </c>
      <c r="M219" t="str">
        <f t="shared" si="26"/>
        <v>Low</v>
      </c>
      <c r="N219" t="str">
        <f t="shared" si="23"/>
        <v>Mar</v>
      </c>
      <c r="O219">
        <f t="shared" si="24"/>
        <v>2026</v>
      </c>
    </row>
    <row r="220" spans="1:15" x14ac:dyDescent="0.3">
      <c r="A220">
        <v>204334</v>
      </c>
      <c r="B220" t="s">
        <v>88</v>
      </c>
      <c r="C220" s="2">
        <v>46101</v>
      </c>
      <c r="D220" s="2">
        <f t="shared" si="22"/>
        <v>46131</v>
      </c>
      <c r="F220">
        <v>4928</v>
      </c>
      <c r="G220">
        <v>30</v>
      </c>
      <c r="H220">
        <f t="shared" si="21"/>
        <v>0</v>
      </c>
      <c r="I220" t="str">
        <f t="shared" si="25"/>
        <v>On Time</v>
      </c>
      <c r="J220" cm="1">
        <f t="array" ref="J220">_xlfn.IFS(H220&lt;30,0,H220&lt;60,1,H220&lt;90,2,H220&lt;120,3)</f>
        <v>0</v>
      </c>
      <c r="M220" t="str">
        <f t="shared" si="26"/>
        <v>Low</v>
      </c>
      <c r="N220" t="str">
        <f t="shared" si="23"/>
        <v>Mar</v>
      </c>
      <c r="O220">
        <f t="shared" si="24"/>
        <v>2026</v>
      </c>
    </row>
    <row r="221" spans="1:15" x14ac:dyDescent="0.3">
      <c r="A221">
        <v>204335</v>
      </c>
      <c r="B221" t="s">
        <v>89</v>
      </c>
      <c r="C221" s="2">
        <v>46101</v>
      </c>
      <c r="D221" s="2">
        <f t="shared" si="22"/>
        <v>46131</v>
      </c>
      <c r="F221">
        <v>3459</v>
      </c>
      <c r="G221">
        <v>30</v>
      </c>
      <c r="H221">
        <f t="shared" si="21"/>
        <v>0</v>
      </c>
      <c r="I221" t="str">
        <f t="shared" si="25"/>
        <v>On Time</v>
      </c>
      <c r="J221" cm="1">
        <f t="array" ref="J221">_xlfn.IFS(H221&lt;30,0,H221&lt;60,1,H221&lt;90,2,H221&lt;120,3)</f>
        <v>0</v>
      </c>
      <c r="M221" t="str">
        <f t="shared" si="26"/>
        <v>Low</v>
      </c>
      <c r="N221" t="str">
        <f t="shared" si="23"/>
        <v>Mar</v>
      </c>
      <c r="O221">
        <f t="shared" si="24"/>
        <v>2026</v>
      </c>
    </row>
    <row r="222" spans="1:15" x14ac:dyDescent="0.3">
      <c r="A222">
        <v>204336</v>
      </c>
      <c r="B222" t="s">
        <v>90</v>
      </c>
      <c r="C222" s="2">
        <v>46101</v>
      </c>
      <c r="D222" s="2">
        <f t="shared" si="22"/>
        <v>46131</v>
      </c>
      <c r="F222">
        <v>373</v>
      </c>
      <c r="G222">
        <v>30</v>
      </c>
      <c r="H222">
        <f t="shared" si="21"/>
        <v>0</v>
      </c>
      <c r="I222" t="str">
        <f t="shared" si="25"/>
        <v>On Time</v>
      </c>
      <c r="J222" cm="1">
        <f t="array" ref="J222">_xlfn.IFS(H222&lt;30,0,H222&lt;60,1,H222&lt;90,2,H222&lt;120,3)</f>
        <v>0</v>
      </c>
      <c r="M222" t="str">
        <f t="shared" si="26"/>
        <v>Low</v>
      </c>
      <c r="N222" t="str">
        <f t="shared" si="23"/>
        <v>Mar</v>
      </c>
      <c r="O222">
        <f t="shared" si="24"/>
        <v>2026</v>
      </c>
    </row>
    <row r="223" spans="1:15" x14ac:dyDescent="0.3">
      <c r="A223">
        <v>204337</v>
      </c>
      <c r="B223" t="s">
        <v>91</v>
      </c>
      <c r="C223" s="2">
        <v>46101</v>
      </c>
      <c r="D223" s="2">
        <f t="shared" si="22"/>
        <v>46131</v>
      </c>
      <c r="F223">
        <v>1405</v>
      </c>
      <c r="G223">
        <v>30</v>
      </c>
      <c r="H223">
        <f t="shared" si="21"/>
        <v>0</v>
      </c>
      <c r="I223" t="str">
        <f t="shared" si="25"/>
        <v>On Time</v>
      </c>
      <c r="J223" cm="1">
        <f t="array" ref="J223">_xlfn.IFS(H223&lt;30,0,H223&lt;60,1,H223&lt;90,2,H223&lt;120,3)</f>
        <v>0</v>
      </c>
      <c r="M223" t="str">
        <f t="shared" si="26"/>
        <v>Low</v>
      </c>
      <c r="N223" t="str">
        <f t="shared" si="23"/>
        <v>Mar</v>
      </c>
      <c r="O223">
        <f t="shared" si="24"/>
        <v>2026</v>
      </c>
    </row>
    <row r="224" spans="1:15" x14ac:dyDescent="0.3">
      <c r="A224">
        <v>204338</v>
      </c>
      <c r="B224" t="s">
        <v>92</v>
      </c>
      <c r="C224" s="2">
        <v>46101</v>
      </c>
      <c r="D224" s="2">
        <f t="shared" si="22"/>
        <v>46131</v>
      </c>
      <c r="F224">
        <v>118</v>
      </c>
      <c r="G224">
        <v>30</v>
      </c>
      <c r="H224">
        <f t="shared" si="21"/>
        <v>0</v>
      </c>
      <c r="I224" t="str">
        <f t="shared" si="25"/>
        <v>On Time</v>
      </c>
      <c r="J224" cm="1">
        <f t="array" ref="J224">_xlfn.IFS(H224&lt;30,0,H224&lt;60,1,H224&lt;90,2,H224&lt;120,3)</f>
        <v>0</v>
      </c>
      <c r="M224" t="str">
        <f t="shared" si="26"/>
        <v>Low</v>
      </c>
      <c r="N224" t="str">
        <f t="shared" si="23"/>
        <v>Mar</v>
      </c>
      <c r="O224">
        <f t="shared" si="24"/>
        <v>2026</v>
      </c>
    </row>
    <row r="225" spans="1:15" x14ac:dyDescent="0.3">
      <c r="A225">
        <v>204339</v>
      </c>
      <c r="B225" t="s">
        <v>93</v>
      </c>
      <c r="C225" s="2">
        <v>46101</v>
      </c>
      <c r="D225" s="2">
        <f t="shared" si="22"/>
        <v>46131</v>
      </c>
      <c r="F225">
        <v>323</v>
      </c>
      <c r="G225">
        <v>30</v>
      </c>
      <c r="H225">
        <f t="shared" si="21"/>
        <v>0</v>
      </c>
      <c r="I225" t="str">
        <f t="shared" si="25"/>
        <v>On Time</v>
      </c>
      <c r="J225" cm="1">
        <f t="array" ref="J225">_xlfn.IFS(H225&lt;30,0,H225&lt;60,1,H225&lt;90,2,H225&lt;120,3)</f>
        <v>0</v>
      </c>
      <c r="M225" t="str">
        <f t="shared" si="26"/>
        <v>Low</v>
      </c>
      <c r="N225" t="str">
        <f t="shared" si="23"/>
        <v>Mar</v>
      </c>
      <c r="O225">
        <f t="shared" si="24"/>
        <v>2026</v>
      </c>
    </row>
    <row r="226" spans="1:15" x14ac:dyDescent="0.3">
      <c r="A226">
        <v>204340</v>
      </c>
      <c r="B226" t="s">
        <v>94</v>
      </c>
      <c r="C226" s="2">
        <v>46101</v>
      </c>
      <c r="D226" s="2">
        <f t="shared" si="22"/>
        <v>46131</v>
      </c>
      <c r="F226">
        <v>4074</v>
      </c>
      <c r="G226">
        <v>30</v>
      </c>
      <c r="H226">
        <f t="shared" si="21"/>
        <v>0</v>
      </c>
      <c r="I226" t="str">
        <f t="shared" si="25"/>
        <v>On Time</v>
      </c>
      <c r="J226" cm="1">
        <f t="array" ref="J226">_xlfn.IFS(H226&lt;30,0,H226&lt;60,1,H226&lt;90,2,H226&lt;120,3)</f>
        <v>0</v>
      </c>
      <c r="M226" t="str">
        <f t="shared" si="26"/>
        <v>Low</v>
      </c>
      <c r="N226" t="str">
        <f t="shared" si="23"/>
        <v>Mar</v>
      </c>
      <c r="O226">
        <f t="shared" si="24"/>
        <v>2026</v>
      </c>
    </row>
    <row r="227" spans="1:15" x14ac:dyDescent="0.3">
      <c r="A227">
        <v>204341</v>
      </c>
      <c r="B227" t="s">
        <v>95</v>
      </c>
      <c r="C227" s="2">
        <v>46101</v>
      </c>
      <c r="D227" s="2">
        <f t="shared" si="22"/>
        <v>46146</v>
      </c>
      <c r="F227">
        <v>4028</v>
      </c>
      <c r="G227">
        <v>45</v>
      </c>
      <c r="H227">
        <f t="shared" si="21"/>
        <v>0</v>
      </c>
      <c r="I227" t="str">
        <f t="shared" si="25"/>
        <v>On Time</v>
      </c>
      <c r="J227" cm="1">
        <f t="array" ref="J227">_xlfn.IFS(H227&lt;30,0,H227&lt;60,1,H227&lt;90,2,H227&lt;120,3)</f>
        <v>0</v>
      </c>
      <c r="M227" t="str">
        <f t="shared" si="26"/>
        <v>Low</v>
      </c>
      <c r="N227" t="str">
        <f t="shared" si="23"/>
        <v>Mar</v>
      </c>
      <c r="O227">
        <f t="shared" si="24"/>
        <v>2026</v>
      </c>
    </row>
    <row r="228" spans="1:15" x14ac:dyDescent="0.3">
      <c r="A228">
        <v>204342</v>
      </c>
      <c r="B228" t="s">
        <v>68</v>
      </c>
      <c r="C228" s="2">
        <v>46101</v>
      </c>
      <c r="D228" s="2">
        <f t="shared" si="22"/>
        <v>46131</v>
      </c>
      <c r="F228">
        <v>4140</v>
      </c>
      <c r="G228">
        <v>30</v>
      </c>
      <c r="H228">
        <f t="shared" si="21"/>
        <v>0</v>
      </c>
      <c r="I228" t="str">
        <f t="shared" si="25"/>
        <v>On Time</v>
      </c>
      <c r="J228" cm="1">
        <f t="array" ref="J228">_xlfn.IFS(H228&lt;30,0,H228&lt;60,1,H228&lt;90,2,H228&lt;120,3)</f>
        <v>0</v>
      </c>
      <c r="M228" t="str">
        <f t="shared" si="26"/>
        <v>Low</v>
      </c>
      <c r="N228" t="str">
        <f t="shared" si="23"/>
        <v>Mar</v>
      </c>
      <c r="O228">
        <f t="shared" si="24"/>
        <v>2026</v>
      </c>
    </row>
    <row r="229" spans="1:15" x14ac:dyDescent="0.3">
      <c r="A229">
        <v>204343</v>
      </c>
      <c r="B229" t="s">
        <v>69</v>
      </c>
      <c r="C229" s="2">
        <v>46101</v>
      </c>
      <c r="D229" s="2">
        <f t="shared" si="22"/>
        <v>46131</v>
      </c>
      <c r="F229">
        <v>3588</v>
      </c>
      <c r="G229">
        <v>30</v>
      </c>
      <c r="H229">
        <f t="shared" si="21"/>
        <v>0</v>
      </c>
      <c r="I229" t="str">
        <f t="shared" si="25"/>
        <v>On Time</v>
      </c>
      <c r="J229" cm="1">
        <f t="array" ref="J229">_xlfn.IFS(H229&lt;30,0,H229&lt;60,1,H229&lt;90,2,H229&lt;120,3)</f>
        <v>0</v>
      </c>
      <c r="M229" t="str">
        <f t="shared" si="26"/>
        <v>Low</v>
      </c>
      <c r="N229" t="str">
        <f t="shared" si="23"/>
        <v>Mar</v>
      </c>
      <c r="O229">
        <f t="shared" si="24"/>
        <v>2026</v>
      </c>
    </row>
    <row r="230" spans="1:15" x14ac:dyDescent="0.3">
      <c r="A230">
        <v>204344</v>
      </c>
      <c r="B230" t="s">
        <v>70</v>
      </c>
      <c r="C230" s="2">
        <v>46101</v>
      </c>
      <c r="D230" s="2">
        <f t="shared" si="22"/>
        <v>46131</v>
      </c>
      <c r="F230">
        <v>1316</v>
      </c>
      <c r="G230">
        <v>30</v>
      </c>
      <c r="H230">
        <f t="shared" ref="H230:H293" si="27">MAX(0,P195-D230)</f>
        <v>0</v>
      </c>
      <c r="I230" t="str">
        <f t="shared" si="25"/>
        <v>On Time</v>
      </c>
      <c r="J230" cm="1">
        <f t="array" ref="J230">_xlfn.IFS(H230&lt;30,0,H230&lt;60,1,H230&lt;90,2,H230&lt;120,3)</f>
        <v>0</v>
      </c>
      <c r="M230" t="str">
        <f t="shared" si="26"/>
        <v>Low</v>
      </c>
      <c r="N230" t="str">
        <f t="shared" si="23"/>
        <v>Mar</v>
      </c>
      <c r="O230">
        <f t="shared" si="24"/>
        <v>2026</v>
      </c>
    </row>
    <row r="231" spans="1:15" x14ac:dyDescent="0.3">
      <c r="A231">
        <v>204345</v>
      </c>
      <c r="B231" t="s">
        <v>71</v>
      </c>
      <c r="C231" s="2">
        <v>46101</v>
      </c>
      <c r="D231" s="2">
        <f t="shared" si="22"/>
        <v>46131</v>
      </c>
      <c r="F231">
        <v>3723</v>
      </c>
      <c r="G231">
        <v>30</v>
      </c>
      <c r="H231">
        <f t="shared" si="27"/>
        <v>0</v>
      </c>
      <c r="I231" t="str">
        <f t="shared" si="25"/>
        <v>On Time</v>
      </c>
      <c r="J231" cm="1">
        <f t="array" ref="J231">_xlfn.IFS(H231&lt;30,0,H231&lt;60,1,H231&lt;90,2,H231&lt;120,3)</f>
        <v>0</v>
      </c>
      <c r="M231" t="str">
        <f t="shared" si="26"/>
        <v>Low</v>
      </c>
      <c r="N231" t="str">
        <f t="shared" si="23"/>
        <v>Mar</v>
      </c>
      <c r="O231">
        <f t="shared" si="24"/>
        <v>2026</v>
      </c>
    </row>
    <row r="232" spans="1:15" x14ac:dyDescent="0.3">
      <c r="A232">
        <v>204306</v>
      </c>
      <c r="B232" t="s">
        <v>115</v>
      </c>
      <c r="C232" s="2">
        <v>46100</v>
      </c>
      <c r="D232" s="2">
        <f t="shared" si="22"/>
        <v>46130</v>
      </c>
      <c r="F232">
        <v>1346</v>
      </c>
      <c r="G232">
        <v>30</v>
      </c>
      <c r="H232">
        <f t="shared" si="27"/>
        <v>0</v>
      </c>
      <c r="I232" t="str">
        <f t="shared" si="25"/>
        <v>On Time</v>
      </c>
      <c r="J232" cm="1">
        <f t="array" ref="J232">_xlfn.IFS(H232&lt;30,0,H232&lt;60,1,H232&lt;90,2,H232&lt;120,3)</f>
        <v>0</v>
      </c>
      <c r="M232" t="str">
        <f t="shared" si="26"/>
        <v>Low</v>
      </c>
      <c r="N232" t="str">
        <f t="shared" si="23"/>
        <v>Mar</v>
      </c>
      <c r="O232">
        <f t="shared" si="24"/>
        <v>2026</v>
      </c>
    </row>
    <row r="233" spans="1:15" x14ac:dyDescent="0.3">
      <c r="A233">
        <v>204307</v>
      </c>
      <c r="B233" t="s">
        <v>116</v>
      </c>
      <c r="C233" s="2">
        <v>46100</v>
      </c>
      <c r="D233" s="2">
        <f t="shared" si="22"/>
        <v>46130</v>
      </c>
      <c r="F233">
        <v>962</v>
      </c>
      <c r="G233">
        <v>30</v>
      </c>
      <c r="H233">
        <f t="shared" si="27"/>
        <v>0</v>
      </c>
      <c r="I233" t="str">
        <f t="shared" si="25"/>
        <v>On Time</v>
      </c>
      <c r="J233" cm="1">
        <f t="array" ref="J233">_xlfn.IFS(H233&lt;30,0,H233&lt;60,1,H233&lt;90,2,H233&lt;120,3)</f>
        <v>0</v>
      </c>
      <c r="M233" t="str">
        <f t="shared" si="26"/>
        <v>Low</v>
      </c>
      <c r="N233" t="str">
        <f t="shared" si="23"/>
        <v>Mar</v>
      </c>
      <c r="O233">
        <f t="shared" si="24"/>
        <v>2026</v>
      </c>
    </row>
    <row r="234" spans="1:15" x14ac:dyDescent="0.3">
      <c r="A234">
        <v>204308</v>
      </c>
      <c r="B234" t="s">
        <v>117</v>
      </c>
      <c r="C234" s="2">
        <v>46100</v>
      </c>
      <c r="D234" s="2">
        <f t="shared" si="22"/>
        <v>46130</v>
      </c>
      <c r="F234">
        <v>2116</v>
      </c>
      <c r="G234">
        <v>30</v>
      </c>
      <c r="H234">
        <f t="shared" si="27"/>
        <v>0</v>
      </c>
      <c r="I234" t="str">
        <f t="shared" si="25"/>
        <v>On Time</v>
      </c>
      <c r="J234" cm="1">
        <f t="array" ref="J234">_xlfn.IFS(H234&lt;30,0,H234&lt;60,1,H234&lt;90,2,H234&lt;120,3)</f>
        <v>0</v>
      </c>
      <c r="M234" t="str">
        <f t="shared" si="26"/>
        <v>Low</v>
      </c>
      <c r="N234" t="str">
        <f t="shared" si="23"/>
        <v>Mar</v>
      </c>
      <c r="O234">
        <f t="shared" si="24"/>
        <v>2026</v>
      </c>
    </row>
    <row r="235" spans="1:15" x14ac:dyDescent="0.3">
      <c r="A235">
        <v>204309</v>
      </c>
      <c r="B235" t="s">
        <v>118</v>
      </c>
      <c r="C235" s="2">
        <v>46100</v>
      </c>
      <c r="D235" s="2">
        <f t="shared" si="22"/>
        <v>46130</v>
      </c>
      <c r="F235">
        <v>1197</v>
      </c>
      <c r="G235">
        <v>30</v>
      </c>
      <c r="H235">
        <f t="shared" si="27"/>
        <v>0</v>
      </c>
      <c r="I235" t="str">
        <f t="shared" si="25"/>
        <v>On Time</v>
      </c>
      <c r="J235" cm="1">
        <f t="array" ref="J235">_xlfn.IFS(H235&lt;30,0,H235&lt;60,1,H235&lt;90,2,H235&lt;120,3)</f>
        <v>0</v>
      </c>
      <c r="M235" t="str">
        <f t="shared" si="26"/>
        <v>Low</v>
      </c>
      <c r="N235" t="str">
        <f t="shared" si="23"/>
        <v>Mar</v>
      </c>
      <c r="O235">
        <f t="shared" si="24"/>
        <v>2026</v>
      </c>
    </row>
    <row r="236" spans="1:15" x14ac:dyDescent="0.3">
      <c r="A236">
        <v>204310</v>
      </c>
      <c r="B236" t="s">
        <v>119</v>
      </c>
      <c r="C236" s="2">
        <v>46100</v>
      </c>
      <c r="D236" s="2">
        <f t="shared" si="22"/>
        <v>46130</v>
      </c>
      <c r="F236">
        <v>2527</v>
      </c>
      <c r="G236">
        <v>30</v>
      </c>
      <c r="H236">
        <f t="shared" si="27"/>
        <v>0</v>
      </c>
      <c r="I236" t="str">
        <f t="shared" si="25"/>
        <v>On Time</v>
      </c>
      <c r="J236" cm="1">
        <f t="array" ref="J236">_xlfn.IFS(H236&lt;30,0,H236&lt;60,1,H236&lt;90,2,H236&lt;120,3)</f>
        <v>0</v>
      </c>
      <c r="M236" t="str">
        <f t="shared" si="26"/>
        <v>Low</v>
      </c>
      <c r="N236" t="str">
        <f t="shared" si="23"/>
        <v>Mar</v>
      </c>
      <c r="O236">
        <f t="shared" si="24"/>
        <v>2026</v>
      </c>
    </row>
    <row r="237" spans="1:15" x14ac:dyDescent="0.3">
      <c r="A237">
        <v>204311</v>
      </c>
      <c r="B237" t="s">
        <v>31</v>
      </c>
      <c r="C237" s="2">
        <v>46100</v>
      </c>
      <c r="D237" s="2">
        <f t="shared" si="22"/>
        <v>46145</v>
      </c>
      <c r="F237">
        <v>698</v>
      </c>
      <c r="G237">
        <v>45</v>
      </c>
      <c r="H237">
        <f t="shared" si="27"/>
        <v>0</v>
      </c>
      <c r="I237" t="str">
        <f t="shared" si="25"/>
        <v>On Time</v>
      </c>
      <c r="J237" cm="1">
        <f t="array" ref="J237">_xlfn.IFS(H237&lt;30,0,H237&lt;60,1,H237&lt;90,2,H237&lt;120,3)</f>
        <v>0</v>
      </c>
      <c r="M237" t="str">
        <f t="shared" si="26"/>
        <v>Low</v>
      </c>
      <c r="N237" t="str">
        <f t="shared" si="23"/>
        <v>Mar</v>
      </c>
      <c r="O237">
        <f t="shared" si="24"/>
        <v>2026</v>
      </c>
    </row>
    <row r="238" spans="1:15" x14ac:dyDescent="0.3">
      <c r="A238">
        <v>204312</v>
      </c>
      <c r="B238" t="s">
        <v>32</v>
      </c>
      <c r="C238" s="2">
        <v>46100</v>
      </c>
      <c r="D238" s="2">
        <f t="shared" si="22"/>
        <v>46145</v>
      </c>
      <c r="F238">
        <v>239</v>
      </c>
      <c r="G238">
        <v>45</v>
      </c>
      <c r="H238">
        <f t="shared" si="27"/>
        <v>0</v>
      </c>
      <c r="I238" t="str">
        <f t="shared" si="25"/>
        <v>On Time</v>
      </c>
      <c r="J238" cm="1">
        <f t="array" ref="J238">_xlfn.IFS(H238&lt;30,0,H238&lt;60,1,H238&lt;90,2,H238&lt;120,3)</f>
        <v>0</v>
      </c>
      <c r="M238" t="str">
        <f t="shared" si="26"/>
        <v>Low</v>
      </c>
      <c r="N238" t="str">
        <f t="shared" si="23"/>
        <v>Mar</v>
      </c>
      <c r="O238">
        <f t="shared" si="24"/>
        <v>2026</v>
      </c>
    </row>
    <row r="239" spans="1:15" x14ac:dyDescent="0.3">
      <c r="A239">
        <v>204313</v>
      </c>
      <c r="B239" t="s">
        <v>33</v>
      </c>
      <c r="C239" s="2">
        <v>46100</v>
      </c>
      <c r="D239" s="2">
        <f t="shared" si="22"/>
        <v>46130</v>
      </c>
      <c r="F239">
        <v>406</v>
      </c>
      <c r="G239">
        <v>30</v>
      </c>
      <c r="H239">
        <f t="shared" si="27"/>
        <v>0</v>
      </c>
      <c r="I239" t="str">
        <f t="shared" si="25"/>
        <v>On Time</v>
      </c>
      <c r="J239" cm="1">
        <f t="array" ref="J239">_xlfn.IFS(H239&lt;30,0,H239&lt;60,1,H239&lt;90,2,H239&lt;120,3)</f>
        <v>0</v>
      </c>
      <c r="M239" t="str">
        <f t="shared" si="26"/>
        <v>Low</v>
      </c>
      <c r="N239" t="str">
        <f t="shared" si="23"/>
        <v>Mar</v>
      </c>
      <c r="O239">
        <f t="shared" si="24"/>
        <v>2026</v>
      </c>
    </row>
    <row r="240" spans="1:15" x14ac:dyDescent="0.3">
      <c r="A240">
        <v>204314</v>
      </c>
      <c r="B240" t="s">
        <v>34</v>
      </c>
      <c r="C240" s="2">
        <v>46100</v>
      </c>
      <c r="D240" s="2">
        <f t="shared" si="22"/>
        <v>46160</v>
      </c>
      <c r="F240">
        <v>4534</v>
      </c>
      <c r="G240">
        <v>60</v>
      </c>
      <c r="H240">
        <f t="shared" si="27"/>
        <v>0</v>
      </c>
      <c r="I240" t="str">
        <f t="shared" si="25"/>
        <v>On Time</v>
      </c>
      <c r="J240" cm="1">
        <f t="array" ref="J240">_xlfn.IFS(H240&lt;30,0,H240&lt;60,1,H240&lt;90,2,H240&lt;120,3)</f>
        <v>0</v>
      </c>
      <c r="M240" t="str">
        <f t="shared" si="26"/>
        <v>Low</v>
      </c>
      <c r="N240" t="str">
        <f t="shared" si="23"/>
        <v>Mar</v>
      </c>
      <c r="O240">
        <f t="shared" si="24"/>
        <v>2026</v>
      </c>
    </row>
    <row r="241" spans="1:15" x14ac:dyDescent="0.3">
      <c r="A241">
        <v>204315</v>
      </c>
      <c r="B241" t="s">
        <v>35</v>
      </c>
      <c r="C241" s="2">
        <v>46100</v>
      </c>
      <c r="D241" s="2">
        <f t="shared" si="22"/>
        <v>46145</v>
      </c>
      <c r="F241">
        <v>2145</v>
      </c>
      <c r="G241">
        <v>45</v>
      </c>
      <c r="H241">
        <f t="shared" si="27"/>
        <v>0</v>
      </c>
      <c r="I241" t="str">
        <f t="shared" si="25"/>
        <v>On Time</v>
      </c>
      <c r="J241" cm="1">
        <f t="array" ref="J241">_xlfn.IFS(H241&lt;30,0,H241&lt;60,1,H241&lt;90,2,H241&lt;120,3)</f>
        <v>0</v>
      </c>
      <c r="M241" t="str">
        <f t="shared" si="26"/>
        <v>Low</v>
      </c>
      <c r="N241" t="str">
        <f t="shared" si="23"/>
        <v>Mar</v>
      </c>
      <c r="O241">
        <f t="shared" si="24"/>
        <v>2026</v>
      </c>
    </row>
    <row r="242" spans="1:15" x14ac:dyDescent="0.3">
      <c r="A242">
        <v>204316</v>
      </c>
      <c r="B242" t="s">
        <v>36</v>
      </c>
      <c r="C242" s="2">
        <v>46100</v>
      </c>
      <c r="D242" s="2">
        <f t="shared" si="22"/>
        <v>46130</v>
      </c>
      <c r="F242">
        <v>2340</v>
      </c>
      <c r="G242">
        <v>30</v>
      </c>
      <c r="H242">
        <f t="shared" si="27"/>
        <v>0</v>
      </c>
      <c r="I242" t="str">
        <f t="shared" si="25"/>
        <v>On Time</v>
      </c>
      <c r="J242" cm="1">
        <f t="array" ref="J242">_xlfn.IFS(H242&lt;30,0,H242&lt;60,1,H242&lt;90,2,H242&lt;120,3)</f>
        <v>0</v>
      </c>
      <c r="M242" t="str">
        <f t="shared" si="26"/>
        <v>Low</v>
      </c>
      <c r="N242" t="str">
        <f t="shared" si="23"/>
        <v>Mar</v>
      </c>
      <c r="O242">
        <f t="shared" si="24"/>
        <v>2026</v>
      </c>
    </row>
    <row r="243" spans="1:15" x14ac:dyDescent="0.3">
      <c r="A243">
        <v>204317</v>
      </c>
      <c r="B243" t="s">
        <v>64</v>
      </c>
      <c r="C243" s="2">
        <v>46100</v>
      </c>
      <c r="D243" s="2">
        <f t="shared" si="22"/>
        <v>46130</v>
      </c>
      <c r="F243">
        <v>3238</v>
      </c>
      <c r="G243">
        <v>30</v>
      </c>
      <c r="H243">
        <f t="shared" si="27"/>
        <v>0</v>
      </c>
      <c r="I243" t="str">
        <f t="shared" si="25"/>
        <v>On Time</v>
      </c>
      <c r="J243" cm="1">
        <f t="array" ref="J243">_xlfn.IFS(H243&lt;30,0,H243&lt;60,1,H243&lt;90,2,H243&lt;120,3)</f>
        <v>0</v>
      </c>
      <c r="M243" t="str">
        <f t="shared" si="26"/>
        <v>Low</v>
      </c>
      <c r="N243" t="str">
        <f t="shared" si="23"/>
        <v>Mar</v>
      </c>
      <c r="O243">
        <f t="shared" si="24"/>
        <v>2026</v>
      </c>
    </row>
    <row r="244" spans="1:15" x14ac:dyDescent="0.3">
      <c r="A244">
        <v>204318</v>
      </c>
      <c r="B244" t="s">
        <v>45</v>
      </c>
      <c r="C244" s="2">
        <v>46100</v>
      </c>
      <c r="D244" s="2">
        <f t="shared" si="22"/>
        <v>46145</v>
      </c>
      <c r="F244">
        <v>3526</v>
      </c>
      <c r="G244">
        <v>45</v>
      </c>
      <c r="H244">
        <f t="shared" si="27"/>
        <v>0</v>
      </c>
      <c r="I244" t="str">
        <f t="shared" si="25"/>
        <v>On Time</v>
      </c>
      <c r="J244" cm="1">
        <f t="array" ref="J244">_xlfn.IFS(H244&lt;30,0,H244&lt;60,1,H244&lt;90,2,H244&lt;120,3)</f>
        <v>0</v>
      </c>
      <c r="M244" t="str">
        <f t="shared" si="26"/>
        <v>Low</v>
      </c>
      <c r="N244" t="str">
        <f t="shared" si="23"/>
        <v>Mar</v>
      </c>
      <c r="O244">
        <f t="shared" si="24"/>
        <v>2026</v>
      </c>
    </row>
    <row r="245" spans="1:15" x14ac:dyDescent="0.3">
      <c r="A245">
        <v>204319</v>
      </c>
      <c r="B245" t="s">
        <v>46</v>
      </c>
      <c r="C245" s="2">
        <v>46100</v>
      </c>
      <c r="D245" s="2">
        <f t="shared" si="22"/>
        <v>46160</v>
      </c>
      <c r="F245">
        <v>3299</v>
      </c>
      <c r="G245">
        <v>60</v>
      </c>
      <c r="H245">
        <f t="shared" si="27"/>
        <v>0</v>
      </c>
      <c r="I245" t="str">
        <f t="shared" si="25"/>
        <v>On Time</v>
      </c>
      <c r="J245" cm="1">
        <f t="array" ref="J245">_xlfn.IFS(H245&lt;30,0,H245&lt;60,1,H245&lt;90,2,H245&lt;120,3)</f>
        <v>0</v>
      </c>
      <c r="M245" t="str">
        <f t="shared" si="26"/>
        <v>Low</v>
      </c>
      <c r="N245" t="str">
        <f t="shared" si="23"/>
        <v>Mar</v>
      </c>
      <c r="O245">
        <f t="shared" si="24"/>
        <v>2026</v>
      </c>
    </row>
    <row r="246" spans="1:15" x14ac:dyDescent="0.3">
      <c r="A246">
        <v>204320</v>
      </c>
      <c r="B246" t="s">
        <v>114</v>
      </c>
      <c r="C246" s="2">
        <v>46100</v>
      </c>
      <c r="D246" s="2">
        <f t="shared" si="22"/>
        <v>46130</v>
      </c>
      <c r="F246">
        <v>2262</v>
      </c>
      <c r="G246">
        <v>30</v>
      </c>
      <c r="H246">
        <f t="shared" si="27"/>
        <v>0</v>
      </c>
      <c r="I246" t="str">
        <f t="shared" si="25"/>
        <v>On Time</v>
      </c>
      <c r="J246" cm="1">
        <f t="array" ref="J246">_xlfn.IFS(H246&lt;30,0,H246&lt;60,1,H246&lt;90,2,H246&lt;120,3)</f>
        <v>0</v>
      </c>
      <c r="M246" t="str">
        <f t="shared" si="26"/>
        <v>Low</v>
      </c>
      <c r="N246" t="str">
        <f t="shared" si="23"/>
        <v>Mar</v>
      </c>
      <c r="O246">
        <f t="shared" si="24"/>
        <v>2026</v>
      </c>
    </row>
    <row r="247" spans="1:15" x14ac:dyDescent="0.3">
      <c r="A247">
        <v>204321</v>
      </c>
      <c r="B247" t="s">
        <v>115</v>
      </c>
      <c r="C247" s="2">
        <v>46100</v>
      </c>
      <c r="D247" s="2">
        <f t="shared" si="22"/>
        <v>46130</v>
      </c>
      <c r="F247">
        <v>1162</v>
      </c>
      <c r="G247">
        <v>30</v>
      </c>
      <c r="H247">
        <f t="shared" si="27"/>
        <v>0</v>
      </c>
      <c r="I247" t="str">
        <f t="shared" si="25"/>
        <v>On Time</v>
      </c>
      <c r="J247" cm="1">
        <f t="array" ref="J247">_xlfn.IFS(H247&lt;30,0,H247&lt;60,1,H247&lt;90,2,H247&lt;120,3)</f>
        <v>0</v>
      </c>
      <c r="M247" t="str">
        <f t="shared" si="26"/>
        <v>Low</v>
      </c>
      <c r="N247" t="str">
        <f t="shared" si="23"/>
        <v>Mar</v>
      </c>
      <c r="O247">
        <f t="shared" si="24"/>
        <v>2026</v>
      </c>
    </row>
    <row r="248" spans="1:15" x14ac:dyDescent="0.3">
      <c r="A248">
        <v>204322</v>
      </c>
      <c r="B248" t="s">
        <v>116</v>
      </c>
      <c r="C248" s="2">
        <v>46100</v>
      </c>
      <c r="D248" s="2">
        <f t="shared" si="22"/>
        <v>46130</v>
      </c>
      <c r="F248">
        <v>3848</v>
      </c>
      <c r="G248">
        <v>30</v>
      </c>
      <c r="H248">
        <f t="shared" si="27"/>
        <v>0</v>
      </c>
      <c r="I248" t="str">
        <f t="shared" si="25"/>
        <v>On Time</v>
      </c>
      <c r="J248" cm="1">
        <f t="array" ref="J248">_xlfn.IFS(H248&lt;30,0,H248&lt;60,1,H248&lt;90,2,H248&lt;120,3)</f>
        <v>0</v>
      </c>
      <c r="M248" t="str">
        <f t="shared" si="26"/>
        <v>Low</v>
      </c>
      <c r="N248" t="str">
        <f t="shared" si="23"/>
        <v>Mar</v>
      </c>
      <c r="O248">
        <f t="shared" si="24"/>
        <v>2026</v>
      </c>
    </row>
    <row r="249" spans="1:15" x14ac:dyDescent="0.3">
      <c r="A249">
        <v>204323</v>
      </c>
      <c r="B249" t="s">
        <v>117</v>
      </c>
      <c r="C249" s="2">
        <v>46100</v>
      </c>
      <c r="D249" s="2">
        <f t="shared" si="22"/>
        <v>46130</v>
      </c>
      <c r="F249">
        <v>1137</v>
      </c>
      <c r="G249">
        <v>30</v>
      </c>
      <c r="H249">
        <f t="shared" si="27"/>
        <v>0</v>
      </c>
      <c r="I249" t="str">
        <f t="shared" si="25"/>
        <v>On Time</v>
      </c>
      <c r="J249" cm="1">
        <f t="array" ref="J249">_xlfn.IFS(H249&lt;30,0,H249&lt;60,1,H249&lt;90,2,H249&lt;120,3)</f>
        <v>0</v>
      </c>
      <c r="M249" t="str">
        <f t="shared" si="26"/>
        <v>Low</v>
      </c>
      <c r="N249" t="str">
        <f t="shared" si="23"/>
        <v>Mar</v>
      </c>
      <c r="O249">
        <f t="shared" si="24"/>
        <v>2026</v>
      </c>
    </row>
    <row r="250" spans="1:15" x14ac:dyDescent="0.3">
      <c r="A250">
        <v>204324</v>
      </c>
      <c r="B250" t="s">
        <v>118</v>
      </c>
      <c r="C250" s="2">
        <v>46100</v>
      </c>
      <c r="D250" s="2">
        <f t="shared" si="22"/>
        <v>46130</v>
      </c>
      <c r="F250">
        <v>2065</v>
      </c>
      <c r="G250">
        <v>30</v>
      </c>
      <c r="H250">
        <f t="shared" si="27"/>
        <v>0</v>
      </c>
      <c r="I250" t="str">
        <f t="shared" si="25"/>
        <v>On Time</v>
      </c>
      <c r="J250" cm="1">
        <f t="array" ref="J250">_xlfn.IFS(H250&lt;30,0,H250&lt;60,1,H250&lt;90,2,H250&lt;120,3)</f>
        <v>0</v>
      </c>
      <c r="M250" t="str">
        <f t="shared" si="26"/>
        <v>Low</v>
      </c>
      <c r="N250" t="str">
        <f t="shared" si="23"/>
        <v>Mar</v>
      </c>
      <c r="O250">
        <f t="shared" si="24"/>
        <v>2026</v>
      </c>
    </row>
    <row r="251" spans="1:15" x14ac:dyDescent="0.3">
      <c r="A251">
        <v>204325</v>
      </c>
      <c r="B251" t="s">
        <v>119</v>
      </c>
      <c r="C251" s="2">
        <v>46100</v>
      </c>
      <c r="D251" s="2">
        <f t="shared" si="22"/>
        <v>46130</v>
      </c>
      <c r="F251">
        <v>19240</v>
      </c>
      <c r="G251">
        <v>30</v>
      </c>
      <c r="H251">
        <f t="shared" si="27"/>
        <v>0</v>
      </c>
      <c r="I251" t="str">
        <f t="shared" si="25"/>
        <v>On Time</v>
      </c>
      <c r="J251" cm="1">
        <f t="array" ref="J251">_xlfn.IFS(H251&lt;30,0,H251&lt;60,1,H251&lt;90,2,H251&lt;120,3)</f>
        <v>0</v>
      </c>
      <c r="M251" t="str">
        <f t="shared" si="26"/>
        <v>Low</v>
      </c>
      <c r="N251" t="str">
        <f t="shared" si="23"/>
        <v>Mar</v>
      </c>
      <c r="O251">
        <f t="shared" si="24"/>
        <v>2026</v>
      </c>
    </row>
    <row r="252" spans="1:15" x14ac:dyDescent="0.3">
      <c r="A252">
        <v>204286</v>
      </c>
      <c r="B252" t="s">
        <v>33</v>
      </c>
      <c r="C252" s="2">
        <v>46099</v>
      </c>
      <c r="D252" s="2">
        <f t="shared" si="22"/>
        <v>46129</v>
      </c>
      <c r="F252">
        <v>9777</v>
      </c>
      <c r="G252">
        <v>30</v>
      </c>
      <c r="H252">
        <f t="shared" si="27"/>
        <v>0</v>
      </c>
      <c r="I252" t="str">
        <f t="shared" si="25"/>
        <v>On Time</v>
      </c>
      <c r="J252" cm="1">
        <f t="array" ref="J252">_xlfn.IFS(H252&lt;30,0,H252&lt;60,1,H252&lt;90,2,H252&lt;120,3)</f>
        <v>0</v>
      </c>
      <c r="M252" t="str">
        <f t="shared" si="26"/>
        <v>Low</v>
      </c>
      <c r="N252" t="str">
        <f t="shared" si="23"/>
        <v>Mar</v>
      </c>
      <c r="O252">
        <f t="shared" si="24"/>
        <v>2026</v>
      </c>
    </row>
    <row r="253" spans="1:15" x14ac:dyDescent="0.3">
      <c r="A253">
        <v>204287</v>
      </c>
      <c r="B253" t="s">
        <v>34</v>
      </c>
      <c r="C253" s="2">
        <v>46099</v>
      </c>
      <c r="D253" s="2">
        <f t="shared" si="22"/>
        <v>46159</v>
      </c>
      <c r="F253">
        <v>5673</v>
      </c>
      <c r="G253">
        <v>60</v>
      </c>
      <c r="H253">
        <f t="shared" si="27"/>
        <v>0</v>
      </c>
      <c r="I253" t="str">
        <f t="shared" si="25"/>
        <v>On Time</v>
      </c>
      <c r="J253" cm="1">
        <f t="array" ref="J253">_xlfn.IFS(H253&lt;30,0,H253&lt;60,1,H253&lt;90,2,H253&lt;120,3)</f>
        <v>0</v>
      </c>
      <c r="M253" t="str">
        <f t="shared" si="26"/>
        <v>Low</v>
      </c>
      <c r="N253" t="str">
        <f t="shared" si="23"/>
        <v>Mar</v>
      </c>
      <c r="O253">
        <f t="shared" si="24"/>
        <v>2026</v>
      </c>
    </row>
    <row r="254" spans="1:15" x14ac:dyDescent="0.3">
      <c r="A254">
        <v>204288</v>
      </c>
      <c r="B254" t="s">
        <v>35</v>
      </c>
      <c r="C254" s="2">
        <v>46099</v>
      </c>
      <c r="D254" s="2">
        <f t="shared" si="22"/>
        <v>46144</v>
      </c>
      <c r="F254">
        <v>2632</v>
      </c>
      <c r="G254">
        <v>45</v>
      </c>
      <c r="H254">
        <f t="shared" si="27"/>
        <v>0</v>
      </c>
      <c r="I254" t="str">
        <f t="shared" si="25"/>
        <v>On Time</v>
      </c>
      <c r="J254" cm="1">
        <f t="array" ref="J254">_xlfn.IFS(H254&lt;30,0,H254&lt;60,1,H254&lt;90,2,H254&lt;120,3)</f>
        <v>0</v>
      </c>
      <c r="M254" t="str">
        <f t="shared" si="26"/>
        <v>Low</v>
      </c>
      <c r="N254" t="str">
        <f t="shared" si="23"/>
        <v>Mar</v>
      </c>
      <c r="O254">
        <f t="shared" si="24"/>
        <v>2026</v>
      </c>
    </row>
    <row r="255" spans="1:15" x14ac:dyDescent="0.3">
      <c r="A255">
        <v>204289</v>
      </c>
      <c r="B255" t="s">
        <v>36</v>
      </c>
      <c r="C255" s="2">
        <v>46099</v>
      </c>
      <c r="D255" s="2">
        <f t="shared" si="22"/>
        <v>46129</v>
      </c>
      <c r="F255">
        <v>1309</v>
      </c>
      <c r="G255">
        <v>30</v>
      </c>
      <c r="H255">
        <f t="shared" si="27"/>
        <v>0</v>
      </c>
      <c r="I255" t="str">
        <f t="shared" si="25"/>
        <v>On Time</v>
      </c>
      <c r="J255" cm="1">
        <f t="array" ref="J255">_xlfn.IFS(H255&lt;30,0,H255&lt;60,1,H255&lt;90,2,H255&lt;120,3)</f>
        <v>0</v>
      </c>
      <c r="M255" t="str">
        <f t="shared" si="26"/>
        <v>Low</v>
      </c>
      <c r="N255" t="str">
        <f t="shared" si="23"/>
        <v>Mar</v>
      </c>
      <c r="O255">
        <f t="shared" si="24"/>
        <v>2026</v>
      </c>
    </row>
    <row r="256" spans="1:15" x14ac:dyDescent="0.3">
      <c r="A256">
        <v>204290</v>
      </c>
      <c r="B256" t="s">
        <v>64</v>
      </c>
      <c r="C256" s="2">
        <v>46099</v>
      </c>
      <c r="D256" s="2">
        <f t="shared" si="22"/>
        <v>46129</v>
      </c>
      <c r="F256">
        <v>3435</v>
      </c>
      <c r="G256">
        <v>30</v>
      </c>
      <c r="H256">
        <f t="shared" si="27"/>
        <v>0</v>
      </c>
      <c r="I256" t="str">
        <f t="shared" si="25"/>
        <v>On Time</v>
      </c>
      <c r="J256" cm="1">
        <f t="array" ref="J256">_xlfn.IFS(H256&lt;30,0,H256&lt;60,1,H256&lt;90,2,H256&lt;120,3)</f>
        <v>0</v>
      </c>
      <c r="M256" t="str">
        <f t="shared" si="26"/>
        <v>Low</v>
      </c>
      <c r="N256" t="str">
        <f t="shared" si="23"/>
        <v>Mar</v>
      </c>
      <c r="O256">
        <f t="shared" si="24"/>
        <v>2026</v>
      </c>
    </row>
    <row r="257" spans="1:15" x14ac:dyDescent="0.3">
      <c r="A257">
        <v>204291</v>
      </c>
      <c r="B257" t="s">
        <v>65</v>
      </c>
      <c r="C257" s="2">
        <v>46099</v>
      </c>
      <c r="D257" s="2">
        <f t="shared" si="22"/>
        <v>46144</v>
      </c>
      <c r="F257">
        <v>4373</v>
      </c>
      <c r="G257">
        <v>45</v>
      </c>
      <c r="H257">
        <f t="shared" si="27"/>
        <v>0</v>
      </c>
      <c r="I257" t="str">
        <f t="shared" si="25"/>
        <v>On Time</v>
      </c>
      <c r="J257" cm="1">
        <f t="array" ref="J257">_xlfn.IFS(H257&lt;30,0,H257&lt;60,1,H257&lt;90,2,H257&lt;120,3)</f>
        <v>0</v>
      </c>
      <c r="M257" t="str">
        <f t="shared" si="26"/>
        <v>Low</v>
      </c>
      <c r="N257" t="str">
        <f t="shared" si="23"/>
        <v>Mar</v>
      </c>
      <c r="O257">
        <f t="shared" si="24"/>
        <v>2026</v>
      </c>
    </row>
    <row r="258" spans="1:15" x14ac:dyDescent="0.3">
      <c r="A258">
        <v>204292</v>
      </c>
      <c r="B258" t="s">
        <v>66</v>
      </c>
      <c r="C258" s="2">
        <v>46099</v>
      </c>
      <c r="D258" s="2">
        <f t="shared" ref="D258:D321" si="28">C258+G258</f>
        <v>46159</v>
      </c>
      <c r="F258">
        <v>19229</v>
      </c>
      <c r="G258">
        <v>60</v>
      </c>
      <c r="H258">
        <f t="shared" si="27"/>
        <v>0</v>
      </c>
      <c r="I258" t="str">
        <f t="shared" si="25"/>
        <v>On Time</v>
      </c>
      <c r="J258" cm="1">
        <f t="array" ref="J258">_xlfn.IFS(H258&lt;30,0,H258&lt;60,1,H258&lt;90,2,H258&lt;120,3)</f>
        <v>0</v>
      </c>
      <c r="M258" t="str">
        <f t="shared" si="26"/>
        <v>Low</v>
      </c>
      <c r="N258" t="str">
        <f t="shared" ref="N258:N321" si="29">TEXT(C258,"mmm")</f>
        <v>Mar</v>
      </c>
      <c r="O258">
        <f t="shared" ref="O258:O321" si="30">YEAR(C258)</f>
        <v>2026</v>
      </c>
    </row>
    <row r="259" spans="1:15" x14ac:dyDescent="0.3">
      <c r="A259">
        <v>204293</v>
      </c>
      <c r="B259" t="s">
        <v>67</v>
      </c>
      <c r="C259" s="2">
        <v>46099</v>
      </c>
      <c r="D259" s="2">
        <f t="shared" si="28"/>
        <v>46129</v>
      </c>
      <c r="F259">
        <v>4444</v>
      </c>
      <c r="G259">
        <v>30</v>
      </c>
      <c r="H259">
        <f t="shared" si="27"/>
        <v>0</v>
      </c>
      <c r="I259" t="str">
        <f t="shared" si="25"/>
        <v>On Time</v>
      </c>
      <c r="J259" cm="1">
        <f t="array" ref="J259">_xlfn.IFS(H259&lt;30,0,H259&lt;60,1,H259&lt;90,2,H259&lt;120,3)</f>
        <v>0</v>
      </c>
      <c r="M259" t="str">
        <f t="shared" si="26"/>
        <v>Low</v>
      </c>
      <c r="N259" t="str">
        <f t="shared" si="29"/>
        <v>Mar</v>
      </c>
      <c r="O259">
        <f t="shared" si="30"/>
        <v>2026</v>
      </c>
    </row>
    <row r="260" spans="1:15" x14ac:dyDescent="0.3">
      <c r="A260">
        <v>204294</v>
      </c>
      <c r="B260" t="s">
        <v>68</v>
      </c>
      <c r="C260" s="2">
        <v>46099</v>
      </c>
      <c r="D260" s="2">
        <f t="shared" si="28"/>
        <v>46129</v>
      </c>
      <c r="F260">
        <v>3441</v>
      </c>
      <c r="G260">
        <v>30</v>
      </c>
      <c r="H260">
        <f t="shared" si="27"/>
        <v>0</v>
      </c>
      <c r="I260" t="str">
        <f t="shared" si="25"/>
        <v>On Time</v>
      </c>
      <c r="J260" cm="1">
        <f t="array" ref="J260">_xlfn.IFS(H260&lt;30,0,H260&lt;60,1,H260&lt;90,2,H260&lt;120,3)</f>
        <v>0</v>
      </c>
      <c r="M260" t="str">
        <f t="shared" si="26"/>
        <v>Low</v>
      </c>
      <c r="N260" t="str">
        <f t="shared" si="29"/>
        <v>Mar</v>
      </c>
      <c r="O260">
        <f t="shared" si="30"/>
        <v>2026</v>
      </c>
    </row>
    <row r="261" spans="1:15" x14ac:dyDescent="0.3">
      <c r="A261">
        <v>204295</v>
      </c>
      <c r="B261" t="s">
        <v>69</v>
      </c>
      <c r="C261" s="2">
        <v>46099</v>
      </c>
      <c r="D261" s="2">
        <f t="shared" si="28"/>
        <v>46129</v>
      </c>
      <c r="F261">
        <v>3787</v>
      </c>
      <c r="G261">
        <v>30</v>
      </c>
      <c r="H261">
        <f t="shared" si="27"/>
        <v>0</v>
      </c>
      <c r="I261" t="str">
        <f t="shared" si="25"/>
        <v>On Time</v>
      </c>
      <c r="J261" cm="1">
        <f t="array" ref="J261">_xlfn.IFS(H261&lt;30,0,H261&lt;60,1,H261&lt;90,2,H261&lt;120,3)</f>
        <v>0</v>
      </c>
      <c r="M261" t="str">
        <f t="shared" si="26"/>
        <v>Low</v>
      </c>
      <c r="N261" t="str">
        <f t="shared" si="29"/>
        <v>Mar</v>
      </c>
      <c r="O261">
        <f t="shared" si="30"/>
        <v>2026</v>
      </c>
    </row>
    <row r="262" spans="1:15" x14ac:dyDescent="0.3">
      <c r="A262">
        <v>204296</v>
      </c>
      <c r="B262" t="s">
        <v>70</v>
      </c>
      <c r="C262" s="2">
        <v>46099</v>
      </c>
      <c r="D262" s="2">
        <f t="shared" si="28"/>
        <v>46129</v>
      </c>
      <c r="F262">
        <v>189</v>
      </c>
      <c r="G262">
        <v>30</v>
      </c>
      <c r="H262">
        <f t="shared" si="27"/>
        <v>0</v>
      </c>
      <c r="I262" t="str">
        <f t="shared" si="25"/>
        <v>On Time</v>
      </c>
      <c r="J262" cm="1">
        <f t="array" ref="J262">_xlfn.IFS(H262&lt;30,0,H262&lt;60,1,H262&lt;90,2,H262&lt;120,3)</f>
        <v>0</v>
      </c>
      <c r="M262" t="str">
        <f t="shared" si="26"/>
        <v>Low</v>
      </c>
      <c r="N262" t="str">
        <f t="shared" si="29"/>
        <v>Mar</v>
      </c>
      <c r="O262">
        <f t="shared" si="30"/>
        <v>2026</v>
      </c>
    </row>
    <row r="263" spans="1:15" x14ac:dyDescent="0.3">
      <c r="A263">
        <v>204297</v>
      </c>
      <c r="B263" t="s">
        <v>71</v>
      </c>
      <c r="C263" s="2">
        <v>46099</v>
      </c>
      <c r="D263" s="2">
        <f t="shared" si="28"/>
        <v>46129</v>
      </c>
      <c r="F263">
        <v>2395</v>
      </c>
      <c r="G263">
        <v>30</v>
      </c>
      <c r="H263">
        <f t="shared" si="27"/>
        <v>0</v>
      </c>
      <c r="I263" t="str">
        <f t="shared" si="25"/>
        <v>On Time</v>
      </c>
      <c r="J263" cm="1">
        <f t="array" ref="J263">_xlfn.IFS(H263&lt;30,0,H263&lt;60,1,H263&lt;90,2,H263&lt;120,3)</f>
        <v>0</v>
      </c>
      <c r="M263" t="str">
        <f t="shared" si="26"/>
        <v>Low</v>
      </c>
      <c r="N263" t="str">
        <f t="shared" si="29"/>
        <v>Mar</v>
      </c>
      <c r="O263">
        <f t="shared" si="30"/>
        <v>2026</v>
      </c>
    </row>
    <row r="264" spans="1:15" x14ac:dyDescent="0.3">
      <c r="A264">
        <v>204298</v>
      </c>
      <c r="B264" t="s">
        <v>72</v>
      </c>
      <c r="C264" s="2">
        <v>46099</v>
      </c>
      <c r="D264" s="2">
        <f t="shared" si="28"/>
        <v>46129</v>
      </c>
      <c r="F264">
        <v>3600</v>
      </c>
      <c r="G264">
        <v>30</v>
      </c>
      <c r="H264">
        <f t="shared" si="27"/>
        <v>0</v>
      </c>
      <c r="I264" t="str">
        <f t="shared" si="25"/>
        <v>On Time</v>
      </c>
      <c r="J264" cm="1">
        <f t="array" ref="J264">_xlfn.IFS(H264&lt;30,0,H264&lt;60,1,H264&lt;90,2,H264&lt;120,3)</f>
        <v>0</v>
      </c>
      <c r="M264" t="str">
        <f t="shared" si="26"/>
        <v>Low</v>
      </c>
      <c r="N264" t="str">
        <f t="shared" si="29"/>
        <v>Mar</v>
      </c>
      <c r="O264">
        <f t="shared" si="30"/>
        <v>2026</v>
      </c>
    </row>
    <row r="265" spans="1:15" x14ac:dyDescent="0.3">
      <c r="A265">
        <v>204299</v>
      </c>
      <c r="B265" t="s">
        <v>73</v>
      </c>
      <c r="C265" s="2">
        <v>46099</v>
      </c>
      <c r="D265" s="2">
        <f t="shared" si="28"/>
        <v>46144</v>
      </c>
      <c r="F265">
        <v>437</v>
      </c>
      <c r="G265">
        <v>45</v>
      </c>
      <c r="H265">
        <f t="shared" si="27"/>
        <v>0</v>
      </c>
      <c r="I265" t="str">
        <f t="shared" si="25"/>
        <v>On Time</v>
      </c>
      <c r="J265" cm="1">
        <f t="array" ref="J265">_xlfn.IFS(H265&lt;30,0,H265&lt;60,1,H265&lt;90,2,H265&lt;120,3)</f>
        <v>0</v>
      </c>
      <c r="M265" t="str">
        <f t="shared" si="26"/>
        <v>Low</v>
      </c>
      <c r="N265" t="str">
        <f t="shared" si="29"/>
        <v>Mar</v>
      </c>
      <c r="O265">
        <f t="shared" si="30"/>
        <v>2026</v>
      </c>
    </row>
    <row r="266" spans="1:15" x14ac:dyDescent="0.3">
      <c r="A266">
        <v>204300</v>
      </c>
      <c r="B266" t="s">
        <v>101</v>
      </c>
      <c r="C266" s="2">
        <v>46099</v>
      </c>
      <c r="D266" s="2">
        <f t="shared" si="28"/>
        <v>46129</v>
      </c>
      <c r="F266">
        <v>2983</v>
      </c>
      <c r="G266">
        <v>30</v>
      </c>
      <c r="H266">
        <f t="shared" si="27"/>
        <v>0</v>
      </c>
      <c r="I266" t="str">
        <f t="shared" si="25"/>
        <v>On Time</v>
      </c>
      <c r="J266" cm="1">
        <f t="array" ref="J266">_xlfn.IFS(H266&lt;30,0,H266&lt;60,1,H266&lt;90,2,H266&lt;120,3)</f>
        <v>0</v>
      </c>
      <c r="M266" t="str">
        <f t="shared" si="26"/>
        <v>Low</v>
      </c>
      <c r="N266" t="str">
        <f t="shared" si="29"/>
        <v>Mar</v>
      </c>
      <c r="O266">
        <f t="shared" si="30"/>
        <v>2026</v>
      </c>
    </row>
    <row r="267" spans="1:15" x14ac:dyDescent="0.3">
      <c r="A267">
        <v>204301</v>
      </c>
      <c r="B267" t="s">
        <v>102</v>
      </c>
      <c r="C267" s="2">
        <v>46099</v>
      </c>
      <c r="D267" s="2">
        <f t="shared" si="28"/>
        <v>46129</v>
      </c>
      <c r="F267">
        <v>4481</v>
      </c>
      <c r="G267">
        <v>30</v>
      </c>
      <c r="H267">
        <f t="shared" si="27"/>
        <v>0</v>
      </c>
      <c r="I267" t="str">
        <f t="shared" si="25"/>
        <v>On Time</v>
      </c>
      <c r="J267" cm="1">
        <f t="array" ref="J267">_xlfn.IFS(H267&lt;30,0,H267&lt;60,1,H267&lt;90,2,H267&lt;120,3)</f>
        <v>0</v>
      </c>
      <c r="M267" t="str">
        <f t="shared" si="26"/>
        <v>Low</v>
      </c>
      <c r="N267" t="str">
        <f t="shared" si="29"/>
        <v>Mar</v>
      </c>
      <c r="O267">
        <f t="shared" si="30"/>
        <v>2026</v>
      </c>
    </row>
    <row r="268" spans="1:15" x14ac:dyDescent="0.3">
      <c r="A268">
        <v>204302</v>
      </c>
      <c r="B268" t="s">
        <v>103</v>
      </c>
      <c r="C268" s="2">
        <v>46099</v>
      </c>
      <c r="D268" s="2">
        <f t="shared" si="28"/>
        <v>46129</v>
      </c>
      <c r="F268">
        <v>12480</v>
      </c>
      <c r="G268">
        <v>30</v>
      </c>
      <c r="H268">
        <f t="shared" si="27"/>
        <v>0</v>
      </c>
      <c r="I268" t="str">
        <f t="shared" si="25"/>
        <v>On Time</v>
      </c>
      <c r="J268" cm="1">
        <f t="array" ref="J268">_xlfn.IFS(H268&lt;30,0,H268&lt;60,1,H268&lt;90,2,H268&lt;120,3)</f>
        <v>0</v>
      </c>
      <c r="M268" t="str">
        <f t="shared" si="26"/>
        <v>Low</v>
      </c>
      <c r="N268" t="str">
        <f t="shared" si="29"/>
        <v>Mar</v>
      </c>
      <c r="O268">
        <f t="shared" si="30"/>
        <v>2026</v>
      </c>
    </row>
    <row r="269" spans="1:15" x14ac:dyDescent="0.3">
      <c r="A269">
        <v>204303</v>
      </c>
      <c r="B269" t="s">
        <v>104</v>
      </c>
      <c r="C269" s="2">
        <v>46099</v>
      </c>
      <c r="D269" s="2">
        <f t="shared" si="28"/>
        <v>46129</v>
      </c>
      <c r="F269">
        <v>16560</v>
      </c>
      <c r="G269">
        <v>30</v>
      </c>
      <c r="H269">
        <f t="shared" si="27"/>
        <v>0</v>
      </c>
      <c r="I269" t="str">
        <f t="shared" si="25"/>
        <v>On Time</v>
      </c>
      <c r="J269" cm="1">
        <f t="array" ref="J269">_xlfn.IFS(H269&lt;30,0,H269&lt;60,1,H269&lt;90,2,H269&lt;120,3)</f>
        <v>0</v>
      </c>
      <c r="M269" t="str">
        <f t="shared" si="26"/>
        <v>Low</v>
      </c>
      <c r="N269" t="str">
        <f t="shared" si="29"/>
        <v>Mar</v>
      </c>
      <c r="O269">
        <f t="shared" si="30"/>
        <v>2026</v>
      </c>
    </row>
    <row r="270" spans="1:15" x14ac:dyDescent="0.3">
      <c r="A270">
        <v>204304</v>
      </c>
      <c r="B270" t="s">
        <v>105</v>
      </c>
      <c r="C270" s="2">
        <v>46099</v>
      </c>
      <c r="D270" s="2">
        <f t="shared" si="28"/>
        <v>46129</v>
      </c>
      <c r="F270">
        <v>4857</v>
      </c>
      <c r="G270">
        <v>30</v>
      </c>
      <c r="H270">
        <f t="shared" si="27"/>
        <v>0</v>
      </c>
      <c r="I270" t="str">
        <f t="shared" si="25"/>
        <v>On Time</v>
      </c>
      <c r="J270" cm="1">
        <f t="array" ref="J270">_xlfn.IFS(H270&lt;30,0,H270&lt;60,1,H270&lt;90,2,H270&lt;120,3)</f>
        <v>0</v>
      </c>
      <c r="M270" t="str">
        <f t="shared" si="26"/>
        <v>Low</v>
      </c>
      <c r="N270" t="str">
        <f t="shared" si="29"/>
        <v>Mar</v>
      </c>
      <c r="O270">
        <f t="shared" si="30"/>
        <v>2026</v>
      </c>
    </row>
    <row r="271" spans="1:15" x14ac:dyDescent="0.3">
      <c r="A271">
        <v>204305</v>
      </c>
      <c r="B271" t="s">
        <v>114</v>
      </c>
      <c r="C271" s="2">
        <v>46099</v>
      </c>
      <c r="D271" s="2">
        <f t="shared" si="28"/>
        <v>46129</v>
      </c>
      <c r="F271">
        <v>2232</v>
      </c>
      <c r="G271">
        <v>30</v>
      </c>
      <c r="H271">
        <f t="shared" si="27"/>
        <v>0</v>
      </c>
      <c r="I271" t="str">
        <f t="shared" si="25"/>
        <v>On Time</v>
      </c>
      <c r="J271" cm="1">
        <f t="array" ref="J271">_xlfn.IFS(H271&lt;30,0,H271&lt;60,1,H271&lt;90,2,H271&lt;120,3)</f>
        <v>0</v>
      </c>
      <c r="M271" t="str">
        <f t="shared" si="26"/>
        <v>Low</v>
      </c>
      <c r="N271" t="str">
        <f t="shared" si="29"/>
        <v>Mar</v>
      </c>
      <c r="O271">
        <f t="shared" si="30"/>
        <v>2026</v>
      </c>
    </row>
    <row r="272" spans="1:15" x14ac:dyDescent="0.3">
      <c r="A272">
        <v>204264</v>
      </c>
      <c r="B272" t="s">
        <v>64</v>
      </c>
      <c r="C272" s="2">
        <v>46098</v>
      </c>
      <c r="D272" s="2">
        <f t="shared" si="28"/>
        <v>46128</v>
      </c>
      <c r="F272">
        <v>116</v>
      </c>
      <c r="G272">
        <v>30</v>
      </c>
      <c r="H272">
        <f t="shared" si="27"/>
        <v>0</v>
      </c>
      <c r="I272" t="str">
        <f t="shared" si="25"/>
        <v>On Time</v>
      </c>
      <c r="J272" cm="1">
        <f t="array" ref="J272">_xlfn.IFS(H272&lt;30,0,H272&lt;60,1,H272&lt;90,2,H272&lt;120,3)</f>
        <v>0</v>
      </c>
      <c r="M272" t="str">
        <f t="shared" si="26"/>
        <v>Low</v>
      </c>
      <c r="N272" t="str">
        <f t="shared" si="29"/>
        <v>Mar</v>
      </c>
      <c r="O272">
        <f t="shared" si="30"/>
        <v>2026</v>
      </c>
    </row>
    <row r="273" spans="1:15" x14ac:dyDescent="0.3">
      <c r="A273">
        <v>204265</v>
      </c>
      <c r="B273" t="s">
        <v>65</v>
      </c>
      <c r="C273" s="2">
        <v>46098</v>
      </c>
      <c r="D273" s="2">
        <f t="shared" si="28"/>
        <v>46143</v>
      </c>
      <c r="F273">
        <v>3267</v>
      </c>
      <c r="G273">
        <v>45</v>
      </c>
      <c r="H273">
        <f t="shared" si="27"/>
        <v>0</v>
      </c>
      <c r="I273" t="str">
        <f t="shared" si="25"/>
        <v>On Time</v>
      </c>
      <c r="J273" cm="1">
        <f t="array" ref="J273">_xlfn.IFS(H273&lt;30,0,H273&lt;60,1,H273&lt;90,2,H273&lt;120,3)</f>
        <v>0</v>
      </c>
      <c r="M273" t="str">
        <f t="shared" si="26"/>
        <v>Low</v>
      </c>
      <c r="N273" t="str">
        <f t="shared" si="29"/>
        <v>Mar</v>
      </c>
      <c r="O273">
        <f t="shared" si="30"/>
        <v>2026</v>
      </c>
    </row>
    <row r="274" spans="1:15" x14ac:dyDescent="0.3">
      <c r="A274">
        <v>204266</v>
      </c>
      <c r="B274" t="s">
        <v>94</v>
      </c>
      <c r="C274" s="2">
        <v>46098</v>
      </c>
      <c r="D274" s="2">
        <f t="shared" si="28"/>
        <v>46128</v>
      </c>
      <c r="F274">
        <v>2639</v>
      </c>
      <c r="G274">
        <v>30</v>
      </c>
      <c r="H274">
        <f t="shared" si="27"/>
        <v>0</v>
      </c>
      <c r="I274" t="str">
        <f t="shared" si="25"/>
        <v>On Time</v>
      </c>
      <c r="J274" cm="1">
        <f t="array" ref="J274">_xlfn.IFS(H274&lt;30,0,H274&lt;60,1,H274&lt;90,2,H274&lt;120,3)</f>
        <v>0</v>
      </c>
      <c r="M274" t="str">
        <f t="shared" si="26"/>
        <v>Low</v>
      </c>
      <c r="N274" t="str">
        <f t="shared" si="29"/>
        <v>Mar</v>
      </c>
      <c r="O274">
        <f t="shared" si="30"/>
        <v>2026</v>
      </c>
    </row>
    <row r="275" spans="1:15" x14ac:dyDescent="0.3">
      <c r="A275">
        <v>204267</v>
      </c>
      <c r="B275" t="s">
        <v>95</v>
      </c>
      <c r="C275" s="2">
        <v>46098</v>
      </c>
      <c r="D275" s="2">
        <f t="shared" si="28"/>
        <v>46143</v>
      </c>
      <c r="F275">
        <v>1205</v>
      </c>
      <c r="G275">
        <v>45</v>
      </c>
      <c r="H275">
        <f t="shared" si="27"/>
        <v>0</v>
      </c>
      <c r="I275" t="str">
        <f t="shared" si="25"/>
        <v>On Time</v>
      </c>
      <c r="J275" cm="1">
        <f t="array" ref="J275">_xlfn.IFS(H275&lt;30,0,H275&lt;60,1,H275&lt;90,2,H275&lt;120,3)</f>
        <v>0</v>
      </c>
      <c r="M275" t="str">
        <f t="shared" si="26"/>
        <v>Low</v>
      </c>
      <c r="N275" t="str">
        <f t="shared" si="29"/>
        <v>Mar</v>
      </c>
      <c r="O275">
        <f t="shared" si="30"/>
        <v>2026</v>
      </c>
    </row>
    <row r="276" spans="1:15" x14ac:dyDescent="0.3">
      <c r="A276">
        <v>204268</v>
      </c>
      <c r="B276" t="s">
        <v>96</v>
      </c>
      <c r="C276" s="2">
        <v>46098</v>
      </c>
      <c r="D276" s="2">
        <f t="shared" si="28"/>
        <v>46158</v>
      </c>
      <c r="F276">
        <v>1061</v>
      </c>
      <c r="G276">
        <v>60</v>
      </c>
      <c r="H276">
        <f t="shared" si="27"/>
        <v>0</v>
      </c>
      <c r="I276" t="str">
        <f t="shared" si="25"/>
        <v>On Time</v>
      </c>
      <c r="J276" cm="1">
        <f t="array" ref="J276">_xlfn.IFS(H276&lt;30,0,H276&lt;60,1,H276&lt;90,2,H276&lt;120,3)</f>
        <v>0</v>
      </c>
      <c r="M276" t="str">
        <f t="shared" si="26"/>
        <v>Low</v>
      </c>
      <c r="N276" t="str">
        <f t="shared" si="29"/>
        <v>Mar</v>
      </c>
      <c r="O276">
        <f t="shared" si="30"/>
        <v>2026</v>
      </c>
    </row>
    <row r="277" spans="1:15" x14ac:dyDescent="0.3">
      <c r="A277">
        <v>204269</v>
      </c>
      <c r="B277" t="s">
        <v>97</v>
      </c>
      <c r="C277" s="2">
        <v>46098</v>
      </c>
      <c r="D277" s="2">
        <f t="shared" si="28"/>
        <v>46128</v>
      </c>
      <c r="F277">
        <v>4265</v>
      </c>
      <c r="G277">
        <v>30</v>
      </c>
      <c r="H277">
        <f t="shared" si="27"/>
        <v>0</v>
      </c>
      <c r="I277" t="str">
        <f t="shared" si="25"/>
        <v>On Time</v>
      </c>
      <c r="J277" cm="1">
        <f t="array" ref="J277">_xlfn.IFS(H277&lt;30,0,H277&lt;60,1,H277&lt;90,2,H277&lt;120,3)</f>
        <v>0</v>
      </c>
      <c r="M277" t="str">
        <f t="shared" si="26"/>
        <v>Low</v>
      </c>
      <c r="N277" t="str">
        <f t="shared" si="29"/>
        <v>Mar</v>
      </c>
      <c r="O277">
        <f t="shared" si="30"/>
        <v>2026</v>
      </c>
    </row>
    <row r="278" spans="1:15" x14ac:dyDescent="0.3">
      <c r="A278">
        <v>204270</v>
      </c>
      <c r="B278" t="s">
        <v>98</v>
      </c>
      <c r="C278" s="2">
        <v>46098</v>
      </c>
      <c r="D278" s="2">
        <f t="shared" si="28"/>
        <v>46128</v>
      </c>
      <c r="F278">
        <v>2161</v>
      </c>
      <c r="G278">
        <v>30</v>
      </c>
      <c r="H278">
        <f t="shared" si="27"/>
        <v>0</v>
      </c>
      <c r="I278" t="str">
        <f t="shared" ref="I278:I341" si="31">IF(H278=0,"On Time",IF(H278&lt;=15,"Paid Late","Seriously Late"))</f>
        <v>On Time</v>
      </c>
      <c r="J278" cm="1">
        <f t="array" ref="J278">_xlfn.IFS(H278&lt;30,0,H278&lt;60,1,H278&lt;90,2,H278&lt;120,3)</f>
        <v>0</v>
      </c>
      <c r="M278" t="str">
        <f t="shared" ref="M278:M341" si="32">IF(H278&gt;30,"High",IF(H278&gt;10,"Medium","Low"))</f>
        <v>Low</v>
      </c>
      <c r="N278" t="str">
        <f t="shared" si="29"/>
        <v>Mar</v>
      </c>
      <c r="O278">
        <f t="shared" si="30"/>
        <v>2026</v>
      </c>
    </row>
    <row r="279" spans="1:15" x14ac:dyDescent="0.3">
      <c r="A279">
        <v>204271</v>
      </c>
      <c r="B279" t="s">
        <v>99</v>
      </c>
      <c r="C279" s="2">
        <v>46098</v>
      </c>
      <c r="D279" s="2">
        <f t="shared" si="28"/>
        <v>46128</v>
      </c>
      <c r="F279">
        <v>1535</v>
      </c>
      <c r="G279">
        <v>30</v>
      </c>
      <c r="H279">
        <f t="shared" si="27"/>
        <v>0</v>
      </c>
      <c r="I279" t="str">
        <f t="shared" si="31"/>
        <v>On Time</v>
      </c>
      <c r="J279" cm="1">
        <f t="array" ref="J279">_xlfn.IFS(H279&lt;30,0,H279&lt;60,1,H279&lt;90,2,H279&lt;120,3)</f>
        <v>0</v>
      </c>
      <c r="M279" t="str">
        <f t="shared" si="32"/>
        <v>Low</v>
      </c>
      <c r="N279" t="str">
        <f t="shared" si="29"/>
        <v>Mar</v>
      </c>
      <c r="O279">
        <f t="shared" si="30"/>
        <v>2026</v>
      </c>
    </row>
    <row r="280" spans="1:15" x14ac:dyDescent="0.3">
      <c r="A280">
        <v>204272</v>
      </c>
      <c r="B280" t="s">
        <v>100</v>
      </c>
      <c r="C280" s="2">
        <v>46098</v>
      </c>
      <c r="D280" s="2">
        <f t="shared" si="28"/>
        <v>46128</v>
      </c>
      <c r="F280">
        <v>1306</v>
      </c>
      <c r="G280">
        <v>30</v>
      </c>
      <c r="H280">
        <f t="shared" si="27"/>
        <v>0</v>
      </c>
      <c r="I280" t="str">
        <f t="shared" si="31"/>
        <v>On Time</v>
      </c>
      <c r="J280" cm="1">
        <f t="array" ref="J280">_xlfn.IFS(H280&lt;30,0,H280&lt;60,1,H280&lt;90,2,H280&lt;120,3)</f>
        <v>0</v>
      </c>
      <c r="M280" t="str">
        <f t="shared" si="32"/>
        <v>Low</v>
      </c>
      <c r="N280" t="str">
        <f t="shared" si="29"/>
        <v>Mar</v>
      </c>
      <c r="O280">
        <f t="shared" si="30"/>
        <v>2026</v>
      </c>
    </row>
    <row r="281" spans="1:15" x14ac:dyDescent="0.3">
      <c r="A281">
        <v>204273</v>
      </c>
      <c r="B281" t="s">
        <v>101</v>
      </c>
      <c r="C281" s="2">
        <v>46098</v>
      </c>
      <c r="D281" s="2">
        <f t="shared" si="28"/>
        <v>46128</v>
      </c>
      <c r="F281">
        <v>547</v>
      </c>
      <c r="G281">
        <v>30</v>
      </c>
      <c r="H281">
        <f t="shared" si="27"/>
        <v>0</v>
      </c>
      <c r="I281" t="str">
        <f t="shared" si="31"/>
        <v>On Time</v>
      </c>
      <c r="J281" cm="1">
        <f t="array" ref="J281">_xlfn.IFS(H281&lt;30,0,H281&lt;60,1,H281&lt;90,2,H281&lt;120,3)</f>
        <v>0</v>
      </c>
      <c r="M281" t="str">
        <f t="shared" si="32"/>
        <v>Low</v>
      </c>
      <c r="N281" t="str">
        <f t="shared" si="29"/>
        <v>Mar</v>
      </c>
      <c r="O281">
        <f t="shared" si="30"/>
        <v>2026</v>
      </c>
    </row>
    <row r="282" spans="1:15" x14ac:dyDescent="0.3">
      <c r="A282">
        <v>204274</v>
      </c>
      <c r="B282" t="s">
        <v>102</v>
      </c>
      <c r="C282" s="2">
        <v>46098</v>
      </c>
      <c r="D282" s="2">
        <f t="shared" si="28"/>
        <v>46128</v>
      </c>
      <c r="F282">
        <v>4739</v>
      </c>
      <c r="G282">
        <v>30</v>
      </c>
      <c r="H282">
        <f t="shared" si="27"/>
        <v>0</v>
      </c>
      <c r="I282" t="str">
        <f t="shared" si="31"/>
        <v>On Time</v>
      </c>
      <c r="J282" cm="1">
        <f t="array" ref="J282">_xlfn.IFS(H282&lt;30,0,H282&lt;60,1,H282&lt;90,2,H282&lt;120,3)</f>
        <v>0</v>
      </c>
      <c r="M282" t="str">
        <f t="shared" si="32"/>
        <v>Low</v>
      </c>
      <c r="N282" t="str">
        <f t="shared" si="29"/>
        <v>Mar</v>
      </c>
      <c r="O282">
        <f t="shared" si="30"/>
        <v>2026</v>
      </c>
    </row>
    <row r="283" spans="1:15" x14ac:dyDescent="0.3">
      <c r="A283">
        <v>204275</v>
      </c>
      <c r="B283" t="s">
        <v>103</v>
      </c>
      <c r="C283" s="2">
        <v>46098</v>
      </c>
      <c r="D283" s="2">
        <f t="shared" si="28"/>
        <v>46128</v>
      </c>
      <c r="F283">
        <v>2815</v>
      </c>
      <c r="G283">
        <v>30</v>
      </c>
      <c r="H283">
        <f t="shared" si="27"/>
        <v>0</v>
      </c>
      <c r="I283" t="str">
        <f t="shared" si="31"/>
        <v>On Time</v>
      </c>
      <c r="J283" cm="1">
        <f t="array" ref="J283">_xlfn.IFS(H283&lt;30,0,H283&lt;60,1,H283&lt;90,2,H283&lt;120,3)</f>
        <v>0</v>
      </c>
      <c r="M283" t="str">
        <f t="shared" si="32"/>
        <v>Low</v>
      </c>
      <c r="N283" t="str">
        <f t="shared" si="29"/>
        <v>Mar</v>
      </c>
      <c r="O283">
        <f t="shared" si="30"/>
        <v>2026</v>
      </c>
    </row>
    <row r="284" spans="1:15" x14ac:dyDescent="0.3">
      <c r="A284">
        <v>204276</v>
      </c>
      <c r="B284" t="s">
        <v>104</v>
      </c>
      <c r="C284" s="2">
        <v>46098</v>
      </c>
      <c r="D284" s="2">
        <f t="shared" si="28"/>
        <v>46128</v>
      </c>
      <c r="F284">
        <v>1827</v>
      </c>
      <c r="G284">
        <v>30</v>
      </c>
      <c r="H284">
        <f t="shared" si="27"/>
        <v>0</v>
      </c>
      <c r="I284" t="str">
        <f t="shared" si="31"/>
        <v>On Time</v>
      </c>
      <c r="J284" cm="1">
        <f t="array" ref="J284">_xlfn.IFS(H284&lt;30,0,H284&lt;60,1,H284&lt;90,2,H284&lt;120,3)</f>
        <v>0</v>
      </c>
      <c r="M284" t="str">
        <f t="shared" si="32"/>
        <v>Low</v>
      </c>
      <c r="N284" t="str">
        <f t="shared" si="29"/>
        <v>Mar</v>
      </c>
      <c r="O284">
        <f t="shared" si="30"/>
        <v>2026</v>
      </c>
    </row>
    <row r="285" spans="1:15" x14ac:dyDescent="0.3">
      <c r="A285">
        <v>204277</v>
      </c>
      <c r="B285" t="s">
        <v>105</v>
      </c>
      <c r="C285" s="2">
        <v>46098</v>
      </c>
      <c r="D285" s="2">
        <f t="shared" si="28"/>
        <v>46128</v>
      </c>
      <c r="F285">
        <v>1816</v>
      </c>
      <c r="G285">
        <v>30</v>
      </c>
      <c r="H285">
        <f t="shared" si="27"/>
        <v>0</v>
      </c>
      <c r="I285" t="str">
        <f t="shared" si="31"/>
        <v>On Time</v>
      </c>
      <c r="J285" cm="1">
        <f t="array" ref="J285">_xlfn.IFS(H285&lt;30,0,H285&lt;60,1,H285&lt;90,2,H285&lt;120,3)</f>
        <v>0</v>
      </c>
      <c r="M285" t="str">
        <f t="shared" si="32"/>
        <v>Low</v>
      </c>
      <c r="N285" t="str">
        <f t="shared" si="29"/>
        <v>Mar</v>
      </c>
      <c r="O285">
        <f t="shared" si="30"/>
        <v>2026</v>
      </c>
    </row>
    <row r="286" spans="1:15" x14ac:dyDescent="0.3">
      <c r="A286">
        <v>204278</v>
      </c>
      <c r="B286" t="s">
        <v>114</v>
      </c>
      <c r="C286" s="2">
        <v>46098</v>
      </c>
      <c r="D286" s="2">
        <f t="shared" si="28"/>
        <v>46128</v>
      </c>
      <c r="F286">
        <v>4140</v>
      </c>
      <c r="G286">
        <v>30</v>
      </c>
      <c r="H286">
        <f t="shared" si="27"/>
        <v>0</v>
      </c>
      <c r="I286" t="str">
        <f t="shared" si="31"/>
        <v>On Time</v>
      </c>
      <c r="J286" cm="1">
        <f t="array" ref="J286">_xlfn.IFS(H286&lt;30,0,H286&lt;60,1,H286&lt;90,2,H286&lt;120,3)</f>
        <v>0</v>
      </c>
      <c r="M286" t="str">
        <f t="shared" si="32"/>
        <v>Low</v>
      </c>
      <c r="N286" t="str">
        <f t="shared" si="29"/>
        <v>Mar</v>
      </c>
      <c r="O286">
        <f t="shared" si="30"/>
        <v>2026</v>
      </c>
    </row>
    <row r="287" spans="1:15" x14ac:dyDescent="0.3">
      <c r="A287">
        <v>204279</v>
      </c>
      <c r="B287" t="s">
        <v>115</v>
      </c>
      <c r="C287" s="2">
        <v>46098</v>
      </c>
      <c r="D287" s="2">
        <f t="shared" si="28"/>
        <v>46128</v>
      </c>
      <c r="F287">
        <v>5122</v>
      </c>
      <c r="G287">
        <v>30</v>
      </c>
      <c r="H287">
        <f t="shared" si="27"/>
        <v>0</v>
      </c>
      <c r="I287" t="str">
        <f t="shared" si="31"/>
        <v>On Time</v>
      </c>
      <c r="J287" cm="1">
        <f t="array" ref="J287">_xlfn.IFS(H287&lt;30,0,H287&lt;60,1,H287&lt;90,2,H287&lt;120,3)</f>
        <v>0</v>
      </c>
      <c r="M287" t="str">
        <f t="shared" si="32"/>
        <v>Low</v>
      </c>
      <c r="N287" t="str">
        <f t="shared" si="29"/>
        <v>Mar</v>
      </c>
      <c r="O287">
        <f t="shared" si="30"/>
        <v>2026</v>
      </c>
    </row>
    <row r="288" spans="1:15" x14ac:dyDescent="0.3">
      <c r="A288">
        <v>204280</v>
      </c>
      <c r="B288" t="s">
        <v>116</v>
      </c>
      <c r="C288" s="2">
        <v>46098</v>
      </c>
      <c r="D288" s="2">
        <f t="shared" si="28"/>
        <v>46128</v>
      </c>
      <c r="F288">
        <v>4059</v>
      </c>
      <c r="G288">
        <v>30</v>
      </c>
      <c r="H288">
        <f t="shared" si="27"/>
        <v>0</v>
      </c>
      <c r="I288" t="str">
        <f t="shared" si="31"/>
        <v>On Time</v>
      </c>
      <c r="J288" cm="1">
        <f t="array" ref="J288">_xlfn.IFS(H288&lt;30,0,H288&lt;60,1,H288&lt;90,2,H288&lt;120,3)</f>
        <v>0</v>
      </c>
      <c r="M288" t="str">
        <f t="shared" si="32"/>
        <v>Low</v>
      </c>
      <c r="N288" t="str">
        <f t="shared" si="29"/>
        <v>Mar</v>
      </c>
      <c r="O288">
        <f t="shared" si="30"/>
        <v>2026</v>
      </c>
    </row>
    <row r="289" spans="1:15" x14ac:dyDescent="0.3">
      <c r="A289">
        <v>204281</v>
      </c>
      <c r="B289" t="s">
        <v>117</v>
      </c>
      <c r="C289" s="2">
        <v>46098</v>
      </c>
      <c r="D289" s="2">
        <f t="shared" si="28"/>
        <v>46128</v>
      </c>
      <c r="F289">
        <v>3069</v>
      </c>
      <c r="G289">
        <v>30</v>
      </c>
      <c r="H289">
        <f t="shared" si="27"/>
        <v>0</v>
      </c>
      <c r="I289" t="str">
        <f t="shared" si="31"/>
        <v>On Time</v>
      </c>
      <c r="J289" cm="1">
        <f t="array" ref="J289">_xlfn.IFS(H289&lt;30,0,H289&lt;60,1,H289&lt;90,2,H289&lt;120,3)</f>
        <v>0</v>
      </c>
      <c r="M289" t="str">
        <f t="shared" si="32"/>
        <v>Low</v>
      </c>
      <c r="N289" t="str">
        <f t="shared" si="29"/>
        <v>Mar</v>
      </c>
      <c r="O289">
        <f t="shared" si="30"/>
        <v>2026</v>
      </c>
    </row>
    <row r="290" spans="1:15" x14ac:dyDescent="0.3">
      <c r="A290">
        <v>204282</v>
      </c>
      <c r="B290" t="s">
        <v>118</v>
      </c>
      <c r="C290" s="2">
        <v>46098</v>
      </c>
      <c r="D290" s="2">
        <f t="shared" si="28"/>
        <v>46128</v>
      </c>
      <c r="F290">
        <v>2831</v>
      </c>
      <c r="G290">
        <v>30</v>
      </c>
      <c r="H290">
        <f t="shared" si="27"/>
        <v>0</v>
      </c>
      <c r="I290" t="str">
        <f t="shared" si="31"/>
        <v>On Time</v>
      </c>
      <c r="J290" cm="1">
        <f t="array" ref="J290">_xlfn.IFS(H290&lt;30,0,H290&lt;60,1,H290&lt;90,2,H290&lt;120,3)</f>
        <v>0</v>
      </c>
      <c r="M290" t="str">
        <f t="shared" si="32"/>
        <v>Low</v>
      </c>
      <c r="N290" t="str">
        <f t="shared" si="29"/>
        <v>Mar</v>
      </c>
      <c r="O290">
        <f t="shared" si="30"/>
        <v>2026</v>
      </c>
    </row>
    <row r="291" spans="1:15" x14ac:dyDescent="0.3">
      <c r="A291">
        <v>204283</v>
      </c>
      <c r="B291" t="s">
        <v>119</v>
      </c>
      <c r="C291" s="2">
        <v>46098</v>
      </c>
      <c r="D291" s="2">
        <f t="shared" si="28"/>
        <v>46128</v>
      </c>
      <c r="F291">
        <v>7736</v>
      </c>
      <c r="G291">
        <v>30</v>
      </c>
      <c r="H291">
        <f t="shared" si="27"/>
        <v>0</v>
      </c>
      <c r="I291" t="str">
        <f t="shared" si="31"/>
        <v>On Time</v>
      </c>
      <c r="J291" cm="1">
        <f t="array" ref="J291">_xlfn.IFS(H291&lt;30,0,H291&lt;60,1,H291&lt;90,2,H291&lt;120,3)</f>
        <v>0</v>
      </c>
      <c r="M291" t="str">
        <f t="shared" si="32"/>
        <v>Low</v>
      </c>
      <c r="N291" t="str">
        <f t="shared" si="29"/>
        <v>Mar</v>
      </c>
      <c r="O291">
        <f t="shared" si="30"/>
        <v>2026</v>
      </c>
    </row>
    <row r="292" spans="1:15" x14ac:dyDescent="0.3">
      <c r="A292">
        <v>204284</v>
      </c>
      <c r="B292" t="s">
        <v>31</v>
      </c>
      <c r="C292" s="2">
        <v>46098</v>
      </c>
      <c r="D292" s="2">
        <f t="shared" si="28"/>
        <v>46143</v>
      </c>
      <c r="F292">
        <v>4781</v>
      </c>
      <c r="G292">
        <v>45</v>
      </c>
      <c r="H292">
        <f t="shared" si="27"/>
        <v>0</v>
      </c>
      <c r="I292" t="str">
        <f t="shared" si="31"/>
        <v>On Time</v>
      </c>
      <c r="J292" cm="1">
        <f t="array" ref="J292">_xlfn.IFS(H292&lt;30,0,H292&lt;60,1,H292&lt;90,2,H292&lt;120,3)</f>
        <v>0</v>
      </c>
      <c r="M292" t="str">
        <f t="shared" si="32"/>
        <v>Low</v>
      </c>
      <c r="N292" t="str">
        <f t="shared" si="29"/>
        <v>Mar</v>
      </c>
      <c r="O292">
        <f t="shared" si="30"/>
        <v>2026</v>
      </c>
    </row>
    <row r="293" spans="1:15" x14ac:dyDescent="0.3">
      <c r="A293">
        <v>204285</v>
      </c>
      <c r="B293" t="s">
        <v>32</v>
      </c>
      <c r="C293" s="2">
        <v>46098</v>
      </c>
      <c r="D293" s="2">
        <f t="shared" si="28"/>
        <v>46143</v>
      </c>
      <c r="F293">
        <v>4896</v>
      </c>
      <c r="G293">
        <v>45</v>
      </c>
      <c r="H293">
        <f t="shared" si="27"/>
        <v>0</v>
      </c>
      <c r="I293" t="str">
        <f t="shared" si="31"/>
        <v>On Time</v>
      </c>
      <c r="J293" cm="1">
        <f t="array" ref="J293">_xlfn.IFS(H293&lt;30,0,H293&lt;60,1,H293&lt;90,2,H293&lt;120,3)</f>
        <v>0</v>
      </c>
      <c r="M293" t="str">
        <f t="shared" si="32"/>
        <v>Low</v>
      </c>
      <c r="N293" t="str">
        <f t="shared" si="29"/>
        <v>Mar</v>
      </c>
      <c r="O293">
        <f t="shared" si="30"/>
        <v>2026</v>
      </c>
    </row>
    <row r="294" spans="1:15" x14ac:dyDescent="0.3">
      <c r="A294">
        <v>204243</v>
      </c>
      <c r="B294" t="s">
        <v>21</v>
      </c>
      <c r="C294" s="2">
        <v>46097</v>
      </c>
      <c r="D294" s="2">
        <f t="shared" si="28"/>
        <v>46127</v>
      </c>
      <c r="F294">
        <v>2450</v>
      </c>
      <c r="G294">
        <v>30</v>
      </c>
      <c r="H294">
        <f t="shared" ref="H294:H357" si="33">MAX(0,P259-D294)</f>
        <v>0</v>
      </c>
      <c r="I294" t="str">
        <f t="shared" si="31"/>
        <v>On Time</v>
      </c>
      <c r="J294" cm="1">
        <f t="array" ref="J294">_xlfn.IFS(H294&lt;30,0,H294&lt;60,1,H294&lt;90,2,H294&lt;120,3)</f>
        <v>0</v>
      </c>
      <c r="M294" t="str">
        <f t="shared" si="32"/>
        <v>Low</v>
      </c>
      <c r="N294" t="str">
        <f t="shared" si="29"/>
        <v>Mar</v>
      </c>
      <c r="O294">
        <f t="shared" si="30"/>
        <v>2026</v>
      </c>
    </row>
    <row r="295" spans="1:15" x14ac:dyDescent="0.3">
      <c r="A295">
        <v>204244</v>
      </c>
      <c r="B295" t="s">
        <v>22</v>
      </c>
      <c r="C295" s="2">
        <v>46097</v>
      </c>
      <c r="D295" s="2">
        <f t="shared" si="28"/>
        <v>46127</v>
      </c>
      <c r="F295">
        <v>1440</v>
      </c>
      <c r="G295">
        <v>30</v>
      </c>
      <c r="H295">
        <f t="shared" si="33"/>
        <v>0</v>
      </c>
      <c r="I295" t="str">
        <f t="shared" si="31"/>
        <v>On Time</v>
      </c>
      <c r="J295" cm="1">
        <f t="array" ref="J295">_xlfn.IFS(H295&lt;30,0,H295&lt;60,1,H295&lt;90,2,H295&lt;120,3)</f>
        <v>0</v>
      </c>
      <c r="M295" t="str">
        <f t="shared" si="32"/>
        <v>Low</v>
      </c>
      <c r="N295" t="str">
        <f t="shared" si="29"/>
        <v>Mar</v>
      </c>
      <c r="O295">
        <f t="shared" si="30"/>
        <v>2026</v>
      </c>
    </row>
    <row r="296" spans="1:15" x14ac:dyDescent="0.3">
      <c r="A296">
        <v>204245</v>
      </c>
      <c r="B296" t="s">
        <v>23</v>
      </c>
      <c r="C296" s="2">
        <v>46097</v>
      </c>
      <c r="D296" s="2">
        <f t="shared" si="28"/>
        <v>46142</v>
      </c>
      <c r="F296">
        <v>4376</v>
      </c>
      <c r="G296">
        <v>45</v>
      </c>
      <c r="H296">
        <f t="shared" si="33"/>
        <v>0</v>
      </c>
      <c r="I296" t="str">
        <f t="shared" si="31"/>
        <v>On Time</v>
      </c>
      <c r="J296" cm="1">
        <f t="array" ref="J296">_xlfn.IFS(H296&lt;30,0,H296&lt;60,1,H296&lt;90,2,H296&lt;120,3)</f>
        <v>0</v>
      </c>
      <c r="M296" t="str">
        <f t="shared" si="32"/>
        <v>Low</v>
      </c>
      <c r="N296" t="str">
        <f t="shared" si="29"/>
        <v>Mar</v>
      </c>
      <c r="O296">
        <f t="shared" si="30"/>
        <v>2026</v>
      </c>
    </row>
    <row r="297" spans="1:15" x14ac:dyDescent="0.3">
      <c r="A297">
        <v>204246</v>
      </c>
      <c r="B297" t="s">
        <v>24</v>
      </c>
      <c r="C297" s="2">
        <v>46097</v>
      </c>
      <c r="D297" s="2">
        <f t="shared" si="28"/>
        <v>46142</v>
      </c>
      <c r="F297">
        <v>364</v>
      </c>
      <c r="G297">
        <v>45</v>
      </c>
      <c r="H297">
        <f t="shared" si="33"/>
        <v>0</v>
      </c>
      <c r="I297" t="str">
        <f t="shared" si="31"/>
        <v>On Time</v>
      </c>
      <c r="J297" cm="1">
        <f t="array" ref="J297">_xlfn.IFS(H297&lt;30,0,H297&lt;60,1,H297&lt;90,2,H297&lt;120,3)</f>
        <v>0</v>
      </c>
      <c r="M297" t="str">
        <f t="shared" si="32"/>
        <v>Low</v>
      </c>
      <c r="N297" t="str">
        <f t="shared" si="29"/>
        <v>Mar</v>
      </c>
      <c r="O297">
        <f t="shared" si="30"/>
        <v>2026</v>
      </c>
    </row>
    <row r="298" spans="1:15" x14ac:dyDescent="0.3">
      <c r="A298">
        <v>204247</v>
      </c>
      <c r="B298" t="s">
        <v>25</v>
      </c>
      <c r="C298" s="2">
        <v>46097</v>
      </c>
      <c r="D298" s="2">
        <f t="shared" si="28"/>
        <v>46157</v>
      </c>
      <c r="F298">
        <v>1544</v>
      </c>
      <c r="G298">
        <v>60</v>
      </c>
      <c r="H298">
        <f t="shared" si="33"/>
        <v>0</v>
      </c>
      <c r="I298" t="str">
        <f t="shared" si="31"/>
        <v>On Time</v>
      </c>
      <c r="J298" cm="1">
        <f t="array" ref="J298">_xlfn.IFS(H298&lt;30,0,H298&lt;60,1,H298&lt;90,2,H298&lt;120,3)</f>
        <v>0</v>
      </c>
      <c r="M298" t="str">
        <f t="shared" si="32"/>
        <v>Low</v>
      </c>
      <c r="N298" t="str">
        <f t="shared" si="29"/>
        <v>Mar</v>
      </c>
      <c r="O298">
        <f t="shared" si="30"/>
        <v>2026</v>
      </c>
    </row>
    <row r="299" spans="1:15" x14ac:dyDescent="0.3">
      <c r="A299">
        <v>204248</v>
      </c>
      <c r="B299" t="s">
        <v>26</v>
      </c>
      <c r="C299" s="2">
        <v>46097</v>
      </c>
      <c r="D299" s="2">
        <f t="shared" si="28"/>
        <v>46127</v>
      </c>
      <c r="F299">
        <v>4963</v>
      </c>
      <c r="G299">
        <v>30</v>
      </c>
      <c r="H299">
        <f t="shared" si="33"/>
        <v>0</v>
      </c>
      <c r="I299" t="str">
        <f t="shared" si="31"/>
        <v>On Time</v>
      </c>
      <c r="J299" cm="1">
        <f t="array" ref="J299">_xlfn.IFS(H299&lt;30,0,H299&lt;60,1,H299&lt;90,2,H299&lt;120,3)</f>
        <v>0</v>
      </c>
      <c r="M299" t="str">
        <f t="shared" si="32"/>
        <v>Low</v>
      </c>
      <c r="N299" t="str">
        <f t="shared" si="29"/>
        <v>Mar</v>
      </c>
      <c r="O299">
        <f t="shared" si="30"/>
        <v>2026</v>
      </c>
    </row>
    <row r="300" spans="1:15" x14ac:dyDescent="0.3">
      <c r="A300">
        <v>204249</v>
      </c>
      <c r="B300" t="s">
        <v>27</v>
      </c>
      <c r="C300" s="2">
        <v>46097</v>
      </c>
      <c r="D300" s="2">
        <f t="shared" si="28"/>
        <v>46157</v>
      </c>
      <c r="F300">
        <v>5750</v>
      </c>
      <c r="G300">
        <v>60</v>
      </c>
      <c r="H300">
        <f t="shared" si="33"/>
        <v>0</v>
      </c>
      <c r="I300" t="str">
        <f t="shared" si="31"/>
        <v>On Time</v>
      </c>
      <c r="J300" cm="1">
        <f t="array" ref="J300">_xlfn.IFS(H300&lt;30,0,H300&lt;60,1,H300&lt;90,2,H300&lt;120,3)</f>
        <v>0</v>
      </c>
      <c r="M300" t="str">
        <f t="shared" si="32"/>
        <v>Low</v>
      </c>
      <c r="N300" t="str">
        <f t="shared" si="29"/>
        <v>Mar</v>
      </c>
      <c r="O300">
        <f t="shared" si="30"/>
        <v>2026</v>
      </c>
    </row>
    <row r="301" spans="1:15" x14ac:dyDescent="0.3">
      <c r="A301">
        <v>204250</v>
      </c>
      <c r="B301" t="s">
        <v>28</v>
      </c>
      <c r="C301" s="2">
        <v>46097</v>
      </c>
      <c r="D301" s="2">
        <f t="shared" si="28"/>
        <v>46127</v>
      </c>
      <c r="F301">
        <v>4625</v>
      </c>
      <c r="G301">
        <v>30</v>
      </c>
      <c r="H301">
        <f t="shared" si="33"/>
        <v>0</v>
      </c>
      <c r="I301" t="str">
        <f t="shared" si="31"/>
        <v>On Time</v>
      </c>
      <c r="J301" cm="1">
        <f t="array" ref="J301">_xlfn.IFS(H301&lt;30,0,H301&lt;60,1,H301&lt;90,2,H301&lt;120,3)</f>
        <v>0</v>
      </c>
      <c r="M301" t="str">
        <f t="shared" si="32"/>
        <v>Low</v>
      </c>
      <c r="N301" t="str">
        <f t="shared" si="29"/>
        <v>Mar</v>
      </c>
      <c r="O301">
        <f t="shared" si="30"/>
        <v>2026</v>
      </c>
    </row>
    <row r="302" spans="1:15" x14ac:dyDescent="0.3">
      <c r="A302">
        <v>204251</v>
      </c>
      <c r="B302" t="s">
        <v>29</v>
      </c>
      <c r="C302" s="2">
        <v>46097</v>
      </c>
      <c r="D302" s="2">
        <f t="shared" si="28"/>
        <v>46127</v>
      </c>
      <c r="F302">
        <v>4985</v>
      </c>
      <c r="G302">
        <v>30</v>
      </c>
      <c r="H302">
        <f t="shared" si="33"/>
        <v>0</v>
      </c>
      <c r="I302" t="str">
        <f t="shared" si="31"/>
        <v>On Time</v>
      </c>
      <c r="J302" cm="1">
        <f t="array" ref="J302">_xlfn.IFS(H302&lt;30,0,H302&lt;60,1,H302&lt;90,2,H302&lt;120,3)</f>
        <v>0</v>
      </c>
      <c r="M302" t="str">
        <f t="shared" si="32"/>
        <v>Low</v>
      </c>
      <c r="N302" t="str">
        <f t="shared" si="29"/>
        <v>Mar</v>
      </c>
      <c r="O302">
        <f t="shared" si="30"/>
        <v>2026</v>
      </c>
    </row>
    <row r="303" spans="1:15" x14ac:dyDescent="0.3">
      <c r="A303">
        <v>204252</v>
      </c>
      <c r="B303" t="s">
        <v>30</v>
      </c>
      <c r="C303" s="2">
        <v>46097</v>
      </c>
      <c r="D303" s="2">
        <f t="shared" si="28"/>
        <v>46127</v>
      </c>
      <c r="F303">
        <v>1931</v>
      </c>
      <c r="G303">
        <v>30</v>
      </c>
      <c r="H303">
        <f t="shared" si="33"/>
        <v>0</v>
      </c>
      <c r="I303" t="str">
        <f t="shared" si="31"/>
        <v>On Time</v>
      </c>
      <c r="J303" cm="1">
        <f t="array" ref="J303">_xlfn.IFS(H303&lt;30,0,H303&lt;60,1,H303&lt;90,2,H303&lt;120,3)</f>
        <v>0</v>
      </c>
      <c r="M303" t="str">
        <f t="shared" si="32"/>
        <v>Low</v>
      </c>
      <c r="N303" t="str">
        <f t="shared" si="29"/>
        <v>Mar</v>
      </c>
      <c r="O303">
        <f t="shared" si="30"/>
        <v>2026</v>
      </c>
    </row>
    <row r="304" spans="1:15" x14ac:dyDescent="0.3">
      <c r="A304">
        <v>204253</v>
      </c>
      <c r="B304" t="s">
        <v>31</v>
      </c>
      <c r="C304" s="2">
        <v>46097</v>
      </c>
      <c r="D304" s="2">
        <f t="shared" si="28"/>
        <v>46142</v>
      </c>
      <c r="F304">
        <v>1339</v>
      </c>
      <c r="G304">
        <v>45</v>
      </c>
      <c r="H304">
        <f t="shared" si="33"/>
        <v>0</v>
      </c>
      <c r="I304" t="str">
        <f t="shared" si="31"/>
        <v>On Time</v>
      </c>
      <c r="J304" cm="1">
        <f t="array" ref="J304">_xlfn.IFS(H304&lt;30,0,H304&lt;60,1,H304&lt;90,2,H304&lt;120,3)</f>
        <v>0</v>
      </c>
      <c r="M304" t="str">
        <f t="shared" si="32"/>
        <v>Low</v>
      </c>
      <c r="N304" t="str">
        <f t="shared" si="29"/>
        <v>Mar</v>
      </c>
      <c r="O304">
        <f t="shared" si="30"/>
        <v>2026</v>
      </c>
    </row>
    <row r="305" spans="1:15" x14ac:dyDescent="0.3">
      <c r="A305">
        <v>204254</v>
      </c>
      <c r="B305" t="s">
        <v>54</v>
      </c>
      <c r="C305" s="2">
        <v>46097</v>
      </c>
      <c r="D305" s="2">
        <f t="shared" si="28"/>
        <v>46127</v>
      </c>
      <c r="F305">
        <v>4723</v>
      </c>
      <c r="G305">
        <v>30</v>
      </c>
      <c r="H305">
        <f t="shared" si="33"/>
        <v>0</v>
      </c>
      <c r="I305" t="str">
        <f t="shared" si="31"/>
        <v>On Time</v>
      </c>
      <c r="J305" cm="1">
        <f t="array" ref="J305">_xlfn.IFS(H305&lt;30,0,H305&lt;60,1,H305&lt;90,2,H305&lt;120,3)</f>
        <v>0</v>
      </c>
      <c r="M305" t="str">
        <f t="shared" si="32"/>
        <v>Low</v>
      </c>
      <c r="N305" t="str">
        <f t="shared" si="29"/>
        <v>Mar</v>
      </c>
      <c r="O305">
        <f t="shared" si="30"/>
        <v>2026</v>
      </c>
    </row>
    <row r="306" spans="1:15" x14ac:dyDescent="0.3">
      <c r="A306">
        <v>204255</v>
      </c>
      <c r="B306" t="s">
        <v>55</v>
      </c>
      <c r="C306" s="2">
        <v>46097</v>
      </c>
      <c r="D306" s="2">
        <f t="shared" si="28"/>
        <v>46127</v>
      </c>
      <c r="F306">
        <v>3081</v>
      </c>
      <c r="G306">
        <v>30</v>
      </c>
      <c r="H306">
        <f t="shared" si="33"/>
        <v>0</v>
      </c>
      <c r="I306" t="str">
        <f t="shared" si="31"/>
        <v>On Time</v>
      </c>
      <c r="J306" cm="1">
        <f t="array" ref="J306">_xlfn.IFS(H306&lt;30,0,H306&lt;60,1,H306&lt;90,2,H306&lt;120,3)</f>
        <v>0</v>
      </c>
      <c r="M306" t="str">
        <f t="shared" si="32"/>
        <v>Low</v>
      </c>
      <c r="N306" t="str">
        <f t="shared" si="29"/>
        <v>Mar</v>
      </c>
      <c r="O306">
        <f t="shared" si="30"/>
        <v>2026</v>
      </c>
    </row>
    <row r="307" spans="1:15" x14ac:dyDescent="0.3">
      <c r="A307">
        <v>204256</v>
      </c>
      <c r="B307" t="s">
        <v>56</v>
      </c>
      <c r="C307" s="2">
        <v>46097</v>
      </c>
      <c r="D307" s="2">
        <f t="shared" si="28"/>
        <v>46142</v>
      </c>
      <c r="F307">
        <v>3723</v>
      </c>
      <c r="G307">
        <v>45</v>
      </c>
      <c r="H307">
        <f t="shared" si="33"/>
        <v>0</v>
      </c>
      <c r="I307" t="str">
        <f t="shared" si="31"/>
        <v>On Time</v>
      </c>
      <c r="J307" cm="1">
        <f t="array" ref="J307">_xlfn.IFS(H307&lt;30,0,H307&lt;60,1,H307&lt;90,2,H307&lt;120,3)</f>
        <v>0</v>
      </c>
      <c r="M307" t="str">
        <f t="shared" si="32"/>
        <v>Low</v>
      </c>
      <c r="N307" t="str">
        <f t="shared" si="29"/>
        <v>Mar</v>
      </c>
      <c r="O307">
        <f t="shared" si="30"/>
        <v>2026</v>
      </c>
    </row>
    <row r="308" spans="1:15" x14ac:dyDescent="0.3">
      <c r="A308">
        <v>204257</v>
      </c>
      <c r="B308" t="s">
        <v>57</v>
      </c>
      <c r="C308" s="2">
        <v>46097</v>
      </c>
      <c r="D308" s="2">
        <f t="shared" si="28"/>
        <v>46157</v>
      </c>
      <c r="F308">
        <v>2886</v>
      </c>
      <c r="G308">
        <v>60</v>
      </c>
      <c r="H308">
        <f t="shared" si="33"/>
        <v>0</v>
      </c>
      <c r="I308" t="str">
        <f t="shared" si="31"/>
        <v>On Time</v>
      </c>
      <c r="J308" cm="1">
        <f t="array" ref="J308">_xlfn.IFS(H308&lt;30,0,H308&lt;60,1,H308&lt;90,2,H308&lt;120,3)</f>
        <v>0</v>
      </c>
      <c r="M308" t="str">
        <f t="shared" si="32"/>
        <v>Low</v>
      </c>
      <c r="N308" t="str">
        <f t="shared" si="29"/>
        <v>Mar</v>
      </c>
      <c r="O308">
        <f t="shared" si="30"/>
        <v>2026</v>
      </c>
    </row>
    <row r="309" spans="1:15" x14ac:dyDescent="0.3">
      <c r="A309">
        <v>204258</v>
      </c>
      <c r="B309" t="s">
        <v>58</v>
      </c>
      <c r="C309" s="2">
        <v>46097</v>
      </c>
      <c r="D309" s="2">
        <f t="shared" si="28"/>
        <v>46127</v>
      </c>
      <c r="F309">
        <v>3792</v>
      </c>
      <c r="G309">
        <v>30</v>
      </c>
      <c r="H309">
        <f t="shared" si="33"/>
        <v>0</v>
      </c>
      <c r="I309" t="str">
        <f t="shared" si="31"/>
        <v>On Time</v>
      </c>
      <c r="J309" cm="1">
        <f t="array" ref="J309">_xlfn.IFS(H309&lt;30,0,H309&lt;60,1,H309&lt;90,2,H309&lt;120,3)</f>
        <v>0</v>
      </c>
      <c r="M309" t="str">
        <f t="shared" si="32"/>
        <v>Low</v>
      </c>
      <c r="N309" t="str">
        <f t="shared" si="29"/>
        <v>Mar</v>
      </c>
      <c r="O309">
        <f t="shared" si="30"/>
        <v>2026</v>
      </c>
    </row>
    <row r="310" spans="1:15" x14ac:dyDescent="0.3">
      <c r="A310">
        <v>204259</v>
      </c>
      <c r="B310" t="s">
        <v>59</v>
      </c>
      <c r="C310" s="2">
        <v>46097</v>
      </c>
      <c r="D310" s="2">
        <f t="shared" si="28"/>
        <v>46127</v>
      </c>
      <c r="F310">
        <v>4048</v>
      </c>
      <c r="G310">
        <v>30</v>
      </c>
      <c r="H310">
        <f t="shared" si="33"/>
        <v>0</v>
      </c>
      <c r="I310" t="str">
        <f t="shared" si="31"/>
        <v>On Time</v>
      </c>
      <c r="J310" cm="1">
        <f t="array" ref="J310">_xlfn.IFS(H310&lt;30,0,H310&lt;60,1,H310&lt;90,2,H310&lt;120,3)</f>
        <v>0</v>
      </c>
      <c r="M310" t="str">
        <f t="shared" si="32"/>
        <v>Low</v>
      </c>
      <c r="N310" t="str">
        <f t="shared" si="29"/>
        <v>Mar</v>
      </c>
      <c r="O310">
        <f t="shared" si="30"/>
        <v>2026</v>
      </c>
    </row>
    <row r="311" spans="1:15" x14ac:dyDescent="0.3">
      <c r="A311">
        <v>204260</v>
      </c>
      <c r="B311" t="s">
        <v>60</v>
      </c>
      <c r="C311" s="2">
        <v>46097</v>
      </c>
      <c r="D311" s="2">
        <f t="shared" si="28"/>
        <v>46127</v>
      </c>
      <c r="F311">
        <v>1849</v>
      </c>
      <c r="G311">
        <v>30</v>
      </c>
      <c r="H311">
        <f t="shared" si="33"/>
        <v>0</v>
      </c>
      <c r="I311" t="str">
        <f t="shared" si="31"/>
        <v>On Time</v>
      </c>
      <c r="J311" cm="1">
        <f t="array" ref="J311">_xlfn.IFS(H311&lt;30,0,H311&lt;60,1,H311&lt;90,2,H311&lt;120,3)</f>
        <v>0</v>
      </c>
      <c r="M311" t="str">
        <f t="shared" si="32"/>
        <v>Low</v>
      </c>
      <c r="N311" t="str">
        <f t="shared" si="29"/>
        <v>Mar</v>
      </c>
      <c r="O311">
        <f t="shared" si="30"/>
        <v>2026</v>
      </c>
    </row>
    <row r="312" spans="1:15" x14ac:dyDescent="0.3">
      <c r="A312">
        <v>204261</v>
      </c>
      <c r="B312" t="s">
        <v>61</v>
      </c>
      <c r="C312" s="2">
        <v>46097</v>
      </c>
      <c r="D312" s="2">
        <f t="shared" si="28"/>
        <v>46127</v>
      </c>
      <c r="F312">
        <v>1482</v>
      </c>
      <c r="G312">
        <v>30</v>
      </c>
      <c r="H312">
        <f t="shared" si="33"/>
        <v>0</v>
      </c>
      <c r="I312" t="str">
        <f t="shared" si="31"/>
        <v>On Time</v>
      </c>
      <c r="J312" cm="1">
        <f t="array" ref="J312">_xlfn.IFS(H312&lt;30,0,H312&lt;60,1,H312&lt;90,2,H312&lt;120,3)</f>
        <v>0</v>
      </c>
      <c r="M312" t="str">
        <f t="shared" si="32"/>
        <v>Low</v>
      </c>
      <c r="N312" t="str">
        <f t="shared" si="29"/>
        <v>Mar</v>
      </c>
      <c r="O312">
        <f t="shared" si="30"/>
        <v>2026</v>
      </c>
    </row>
    <row r="313" spans="1:15" x14ac:dyDescent="0.3">
      <c r="A313">
        <v>204262</v>
      </c>
      <c r="B313" t="s">
        <v>62</v>
      </c>
      <c r="C313" s="2">
        <v>46097</v>
      </c>
      <c r="D313" s="2">
        <f t="shared" si="28"/>
        <v>46127</v>
      </c>
      <c r="F313">
        <v>15874</v>
      </c>
      <c r="G313">
        <v>30</v>
      </c>
      <c r="H313">
        <f t="shared" si="33"/>
        <v>0</v>
      </c>
      <c r="I313" t="str">
        <f t="shared" si="31"/>
        <v>On Time</v>
      </c>
      <c r="J313" cm="1">
        <f t="array" ref="J313">_xlfn.IFS(H313&lt;30,0,H313&lt;60,1,H313&lt;90,2,H313&lt;120,3)</f>
        <v>0</v>
      </c>
      <c r="M313" t="str">
        <f t="shared" si="32"/>
        <v>Low</v>
      </c>
      <c r="N313" t="str">
        <f t="shared" si="29"/>
        <v>Mar</v>
      </c>
      <c r="O313">
        <f t="shared" si="30"/>
        <v>2026</v>
      </c>
    </row>
    <row r="314" spans="1:15" x14ac:dyDescent="0.3">
      <c r="A314">
        <v>204263</v>
      </c>
      <c r="B314" t="s">
        <v>63</v>
      </c>
      <c r="C314" s="2">
        <v>46097</v>
      </c>
      <c r="D314" s="2">
        <f t="shared" si="28"/>
        <v>46127</v>
      </c>
      <c r="F314">
        <v>777</v>
      </c>
      <c r="G314">
        <v>30</v>
      </c>
      <c r="H314">
        <f t="shared" si="33"/>
        <v>0</v>
      </c>
      <c r="I314" t="str">
        <f t="shared" si="31"/>
        <v>On Time</v>
      </c>
      <c r="J314" cm="1">
        <f t="array" ref="J314">_xlfn.IFS(H314&lt;30,0,H314&lt;60,1,H314&lt;90,2,H314&lt;120,3)</f>
        <v>0</v>
      </c>
      <c r="M314" t="str">
        <f t="shared" si="32"/>
        <v>Low</v>
      </c>
      <c r="N314" t="str">
        <f t="shared" si="29"/>
        <v>Mar</v>
      </c>
      <c r="O314">
        <f t="shared" si="30"/>
        <v>2026</v>
      </c>
    </row>
    <row r="315" spans="1:15" x14ac:dyDescent="0.3">
      <c r="A315">
        <v>204219</v>
      </c>
      <c r="B315" t="s">
        <v>105</v>
      </c>
      <c r="C315" s="2">
        <v>46094</v>
      </c>
      <c r="D315" s="2">
        <f t="shared" si="28"/>
        <v>46124</v>
      </c>
      <c r="F315">
        <v>3902</v>
      </c>
      <c r="G315">
        <v>30</v>
      </c>
      <c r="H315">
        <f t="shared" si="33"/>
        <v>0</v>
      </c>
      <c r="I315" t="str">
        <f t="shared" si="31"/>
        <v>On Time</v>
      </c>
      <c r="J315" cm="1">
        <f t="array" ref="J315">_xlfn.IFS(H315&lt;30,0,H315&lt;60,1,H315&lt;90,2,H315&lt;120,3)</f>
        <v>0</v>
      </c>
      <c r="M315" t="str">
        <f t="shared" si="32"/>
        <v>Low</v>
      </c>
      <c r="N315" t="str">
        <f t="shared" si="29"/>
        <v>Mar</v>
      </c>
      <c r="O315">
        <f t="shared" si="30"/>
        <v>2026</v>
      </c>
    </row>
    <row r="316" spans="1:15" x14ac:dyDescent="0.3">
      <c r="A316">
        <v>204220</v>
      </c>
      <c r="B316" t="s">
        <v>106</v>
      </c>
      <c r="C316" s="2">
        <v>46094</v>
      </c>
      <c r="D316" s="2">
        <f t="shared" si="28"/>
        <v>46124</v>
      </c>
      <c r="F316">
        <v>1633</v>
      </c>
      <c r="G316">
        <v>30</v>
      </c>
      <c r="H316">
        <f t="shared" si="33"/>
        <v>0</v>
      </c>
      <c r="I316" t="str">
        <f t="shared" si="31"/>
        <v>On Time</v>
      </c>
      <c r="J316" cm="1">
        <f t="array" ref="J316">_xlfn.IFS(H316&lt;30,0,H316&lt;60,1,H316&lt;90,2,H316&lt;120,3)</f>
        <v>0</v>
      </c>
      <c r="M316" t="str">
        <f t="shared" si="32"/>
        <v>Low</v>
      </c>
      <c r="N316" t="str">
        <f t="shared" si="29"/>
        <v>Mar</v>
      </c>
      <c r="O316">
        <f t="shared" si="30"/>
        <v>2026</v>
      </c>
    </row>
    <row r="317" spans="1:15" x14ac:dyDescent="0.3">
      <c r="A317">
        <v>204221</v>
      </c>
      <c r="B317" t="s">
        <v>107</v>
      </c>
      <c r="C317" s="2">
        <v>46094</v>
      </c>
      <c r="D317" s="2">
        <f t="shared" si="28"/>
        <v>46124</v>
      </c>
      <c r="F317">
        <v>7769</v>
      </c>
      <c r="G317">
        <v>30</v>
      </c>
      <c r="H317">
        <f t="shared" si="33"/>
        <v>0</v>
      </c>
      <c r="I317" t="str">
        <f t="shared" si="31"/>
        <v>On Time</v>
      </c>
      <c r="J317" cm="1">
        <f t="array" ref="J317">_xlfn.IFS(H317&lt;30,0,H317&lt;60,1,H317&lt;90,2,H317&lt;120,3)</f>
        <v>0</v>
      </c>
      <c r="M317" t="str">
        <f t="shared" si="32"/>
        <v>Low</v>
      </c>
      <c r="N317" t="str">
        <f t="shared" si="29"/>
        <v>Mar</v>
      </c>
      <c r="O317">
        <f t="shared" si="30"/>
        <v>2026</v>
      </c>
    </row>
    <row r="318" spans="1:15" x14ac:dyDescent="0.3">
      <c r="A318">
        <v>204222</v>
      </c>
      <c r="B318" t="s">
        <v>56</v>
      </c>
      <c r="C318" s="2">
        <v>46094</v>
      </c>
      <c r="D318" s="2">
        <f t="shared" si="28"/>
        <v>46139</v>
      </c>
      <c r="F318">
        <v>2652</v>
      </c>
      <c r="G318">
        <v>45</v>
      </c>
      <c r="H318">
        <f t="shared" si="33"/>
        <v>0</v>
      </c>
      <c r="I318" t="str">
        <f t="shared" si="31"/>
        <v>On Time</v>
      </c>
      <c r="J318" cm="1">
        <f t="array" ref="J318">_xlfn.IFS(H318&lt;30,0,H318&lt;60,1,H318&lt;90,2,H318&lt;120,3)</f>
        <v>0</v>
      </c>
      <c r="M318" t="str">
        <f t="shared" si="32"/>
        <v>Low</v>
      </c>
      <c r="N318" t="str">
        <f t="shared" si="29"/>
        <v>Mar</v>
      </c>
      <c r="O318">
        <f t="shared" si="30"/>
        <v>2026</v>
      </c>
    </row>
    <row r="319" spans="1:15" x14ac:dyDescent="0.3">
      <c r="A319">
        <v>204223</v>
      </c>
      <c r="B319" t="s">
        <v>57</v>
      </c>
      <c r="C319" s="2">
        <v>46094</v>
      </c>
      <c r="D319" s="2">
        <f t="shared" si="28"/>
        <v>46154</v>
      </c>
      <c r="F319">
        <v>4718</v>
      </c>
      <c r="G319">
        <v>60</v>
      </c>
      <c r="H319">
        <f t="shared" si="33"/>
        <v>0</v>
      </c>
      <c r="I319" t="str">
        <f t="shared" si="31"/>
        <v>On Time</v>
      </c>
      <c r="J319" cm="1">
        <f t="array" ref="J319">_xlfn.IFS(H319&lt;30,0,H319&lt;60,1,H319&lt;90,2,H319&lt;120,3)</f>
        <v>0</v>
      </c>
      <c r="M319" t="str">
        <f t="shared" si="32"/>
        <v>Low</v>
      </c>
      <c r="N319" t="str">
        <f t="shared" si="29"/>
        <v>Mar</v>
      </c>
      <c r="O319">
        <f t="shared" si="30"/>
        <v>2026</v>
      </c>
    </row>
    <row r="320" spans="1:15" x14ac:dyDescent="0.3">
      <c r="A320">
        <v>204224</v>
      </c>
      <c r="B320" t="s">
        <v>58</v>
      </c>
      <c r="C320" s="2">
        <v>46094</v>
      </c>
      <c r="D320" s="2">
        <f t="shared" si="28"/>
        <v>46124</v>
      </c>
      <c r="F320">
        <v>1824</v>
      </c>
      <c r="G320">
        <v>30</v>
      </c>
      <c r="H320">
        <f t="shared" si="33"/>
        <v>0</v>
      </c>
      <c r="I320" t="str">
        <f t="shared" si="31"/>
        <v>On Time</v>
      </c>
      <c r="J320" cm="1">
        <f t="array" ref="J320">_xlfn.IFS(H320&lt;30,0,H320&lt;60,1,H320&lt;90,2,H320&lt;120,3)</f>
        <v>0</v>
      </c>
      <c r="M320" t="str">
        <f t="shared" si="32"/>
        <v>Low</v>
      </c>
      <c r="N320" t="str">
        <f t="shared" si="29"/>
        <v>Mar</v>
      </c>
      <c r="O320">
        <f t="shared" si="30"/>
        <v>2026</v>
      </c>
    </row>
    <row r="321" spans="1:15" x14ac:dyDescent="0.3">
      <c r="A321">
        <v>204225</v>
      </c>
      <c r="B321" t="s">
        <v>59</v>
      </c>
      <c r="C321" s="2">
        <v>46094</v>
      </c>
      <c r="D321" s="2">
        <f t="shared" si="28"/>
        <v>46124</v>
      </c>
      <c r="F321">
        <v>3935</v>
      </c>
      <c r="G321">
        <v>30</v>
      </c>
      <c r="H321">
        <f t="shared" si="33"/>
        <v>0</v>
      </c>
      <c r="I321" t="str">
        <f t="shared" si="31"/>
        <v>On Time</v>
      </c>
      <c r="J321" cm="1">
        <f t="array" ref="J321">_xlfn.IFS(H321&lt;30,0,H321&lt;60,1,H321&lt;90,2,H321&lt;120,3)</f>
        <v>0</v>
      </c>
      <c r="M321" t="str">
        <f t="shared" si="32"/>
        <v>Low</v>
      </c>
      <c r="N321" t="str">
        <f t="shared" si="29"/>
        <v>Mar</v>
      </c>
      <c r="O321">
        <f t="shared" si="30"/>
        <v>2026</v>
      </c>
    </row>
    <row r="322" spans="1:15" x14ac:dyDescent="0.3">
      <c r="A322">
        <v>204226</v>
      </c>
      <c r="B322" t="s">
        <v>60</v>
      </c>
      <c r="C322" s="2">
        <v>46094</v>
      </c>
      <c r="D322" s="2">
        <f t="shared" ref="D322:D385" si="34">C322+G322</f>
        <v>46124</v>
      </c>
      <c r="F322">
        <v>723</v>
      </c>
      <c r="G322">
        <v>30</v>
      </c>
      <c r="H322">
        <f t="shared" si="33"/>
        <v>0</v>
      </c>
      <c r="I322" t="str">
        <f t="shared" si="31"/>
        <v>On Time</v>
      </c>
      <c r="J322" cm="1">
        <f t="array" ref="J322">_xlfn.IFS(H322&lt;30,0,H322&lt;60,1,H322&lt;90,2,H322&lt;120,3)</f>
        <v>0</v>
      </c>
      <c r="M322" t="str">
        <f t="shared" si="32"/>
        <v>Low</v>
      </c>
      <c r="N322" t="str">
        <f t="shared" ref="N322:N385" si="35">TEXT(C322,"mmm")</f>
        <v>Mar</v>
      </c>
      <c r="O322">
        <f t="shared" ref="O322:O385" si="36">YEAR(C322)</f>
        <v>2026</v>
      </c>
    </row>
    <row r="323" spans="1:15" x14ac:dyDescent="0.3">
      <c r="A323">
        <v>204227</v>
      </c>
      <c r="B323" t="s">
        <v>61</v>
      </c>
      <c r="C323" s="2">
        <v>46094</v>
      </c>
      <c r="D323" s="2">
        <f t="shared" si="34"/>
        <v>46124</v>
      </c>
      <c r="F323">
        <v>2613</v>
      </c>
      <c r="G323">
        <v>30</v>
      </c>
      <c r="H323">
        <f t="shared" si="33"/>
        <v>0</v>
      </c>
      <c r="I323" t="str">
        <f t="shared" si="31"/>
        <v>On Time</v>
      </c>
      <c r="J323" cm="1">
        <f t="array" ref="J323">_xlfn.IFS(H323&lt;30,0,H323&lt;60,1,H323&lt;90,2,H323&lt;120,3)</f>
        <v>0</v>
      </c>
      <c r="M323" t="str">
        <f t="shared" si="32"/>
        <v>Low</v>
      </c>
      <c r="N323" t="str">
        <f t="shared" si="35"/>
        <v>Mar</v>
      </c>
      <c r="O323">
        <f t="shared" si="36"/>
        <v>2026</v>
      </c>
    </row>
    <row r="324" spans="1:15" x14ac:dyDescent="0.3">
      <c r="A324">
        <v>204228</v>
      </c>
      <c r="B324" t="s">
        <v>62</v>
      </c>
      <c r="C324" s="2">
        <v>46094</v>
      </c>
      <c r="D324" s="2">
        <f t="shared" si="34"/>
        <v>46124</v>
      </c>
      <c r="F324">
        <v>3242</v>
      </c>
      <c r="G324">
        <v>30</v>
      </c>
      <c r="H324">
        <f t="shared" si="33"/>
        <v>0</v>
      </c>
      <c r="I324" t="str">
        <f t="shared" si="31"/>
        <v>On Time</v>
      </c>
      <c r="J324" cm="1">
        <f t="array" ref="J324">_xlfn.IFS(H324&lt;30,0,H324&lt;60,1,H324&lt;90,2,H324&lt;120,3)</f>
        <v>0</v>
      </c>
      <c r="M324" t="str">
        <f t="shared" si="32"/>
        <v>Low</v>
      </c>
      <c r="N324" t="str">
        <f t="shared" si="35"/>
        <v>Mar</v>
      </c>
      <c r="O324">
        <f t="shared" si="36"/>
        <v>2026</v>
      </c>
    </row>
    <row r="325" spans="1:15" x14ac:dyDescent="0.3">
      <c r="A325">
        <v>204229</v>
      </c>
      <c r="B325" t="s">
        <v>63</v>
      </c>
      <c r="C325" s="2">
        <v>46094</v>
      </c>
      <c r="D325" s="2">
        <f t="shared" si="34"/>
        <v>46124</v>
      </c>
      <c r="F325">
        <v>3478</v>
      </c>
      <c r="G325">
        <v>30</v>
      </c>
      <c r="H325">
        <f t="shared" si="33"/>
        <v>0</v>
      </c>
      <c r="I325" t="str">
        <f t="shared" si="31"/>
        <v>On Time</v>
      </c>
      <c r="J325" cm="1">
        <f t="array" ref="J325">_xlfn.IFS(H325&lt;30,0,H325&lt;60,1,H325&lt;90,2,H325&lt;120,3)</f>
        <v>0</v>
      </c>
      <c r="M325" t="str">
        <f t="shared" si="32"/>
        <v>Low</v>
      </c>
      <c r="N325" t="str">
        <f t="shared" si="35"/>
        <v>Mar</v>
      </c>
      <c r="O325">
        <f t="shared" si="36"/>
        <v>2026</v>
      </c>
    </row>
    <row r="326" spans="1:15" x14ac:dyDescent="0.3">
      <c r="A326">
        <v>204230</v>
      </c>
      <c r="B326" t="s">
        <v>64</v>
      </c>
      <c r="C326" s="2">
        <v>46094</v>
      </c>
      <c r="D326" s="2">
        <f t="shared" si="34"/>
        <v>46124</v>
      </c>
      <c r="F326">
        <v>162</v>
      </c>
      <c r="G326">
        <v>30</v>
      </c>
      <c r="H326">
        <f t="shared" si="33"/>
        <v>0</v>
      </c>
      <c r="I326" t="str">
        <f t="shared" si="31"/>
        <v>On Time</v>
      </c>
      <c r="J326" cm="1">
        <f t="array" ref="J326">_xlfn.IFS(H326&lt;30,0,H326&lt;60,1,H326&lt;90,2,H326&lt;120,3)</f>
        <v>0</v>
      </c>
      <c r="M326" t="str">
        <f t="shared" si="32"/>
        <v>Low</v>
      </c>
      <c r="N326" t="str">
        <f t="shared" si="35"/>
        <v>Mar</v>
      </c>
      <c r="O326">
        <f t="shared" si="36"/>
        <v>2026</v>
      </c>
    </row>
    <row r="327" spans="1:15" x14ac:dyDescent="0.3">
      <c r="A327">
        <v>204231</v>
      </c>
      <c r="B327" t="s">
        <v>65</v>
      </c>
      <c r="C327" s="2">
        <v>46094</v>
      </c>
      <c r="D327" s="2">
        <f t="shared" si="34"/>
        <v>46139</v>
      </c>
      <c r="F327">
        <v>1805</v>
      </c>
      <c r="G327">
        <v>45</v>
      </c>
      <c r="H327">
        <f t="shared" si="33"/>
        <v>0</v>
      </c>
      <c r="I327" t="str">
        <f t="shared" si="31"/>
        <v>On Time</v>
      </c>
      <c r="J327" cm="1">
        <f t="array" ref="J327">_xlfn.IFS(H327&lt;30,0,H327&lt;60,1,H327&lt;90,2,H327&lt;120,3)</f>
        <v>0</v>
      </c>
      <c r="M327" t="str">
        <f t="shared" si="32"/>
        <v>Low</v>
      </c>
      <c r="N327" t="str">
        <f t="shared" si="35"/>
        <v>Mar</v>
      </c>
      <c r="O327">
        <f t="shared" si="36"/>
        <v>2026</v>
      </c>
    </row>
    <row r="328" spans="1:15" x14ac:dyDescent="0.3">
      <c r="A328">
        <v>204232</v>
      </c>
      <c r="B328" t="s">
        <v>66</v>
      </c>
      <c r="C328" s="2">
        <v>46094</v>
      </c>
      <c r="D328" s="2">
        <f t="shared" si="34"/>
        <v>46154</v>
      </c>
      <c r="F328">
        <v>4159</v>
      </c>
      <c r="G328">
        <v>60</v>
      </c>
      <c r="H328">
        <f t="shared" si="33"/>
        <v>0</v>
      </c>
      <c r="I328" t="str">
        <f t="shared" si="31"/>
        <v>On Time</v>
      </c>
      <c r="J328" cm="1">
        <f t="array" ref="J328">_xlfn.IFS(H328&lt;30,0,H328&lt;60,1,H328&lt;90,2,H328&lt;120,3)</f>
        <v>0</v>
      </c>
      <c r="M328" t="str">
        <f t="shared" si="32"/>
        <v>Low</v>
      </c>
      <c r="N328" t="str">
        <f t="shared" si="35"/>
        <v>Mar</v>
      </c>
      <c r="O328">
        <f t="shared" si="36"/>
        <v>2026</v>
      </c>
    </row>
    <row r="329" spans="1:15" x14ac:dyDescent="0.3">
      <c r="A329">
        <v>204233</v>
      </c>
      <c r="B329" t="s">
        <v>108</v>
      </c>
      <c r="C329" s="2">
        <v>46094</v>
      </c>
      <c r="D329" s="2">
        <f t="shared" si="34"/>
        <v>46124</v>
      </c>
      <c r="F329">
        <v>3094</v>
      </c>
      <c r="G329">
        <v>30</v>
      </c>
      <c r="H329">
        <f t="shared" si="33"/>
        <v>0</v>
      </c>
      <c r="I329" t="str">
        <f t="shared" si="31"/>
        <v>On Time</v>
      </c>
      <c r="J329" cm="1">
        <f t="array" ref="J329">_xlfn.IFS(H329&lt;30,0,H329&lt;60,1,H329&lt;90,2,H329&lt;120,3)</f>
        <v>0</v>
      </c>
      <c r="M329" t="str">
        <f t="shared" si="32"/>
        <v>Low</v>
      </c>
      <c r="N329" t="str">
        <f t="shared" si="35"/>
        <v>Mar</v>
      </c>
      <c r="O329">
        <f t="shared" si="36"/>
        <v>2026</v>
      </c>
    </row>
    <row r="330" spans="1:15" x14ac:dyDescent="0.3">
      <c r="A330">
        <v>204234</v>
      </c>
      <c r="B330" t="s">
        <v>109</v>
      </c>
      <c r="C330" s="2">
        <v>46094</v>
      </c>
      <c r="D330" s="2">
        <f t="shared" si="34"/>
        <v>46124</v>
      </c>
      <c r="F330">
        <v>4411</v>
      </c>
      <c r="G330">
        <v>30</v>
      </c>
      <c r="H330">
        <f t="shared" si="33"/>
        <v>0</v>
      </c>
      <c r="I330" t="str">
        <f t="shared" si="31"/>
        <v>On Time</v>
      </c>
      <c r="J330" cm="1">
        <f t="array" ref="J330">_xlfn.IFS(H330&lt;30,0,H330&lt;60,1,H330&lt;90,2,H330&lt;120,3)</f>
        <v>0</v>
      </c>
      <c r="M330" t="str">
        <f t="shared" si="32"/>
        <v>Low</v>
      </c>
      <c r="N330" t="str">
        <f t="shared" si="35"/>
        <v>Mar</v>
      </c>
      <c r="O330">
        <f t="shared" si="36"/>
        <v>2026</v>
      </c>
    </row>
    <row r="331" spans="1:15" x14ac:dyDescent="0.3">
      <c r="A331">
        <v>204235</v>
      </c>
      <c r="B331" t="s">
        <v>110</v>
      </c>
      <c r="C331" s="2">
        <v>46094</v>
      </c>
      <c r="D331" s="2">
        <f t="shared" si="34"/>
        <v>46139</v>
      </c>
      <c r="F331">
        <v>245</v>
      </c>
      <c r="G331">
        <v>45</v>
      </c>
      <c r="H331">
        <f t="shared" si="33"/>
        <v>0</v>
      </c>
      <c r="I331" t="str">
        <f t="shared" si="31"/>
        <v>On Time</v>
      </c>
      <c r="J331" cm="1">
        <f t="array" ref="J331">_xlfn.IFS(H331&lt;30,0,H331&lt;60,1,H331&lt;90,2,H331&lt;120,3)</f>
        <v>0</v>
      </c>
      <c r="M331" t="str">
        <f t="shared" si="32"/>
        <v>Low</v>
      </c>
      <c r="N331" t="str">
        <f t="shared" si="35"/>
        <v>Mar</v>
      </c>
      <c r="O331">
        <f t="shared" si="36"/>
        <v>2026</v>
      </c>
    </row>
    <row r="332" spans="1:15" x14ac:dyDescent="0.3">
      <c r="A332">
        <v>204236</v>
      </c>
      <c r="B332" t="s">
        <v>111</v>
      </c>
      <c r="C332" s="2">
        <v>46094</v>
      </c>
      <c r="D332" s="2">
        <f t="shared" si="34"/>
        <v>46154</v>
      </c>
      <c r="F332">
        <v>4612</v>
      </c>
      <c r="G332">
        <v>60</v>
      </c>
      <c r="H332">
        <f t="shared" si="33"/>
        <v>0</v>
      </c>
      <c r="I332" t="str">
        <f t="shared" si="31"/>
        <v>On Time</v>
      </c>
      <c r="J332" cm="1">
        <f t="array" ref="J332">_xlfn.IFS(H332&lt;30,0,H332&lt;60,1,H332&lt;90,2,H332&lt;120,3)</f>
        <v>0</v>
      </c>
      <c r="M332" t="str">
        <f t="shared" si="32"/>
        <v>Low</v>
      </c>
      <c r="N332" t="str">
        <f t="shared" si="35"/>
        <v>Mar</v>
      </c>
      <c r="O332">
        <f t="shared" si="36"/>
        <v>2026</v>
      </c>
    </row>
    <row r="333" spans="1:15" x14ac:dyDescent="0.3">
      <c r="A333">
        <v>204237</v>
      </c>
      <c r="B333" t="s">
        <v>112</v>
      </c>
      <c r="C333" s="2">
        <v>46094</v>
      </c>
      <c r="D333" s="2">
        <f t="shared" si="34"/>
        <v>46139</v>
      </c>
      <c r="F333">
        <v>3777</v>
      </c>
      <c r="G333">
        <v>45</v>
      </c>
      <c r="H333">
        <f t="shared" si="33"/>
        <v>0</v>
      </c>
      <c r="I333" t="str">
        <f t="shared" si="31"/>
        <v>On Time</v>
      </c>
      <c r="J333" cm="1">
        <f t="array" ref="J333">_xlfn.IFS(H333&lt;30,0,H333&lt;60,1,H333&lt;90,2,H333&lt;120,3)</f>
        <v>0</v>
      </c>
      <c r="M333" t="str">
        <f t="shared" si="32"/>
        <v>Low</v>
      </c>
      <c r="N333" t="str">
        <f t="shared" si="35"/>
        <v>Mar</v>
      </c>
      <c r="O333">
        <f t="shared" si="36"/>
        <v>2026</v>
      </c>
    </row>
    <row r="334" spans="1:15" x14ac:dyDescent="0.3">
      <c r="A334">
        <v>204238</v>
      </c>
      <c r="B334" t="s">
        <v>113</v>
      </c>
      <c r="C334" s="2">
        <v>46094</v>
      </c>
      <c r="D334" s="2">
        <f t="shared" si="34"/>
        <v>46139</v>
      </c>
      <c r="F334">
        <v>4921</v>
      </c>
      <c r="G334">
        <v>45</v>
      </c>
      <c r="H334">
        <f t="shared" si="33"/>
        <v>0</v>
      </c>
      <c r="I334" t="str">
        <f t="shared" si="31"/>
        <v>On Time</v>
      </c>
      <c r="J334" cm="1">
        <f t="array" ref="J334">_xlfn.IFS(H334&lt;30,0,H334&lt;60,1,H334&lt;90,2,H334&lt;120,3)</f>
        <v>0</v>
      </c>
      <c r="M334" t="str">
        <f t="shared" si="32"/>
        <v>Low</v>
      </c>
      <c r="N334" t="str">
        <f t="shared" si="35"/>
        <v>Mar</v>
      </c>
      <c r="O334">
        <f t="shared" si="36"/>
        <v>2026</v>
      </c>
    </row>
    <row r="335" spans="1:15" x14ac:dyDescent="0.3">
      <c r="A335">
        <v>204239</v>
      </c>
      <c r="B335" t="s">
        <v>114</v>
      </c>
      <c r="C335" s="2">
        <v>46094</v>
      </c>
      <c r="D335" s="2">
        <f t="shared" si="34"/>
        <v>46124</v>
      </c>
      <c r="F335">
        <v>4406</v>
      </c>
      <c r="G335">
        <v>30</v>
      </c>
      <c r="H335">
        <f t="shared" si="33"/>
        <v>0</v>
      </c>
      <c r="I335" t="str">
        <f t="shared" si="31"/>
        <v>On Time</v>
      </c>
      <c r="J335" cm="1">
        <f t="array" ref="J335">_xlfn.IFS(H335&lt;30,0,H335&lt;60,1,H335&lt;90,2,H335&lt;120,3)</f>
        <v>0</v>
      </c>
      <c r="M335" t="str">
        <f t="shared" si="32"/>
        <v>Low</v>
      </c>
      <c r="N335" t="str">
        <f t="shared" si="35"/>
        <v>Mar</v>
      </c>
      <c r="O335">
        <f t="shared" si="36"/>
        <v>2026</v>
      </c>
    </row>
    <row r="336" spans="1:15" x14ac:dyDescent="0.3">
      <c r="A336">
        <v>204240</v>
      </c>
      <c r="B336" t="s">
        <v>115</v>
      </c>
      <c r="C336" s="2">
        <v>46094</v>
      </c>
      <c r="D336" s="2">
        <f t="shared" si="34"/>
        <v>46124</v>
      </c>
      <c r="F336">
        <v>102</v>
      </c>
      <c r="G336">
        <v>30</v>
      </c>
      <c r="H336">
        <f t="shared" si="33"/>
        <v>0</v>
      </c>
      <c r="I336" t="str">
        <f t="shared" si="31"/>
        <v>On Time</v>
      </c>
      <c r="J336" cm="1">
        <f t="array" ref="J336">_xlfn.IFS(H336&lt;30,0,H336&lt;60,1,H336&lt;90,2,H336&lt;120,3)</f>
        <v>0</v>
      </c>
      <c r="M336" t="str">
        <f t="shared" si="32"/>
        <v>Low</v>
      </c>
      <c r="N336" t="str">
        <f t="shared" si="35"/>
        <v>Mar</v>
      </c>
      <c r="O336">
        <f t="shared" si="36"/>
        <v>2026</v>
      </c>
    </row>
    <row r="337" spans="1:15" x14ac:dyDescent="0.3">
      <c r="A337">
        <v>204241</v>
      </c>
      <c r="B337" t="s">
        <v>116</v>
      </c>
      <c r="C337" s="2">
        <v>46094</v>
      </c>
      <c r="D337" s="2">
        <f t="shared" si="34"/>
        <v>46124</v>
      </c>
      <c r="F337">
        <v>4802</v>
      </c>
      <c r="G337">
        <v>30</v>
      </c>
      <c r="H337">
        <f t="shared" si="33"/>
        <v>0</v>
      </c>
      <c r="I337" t="str">
        <f t="shared" si="31"/>
        <v>On Time</v>
      </c>
      <c r="J337" cm="1">
        <f t="array" ref="J337">_xlfn.IFS(H337&lt;30,0,H337&lt;60,1,H337&lt;90,2,H337&lt;120,3)</f>
        <v>0</v>
      </c>
      <c r="M337" t="str">
        <f t="shared" si="32"/>
        <v>Low</v>
      </c>
      <c r="N337" t="str">
        <f t="shared" si="35"/>
        <v>Mar</v>
      </c>
      <c r="O337">
        <f t="shared" si="36"/>
        <v>2026</v>
      </c>
    </row>
    <row r="338" spans="1:15" x14ac:dyDescent="0.3">
      <c r="A338">
        <v>204242</v>
      </c>
      <c r="B338" t="s">
        <v>20</v>
      </c>
      <c r="C338" s="2">
        <v>46094</v>
      </c>
      <c r="D338" s="2">
        <f t="shared" si="34"/>
        <v>46124</v>
      </c>
      <c r="F338">
        <v>3345</v>
      </c>
      <c r="G338">
        <v>30</v>
      </c>
      <c r="H338">
        <f t="shared" si="33"/>
        <v>0</v>
      </c>
      <c r="I338" t="str">
        <f t="shared" si="31"/>
        <v>On Time</v>
      </c>
      <c r="J338" cm="1">
        <f t="array" ref="J338">_xlfn.IFS(H338&lt;30,0,H338&lt;60,1,H338&lt;90,2,H338&lt;120,3)</f>
        <v>0</v>
      </c>
      <c r="M338" t="str">
        <f t="shared" si="32"/>
        <v>Low</v>
      </c>
      <c r="N338" t="str">
        <f t="shared" si="35"/>
        <v>Mar</v>
      </c>
      <c r="O338">
        <f t="shared" si="36"/>
        <v>2026</v>
      </c>
    </row>
    <row r="339" spans="1:15" x14ac:dyDescent="0.3">
      <c r="A339">
        <v>204199</v>
      </c>
      <c r="B339" t="s">
        <v>99</v>
      </c>
      <c r="C339" s="2">
        <v>46093</v>
      </c>
      <c r="D339" s="2">
        <f t="shared" si="34"/>
        <v>46123</v>
      </c>
      <c r="F339">
        <v>5261</v>
      </c>
      <c r="G339">
        <v>30</v>
      </c>
      <c r="H339">
        <f t="shared" si="33"/>
        <v>0</v>
      </c>
      <c r="I339" t="str">
        <f t="shared" si="31"/>
        <v>On Time</v>
      </c>
      <c r="J339" cm="1">
        <f t="array" ref="J339">_xlfn.IFS(H339&lt;30,0,H339&lt;60,1,H339&lt;90,2,H339&lt;120,3)</f>
        <v>0</v>
      </c>
      <c r="M339" t="str">
        <f t="shared" si="32"/>
        <v>Low</v>
      </c>
      <c r="N339" t="str">
        <f t="shared" si="35"/>
        <v>Mar</v>
      </c>
      <c r="O339">
        <f t="shared" si="36"/>
        <v>2026</v>
      </c>
    </row>
    <row r="340" spans="1:15" x14ac:dyDescent="0.3">
      <c r="A340">
        <v>204200</v>
      </c>
      <c r="B340" t="s">
        <v>100</v>
      </c>
      <c r="C340" s="2">
        <v>46093</v>
      </c>
      <c r="D340" s="2">
        <f t="shared" si="34"/>
        <v>46123</v>
      </c>
      <c r="F340">
        <v>11219</v>
      </c>
      <c r="G340">
        <v>30</v>
      </c>
      <c r="H340">
        <f t="shared" si="33"/>
        <v>0</v>
      </c>
      <c r="I340" t="str">
        <f t="shared" si="31"/>
        <v>On Time</v>
      </c>
      <c r="J340" cm="1">
        <f t="array" ref="J340">_xlfn.IFS(H340&lt;30,0,H340&lt;60,1,H340&lt;90,2,H340&lt;120,3)</f>
        <v>0</v>
      </c>
      <c r="M340" t="str">
        <f t="shared" si="32"/>
        <v>Low</v>
      </c>
      <c r="N340" t="str">
        <f t="shared" si="35"/>
        <v>Mar</v>
      </c>
      <c r="O340">
        <f t="shared" si="36"/>
        <v>2026</v>
      </c>
    </row>
    <row r="341" spans="1:15" x14ac:dyDescent="0.3">
      <c r="A341">
        <v>204201</v>
      </c>
      <c r="B341" t="s">
        <v>101</v>
      </c>
      <c r="C341" s="2">
        <v>46093</v>
      </c>
      <c r="D341" s="2">
        <f t="shared" si="34"/>
        <v>46123</v>
      </c>
      <c r="F341">
        <v>3570</v>
      </c>
      <c r="G341">
        <v>30</v>
      </c>
      <c r="H341">
        <f t="shared" si="33"/>
        <v>0</v>
      </c>
      <c r="I341" t="str">
        <f t="shared" si="31"/>
        <v>On Time</v>
      </c>
      <c r="J341" cm="1">
        <f t="array" ref="J341">_xlfn.IFS(H341&lt;30,0,H341&lt;60,1,H341&lt;90,2,H341&lt;120,3)</f>
        <v>0</v>
      </c>
      <c r="M341" t="str">
        <f t="shared" si="32"/>
        <v>Low</v>
      </c>
      <c r="N341" t="str">
        <f t="shared" si="35"/>
        <v>Mar</v>
      </c>
      <c r="O341">
        <f t="shared" si="36"/>
        <v>2026</v>
      </c>
    </row>
    <row r="342" spans="1:15" x14ac:dyDescent="0.3">
      <c r="A342">
        <v>204202</v>
      </c>
      <c r="B342" t="s">
        <v>102</v>
      </c>
      <c r="C342" s="2">
        <v>46093</v>
      </c>
      <c r="D342" s="2">
        <f t="shared" si="34"/>
        <v>46123</v>
      </c>
      <c r="F342">
        <v>1266</v>
      </c>
      <c r="G342">
        <v>30</v>
      </c>
      <c r="H342">
        <f t="shared" si="33"/>
        <v>0</v>
      </c>
      <c r="I342" t="str">
        <f t="shared" ref="I342:I405" si="37">IF(H342=0,"On Time",IF(H342&lt;=15,"Paid Late","Seriously Late"))</f>
        <v>On Time</v>
      </c>
      <c r="J342" cm="1">
        <f t="array" ref="J342">_xlfn.IFS(H342&lt;30,0,H342&lt;60,1,H342&lt;90,2,H342&lt;120,3)</f>
        <v>0</v>
      </c>
      <c r="M342" t="str">
        <f t="shared" ref="M342:M405" si="38">IF(H342&gt;30,"High",IF(H342&gt;10,"Medium","Low"))</f>
        <v>Low</v>
      </c>
      <c r="N342" t="str">
        <f t="shared" si="35"/>
        <v>Mar</v>
      </c>
      <c r="O342">
        <f t="shared" si="36"/>
        <v>2026</v>
      </c>
    </row>
    <row r="343" spans="1:15" x14ac:dyDescent="0.3">
      <c r="A343">
        <v>204203</v>
      </c>
      <c r="B343" t="s">
        <v>38</v>
      </c>
      <c r="C343" s="2">
        <v>46093</v>
      </c>
      <c r="D343" s="2">
        <f t="shared" si="34"/>
        <v>46123</v>
      </c>
      <c r="F343">
        <v>13313</v>
      </c>
      <c r="G343">
        <v>30</v>
      </c>
      <c r="H343">
        <f t="shared" si="33"/>
        <v>0</v>
      </c>
      <c r="I343" t="str">
        <f t="shared" si="37"/>
        <v>On Time</v>
      </c>
      <c r="J343" cm="1">
        <f t="array" ref="J343">_xlfn.IFS(H343&lt;30,0,H343&lt;60,1,H343&lt;90,2,H343&lt;120,3)</f>
        <v>0</v>
      </c>
      <c r="M343" t="str">
        <f t="shared" si="38"/>
        <v>Low</v>
      </c>
      <c r="N343" t="str">
        <f t="shared" si="35"/>
        <v>Mar</v>
      </c>
      <c r="O343">
        <f t="shared" si="36"/>
        <v>2026</v>
      </c>
    </row>
    <row r="344" spans="1:15" x14ac:dyDescent="0.3">
      <c r="A344">
        <v>204204</v>
      </c>
      <c r="B344" t="s">
        <v>39</v>
      </c>
      <c r="C344" s="2">
        <v>46093</v>
      </c>
      <c r="D344" s="2">
        <f t="shared" si="34"/>
        <v>46123</v>
      </c>
      <c r="F344">
        <v>1639</v>
      </c>
      <c r="G344">
        <v>30</v>
      </c>
      <c r="H344">
        <f t="shared" si="33"/>
        <v>0</v>
      </c>
      <c r="I344" t="str">
        <f t="shared" si="37"/>
        <v>On Time</v>
      </c>
      <c r="J344" cm="1">
        <f t="array" ref="J344">_xlfn.IFS(H344&lt;30,0,H344&lt;60,1,H344&lt;90,2,H344&lt;120,3)</f>
        <v>0</v>
      </c>
      <c r="M344" t="str">
        <f t="shared" si="38"/>
        <v>Low</v>
      </c>
      <c r="N344" t="str">
        <f t="shared" si="35"/>
        <v>Mar</v>
      </c>
      <c r="O344">
        <f t="shared" si="36"/>
        <v>2026</v>
      </c>
    </row>
    <row r="345" spans="1:15" x14ac:dyDescent="0.3">
      <c r="A345">
        <v>204205</v>
      </c>
      <c r="B345" t="s">
        <v>40</v>
      </c>
      <c r="C345" s="2">
        <v>46093</v>
      </c>
      <c r="D345" s="2">
        <f t="shared" si="34"/>
        <v>46123</v>
      </c>
      <c r="F345">
        <v>1422</v>
      </c>
      <c r="G345">
        <v>30</v>
      </c>
      <c r="H345">
        <f t="shared" si="33"/>
        <v>0</v>
      </c>
      <c r="I345" t="str">
        <f t="shared" si="37"/>
        <v>On Time</v>
      </c>
      <c r="J345" cm="1">
        <f t="array" ref="J345">_xlfn.IFS(H345&lt;30,0,H345&lt;60,1,H345&lt;90,2,H345&lt;120,3)</f>
        <v>0</v>
      </c>
      <c r="M345" t="str">
        <f t="shared" si="38"/>
        <v>Low</v>
      </c>
      <c r="N345" t="str">
        <f t="shared" si="35"/>
        <v>Mar</v>
      </c>
      <c r="O345">
        <f t="shared" si="36"/>
        <v>2026</v>
      </c>
    </row>
    <row r="346" spans="1:15" x14ac:dyDescent="0.3">
      <c r="A346">
        <v>204206</v>
      </c>
      <c r="B346" t="s">
        <v>41</v>
      </c>
      <c r="C346" s="2">
        <v>46093</v>
      </c>
      <c r="D346" s="2">
        <f t="shared" si="34"/>
        <v>46123</v>
      </c>
      <c r="F346">
        <v>1290</v>
      </c>
      <c r="G346">
        <v>30</v>
      </c>
      <c r="H346">
        <f t="shared" si="33"/>
        <v>0</v>
      </c>
      <c r="I346" t="str">
        <f t="shared" si="37"/>
        <v>On Time</v>
      </c>
      <c r="J346" cm="1">
        <f t="array" ref="J346">_xlfn.IFS(H346&lt;30,0,H346&lt;60,1,H346&lt;90,2,H346&lt;120,3)</f>
        <v>0</v>
      </c>
      <c r="M346" t="str">
        <f t="shared" si="38"/>
        <v>Low</v>
      </c>
      <c r="N346" t="str">
        <f t="shared" si="35"/>
        <v>Mar</v>
      </c>
      <c r="O346">
        <f t="shared" si="36"/>
        <v>2026</v>
      </c>
    </row>
    <row r="347" spans="1:15" x14ac:dyDescent="0.3">
      <c r="A347">
        <v>204207</v>
      </c>
      <c r="B347" t="s">
        <v>42</v>
      </c>
      <c r="C347" s="2">
        <v>46093</v>
      </c>
      <c r="D347" s="2">
        <f t="shared" si="34"/>
        <v>46123</v>
      </c>
      <c r="F347">
        <v>14193</v>
      </c>
      <c r="G347">
        <v>30</v>
      </c>
      <c r="H347">
        <f t="shared" si="33"/>
        <v>0</v>
      </c>
      <c r="I347" t="str">
        <f t="shared" si="37"/>
        <v>On Time</v>
      </c>
      <c r="J347" cm="1">
        <f t="array" ref="J347">_xlfn.IFS(H347&lt;30,0,H347&lt;60,1,H347&lt;90,2,H347&lt;120,3)</f>
        <v>0</v>
      </c>
      <c r="M347" t="str">
        <f t="shared" si="38"/>
        <v>Low</v>
      </c>
      <c r="N347" t="str">
        <f t="shared" si="35"/>
        <v>Mar</v>
      </c>
      <c r="O347">
        <f t="shared" si="36"/>
        <v>2026</v>
      </c>
    </row>
    <row r="348" spans="1:15" x14ac:dyDescent="0.3">
      <c r="A348">
        <v>204208</v>
      </c>
      <c r="B348" t="s">
        <v>43</v>
      </c>
      <c r="C348" s="2">
        <v>46093</v>
      </c>
      <c r="D348" s="2">
        <f t="shared" si="34"/>
        <v>46123</v>
      </c>
      <c r="F348">
        <v>2391</v>
      </c>
      <c r="G348">
        <v>30</v>
      </c>
      <c r="H348">
        <f t="shared" si="33"/>
        <v>0</v>
      </c>
      <c r="I348" t="str">
        <f t="shared" si="37"/>
        <v>On Time</v>
      </c>
      <c r="J348" cm="1">
        <f t="array" ref="J348">_xlfn.IFS(H348&lt;30,0,H348&lt;60,1,H348&lt;90,2,H348&lt;120,3)</f>
        <v>0</v>
      </c>
      <c r="M348" t="str">
        <f t="shared" si="38"/>
        <v>Low</v>
      </c>
      <c r="N348" t="str">
        <f t="shared" si="35"/>
        <v>Mar</v>
      </c>
      <c r="O348">
        <f t="shared" si="36"/>
        <v>2026</v>
      </c>
    </row>
    <row r="349" spans="1:15" x14ac:dyDescent="0.3">
      <c r="A349">
        <v>204209</v>
      </c>
      <c r="B349" t="s">
        <v>44</v>
      </c>
      <c r="C349" s="2">
        <v>46093</v>
      </c>
      <c r="D349" s="2">
        <f t="shared" si="34"/>
        <v>46138</v>
      </c>
      <c r="F349">
        <v>3595</v>
      </c>
      <c r="G349">
        <v>45</v>
      </c>
      <c r="H349">
        <f t="shared" si="33"/>
        <v>0</v>
      </c>
      <c r="I349" t="str">
        <f t="shared" si="37"/>
        <v>On Time</v>
      </c>
      <c r="J349" cm="1">
        <f t="array" ref="J349">_xlfn.IFS(H349&lt;30,0,H349&lt;60,1,H349&lt;90,2,H349&lt;120,3)</f>
        <v>0</v>
      </c>
      <c r="M349" t="str">
        <f t="shared" si="38"/>
        <v>Low</v>
      </c>
      <c r="N349" t="str">
        <f t="shared" si="35"/>
        <v>Mar</v>
      </c>
      <c r="O349">
        <f t="shared" si="36"/>
        <v>2026</v>
      </c>
    </row>
    <row r="350" spans="1:15" x14ac:dyDescent="0.3">
      <c r="A350">
        <v>204210</v>
      </c>
      <c r="B350" t="s">
        <v>96</v>
      </c>
      <c r="C350" s="2">
        <v>46093</v>
      </c>
      <c r="D350" s="2">
        <f t="shared" si="34"/>
        <v>46153</v>
      </c>
      <c r="F350">
        <v>4643</v>
      </c>
      <c r="G350">
        <v>60</v>
      </c>
      <c r="H350">
        <f t="shared" si="33"/>
        <v>0</v>
      </c>
      <c r="I350" t="str">
        <f t="shared" si="37"/>
        <v>On Time</v>
      </c>
      <c r="J350" cm="1">
        <f t="array" ref="J350">_xlfn.IFS(H350&lt;30,0,H350&lt;60,1,H350&lt;90,2,H350&lt;120,3)</f>
        <v>0</v>
      </c>
      <c r="M350" t="str">
        <f t="shared" si="38"/>
        <v>Low</v>
      </c>
      <c r="N350" t="str">
        <f t="shared" si="35"/>
        <v>Mar</v>
      </c>
      <c r="O350">
        <f t="shared" si="36"/>
        <v>2026</v>
      </c>
    </row>
    <row r="351" spans="1:15" x14ac:dyDescent="0.3">
      <c r="A351">
        <v>204211</v>
      </c>
      <c r="B351" t="s">
        <v>97</v>
      </c>
      <c r="C351" s="2">
        <v>46093</v>
      </c>
      <c r="D351" s="2">
        <f t="shared" si="34"/>
        <v>46123</v>
      </c>
      <c r="F351">
        <v>1499</v>
      </c>
      <c r="G351">
        <v>30</v>
      </c>
      <c r="H351">
        <f t="shared" si="33"/>
        <v>0</v>
      </c>
      <c r="I351" t="str">
        <f t="shared" si="37"/>
        <v>On Time</v>
      </c>
      <c r="J351" cm="1">
        <f t="array" ref="J351">_xlfn.IFS(H351&lt;30,0,H351&lt;60,1,H351&lt;90,2,H351&lt;120,3)</f>
        <v>0</v>
      </c>
      <c r="M351" t="str">
        <f t="shared" si="38"/>
        <v>Low</v>
      </c>
      <c r="N351" t="str">
        <f t="shared" si="35"/>
        <v>Mar</v>
      </c>
      <c r="O351">
        <f t="shared" si="36"/>
        <v>2026</v>
      </c>
    </row>
    <row r="352" spans="1:15" x14ac:dyDescent="0.3">
      <c r="A352">
        <v>204212</v>
      </c>
      <c r="B352" t="s">
        <v>98</v>
      </c>
      <c r="C352" s="2">
        <v>46093</v>
      </c>
      <c r="D352" s="2">
        <f t="shared" si="34"/>
        <v>46123</v>
      </c>
      <c r="F352">
        <v>1269</v>
      </c>
      <c r="G352">
        <v>30</v>
      </c>
      <c r="H352">
        <f t="shared" si="33"/>
        <v>0</v>
      </c>
      <c r="I352" t="str">
        <f t="shared" si="37"/>
        <v>On Time</v>
      </c>
      <c r="J352" cm="1">
        <f t="array" ref="J352">_xlfn.IFS(H352&lt;30,0,H352&lt;60,1,H352&lt;90,2,H352&lt;120,3)</f>
        <v>0</v>
      </c>
      <c r="M352" t="str">
        <f t="shared" si="38"/>
        <v>Low</v>
      </c>
      <c r="N352" t="str">
        <f t="shared" si="35"/>
        <v>Mar</v>
      </c>
      <c r="O352">
        <f t="shared" si="36"/>
        <v>2026</v>
      </c>
    </row>
    <row r="353" spans="1:15" x14ac:dyDescent="0.3">
      <c r="A353">
        <v>204213</v>
      </c>
      <c r="B353" t="s">
        <v>99</v>
      </c>
      <c r="C353" s="2">
        <v>46093</v>
      </c>
      <c r="D353" s="2">
        <f t="shared" si="34"/>
        <v>46123</v>
      </c>
      <c r="F353">
        <v>850</v>
      </c>
      <c r="G353">
        <v>30</v>
      </c>
      <c r="H353">
        <f t="shared" si="33"/>
        <v>0</v>
      </c>
      <c r="I353" t="str">
        <f t="shared" si="37"/>
        <v>On Time</v>
      </c>
      <c r="J353" cm="1">
        <f t="array" ref="J353">_xlfn.IFS(H353&lt;30,0,H353&lt;60,1,H353&lt;90,2,H353&lt;120,3)</f>
        <v>0</v>
      </c>
      <c r="M353" t="str">
        <f t="shared" si="38"/>
        <v>Low</v>
      </c>
      <c r="N353" t="str">
        <f t="shared" si="35"/>
        <v>Mar</v>
      </c>
      <c r="O353">
        <f t="shared" si="36"/>
        <v>2026</v>
      </c>
    </row>
    <row r="354" spans="1:15" x14ac:dyDescent="0.3">
      <c r="A354">
        <v>204214</v>
      </c>
      <c r="B354" t="s">
        <v>100</v>
      </c>
      <c r="C354" s="2">
        <v>46093</v>
      </c>
      <c r="D354" s="2">
        <f t="shared" si="34"/>
        <v>46123</v>
      </c>
      <c r="F354">
        <v>336</v>
      </c>
      <c r="G354">
        <v>30</v>
      </c>
      <c r="H354">
        <f t="shared" si="33"/>
        <v>0</v>
      </c>
      <c r="I354" t="str">
        <f t="shared" si="37"/>
        <v>On Time</v>
      </c>
      <c r="J354" cm="1">
        <f t="array" ref="J354">_xlfn.IFS(H354&lt;30,0,H354&lt;60,1,H354&lt;90,2,H354&lt;120,3)</f>
        <v>0</v>
      </c>
      <c r="M354" t="str">
        <f t="shared" si="38"/>
        <v>Low</v>
      </c>
      <c r="N354" t="str">
        <f t="shared" si="35"/>
        <v>Mar</v>
      </c>
      <c r="O354">
        <f t="shared" si="36"/>
        <v>2026</v>
      </c>
    </row>
    <row r="355" spans="1:15" x14ac:dyDescent="0.3">
      <c r="A355">
        <v>204215</v>
      </c>
      <c r="B355" t="s">
        <v>101</v>
      </c>
      <c r="C355" s="2">
        <v>46093</v>
      </c>
      <c r="D355" s="2">
        <f t="shared" si="34"/>
        <v>46123</v>
      </c>
      <c r="F355">
        <v>801</v>
      </c>
      <c r="G355">
        <v>30</v>
      </c>
      <c r="H355">
        <f t="shared" si="33"/>
        <v>0</v>
      </c>
      <c r="I355" t="str">
        <f t="shared" si="37"/>
        <v>On Time</v>
      </c>
      <c r="J355" cm="1">
        <f t="array" ref="J355">_xlfn.IFS(H355&lt;30,0,H355&lt;60,1,H355&lt;90,2,H355&lt;120,3)</f>
        <v>0</v>
      </c>
      <c r="M355" t="str">
        <f t="shared" si="38"/>
        <v>Low</v>
      </c>
      <c r="N355" t="str">
        <f t="shared" si="35"/>
        <v>Mar</v>
      </c>
      <c r="O355">
        <f t="shared" si="36"/>
        <v>2026</v>
      </c>
    </row>
    <row r="356" spans="1:15" x14ac:dyDescent="0.3">
      <c r="A356">
        <v>204216</v>
      </c>
      <c r="B356" t="s">
        <v>102</v>
      </c>
      <c r="C356" s="2">
        <v>46093</v>
      </c>
      <c r="D356" s="2">
        <f t="shared" si="34"/>
        <v>46123</v>
      </c>
      <c r="F356">
        <v>240</v>
      </c>
      <c r="G356">
        <v>30</v>
      </c>
      <c r="H356">
        <f t="shared" si="33"/>
        <v>0</v>
      </c>
      <c r="I356" t="str">
        <f t="shared" si="37"/>
        <v>On Time</v>
      </c>
      <c r="J356" cm="1">
        <f t="array" ref="J356">_xlfn.IFS(H356&lt;30,0,H356&lt;60,1,H356&lt;90,2,H356&lt;120,3)</f>
        <v>0</v>
      </c>
      <c r="M356" t="str">
        <f t="shared" si="38"/>
        <v>Low</v>
      </c>
      <c r="N356" t="str">
        <f t="shared" si="35"/>
        <v>Mar</v>
      </c>
      <c r="O356">
        <f t="shared" si="36"/>
        <v>2026</v>
      </c>
    </row>
    <row r="357" spans="1:15" x14ac:dyDescent="0.3">
      <c r="A357">
        <v>204217</v>
      </c>
      <c r="B357" t="s">
        <v>103</v>
      </c>
      <c r="C357" s="2">
        <v>46093</v>
      </c>
      <c r="D357" s="2">
        <f t="shared" si="34"/>
        <v>46123</v>
      </c>
      <c r="F357">
        <v>2002</v>
      </c>
      <c r="G357">
        <v>30</v>
      </c>
      <c r="H357">
        <f t="shared" si="33"/>
        <v>0</v>
      </c>
      <c r="I357" t="str">
        <f t="shared" si="37"/>
        <v>On Time</v>
      </c>
      <c r="J357" cm="1">
        <f t="array" ref="J357">_xlfn.IFS(H357&lt;30,0,H357&lt;60,1,H357&lt;90,2,H357&lt;120,3)</f>
        <v>0</v>
      </c>
      <c r="M357" t="str">
        <f t="shared" si="38"/>
        <v>Low</v>
      </c>
      <c r="N357" t="str">
        <f t="shared" si="35"/>
        <v>Mar</v>
      </c>
      <c r="O357">
        <f t="shared" si="36"/>
        <v>2026</v>
      </c>
    </row>
    <row r="358" spans="1:15" x14ac:dyDescent="0.3">
      <c r="A358">
        <v>204218</v>
      </c>
      <c r="B358" t="s">
        <v>104</v>
      </c>
      <c r="C358" s="2">
        <v>46093</v>
      </c>
      <c r="D358" s="2">
        <f t="shared" si="34"/>
        <v>46123</v>
      </c>
      <c r="F358">
        <v>7741</v>
      </c>
      <c r="G358">
        <v>30</v>
      </c>
      <c r="H358">
        <f t="shared" ref="H358:H421" si="39">MAX(0,P323-D358)</f>
        <v>0</v>
      </c>
      <c r="I358" t="str">
        <f t="shared" si="37"/>
        <v>On Time</v>
      </c>
      <c r="J358" cm="1">
        <f t="array" ref="J358">_xlfn.IFS(H358&lt;30,0,H358&lt;60,1,H358&lt;90,2,H358&lt;120,3)</f>
        <v>0</v>
      </c>
      <c r="M358" t="str">
        <f t="shared" si="38"/>
        <v>Low</v>
      </c>
      <c r="N358" t="str">
        <f t="shared" si="35"/>
        <v>Mar</v>
      </c>
      <c r="O358">
        <f t="shared" si="36"/>
        <v>2026</v>
      </c>
    </row>
    <row r="359" spans="1:15" x14ac:dyDescent="0.3">
      <c r="A359">
        <v>204180</v>
      </c>
      <c r="B359" t="s">
        <v>28</v>
      </c>
      <c r="C359" s="2">
        <v>46092</v>
      </c>
      <c r="D359" s="2">
        <f t="shared" si="34"/>
        <v>46122</v>
      </c>
      <c r="F359">
        <v>2859</v>
      </c>
      <c r="G359">
        <v>30</v>
      </c>
      <c r="H359">
        <f t="shared" si="39"/>
        <v>0</v>
      </c>
      <c r="I359" t="str">
        <f t="shared" si="37"/>
        <v>On Time</v>
      </c>
      <c r="J359" cm="1">
        <f t="array" ref="J359">_xlfn.IFS(H359&lt;30,0,H359&lt;60,1,H359&lt;90,2,H359&lt;120,3)</f>
        <v>0</v>
      </c>
      <c r="M359" t="str">
        <f t="shared" si="38"/>
        <v>Low</v>
      </c>
      <c r="N359" t="str">
        <f t="shared" si="35"/>
        <v>Mar</v>
      </c>
      <c r="O359">
        <f t="shared" si="36"/>
        <v>2026</v>
      </c>
    </row>
    <row r="360" spans="1:15" x14ac:dyDescent="0.3">
      <c r="A360">
        <v>204181</v>
      </c>
      <c r="B360" t="s">
        <v>29</v>
      </c>
      <c r="C360" s="2">
        <v>46092</v>
      </c>
      <c r="D360" s="2">
        <f t="shared" si="34"/>
        <v>46122</v>
      </c>
      <c r="F360">
        <v>3893</v>
      </c>
      <c r="G360">
        <v>30</v>
      </c>
      <c r="H360">
        <f t="shared" si="39"/>
        <v>0</v>
      </c>
      <c r="I360" t="str">
        <f t="shared" si="37"/>
        <v>On Time</v>
      </c>
      <c r="J360" cm="1">
        <f t="array" ref="J360">_xlfn.IFS(H360&lt;30,0,H360&lt;60,1,H360&lt;90,2,H360&lt;120,3)</f>
        <v>0</v>
      </c>
      <c r="M360" t="str">
        <f t="shared" si="38"/>
        <v>Low</v>
      </c>
      <c r="N360" t="str">
        <f t="shared" si="35"/>
        <v>Mar</v>
      </c>
      <c r="O360">
        <f t="shared" si="36"/>
        <v>2026</v>
      </c>
    </row>
    <row r="361" spans="1:15" x14ac:dyDescent="0.3">
      <c r="A361">
        <v>204182</v>
      </c>
      <c r="B361" t="s">
        <v>75</v>
      </c>
      <c r="C361" s="2">
        <v>46092</v>
      </c>
      <c r="D361" s="2">
        <f t="shared" si="34"/>
        <v>46152</v>
      </c>
      <c r="F361">
        <v>718</v>
      </c>
      <c r="G361">
        <v>60</v>
      </c>
      <c r="H361">
        <f t="shared" si="39"/>
        <v>0</v>
      </c>
      <c r="I361" t="str">
        <f t="shared" si="37"/>
        <v>On Time</v>
      </c>
      <c r="J361" cm="1">
        <f t="array" ref="J361">_xlfn.IFS(H361&lt;30,0,H361&lt;60,1,H361&lt;90,2,H361&lt;120,3)</f>
        <v>0</v>
      </c>
      <c r="M361" t="str">
        <f t="shared" si="38"/>
        <v>Low</v>
      </c>
      <c r="N361" t="str">
        <f t="shared" si="35"/>
        <v>Mar</v>
      </c>
      <c r="O361">
        <f t="shared" si="36"/>
        <v>2026</v>
      </c>
    </row>
    <row r="362" spans="1:15" x14ac:dyDescent="0.3">
      <c r="A362">
        <v>204183</v>
      </c>
      <c r="B362" t="s">
        <v>76</v>
      </c>
      <c r="C362" s="2">
        <v>46092</v>
      </c>
      <c r="D362" s="2">
        <f t="shared" si="34"/>
        <v>46122</v>
      </c>
      <c r="F362">
        <v>4176</v>
      </c>
      <c r="G362">
        <v>30</v>
      </c>
      <c r="H362">
        <f t="shared" si="39"/>
        <v>0</v>
      </c>
      <c r="I362" t="str">
        <f t="shared" si="37"/>
        <v>On Time</v>
      </c>
      <c r="J362" cm="1">
        <f t="array" ref="J362">_xlfn.IFS(H362&lt;30,0,H362&lt;60,1,H362&lt;90,2,H362&lt;120,3)</f>
        <v>0</v>
      </c>
      <c r="M362" t="str">
        <f t="shared" si="38"/>
        <v>Low</v>
      </c>
      <c r="N362" t="str">
        <f t="shared" si="35"/>
        <v>Mar</v>
      </c>
      <c r="O362">
        <f t="shared" si="36"/>
        <v>2026</v>
      </c>
    </row>
    <row r="363" spans="1:15" x14ac:dyDescent="0.3">
      <c r="A363">
        <v>204184</v>
      </c>
      <c r="B363" t="s">
        <v>77</v>
      </c>
      <c r="C363" s="2">
        <v>46092</v>
      </c>
      <c r="D363" s="2">
        <f t="shared" si="34"/>
        <v>46122</v>
      </c>
      <c r="F363">
        <v>2165</v>
      </c>
      <c r="G363">
        <v>30</v>
      </c>
      <c r="H363">
        <f t="shared" si="39"/>
        <v>0</v>
      </c>
      <c r="I363" t="str">
        <f t="shared" si="37"/>
        <v>On Time</v>
      </c>
      <c r="J363" cm="1">
        <f t="array" ref="J363">_xlfn.IFS(H363&lt;30,0,H363&lt;60,1,H363&lt;90,2,H363&lt;120,3)</f>
        <v>0</v>
      </c>
      <c r="M363" t="str">
        <f t="shared" si="38"/>
        <v>Low</v>
      </c>
      <c r="N363" t="str">
        <f t="shared" si="35"/>
        <v>Mar</v>
      </c>
      <c r="O363">
        <f t="shared" si="36"/>
        <v>2026</v>
      </c>
    </row>
    <row r="364" spans="1:15" x14ac:dyDescent="0.3">
      <c r="A364">
        <v>204185</v>
      </c>
      <c r="B364" t="s">
        <v>78</v>
      </c>
      <c r="C364" s="2">
        <v>46092</v>
      </c>
      <c r="D364" s="2">
        <f t="shared" si="34"/>
        <v>46122</v>
      </c>
      <c r="F364">
        <v>1142</v>
      </c>
      <c r="G364">
        <v>30</v>
      </c>
      <c r="H364">
        <f t="shared" si="39"/>
        <v>0</v>
      </c>
      <c r="I364" t="str">
        <f t="shared" si="37"/>
        <v>On Time</v>
      </c>
      <c r="J364" cm="1">
        <f t="array" ref="J364">_xlfn.IFS(H364&lt;30,0,H364&lt;60,1,H364&lt;90,2,H364&lt;120,3)</f>
        <v>0</v>
      </c>
      <c r="M364" t="str">
        <f t="shared" si="38"/>
        <v>Low</v>
      </c>
      <c r="N364" t="str">
        <f t="shared" si="35"/>
        <v>Mar</v>
      </c>
      <c r="O364">
        <f t="shared" si="36"/>
        <v>2026</v>
      </c>
    </row>
    <row r="365" spans="1:15" x14ac:dyDescent="0.3">
      <c r="A365">
        <v>204186</v>
      </c>
      <c r="B365" t="s">
        <v>79</v>
      </c>
      <c r="C365" s="2">
        <v>46092</v>
      </c>
      <c r="D365" s="2">
        <f t="shared" si="34"/>
        <v>46122</v>
      </c>
      <c r="F365">
        <v>2415</v>
      </c>
      <c r="G365">
        <v>30</v>
      </c>
      <c r="H365">
        <f t="shared" si="39"/>
        <v>0</v>
      </c>
      <c r="I365" t="str">
        <f t="shared" si="37"/>
        <v>On Time</v>
      </c>
      <c r="J365" cm="1">
        <f t="array" ref="J365">_xlfn.IFS(H365&lt;30,0,H365&lt;60,1,H365&lt;90,2,H365&lt;120,3)</f>
        <v>0</v>
      </c>
      <c r="M365" t="str">
        <f t="shared" si="38"/>
        <v>Low</v>
      </c>
      <c r="N365" t="str">
        <f t="shared" si="35"/>
        <v>Mar</v>
      </c>
      <c r="O365">
        <f t="shared" si="36"/>
        <v>2026</v>
      </c>
    </row>
    <row r="366" spans="1:15" x14ac:dyDescent="0.3">
      <c r="A366">
        <v>204187</v>
      </c>
      <c r="B366" t="s">
        <v>80</v>
      </c>
      <c r="C366" s="2">
        <v>46092</v>
      </c>
      <c r="D366" s="2">
        <f t="shared" si="34"/>
        <v>46122</v>
      </c>
      <c r="F366">
        <v>4626</v>
      </c>
      <c r="G366">
        <v>30</v>
      </c>
      <c r="H366">
        <f t="shared" si="39"/>
        <v>0</v>
      </c>
      <c r="I366" t="str">
        <f t="shared" si="37"/>
        <v>On Time</v>
      </c>
      <c r="J366" cm="1">
        <f t="array" ref="J366">_xlfn.IFS(H366&lt;30,0,H366&lt;60,1,H366&lt;90,2,H366&lt;120,3)</f>
        <v>0</v>
      </c>
      <c r="M366" t="str">
        <f t="shared" si="38"/>
        <v>Low</v>
      </c>
      <c r="N366" t="str">
        <f t="shared" si="35"/>
        <v>Mar</v>
      </c>
      <c r="O366">
        <f t="shared" si="36"/>
        <v>2026</v>
      </c>
    </row>
    <row r="367" spans="1:15" x14ac:dyDescent="0.3">
      <c r="A367">
        <v>204188</v>
      </c>
      <c r="B367" t="s">
        <v>81</v>
      </c>
      <c r="C367" s="2">
        <v>46092</v>
      </c>
      <c r="D367" s="2">
        <f t="shared" si="34"/>
        <v>46122</v>
      </c>
      <c r="F367">
        <v>723</v>
      </c>
      <c r="G367">
        <v>30</v>
      </c>
      <c r="H367">
        <f t="shared" si="39"/>
        <v>0</v>
      </c>
      <c r="I367" t="str">
        <f t="shared" si="37"/>
        <v>On Time</v>
      </c>
      <c r="J367" cm="1">
        <f t="array" ref="J367">_xlfn.IFS(H367&lt;30,0,H367&lt;60,1,H367&lt;90,2,H367&lt;120,3)</f>
        <v>0</v>
      </c>
      <c r="M367" t="str">
        <f t="shared" si="38"/>
        <v>Low</v>
      </c>
      <c r="N367" t="str">
        <f t="shared" si="35"/>
        <v>Mar</v>
      </c>
      <c r="O367">
        <f t="shared" si="36"/>
        <v>2026</v>
      </c>
    </row>
    <row r="368" spans="1:15" x14ac:dyDescent="0.3">
      <c r="A368">
        <v>204189</v>
      </c>
      <c r="B368" t="s">
        <v>82</v>
      </c>
      <c r="C368" s="2">
        <v>46092</v>
      </c>
      <c r="D368" s="2">
        <f t="shared" si="34"/>
        <v>46137</v>
      </c>
      <c r="F368">
        <v>2379</v>
      </c>
      <c r="G368">
        <v>45</v>
      </c>
      <c r="H368">
        <f t="shared" si="39"/>
        <v>0</v>
      </c>
      <c r="I368" t="str">
        <f t="shared" si="37"/>
        <v>On Time</v>
      </c>
      <c r="J368" cm="1">
        <f t="array" ref="J368">_xlfn.IFS(H368&lt;30,0,H368&lt;60,1,H368&lt;90,2,H368&lt;120,3)</f>
        <v>0</v>
      </c>
      <c r="M368" t="str">
        <f t="shared" si="38"/>
        <v>Low</v>
      </c>
      <c r="N368" t="str">
        <f t="shared" si="35"/>
        <v>Mar</v>
      </c>
      <c r="O368">
        <f t="shared" si="36"/>
        <v>2026</v>
      </c>
    </row>
    <row r="369" spans="1:15" x14ac:dyDescent="0.3">
      <c r="A369">
        <v>204190</v>
      </c>
      <c r="B369" t="s">
        <v>83</v>
      </c>
      <c r="C369" s="2">
        <v>46092</v>
      </c>
      <c r="D369" s="2">
        <f t="shared" si="34"/>
        <v>46137</v>
      </c>
      <c r="F369">
        <v>887</v>
      </c>
      <c r="G369">
        <v>45</v>
      </c>
      <c r="H369">
        <f t="shared" si="39"/>
        <v>0</v>
      </c>
      <c r="I369" t="str">
        <f t="shared" si="37"/>
        <v>On Time</v>
      </c>
      <c r="J369" cm="1">
        <f t="array" ref="J369">_xlfn.IFS(H369&lt;30,0,H369&lt;60,1,H369&lt;90,2,H369&lt;120,3)</f>
        <v>0</v>
      </c>
      <c r="M369" t="str">
        <f t="shared" si="38"/>
        <v>Low</v>
      </c>
      <c r="N369" t="str">
        <f t="shared" si="35"/>
        <v>Mar</v>
      </c>
      <c r="O369">
        <f t="shared" si="36"/>
        <v>2026</v>
      </c>
    </row>
    <row r="370" spans="1:15" x14ac:dyDescent="0.3">
      <c r="A370">
        <v>204191</v>
      </c>
      <c r="B370" t="s">
        <v>84</v>
      </c>
      <c r="C370" s="2">
        <v>46092</v>
      </c>
      <c r="D370" s="2">
        <f t="shared" si="34"/>
        <v>46152</v>
      </c>
      <c r="F370">
        <v>462</v>
      </c>
      <c r="G370">
        <v>60</v>
      </c>
      <c r="H370">
        <f t="shared" si="39"/>
        <v>0</v>
      </c>
      <c r="I370" t="str">
        <f t="shared" si="37"/>
        <v>On Time</v>
      </c>
      <c r="J370" cm="1">
        <f t="array" ref="J370">_xlfn.IFS(H370&lt;30,0,H370&lt;60,1,H370&lt;90,2,H370&lt;120,3)</f>
        <v>0</v>
      </c>
      <c r="M370" t="str">
        <f t="shared" si="38"/>
        <v>Low</v>
      </c>
      <c r="N370" t="str">
        <f t="shared" si="35"/>
        <v>Mar</v>
      </c>
      <c r="O370">
        <f t="shared" si="36"/>
        <v>2026</v>
      </c>
    </row>
    <row r="371" spans="1:15" x14ac:dyDescent="0.3">
      <c r="A371">
        <v>204192</v>
      </c>
      <c r="B371" t="s">
        <v>92</v>
      </c>
      <c r="C371" s="2">
        <v>46092</v>
      </c>
      <c r="D371" s="2">
        <f t="shared" si="34"/>
        <v>46122</v>
      </c>
      <c r="F371">
        <v>4748</v>
      </c>
      <c r="G371">
        <v>30</v>
      </c>
      <c r="H371">
        <f t="shared" si="39"/>
        <v>0</v>
      </c>
      <c r="I371" t="str">
        <f t="shared" si="37"/>
        <v>On Time</v>
      </c>
      <c r="J371" cm="1">
        <f t="array" ref="J371">_xlfn.IFS(H371&lt;30,0,H371&lt;60,1,H371&lt;90,2,H371&lt;120,3)</f>
        <v>0</v>
      </c>
      <c r="M371" t="str">
        <f t="shared" si="38"/>
        <v>Low</v>
      </c>
      <c r="N371" t="str">
        <f t="shared" si="35"/>
        <v>Mar</v>
      </c>
      <c r="O371">
        <f t="shared" si="36"/>
        <v>2026</v>
      </c>
    </row>
    <row r="372" spans="1:15" x14ac:dyDescent="0.3">
      <c r="A372">
        <v>204193</v>
      </c>
      <c r="B372" t="s">
        <v>93</v>
      </c>
      <c r="C372" s="2">
        <v>46092</v>
      </c>
      <c r="D372" s="2">
        <f t="shared" si="34"/>
        <v>46122</v>
      </c>
      <c r="F372">
        <v>4349</v>
      </c>
      <c r="G372">
        <v>30</v>
      </c>
      <c r="H372">
        <f t="shared" si="39"/>
        <v>0</v>
      </c>
      <c r="I372" t="str">
        <f t="shared" si="37"/>
        <v>On Time</v>
      </c>
      <c r="J372" cm="1">
        <f t="array" ref="J372">_xlfn.IFS(H372&lt;30,0,H372&lt;60,1,H372&lt;90,2,H372&lt;120,3)</f>
        <v>0</v>
      </c>
      <c r="M372" t="str">
        <f t="shared" si="38"/>
        <v>Low</v>
      </c>
      <c r="N372" t="str">
        <f t="shared" si="35"/>
        <v>Mar</v>
      </c>
      <c r="O372">
        <f t="shared" si="36"/>
        <v>2026</v>
      </c>
    </row>
    <row r="373" spans="1:15" x14ac:dyDescent="0.3">
      <c r="A373">
        <v>204194</v>
      </c>
      <c r="B373" t="s">
        <v>94</v>
      </c>
      <c r="C373" s="2">
        <v>46092</v>
      </c>
      <c r="D373" s="2">
        <f t="shared" si="34"/>
        <v>46122</v>
      </c>
      <c r="F373">
        <v>376</v>
      </c>
      <c r="G373">
        <v>30</v>
      </c>
      <c r="H373">
        <f t="shared" si="39"/>
        <v>0</v>
      </c>
      <c r="I373" t="str">
        <f t="shared" si="37"/>
        <v>On Time</v>
      </c>
      <c r="J373" cm="1">
        <f t="array" ref="J373">_xlfn.IFS(H373&lt;30,0,H373&lt;60,1,H373&lt;90,2,H373&lt;120,3)</f>
        <v>0</v>
      </c>
      <c r="M373" t="str">
        <f t="shared" si="38"/>
        <v>Low</v>
      </c>
      <c r="N373" t="str">
        <f t="shared" si="35"/>
        <v>Mar</v>
      </c>
      <c r="O373">
        <f t="shared" si="36"/>
        <v>2026</v>
      </c>
    </row>
    <row r="374" spans="1:15" x14ac:dyDescent="0.3">
      <c r="A374">
        <v>204195</v>
      </c>
      <c r="B374" t="s">
        <v>95</v>
      </c>
      <c r="C374" s="2">
        <v>46092</v>
      </c>
      <c r="D374" s="2">
        <f t="shared" si="34"/>
        <v>46137</v>
      </c>
      <c r="F374">
        <v>4513</v>
      </c>
      <c r="G374">
        <v>45</v>
      </c>
      <c r="H374">
        <f t="shared" si="39"/>
        <v>0</v>
      </c>
      <c r="I374" t="str">
        <f t="shared" si="37"/>
        <v>On Time</v>
      </c>
      <c r="J374" cm="1">
        <f t="array" ref="J374">_xlfn.IFS(H374&lt;30,0,H374&lt;60,1,H374&lt;90,2,H374&lt;120,3)</f>
        <v>0</v>
      </c>
      <c r="M374" t="str">
        <f t="shared" si="38"/>
        <v>Low</v>
      </c>
      <c r="N374" t="str">
        <f t="shared" si="35"/>
        <v>Mar</v>
      </c>
      <c r="O374">
        <f t="shared" si="36"/>
        <v>2026</v>
      </c>
    </row>
    <row r="375" spans="1:15" x14ac:dyDescent="0.3">
      <c r="A375">
        <v>204196</v>
      </c>
      <c r="B375" t="s">
        <v>96</v>
      </c>
      <c r="C375" s="2">
        <v>46092</v>
      </c>
      <c r="D375" s="2">
        <f t="shared" si="34"/>
        <v>46152</v>
      </c>
      <c r="F375">
        <v>1687</v>
      </c>
      <c r="G375">
        <v>60</v>
      </c>
      <c r="H375">
        <f t="shared" si="39"/>
        <v>0</v>
      </c>
      <c r="I375" t="str">
        <f t="shared" si="37"/>
        <v>On Time</v>
      </c>
      <c r="J375" cm="1">
        <f t="array" ref="J375">_xlfn.IFS(H375&lt;30,0,H375&lt;60,1,H375&lt;90,2,H375&lt;120,3)</f>
        <v>0</v>
      </c>
      <c r="M375" t="str">
        <f t="shared" si="38"/>
        <v>Low</v>
      </c>
      <c r="N375" t="str">
        <f t="shared" si="35"/>
        <v>Mar</v>
      </c>
      <c r="O375">
        <f t="shared" si="36"/>
        <v>2026</v>
      </c>
    </row>
    <row r="376" spans="1:15" x14ac:dyDescent="0.3">
      <c r="A376">
        <v>204197</v>
      </c>
      <c r="B376" t="s">
        <v>97</v>
      </c>
      <c r="C376" s="2">
        <v>46092</v>
      </c>
      <c r="D376" s="2">
        <f t="shared" si="34"/>
        <v>46122</v>
      </c>
      <c r="F376">
        <v>17376</v>
      </c>
      <c r="G376">
        <v>30</v>
      </c>
      <c r="H376">
        <f t="shared" si="39"/>
        <v>0</v>
      </c>
      <c r="I376" t="str">
        <f t="shared" si="37"/>
        <v>On Time</v>
      </c>
      <c r="J376" cm="1">
        <f t="array" ref="J376">_xlfn.IFS(H376&lt;30,0,H376&lt;60,1,H376&lt;90,2,H376&lt;120,3)</f>
        <v>0</v>
      </c>
      <c r="M376" t="str">
        <f t="shared" si="38"/>
        <v>Low</v>
      </c>
      <c r="N376" t="str">
        <f t="shared" si="35"/>
        <v>Mar</v>
      </c>
      <c r="O376">
        <f t="shared" si="36"/>
        <v>2026</v>
      </c>
    </row>
    <row r="377" spans="1:15" x14ac:dyDescent="0.3">
      <c r="A377">
        <v>204198</v>
      </c>
      <c r="B377" t="s">
        <v>98</v>
      </c>
      <c r="C377" s="2">
        <v>46092</v>
      </c>
      <c r="D377" s="2">
        <f t="shared" si="34"/>
        <v>46122</v>
      </c>
      <c r="F377">
        <v>2943</v>
      </c>
      <c r="G377">
        <v>30</v>
      </c>
      <c r="H377">
        <f t="shared" si="39"/>
        <v>0</v>
      </c>
      <c r="I377" t="str">
        <f t="shared" si="37"/>
        <v>On Time</v>
      </c>
      <c r="J377" cm="1">
        <f t="array" ref="J377">_xlfn.IFS(H377&lt;30,0,H377&lt;60,1,H377&lt;90,2,H377&lt;120,3)</f>
        <v>0</v>
      </c>
      <c r="M377" t="str">
        <f t="shared" si="38"/>
        <v>Low</v>
      </c>
      <c r="N377" t="str">
        <f t="shared" si="35"/>
        <v>Mar</v>
      </c>
      <c r="O377">
        <f t="shared" si="36"/>
        <v>2026</v>
      </c>
    </row>
    <row r="378" spans="1:15" x14ac:dyDescent="0.3">
      <c r="A378">
        <v>204162</v>
      </c>
      <c r="B378" t="s">
        <v>54</v>
      </c>
      <c r="C378" s="2">
        <v>46091</v>
      </c>
      <c r="D378" s="2">
        <f t="shared" si="34"/>
        <v>46121</v>
      </c>
      <c r="F378">
        <v>113</v>
      </c>
      <c r="G378">
        <v>30</v>
      </c>
      <c r="H378">
        <f t="shared" si="39"/>
        <v>0</v>
      </c>
      <c r="I378" t="str">
        <f t="shared" si="37"/>
        <v>On Time</v>
      </c>
      <c r="J378" cm="1">
        <f t="array" ref="J378">_xlfn.IFS(H378&lt;30,0,H378&lt;60,1,H378&lt;90,2,H378&lt;120,3)</f>
        <v>0</v>
      </c>
      <c r="M378" t="str">
        <f t="shared" si="38"/>
        <v>Low</v>
      </c>
      <c r="N378" t="str">
        <f t="shared" si="35"/>
        <v>Mar</v>
      </c>
      <c r="O378">
        <f t="shared" si="36"/>
        <v>2026</v>
      </c>
    </row>
    <row r="379" spans="1:15" x14ac:dyDescent="0.3">
      <c r="A379">
        <v>204163</v>
      </c>
      <c r="B379" t="s">
        <v>36</v>
      </c>
      <c r="C379" s="2">
        <v>46091</v>
      </c>
      <c r="D379" s="2">
        <f t="shared" si="34"/>
        <v>46121</v>
      </c>
      <c r="F379">
        <v>1684</v>
      </c>
      <c r="G379">
        <v>30</v>
      </c>
      <c r="H379">
        <f t="shared" si="39"/>
        <v>0</v>
      </c>
      <c r="I379" t="str">
        <f t="shared" si="37"/>
        <v>On Time</v>
      </c>
      <c r="J379" cm="1">
        <f t="array" ref="J379">_xlfn.IFS(H379&lt;30,0,H379&lt;60,1,H379&lt;90,2,H379&lt;120,3)</f>
        <v>0</v>
      </c>
      <c r="M379" t="str">
        <f t="shared" si="38"/>
        <v>Low</v>
      </c>
      <c r="N379" t="str">
        <f t="shared" si="35"/>
        <v>Mar</v>
      </c>
      <c r="O379">
        <f t="shared" si="36"/>
        <v>2026</v>
      </c>
    </row>
    <row r="380" spans="1:15" x14ac:dyDescent="0.3">
      <c r="A380">
        <v>204164</v>
      </c>
      <c r="B380" t="s">
        <v>37</v>
      </c>
      <c r="C380" s="2">
        <v>46091</v>
      </c>
      <c r="D380" s="2">
        <f t="shared" si="34"/>
        <v>46121</v>
      </c>
      <c r="F380">
        <v>4341</v>
      </c>
      <c r="G380">
        <v>30</v>
      </c>
      <c r="H380">
        <f t="shared" si="39"/>
        <v>0</v>
      </c>
      <c r="I380" t="str">
        <f t="shared" si="37"/>
        <v>On Time</v>
      </c>
      <c r="J380" cm="1">
        <f t="array" ref="J380">_xlfn.IFS(H380&lt;30,0,H380&lt;60,1,H380&lt;90,2,H380&lt;120,3)</f>
        <v>0</v>
      </c>
      <c r="M380" t="str">
        <f t="shared" si="38"/>
        <v>Low</v>
      </c>
      <c r="N380" t="str">
        <f t="shared" si="35"/>
        <v>Mar</v>
      </c>
      <c r="O380">
        <f t="shared" si="36"/>
        <v>2026</v>
      </c>
    </row>
    <row r="381" spans="1:15" x14ac:dyDescent="0.3">
      <c r="A381">
        <v>204165</v>
      </c>
      <c r="B381" t="s">
        <v>38</v>
      </c>
      <c r="C381" s="2">
        <v>46091</v>
      </c>
      <c r="D381" s="2">
        <f t="shared" si="34"/>
        <v>46121</v>
      </c>
      <c r="F381">
        <v>1132</v>
      </c>
      <c r="G381">
        <v>30</v>
      </c>
      <c r="H381">
        <f t="shared" si="39"/>
        <v>0</v>
      </c>
      <c r="I381" t="str">
        <f t="shared" si="37"/>
        <v>On Time</v>
      </c>
      <c r="J381" cm="1">
        <f t="array" ref="J381">_xlfn.IFS(H381&lt;30,0,H381&lt;60,1,H381&lt;90,2,H381&lt;120,3)</f>
        <v>0</v>
      </c>
      <c r="M381" t="str">
        <f t="shared" si="38"/>
        <v>Low</v>
      </c>
      <c r="N381" t="str">
        <f t="shared" si="35"/>
        <v>Mar</v>
      </c>
      <c r="O381">
        <f t="shared" si="36"/>
        <v>2026</v>
      </c>
    </row>
    <row r="382" spans="1:15" x14ac:dyDescent="0.3">
      <c r="A382">
        <v>204166</v>
      </c>
      <c r="B382" t="s">
        <v>39</v>
      </c>
      <c r="C382" s="2">
        <v>46091</v>
      </c>
      <c r="D382" s="2">
        <f t="shared" si="34"/>
        <v>46121</v>
      </c>
      <c r="F382">
        <v>4974</v>
      </c>
      <c r="G382">
        <v>30</v>
      </c>
      <c r="H382">
        <f t="shared" si="39"/>
        <v>0</v>
      </c>
      <c r="I382" t="str">
        <f t="shared" si="37"/>
        <v>On Time</v>
      </c>
      <c r="J382" cm="1">
        <f t="array" ref="J382">_xlfn.IFS(H382&lt;30,0,H382&lt;60,1,H382&lt;90,2,H382&lt;120,3)</f>
        <v>0</v>
      </c>
      <c r="M382" t="str">
        <f t="shared" si="38"/>
        <v>Low</v>
      </c>
      <c r="N382" t="str">
        <f t="shared" si="35"/>
        <v>Mar</v>
      </c>
      <c r="O382">
        <f t="shared" si="36"/>
        <v>2026</v>
      </c>
    </row>
    <row r="383" spans="1:15" x14ac:dyDescent="0.3">
      <c r="A383">
        <v>204167</v>
      </c>
      <c r="B383" t="s">
        <v>40</v>
      </c>
      <c r="C383" s="2">
        <v>46091</v>
      </c>
      <c r="D383" s="2">
        <f t="shared" si="34"/>
        <v>46121</v>
      </c>
      <c r="F383">
        <v>702</v>
      </c>
      <c r="G383">
        <v>30</v>
      </c>
      <c r="H383">
        <f t="shared" si="39"/>
        <v>0</v>
      </c>
      <c r="I383" t="str">
        <f t="shared" si="37"/>
        <v>On Time</v>
      </c>
      <c r="J383" cm="1">
        <f t="array" ref="J383">_xlfn.IFS(H383&lt;30,0,H383&lt;60,1,H383&lt;90,2,H383&lt;120,3)</f>
        <v>0</v>
      </c>
      <c r="M383" t="str">
        <f t="shared" si="38"/>
        <v>Low</v>
      </c>
      <c r="N383" t="str">
        <f t="shared" si="35"/>
        <v>Mar</v>
      </c>
      <c r="O383">
        <f t="shared" si="36"/>
        <v>2026</v>
      </c>
    </row>
    <row r="384" spans="1:15" x14ac:dyDescent="0.3">
      <c r="A384">
        <v>204168</v>
      </c>
      <c r="B384" t="s">
        <v>41</v>
      </c>
      <c r="C384" s="2">
        <v>46091</v>
      </c>
      <c r="D384" s="2">
        <f t="shared" si="34"/>
        <v>46121</v>
      </c>
      <c r="F384">
        <v>744</v>
      </c>
      <c r="G384">
        <v>30</v>
      </c>
      <c r="H384">
        <f t="shared" si="39"/>
        <v>0</v>
      </c>
      <c r="I384" t="str">
        <f t="shared" si="37"/>
        <v>On Time</v>
      </c>
      <c r="J384" cm="1">
        <f t="array" ref="J384">_xlfn.IFS(H384&lt;30,0,H384&lt;60,1,H384&lt;90,2,H384&lt;120,3)</f>
        <v>0</v>
      </c>
      <c r="M384" t="str">
        <f t="shared" si="38"/>
        <v>Low</v>
      </c>
      <c r="N384" t="str">
        <f t="shared" si="35"/>
        <v>Mar</v>
      </c>
      <c r="O384">
        <f t="shared" si="36"/>
        <v>2026</v>
      </c>
    </row>
    <row r="385" spans="1:15" x14ac:dyDescent="0.3">
      <c r="A385">
        <v>204169</v>
      </c>
      <c r="B385" t="s">
        <v>42</v>
      </c>
      <c r="C385" s="2">
        <v>46091</v>
      </c>
      <c r="D385" s="2">
        <f t="shared" si="34"/>
        <v>46121</v>
      </c>
      <c r="F385">
        <v>2427</v>
      </c>
      <c r="G385">
        <v>30</v>
      </c>
      <c r="H385">
        <f t="shared" si="39"/>
        <v>0</v>
      </c>
      <c r="I385" t="str">
        <f t="shared" si="37"/>
        <v>On Time</v>
      </c>
      <c r="J385" cm="1">
        <f t="array" ref="J385">_xlfn.IFS(H385&lt;30,0,H385&lt;60,1,H385&lt;90,2,H385&lt;120,3)</f>
        <v>0</v>
      </c>
      <c r="M385" t="str">
        <f t="shared" si="38"/>
        <v>Low</v>
      </c>
      <c r="N385" t="str">
        <f t="shared" si="35"/>
        <v>Mar</v>
      </c>
      <c r="O385">
        <f t="shared" si="36"/>
        <v>2026</v>
      </c>
    </row>
    <row r="386" spans="1:15" x14ac:dyDescent="0.3">
      <c r="A386">
        <v>204170</v>
      </c>
      <c r="B386" t="s">
        <v>43</v>
      </c>
      <c r="C386" s="2">
        <v>46091</v>
      </c>
      <c r="D386" s="2">
        <f t="shared" ref="D386:D449" si="40">C386+G386</f>
        <v>46121</v>
      </c>
      <c r="F386">
        <v>4932</v>
      </c>
      <c r="G386">
        <v>30</v>
      </c>
      <c r="H386">
        <f t="shared" si="39"/>
        <v>0</v>
      </c>
      <c r="I386" t="str">
        <f t="shared" si="37"/>
        <v>On Time</v>
      </c>
      <c r="J386" cm="1">
        <f t="array" ref="J386">_xlfn.IFS(H386&lt;30,0,H386&lt;60,1,H386&lt;90,2,H386&lt;120,3)</f>
        <v>0</v>
      </c>
      <c r="M386" t="str">
        <f t="shared" si="38"/>
        <v>Low</v>
      </c>
      <c r="N386" t="str">
        <f t="shared" ref="N386:N449" si="41">TEXT(C386,"mmm")</f>
        <v>Mar</v>
      </c>
      <c r="O386">
        <f t="shared" ref="O386:O449" si="42">YEAR(C386)</f>
        <v>2026</v>
      </c>
    </row>
    <row r="387" spans="1:15" x14ac:dyDescent="0.3">
      <c r="A387">
        <v>204171</v>
      </c>
      <c r="B387" t="s">
        <v>44</v>
      </c>
      <c r="C387" s="2">
        <v>46091</v>
      </c>
      <c r="D387" s="2">
        <f t="shared" si="40"/>
        <v>46136</v>
      </c>
      <c r="F387">
        <v>2862</v>
      </c>
      <c r="G387">
        <v>45</v>
      </c>
      <c r="H387">
        <f t="shared" si="39"/>
        <v>0</v>
      </c>
      <c r="I387" t="str">
        <f t="shared" si="37"/>
        <v>On Time</v>
      </c>
      <c r="J387" cm="1">
        <f t="array" ref="J387">_xlfn.IFS(H387&lt;30,0,H387&lt;60,1,H387&lt;90,2,H387&lt;120,3)</f>
        <v>0</v>
      </c>
      <c r="M387" t="str">
        <f t="shared" si="38"/>
        <v>Low</v>
      </c>
      <c r="N387" t="str">
        <f t="shared" si="41"/>
        <v>Mar</v>
      </c>
      <c r="O387">
        <f t="shared" si="42"/>
        <v>2026</v>
      </c>
    </row>
    <row r="388" spans="1:15" x14ac:dyDescent="0.3">
      <c r="A388">
        <v>204172</v>
      </c>
      <c r="B388" t="s">
        <v>20</v>
      </c>
      <c r="C388" s="2">
        <v>46091</v>
      </c>
      <c r="D388" s="2">
        <f t="shared" si="40"/>
        <v>46121</v>
      </c>
      <c r="F388">
        <v>1094</v>
      </c>
      <c r="G388">
        <v>30</v>
      </c>
      <c r="H388">
        <f t="shared" si="39"/>
        <v>0</v>
      </c>
      <c r="I388" t="str">
        <f t="shared" si="37"/>
        <v>On Time</v>
      </c>
      <c r="J388" cm="1">
        <f t="array" ref="J388">_xlfn.IFS(H388&lt;30,0,H388&lt;60,1,H388&lt;90,2,H388&lt;120,3)</f>
        <v>0</v>
      </c>
      <c r="M388" t="str">
        <f t="shared" si="38"/>
        <v>Low</v>
      </c>
      <c r="N388" t="str">
        <f t="shared" si="41"/>
        <v>Mar</v>
      </c>
      <c r="O388">
        <f t="shared" si="42"/>
        <v>2026</v>
      </c>
    </row>
    <row r="389" spans="1:15" x14ac:dyDescent="0.3">
      <c r="A389">
        <v>204173</v>
      </c>
      <c r="B389" t="s">
        <v>21</v>
      </c>
      <c r="C389" s="2">
        <v>46091</v>
      </c>
      <c r="D389" s="2">
        <f t="shared" si="40"/>
        <v>46121</v>
      </c>
      <c r="F389">
        <v>831</v>
      </c>
      <c r="G389">
        <v>30</v>
      </c>
      <c r="H389">
        <f t="shared" si="39"/>
        <v>0</v>
      </c>
      <c r="I389" t="str">
        <f t="shared" si="37"/>
        <v>On Time</v>
      </c>
      <c r="J389" cm="1">
        <f t="array" ref="J389">_xlfn.IFS(H389&lt;30,0,H389&lt;60,1,H389&lt;90,2,H389&lt;120,3)</f>
        <v>0</v>
      </c>
      <c r="M389" t="str">
        <f t="shared" si="38"/>
        <v>Low</v>
      </c>
      <c r="N389" t="str">
        <f t="shared" si="41"/>
        <v>Mar</v>
      </c>
      <c r="O389">
        <f t="shared" si="42"/>
        <v>2026</v>
      </c>
    </row>
    <row r="390" spans="1:15" x14ac:dyDescent="0.3">
      <c r="A390">
        <v>204174</v>
      </c>
      <c r="B390" t="s">
        <v>22</v>
      </c>
      <c r="C390" s="2">
        <v>46091</v>
      </c>
      <c r="D390" s="2">
        <f t="shared" si="40"/>
        <v>46121</v>
      </c>
      <c r="F390">
        <v>2030</v>
      </c>
      <c r="G390">
        <v>30</v>
      </c>
      <c r="H390">
        <f t="shared" si="39"/>
        <v>0</v>
      </c>
      <c r="I390" t="str">
        <f t="shared" si="37"/>
        <v>On Time</v>
      </c>
      <c r="J390" cm="1">
        <f t="array" ref="J390">_xlfn.IFS(H390&lt;30,0,H390&lt;60,1,H390&lt;90,2,H390&lt;120,3)</f>
        <v>0</v>
      </c>
      <c r="M390" t="str">
        <f t="shared" si="38"/>
        <v>Low</v>
      </c>
      <c r="N390" t="str">
        <f t="shared" si="41"/>
        <v>Mar</v>
      </c>
      <c r="O390">
        <f t="shared" si="42"/>
        <v>2026</v>
      </c>
    </row>
    <row r="391" spans="1:15" x14ac:dyDescent="0.3">
      <c r="A391">
        <v>204175</v>
      </c>
      <c r="B391" t="s">
        <v>23</v>
      </c>
      <c r="C391" s="2">
        <v>46091</v>
      </c>
      <c r="D391" s="2">
        <f t="shared" si="40"/>
        <v>46136</v>
      </c>
      <c r="F391">
        <v>2121</v>
      </c>
      <c r="G391">
        <v>45</v>
      </c>
      <c r="H391">
        <f t="shared" si="39"/>
        <v>0</v>
      </c>
      <c r="I391" t="str">
        <f t="shared" si="37"/>
        <v>On Time</v>
      </c>
      <c r="J391" cm="1">
        <f t="array" ref="J391">_xlfn.IFS(H391&lt;30,0,H391&lt;60,1,H391&lt;90,2,H391&lt;120,3)</f>
        <v>0</v>
      </c>
      <c r="M391" t="str">
        <f t="shared" si="38"/>
        <v>Low</v>
      </c>
      <c r="N391" t="str">
        <f t="shared" si="41"/>
        <v>Mar</v>
      </c>
      <c r="O391">
        <f t="shared" si="42"/>
        <v>2026</v>
      </c>
    </row>
    <row r="392" spans="1:15" x14ac:dyDescent="0.3">
      <c r="A392">
        <v>204176</v>
      </c>
      <c r="B392" t="s">
        <v>24</v>
      </c>
      <c r="C392" s="2">
        <v>46091</v>
      </c>
      <c r="D392" s="2">
        <f t="shared" si="40"/>
        <v>46136</v>
      </c>
      <c r="F392">
        <v>342</v>
      </c>
      <c r="G392">
        <v>45</v>
      </c>
      <c r="H392">
        <f t="shared" si="39"/>
        <v>0</v>
      </c>
      <c r="I392" t="str">
        <f t="shared" si="37"/>
        <v>On Time</v>
      </c>
      <c r="J392" cm="1">
        <f t="array" ref="J392">_xlfn.IFS(H392&lt;30,0,H392&lt;60,1,H392&lt;90,2,H392&lt;120,3)</f>
        <v>0</v>
      </c>
      <c r="M392" t="str">
        <f t="shared" si="38"/>
        <v>Low</v>
      </c>
      <c r="N392" t="str">
        <f t="shared" si="41"/>
        <v>Mar</v>
      </c>
      <c r="O392">
        <f t="shared" si="42"/>
        <v>2026</v>
      </c>
    </row>
    <row r="393" spans="1:15" x14ac:dyDescent="0.3">
      <c r="A393">
        <v>204177</v>
      </c>
      <c r="B393" t="s">
        <v>25</v>
      </c>
      <c r="C393" s="2">
        <v>46091</v>
      </c>
      <c r="D393" s="2">
        <f t="shared" si="40"/>
        <v>46151</v>
      </c>
      <c r="F393">
        <v>902</v>
      </c>
      <c r="G393">
        <v>60</v>
      </c>
      <c r="H393">
        <f t="shared" si="39"/>
        <v>0</v>
      </c>
      <c r="I393" t="str">
        <f t="shared" si="37"/>
        <v>On Time</v>
      </c>
      <c r="J393" cm="1">
        <f t="array" ref="J393">_xlfn.IFS(H393&lt;30,0,H393&lt;60,1,H393&lt;90,2,H393&lt;120,3)</f>
        <v>0</v>
      </c>
      <c r="M393" t="str">
        <f t="shared" si="38"/>
        <v>Low</v>
      </c>
      <c r="N393" t="str">
        <f t="shared" si="41"/>
        <v>Mar</v>
      </c>
      <c r="O393">
        <f t="shared" si="42"/>
        <v>2026</v>
      </c>
    </row>
    <row r="394" spans="1:15" x14ac:dyDescent="0.3">
      <c r="A394">
        <v>204178</v>
      </c>
      <c r="B394" t="s">
        <v>26</v>
      </c>
      <c r="C394" s="2">
        <v>46091</v>
      </c>
      <c r="D394" s="2">
        <f t="shared" si="40"/>
        <v>46121</v>
      </c>
      <c r="F394">
        <v>2132</v>
      </c>
      <c r="G394">
        <v>30</v>
      </c>
      <c r="H394">
        <f t="shared" si="39"/>
        <v>0</v>
      </c>
      <c r="I394" t="str">
        <f t="shared" si="37"/>
        <v>On Time</v>
      </c>
      <c r="J394" cm="1">
        <f t="array" ref="J394">_xlfn.IFS(H394&lt;30,0,H394&lt;60,1,H394&lt;90,2,H394&lt;120,3)</f>
        <v>0</v>
      </c>
      <c r="M394" t="str">
        <f t="shared" si="38"/>
        <v>Low</v>
      </c>
      <c r="N394" t="str">
        <f t="shared" si="41"/>
        <v>Mar</v>
      </c>
      <c r="O394">
        <f t="shared" si="42"/>
        <v>2026</v>
      </c>
    </row>
    <row r="395" spans="1:15" x14ac:dyDescent="0.3">
      <c r="A395">
        <v>204179</v>
      </c>
      <c r="B395" t="s">
        <v>27</v>
      </c>
      <c r="C395" s="2">
        <v>46091</v>
      </c>
      <c r="D395" s="2">
        <f t="shared" si="40"/>
        <v>46151</v>
      </c>
      <c r="F395">
        <v>17335</v>
      </c>
      <c r="G395">
        <v>60</v>
      </c>
      <c r="H395">
        <f t="shared" si="39"/>
        <v>0</v>
      </c>
      <c r="I395" t="str">
        <f t="shared" si="37"/>
        <v>On Time</v>
      </c>
      <c r="J395" cm="1">
        <f t="array" ref="J395">_xlfn.IFS(H395&lt;30,0,H395&lt;60,1,H395&lt;90,2,H395&lt;120,3)</f>
        <v>0</v>
      </c>
      <c r="M395" t="str">
        <f t="shared" si="38"/>
        <v>Low</v>
      </c>
      <c r="N395" t="str">
        <f t="shared" si="41"/>
        <v>Mar</v>
      </c>
      <c r="O395">
        <f t="shared" si="42"/>
        <v>2026</v>
      </c>
    </row>
    <row r="396" spans="1:15" x14ac:dyDescent="0.3">
      <c r="A396">
        <v>204143</v>
      </c>
      <c r="B396" t="s">
        <v>68</v>
      </c>
      <c r="C396" s="2">
        <v>46090</v>
      </c>
      <c r="D396" s="2">
        <f t="shared" si="40"/>
        <v>46120</v>
      </c>
      <c r="F396">
        <v>3782</v>
      </c>
      <c r="G396">
        <v>30</v>
      </c>
      <c r="H396">
        <f t="shared" si="39"/>
        <v>0</v>
      </c>
      <c r="I396" t="str">
        <f t="shared" si="37"/>
        <v>On Time</v>
      </c>
      <c r="J396" cm="1">
        <f t="array" ref="J396">_xlfn.IFS(H396&lt;30,0,H396&lt;60,1,H396&lt;90,2,H396&lt;120,3)</f>
        <v>0</v>
      </c>
      <c r="M396" t="str">
        <f t="shared" si="38"/>
        <v>Low</v>
      </c>
      <c r="N396" t="str">
        <f t="shared" si="41"/>
        <v>Mar</v>
      </c>
      <c r="O396">
        <f t="shared" si="42"/>
        <v>2026</v>
      </c>
    </row>
    <row r="397" spans="1:15" x14ac:dyDescent="0.3">
      <c r="A397">
        <v>204144</v>
      </c>
      <c r="B397" t="s">
        <v>69</v>
      </c>
      <c r="C397" s="2">
        <v>46090</v>
      </c>
      <c r="D397" s="2">
        <f t="shared" si="40"/>
        <v>46120</v>
      </c>
      <c r="F397">
        <v>4317</v>
      </c>
      <c r="G397">
        <v>30</v>
      </c>
      <c r="H397">
        <f t="shared" si="39"/>
        <v>0</v>
      </c>
      <c r="I397" t="str">
        <f t="shared" si="37"/>
        <v>On Time</v>
      </c>
      <c r="J397" cm="1">
        <f t="array" ref="J397">_xlfn.IFS(H397&lt;30,0,H397&lt;60,1,H397&lt;90,2,H397&lt;120,3)</f>
        <v>0</v>
      </c>
      <c r="M397" t="str">
        <f t="shared" si="38"/>
        <v>Low</v>
      </c>
      <c r="N397" t="str">
        <f t="shared" si="41"/>
        <v>Mar</v>
      </c>
      <c r="O397">
        <f t="shared" si="42"/>
        <v>2026</v>
      </c>
    </row>
    <row r="398" spans="1:15" x14ac:dyDescent="0.3">
      <c r="A398">
        <v>204145</v>
      </c>
      <c r="B398" t="s">
        <v>70</v>
      </c>
      <c r="C398" s="2">
        <v>46090</v>
      </c>
      <c r="D398" s="2">
        <f t="shared" si="40"/>
        <v>46120</v>
      </c>
      <c r="F398">
        <v>2577</v>
      </c>
      <c r="G398">
        <v>30</v>
      </c>
      <c r="H398">
        <f t="shared" si="39"/>
        <v>0</v>
      </c>
      <c r="I398" t="str">
        <f t="shared" si="37"/>
        <v>On Time</v>
      </c>
      <c r="J398" cm="1">
        <f t="array" ref="J398">_xlfn.IFS(H398&lt;30,0,H398&lt;60,1,H398&lt;90,2,H398&lt;120,3)</f>
        <v>0</v>
      </c>
      <c r="M398" t="str">
        <f t="shared" si="38"/>
        <v>Low</v>
      </c>
      <c r="N398" t="str">
        <f t="shared" si="41"/>
        <v>Mar</v>
      </c>
      <c r="O398">
        <f t="shared" si="42"/>
        <v>2026</v>
      </c>
    </row>
    <row r="399" spans="1:15" x14ac:dyDescent="0.3">
      <c r="A399">
        <v>204146</v>
      </c>
      <c r="B399" t="s">
        <v>71</v>
      </c>
      <c r="C399" s="2">
        <v>46090</v>
      </c>
      <c r="D399" s="2">
        <f t="shared" si="40"/>
        <v>46120</v>
      </c>
      <c r="F399">
        <v>122</v>
      </c>
      <c r="G399">
        <v>30</v>
      </c>
      <c r="H399">
        <f t="shared" si="39"/>
        <v>0</v>
      </c>
      <c r="I399" t="str">
        <f t="shared" si="37"/>
        <v>On Time</v>
      </c>
      <c r="J399" cm="1">
        <f t="array" ref="J399">_xlfn.IFS(H399&lt;30,0,H399&lt;60,1,H399&lt;90,2,H399&lt;120,3)</f>
        <v>0</v>
      </c>
      <c r="M399" t="str">
        <f t="shared" si="38"/>
        <v>Low</v>
      </c>
      <c r="N399" t="str">
        <f t="shared" si="41"/>
        <v>Mar</v>
      </c>
      <c r="O399">
        <f t="shared" si="42"/>
        <v>2026</v>
      </c>
    </row>
    <row r="400" spans="1:15" x14ac:dyDescent="0.3">
      <c r="A400">
        <v>204147</v>
      </c>
      <c r="B400" t="s">
        <v>72</v>
      </c>
      <c r="C400" s="2">
        <v>46090</v>
      </c>
      <c r="D400" s="2">
        <f t="shared" si="40"/>
        <v>46120</v>
      </c>
      <c r="F400">
        <v>958</v>
      </c>
      <c r="G400">
        <v>30</v>
      </c>
      <c r="H400">
        <f t="shared" si="39"/>
        <v>0</v>
      </c>
      <c r="I400" t="str">
        <f t="shared" si="37"/>
        <v>On Time</v>
      </c>
      <c r="J400" cm="1">
        <f t="array" ref="J400">_xlfn.IFS(H400&lt;30,0,H400&lt;60,1,H400&lt;90,2,H400&lt;120,3)</f>
        <v>0</v>
      </c>
      <c r="M400" t="str">
        <f t="shared" si="38"/>
        <v>Low</v>
      </c>
      <c r="N400" t="str">
        <f t="shared" si="41"/>
        <v>Mar</v>
      </c>
      <c r="O400">
        <f t="shared" si="42"/>
        <v>2026</v>
      </c>
    </row>
    <row r="401" spans="1:15" x14ac:dyDescent="0.3">
      <c r="A401">
        <v>204148</v>
      </c>
      <c r="B401" t="s">
        <v>73</v>
      </c>
      <c r="C401" s="2">
        <v>46090</v>
      </c>
      <c r="D401" s="2">
        <f t="shared" si="40"/>
        <v>46135</v>
      </c>
      <c r="F401">
        <v>1819</v>
      </c>
      <c r="G401">
        <v>45</v>
      </c>
      <c r="H401">
        <f t="shared" si="39"/>
        <v>0</v>
      </c>
      <c r="I401" t="str">
        <f t="shared" si="37"/>
        <v>On Time</v>
      </c>
      <c r="J401" cm="1">
        <f t="array" ref="J401">_xlfn.IFS(H401&lt;30,0,H401&lt;60,1,H401&lt;90,2,H401&lt;120,3)</f>
        <v>0</v>
      </c>
      <c r="M401" t="str">
        <f t="shared" si="38"/>
        <v>Low</v>
      </c>
      <c r="N401" t="str">
        <f t="shared" si="41"/>
        <v>Mar</v>
      </c>
      <c r="O401">
        <f t="shared" si="42"/>
        <v>2026</v>
      </c>
    </row>
    <row r="402" spans="1:15" x14ac:dyDescent="0.3">
      <c r="A402">
        <v>204149</v>
      </c>
      <c r="B402" t="s">
        <v>74</v>
      </c>
      <c r="C402" s="2">
        <v>46090</v>
      </c>
      <c r="D402" s="2">
        <f t="shared" si="40"/>
        <v>46135</v>
      </c>
      <c r="F402">
        <v>1159</v>
      </c>
      <c r="G402">
        <v>45</v>
      </c>
      <c r="H402">
        <f t="shared" si="39"/>
        <v>0</v>
      </c>
      <c r="I402" t="str">
        <f t="shared" si="37"/>
        <v>On Time</v>
      </c>
      <c r="J402" cm="1">
        <f t="array" ref="J402">_xlfn.IFS(H402&lt;30,0,H402&lt;60,1,H402&lt;90,2,H402&lt;120,3)</f>
        <v>0</v>
      </c>
      <c r="M402" t="str">
        <f t="shared" si="38"/>
        <v>Low</v>
      </c>
      <c r="N402" t="str">
        <f t="shared" si="41"/>
        <v>Mar</v>
      </c>
      <c r="O402">
        <f t="shared" si="42"/>
        <v>2026</v>
      </c>
    </row>
    <row r="403" spans="1:15" x14ac:dyDescent="0.3">
      <c r="A403">
        <v>204150</v>
      </c>
      <c r="B403" t="s">
        <v>75</v>
      </c>
      <c r="C403" s="2">
        <v>46090</v>
      </c>
      <c r="D403" s="2">
        <f t="shared" si="40"/>
        <v>46150</v>
      </c>
      <c r="F403">
        <v>4408</v>
      </c>
      <c r="G403">
        <v>60</v>
      </c>
      <c r="H403">
        <f t="shared" si="39"/>
        <v>0</v>
      </c>
      <c r="I403" t="str">
        <f t="shared" si="37"/>
        <v>On Time</v>
      </c>
      <c r="J403" cm="1">
        <f t="array" ref="J403">_xlfn.IFS(H403&lt;30,0,H403&lt;60,1,H403&lt;90,2,H403&lt;120,3)</f>
        <v>0</v>
      </c>
      <c r="M403" t="str">
        <f t="shared" si="38"/>
        <v>Low</v>
      </c>
      <c r="N403" t="str">
        <f t="shared" si="41"/>
        <v>Mar</v>
      </c>
      <c r="O403">
        <f t="shared" si="42"/>
        <v>2026</v>
      </c>
    </row>
    <row r="404" spans="1:15" x14ac:dyDescent="0.3">
      <c r="A404">
        <v>204151</v>
      </c>
      <c r="B404" t="s">
        <v>76</v>
      </c>
      <c r="C404" s="2">
        <v>46090</v>
      </c>
      <c r="D404" s="2">
        <f t="shared" si="40"/>
        <v>46120</v>
      </c>
      <c r="F404">
        <v>110</v>
      </c>
      <c r="G404">
        <v>30</v>
      </c>
      <c r="H404">
        <f t="shared" si="39"/>
        <v>0</v>
      </c>
      <c r="I404" t="str">
        <f t="shared" si="37"/>
        <v>On Time</v>
      </c>
      <c r="J404" cm="1">
        <f t="array" ref="J404">_xlfn.IFS(H404&lt;30,0,H404&lt;60,1,H404&lt;90,2,H404&lt;120,3)</f>
        <v>0</v>
      </c>
      <c r="M404" t="str">
        <f t="shared" si="38"/>
        <v>Low</v>
      </c>
      <c r="N404" t="str">
        <f t="shared" si="41"/>
        <v>Mar</v>
      </c>
      <c r="O404">
        <f t="shared" si="42"/>
        <v>2026</v>
      </c>
    </row>
    <row r="405" spans="1:15" x14ac:dyDescent="0.3">
      <c r="A405">
        <v>204152</v>
      </c>
      <c r="B405" t="s">
        <v>44</v>
      </c>
      <c r="C405" s="2">
        <v>46090</v>
      </c>
      <c r="D405" s="2">
        <f t="shared" si="40"/>
        <v>46135</v>
      </c>
      <c r="F405">
        <v>280</v>
      </c>
      <c r="G405">
        <v>45</v>
      </c>
      <c r="H405">
        <f t="shared" si="39"/>
        <v>0</v>
      </c>
      <c r="I405" t="str">
        <f t="shared" si="37"/>
        <v>On Time</v>
      </c>
      <c r="J405" cm="1">
        <f t="array" ref="J405">_xlfn.IFS(H405&lt;30,0,H405&lt;60,1,H405&lt;90,2,H405&lt;120,3)</f>
        <v>0</v>
      </c>
      <c r="M405" t="str">
        <f t="shared" si="38"/>
        <v>Low</v>
      </c>
      <c r="N405" t="str">
        <f t="shared" si="41"/>
        <v>Mar</v>
      </c>
      <c r="O405">
        <f t="shared" si="42"/>
        <v>2026</v>
      </c>
    </row>
    <row r="406" spans="1:15" x14ac:dyDescent="0.3">
      <c r="A406">
        <v>204153</v>
      </c>
      <c r="B406" t="s">
        <v>45</v>
      </c>
      <c r="C406" s="2">
        <v>46090</v>
      </c>
      <c r="D406" s="2">
        <f t="shared" si="40"/>
        <v>46135</v>
      </c>
      <c r="F406">
        <v>634</v>
      </c>
      <c r="G406">
        <v>45</v>
      </c>
      <c r="H406">
        <f t="shared" si="39"/>
        <v>0</v>
      </c>
      <c r="I406" t="str">
        <f t="shared" ref="I406:I469" si="43">IF(H406=0,"On Time",IF(H406&lt;=15,"Paid Late","Seriously Late"))</f>
        <v>On Time</v>
      </c>
      <c r="J406" cm="1">
        <f t="array" ref="J406">_xlfn.IFS(H406&lt;30,0,H406&lt;60,1,H406&lt;90,2,H406&lt;120,3)</f>
        <v>0</v>
      </c>
      <c r="M406" t="str">
        <f t="shared" ref="M406:M469" si="44">IF(H406&gt;30,"High",IF(H406&gt;10,"Medium","Low"))</f>
        <v>Low</v>
      </c>
      <c r="N406" t="str">
        <f t="shared" si="41"/>
        <v>Mar</v>
      </c>
      <c r="O406">
        <f t="shared" si="42"/>
        <v>2026</v>
      </c>
    </row>
    <row r="407" spans="1:15" x14ac:dyDescent="0.3">
      <c r="A407">
        <v>204154</v>
      </c>
      <c r="B407" t="s">
        <v>46</v>
      </c>
      <c r="C407" s="2">
        <v>46090</v>
      </c>
      <c r="D407" s="2">
        <f t="shared" si="40"/>
        <v>46150</v>
      </c>
      <c r="F407">
        <v>2574</v>
      </c>
      <c r="G407">
        <v>60</v>
      </c>
      <c r="H407">
        <f t="shared" si="39"/>
        <v>0</v>
      </c>
      <c r="I407" t="str">
        <f t="shared" si="43"/>
        <v>On Time</v>
      </c>
      <c r="J407" cm="1">
        <f t="array" ref="J407">_xlfn.IFS(H407&lt;30,0,H407&lt;60,1,H407&lt;90,2,H407&lt;120,3)</f>
        <v>0</v>
      </c>
      <c r="M407" t="str">
        <f t="shared" si="44"/>
        <v>Low</v>
      </c>
      <c r="N407" t="str">
        <f t="shared" si="41"/>
        <v>Mar</v>
      </c>
      <c r="O407">
        <f t="shared" si="42"/>
        <v>2026</v>
      </c>
    </row>
    <row r="408" spans="1:15" x14ac:dyDescent="0.3">
      <c r="A408">
        <v>204155</v>
      </c>
      <c r="B408" t="s">
        <v>47</v>
      </c>
      <c r="C408" s="2">
        <v>46090</v>
      </c>
      <c r="D408" s="2">
        <f t="shared" si="40"/>
        <v>46150</v>
      </c>
      <c r="F408">
        <v>4295</v>
      </c>
      <c r="G408">
        <v>60</v>
      </c>
      <c r="H408">
        <f t="shared" si="39"/>
        <v>0</v>
      </c>
      <c r="I408" t="str">
        <f t="shared" si="43"/>
        <v>On Time</v>
      </c>
      <c r="J408" cm="1">
        <f t="array" ref="J408">_xlfn.IFS(H408&lt;30,0,H408&lt;60,1,H408&lt;90,2,H408&lt;120,3)</f>
        <v>0</v>
      </c>
      <c r="M408" t="str">
        <f t="shared" si="44"/>
        <v>Low</v>
      </c>
      <c r="N408" t="str">
        <f t="shared" si="41"/>
        <v>Mar</v>
      </c>
      <c r="O408">
        <f t="shared" si="42"/>
        <v>2026</v>
      </c>
    </row>
    <row r="409" spans="1:15" x14ac:dyDescent="0.3">
      <c r="A409">
        <v>204156</v>
      </c>
      <c r="B409" t="s">
        <v>48</v>
      </c>
      <c r="C409" s="2">
        <v>46090</v>
      </c>
      <c r="D409" s="2">
        <f t="shared" si="40"/>
        <v>46135</v>
      </c>
      <c r="F409">
        <v>4900</v>
      </c>
      <c r="G409">
        <v>45</v>
      </c>
      <c r="H409">
        <f t="shared" si="39"/>
        <v>0</v>
      </c>
      <c r="I409" t="str">
        <f t="shared" si="43"/>
        <v>On Time</v>
      </c>
      <c r="J409" cm="1">
        <f t="array" ref="J409">_xlfn.IFS(H409&lt;30,0,H409&lt;60,1,H409&lt;90,2,H409&lt;120,3)</f>
        <v>0</v>
      </c>
      <c r="M409" t="str">
        <f t="shared" si="44"/>
        <v>Low</v>
      </c>
      <c r="N409" t="str">
        <f t="shared" si="41"/>
        <v>Mar</v>
      </c>
      <c r="O409">
        <f t="shared" si="42"/>
        <v>2026</v>
      </c>
    </row>
    <row r="410" spans="1:15" x14ac:dyDescent="0.3">
      <c r="A410">
        <v>204157</v>
      </c>
      <c r="B410" t="s">
        <v>49</v>
      </c>
      <c r="C410" s="2">
        <v>46090</v>
      </c>
      <c r="D410" s="2">
        <f t="shared" si="40"/>
        <v>46120</v>
      </c>
      <c r="F410">
        <v>461</v>
      </c>
      <c r="G410">
        <v>30</v>
      </c>
      <c r="H410">
        <f t="shared" si="39"/>
        <v>0</v>
      </c>
      <c r="I410" t="str">
        <f t="shared" si="43"/>
        <v>On Time</v>
      </c>
      <c r="J410" cm="1">
        <f t="array" ref="J410">_xlfn.IFS(H410&lt;30,0,H410&lt;60,1,H410&lt;90,2,H410&lt;120,3)</f>
        <v>0</v>
      </c>
      <c r="M410" t="str">
        <f t="shared" si="44"/>
        <v>Low</v>
      </c>
      <c r="N410" t="str">
        <f t="shared" si="41"/>
        <v>Mar</v>
      </c>
      <c r="O410">
        <f t="shared" si="42"/>
        <v>2026</v>
      </c>
    </row>
    <row r="411" spans="1:15" x14ac:dyDescent="0.3">
      <c r="A411">
        <v>204158</v>
      </c>
      <c r="B411" t="s">
        <v>50</v>
      </c>
      <c r="C411" s="2">
        <v>46090</v>
      </c>
      <c r="D411" s="2">
        <f t="shared" si="40"/>
        <v>46120</v>
      </c>
      <c r="F411">
        <v>871</v>
      </c>
      <c r="G411">
        <v>30</v>
      </c>
      <c r="H411">
        <f t="shared" si="39"/>
        <v>0</v>
      </c>
      <c r="I411" t="str">
        <f t="shared" si="43"/>
        <v>On Time</v>
      </c>
      <c r="J411" cm="1">
        <f t="array" ref="J411">_xlfn.IFS(H411&lt;30,0,H411&lt;60,1,H411&lt;90,2,H411&lt;120,3)</f>
        <v>0</v>
      </c>
      <c r="M411" t="str">
        <f t="shared" si="44"/>
        <v>Low</v>
      </c>
      <c r="N411" t="str">
        <f t="shared" si="41"/>
        <v>Mar</v>
      </c>
      <c r="O411">
        <f t="shared" si="42"/>
        <v>2026</v>
      </c>
    </row>
    <row r="412" spans="1:15" x14ac:dyDescent="0.3">
      <c r="A412">
        <v>204159</v>
      </c>
      <c r="B412" t="s">
        <v>51</v>
      </c>
      <c r="C412" s="2">
        <v>46090</v>
      </c>
      <c r="D412" s="2">
        <f t="shared" si="40"/>
        <v>46120</v>
      </c>
      <c r="F412">
        <v>3521</v>
      </c>
      <c r="G412">
        <v>30</v>
      </c>
      <c r="H412">
        <f t="shared" si="39"/>
        <v>0</v>
      </c>
      <c r="I412" t="str">
        <f t="shared" si="43"/>
        <v>On Time</v>
      </c>
      <c r="J412" cm="1">
        <f t="array" ref="J412">_xlfn.IFS(H412&lt;30,0,H412&lt;60,1,H412&lt;90,2,H412&lt;120,3)</f>
        <v>0</v>
      </c>
      <c r="M412" t="str">
        <f t="shared" si="44"/>
        <v>Low</v>
      </c>
      <c r="N412" t="str">
        <f t="shared" si="41"/>
        <v>Mar</v>
      </c>
      <c r="O412">
        <f t="shared" si="42"/>
        <v>2026</v>
      </c>
    </row>
    <row r="413" spans="1:15" x14ac:dyDescent="0.3">
      <c r="A413">
        <v>204160</v>
      </c>
      <c r="B413" t="s">
        <v>52</v>
      </c>
      <c r="C413" s="2">
        <v>46090</v>
      </c>
      <c r="D413" s="2">
        <f t="shared" si="40"/>
        <v>46120</v>
      </c>
      <c r="F413">
        <v>2839</v>
      </c>
      <c r="G413">
        <v>30</v>
      </c>
      <c r="H413">
        <f t="shared" si="39"/>
        <v>0</v>
      </c>
      <c r="I413" t="str">
        <f t="shared" si="43"/>
        <v>On Time</v>
      </c>
      <c r="J413" cm="1">
        <f t="array" ref="J413">_xlfn.IFS(H413&lt;30,0,H413&lt;60,1,H413&lt;90,2,H413&lt;120,3)</f>
        <v>0</v>
      </c>
      <c r="M413" t="str">
        <f t="shared" si="44"/>
        <v>Low</v>
      </c>
      <c r="N413" t="str">
        <f t="shared" si="41"/>
        <v>Mar</v>
      </c>
      <c r="O413">
        <f t="shared" si="42"/>
        <v>2026</v>
      </c>
    </row>
    <row r="414" spans="1:15" x14ac:dyDescent="0.3">
      <c r="A414">
        <v>204161</v>
      </c>
      <c r="B414" t="s">
        <v>53</v>
      </c>
      <c r="C414" s="2">
        <v>46090</v>
      </c>
      <c r="D414" s="2">
        <f t="shared" si="40"/>
        <v>46120</v>
      </c>
      <c r="F414">
        <v>1727</v>
      </c>
      <c r="G414">
        <v>30</v>
      </c>
      <c r="H414">
        <f t="shared" si="39"/>
        <v>0</v>
      </c>
      <c r="I414" t="str">
        <f t="shared" si="43"/>
        <v>On Time</v>
      </c>
      <c r="J414" cm="1">
        <f t="array" ref="J414">_xlfn.IFS(H414&lt;30,0,H414&lt;60,1,H414&lt;90,2,H414&lt;120,3)</f>
        <v>0</v>
      </c>
      <c r="M414" t="str">
        <f t="shared" si="44"/>
        <v>Low</v>
      </c>
      <c r="N414" t="str">
        <f t="shared" si="41"/>
        <v>Mar</v>
      </c>
      <c r="O414">
        <f t="shared" si="42"/>
        <v>2026</v>
      </c>
    </row>
    <row r="415" spans="1:15" x14ac:dyDescent="0.3">
      <c r="A415">
        <v>204121</v>
      </c>
      <c r="B415" t="s">
        <v>118</v>
      </c>
      <c r="C415" s="2">
        <v>46087</v>
      </c>
      <c r="D415" s="2">
        <f t="shared" si="40"/>
        <v>46117</v>
      </c>
      <c r="F415">
        <v>1701</v>
      </c>
      <c r="G415">
        <v>30</v>
      </c>
      <c r="H415">
        <f t="shared" si="39"/>
        <v>0</v>
      </c>
      <c r="I415" t="str">
        <f t="shared" si="43"/>
        <v>On Time</v>
      </c>
      <c r="J415" cm="1">
        <f t="array" ref="J415">_xlfn.IFS(H415&lt;30,0,H415&lt;60,1,H415&lt;90,2,H415&lt;120,3)</f>
        <v>0</v>
      </c>
      <c r="M415" t="str">
        <f t="shared" si="44"/>
        <v>Low</v>
      </c>
      <c r="N415" t="str">
        <f t="shared" si="41"/>
        <v>Mar</v>
      </c>
      <c r="O415">
        <f t="shared" si="42"/>
        <v>2026</v>
      </c>
    </row>
    <row r="416" spans="1:15" x14ac:dyDescent="0.3">
      <c r="A416">
        <v>204122</v>
      </c>
      <c r="B416" t="s">
        <v>119</v>
      </c>
      <c r="C416" s="2">
        <v>46087</v>
      </c>
      <c r="D416" s="2">
        <f t="shared" si="40"/>
        <v>46117</v>
      </c>
      <c r="F416">
        <v>3936</v>
      </c>
      <c r="G416">
        <v>30</v>
      </c>
      <c r="H416">
        <f t="shared" si="39"/>
        <v>0</v>
      </c>
      <c r="I416" t="str">
        <f t="shared" si="43"/>
        <v>On Time</v>
      </c>
      <c r="J416" cm="1">
        <f t="array" ref="J416">_xlfn.IFS(H416&lt;30,0,H416&lt;60,1,H416&lt;90,2,H416&lt;120,3)</f>
        <v>0</v>
      </c>
      <c r="M416" t="str">
        <f t="shared" si="44"/>
        <v>Low</v>
      </c>
      <c r="N416" t="str">
        <f t="shared" si="41"/>
        <v>Mar</v>
      </c>
      <c r="O416">
        <f t="shared" si="42"/>
        <v>2026</v>
      </c>
    </row>
    <row r="417" spans="1:15" x14ac:dyDescent="0.3">
      <c r="A417">
        <v>204123</v>
      </c>
      <c r="B417" t="s">
        <v>100</v>
      </c>
      <c r="C417" s="2">
        <v>46087</v>
      </c>
      <c r="D417" s="2">
        <f t="shared" si="40"/>
        <v>46117</v>
      </c>
      <c r="F417">
        <v>2663</v>
      </c>
      <c r="G417">
        <v>30</v>
      </c>
      <c r="H417">
        <f t="shared" si="39"/>
        <v>0</v>
      </c>
      <c r="I417" t="str">
        <f t="shared" si="43"/>
        <v>On Time</v>
      </c>
      <c r="J417" cm="1">
        <f t="array" ref="J417">_xlfn.IFS(H417&lt;30,0,H417&lt;60,1,H417&lt;90,2,H417&lt;120,3)</f>
        <v>0</v>
      </c>
      <c r="M417" t="str">
        <f t="shared" si="44"/>
        <v>Low</v>
      </c>
      <c r="N417" t="str">
        <f t="shared" si="41"/>
        <v>Mar</v>
      </c>
      <c r="O417">
        <f t="shared" si="42"/>
        <v>2026</v>
      </c>
    </row>
    <row r="418" spans="1:15" x14ac:dyDescent="0.3">
      <c r="A418">
        <v>204124</v>
      </c>
      <c r="B418" t="s">
        <v>101</v>
      </c>
      <c r="C418" s="2">
        <v>46087</v>
      </c>
      <c r="D418" s="2">
        <f t="shared" si="40"/>
        <v>46117</v>
      </c>
      <c r="F418">
        <v>1176</v>
      </c>
      <c r="G418">
        <v>30</v>
      </c>
      <c r="H418">
        <f t="shared" si="39"/>
        <v>0</v>
      </c>
      <c r="I418" t="str">
        <f t="shared" si="43"/>
        <v>On Time</v>
      </c>
      <c r="J418" cm="1">
        <f t="array" ref="J418">_xlfn.IFS(H418&lt;30,0,H418&lt;60,1,H418&lt;90,2,H418&lt;120,3)</f>
        <v>0</v>
      </c>
      <c r="M418" t="str">
        <f t="shared" si="44"/>
        <v>Low</v>
      </c>
      <c r="N418" t="str">
        <f t="shared" si="41"/>
        <v>Mar</v>
      </c>
      <c r="O418">
        <f t="shared" si="42"/>
        <v>2026</v>
      </c>
    </row>
    <row r="419" spans="1:15" x14ac:dyDescent="0.3">
      <c r="A419">
        <v>204125</v>
      </c>
      <c r="B419" t="s">
        <v>102</v>
      </c>
      <c r="C419" s="2">
        <v>46087</v>
      </c>
      <c r="D419" s="2">
        <f t="shared" si="40"/>
        <v>46117</v>
      </c>
      <c r="F419">
        <v>2730</v>
      </c>
      <c r="G419">
        <v>30</v>
      </c>
      <c r="H419">
        <f t="shared" si="39"/>
        <v>0</v>
      </c>
      <c r="I419" t="str">
        <f t="shared" si="43"/>
        <v>On Time</v>
      </c>
      <c r="J419" cm="1">
        <f t="array" ref="J419">_xlfn.IFS(H419&lt;30,0,H419&lt;60,1,H419&lt;90,2,H419&lt;120,3)</f>
        <v>0</v>
      </c>
      <c r="M419" t="str">
        <f t="shared" si="44"/>
        <v>Low</v>
      </c>
      <c r="N419" t="str">
        <f t="shared" si="41"/>
        <v>Mar</v>
      </c>
      <c r="O419">
        <f t="shared" si="42"/>
        <v>2026</v>
      </c>
    </row>
    <row r="420" spans="1:15" x14ac:dyDescent="0.3">
      <c r="A420">
        <v>204126</v>
      </c>
      <c r="B420" t="s">
        <v>103</v>
      </c>
      <c r="C420" s="2">
        <v>46087</v>
      </c>
      <c r="D420" s="2">
        <f t="shared" si="40"/>
        <v>46117</v>
      </c>
      <c r="F420">
        <v>18102</v>
      </c>
      <c r="G420">
        <v>30</v>
      </c>
      <c r="H420">
        <f t="shared" si="39"/>
        <v>0</v>
      </c>
      <c r="I420" t="str">
        <f t="shared" si="43"/>
        <v>On Time</v>
      </c>
      <c r="J420" cm="1">
        <f t="array" ref="J420">_xlfn.IFS(H420&lt;30,0,H420&lt;60,1,H420&lt;90,2,H420&lt;120,3)</f>
        <v>0</v>
      </c>
      <c r="M420" t="str">
        <f t="shared" si="44"/>
        <v>Low</v>
      </c>
      <c r="N420" t="str">
        <f t="shared" si="41"/>
        <v>Mar</v>
      </c>
      <c r="O420">
        <f t="shared" si="42"/>
        <v>2026</v>
      </c>
    </row>
    <row r="421" spans="1:15" x14ac:dyDescent="0.3">
      <c r="A421">
        <v>204127</v>
      </c>
      <c r="B421" t="s">
        <v>104</v>
      </c>
      <c r="C421" s="2">
        <v>46087</v>
      </c>
      <c r="D421" s="2">
        <f t="shared" si="40"/>
        <v>46117</v>
      </c>
      <c r="F421">
        <v>4488</v>
      </c>
      <c r="G421">
        <v>30</v>
      </c>
      <c r="H421">
        <f t="shared" si="39"/>
        <v>0</v>
      </c>
      <c r="I421" t="str">
        <f t="shared" si="43"/>
        <v>On Time</v>
      </c>
      <c r="J421" cm="1">
        <f t="array" ref="J421">_xlfn.IFS(H421&lt;30,0,H421&lt;60,1,H421&lt;90,2,H421&lt;120,3)</f>
        <v>0</v>
      </c>
      <c r="M421" t="str">
        <f t="shared" si="44"/>
        <v>Low</v>
      </c>
      <c r="N421" t="str">
        <f t="shared" si="41"/>
        <v>Mar</v>
      </c>
      <c r="O421">
        <f t="shared" si="42"/>
        <v>2026</v>
      </c>
    </row>
    <row r="422" spans="1:15" x14ac:dyDescent="0.3">
      <c r="A422">
        <v>204128</v>
      </c>
      <c r="B422" t="s">
        <v>105</v>
      </c>
      <c r="C422" s="2">
        <v>46087</v>
      </c>
      <c r="D422" s="2">
        <f t="shared" si="40"/>
        <v>46117</v>
      </c>
      <c r="F422">
        <v>2639</v>
      </c>
      <c r="G422">
        <v>30</v>
      </c>
      <c r="H422">
        <f t="shared" ref="H422:H485" si="45">MAX(0,P387-D422)</f>
        <v>0</v>
      </c>
      <c r="I422" t="str">
        <f t="shared" si="43"/>
        <v>On Time</v>
      </c>
      <c r="J422" cm="1">
        <f t="array" ref="J422">_xlfn.IFS(H422&lt;30,0,H422&lt;60,1,H422&lt;90,2,H422&lt;120,3)</f>
        <v>0</v>
      </c>
      <c r="M422" t="str">
        <f t="shared" si="44"/>
        <v>Low</v>
      </c>
      <c r="N422" t="str">
        <f t="shared" si="41"/>
        <v>Mar</v>
      </c>
      <c r="O422">
        <f t="shared" si="42"/>
        <v>2026</v>
      </c>
    </row>
    <row r="423" spans="1:15" x14ac:dyDescent="0.3">
      <c r="A423">
        <v>204129</v>
      </c>
      <c r="B423" t="s">
        <v>106</v>
      </c>
      <c r="C423" s="2">
        <v>46087</v>
      </c>
      <c r="D423" s="2">
        <f t="shared" si="40"/>
        <v>46117</v>
      </c>
      <c r="F423">
        <v>1689</v>
      </c>
      <c r="G423">
        <v>30</v>
      </c>
      <c r="H423">
        <f t="shared" si="45"/>
        <v>0</v>
      </c>
      <c r="I423" t="str">
        <f t="shared" si="43"/>
        <v>On Time</v>
      </c>
      <c r="J423" cm="1">
        <f t="array" ref="J423">_xlfn.IFS(H423&lt;30,0,H423&lt;60,1,H423&lt;90,2,H423&lt;120,3)</f>
        <v>0</v>
      </c>
      <c r="M423" t="str">
        <f t="shared" si="44"/>
        <v>Low</v>
      </c>
      <c r="N423" t="str">
        <f t="shared" si="41"/>
        <v>Mar</v>
      </c>
      <c r="O423">
        <f t="shared" si="42"/>
        <v>2026</v>
      </c>
    </row>
    <row r="424" spans="1:15" x14ac:dyDescent="0.3">
      <c r="A424">
        <v>204130</v>
      </c>
      <c r="B424" t="s">
        <v>107</v>
      </c>
      <c r="C424" s="2">
        <v>46087</v>
      </c>
      <c r="D424" s="2">
        <f t="shared" si="40"/>
        <v>46117</v>
      </c>
      <c r="F424">
        <v>288</v>
      </c>
      <c r="G424">
        <v>30</v>
      </c>
      <c r="H424">
        <f t="shared" si="45"/>
        <v>0</v>
      </c>
      <c r="I424" t="str">
        <f t="shared" si="43"/>
        <v>On Time</v>
      </c>
      <c r="J424" cm="1">
        <f t="array" ref="J424">_xlfn.IFS(H424&lt;30,0,H424&lt;60,1,H424&lt;90,2,H424&lt;120,3)</f>
        <v>0</v>
      </c>
      <c r="M424" t="str">
        <f t="shared" si="44"/>
        <v>Low</v>
      </c>
      <c r="N424" t="str">
        <f t="shared" si="41"/>
        <v>Mar</v>
      </c>
      <c r="O424">
        <f t="shared" si="42"/>
        <v>2026</v>
      </c>
    </row>
    <row r="425" spans="1:15" x14ac:dyDescent="0.3">
      <c r="A425">
        <v>204131</v>
      </c>
      <c r="B425" t="s">
        <v>108</v>
      </c>
      <c r="C425" s="2">
        <v>46087</v>
      </c>
      <c r="D425" s="2">
        <f t="shared" si="40"/>
        <v>46117</v>
      </c>
      <c r="F425">
        <v>1271</v>
      </c>
      <c r="G425">
        <v>30</v>
      </c>
      <c r="H425">
        <f t="shared" si="45"/>
        <v>0</v>
      </c>
      <c r="I425" t="str">
        <f t="shared" si="43"/>
        <v>On Time</v>
      </c>
      <c r="J425" cm="1">
        <f t="array" ref="J425">_xlfn.IFS(H425&lt;30,0,H425&lt;60,1,H425&lt;90,2,H425&lt;120,3)</f>
        <v>0</v>
      </c>
      <c r="M425" t="str">
        <f t="shared" si="44"/>
        <v>Low</v>
      </c>
      <c r="N425" t="str">
        <f t="shared" si="41"/>
        <v>Mar</v>
      </c>
      <c r="O425">
        <f t="shared" si="42"/>
        <v>2026</v>
      </c>
    </row>
    <row r="426" spans="1:15" x14ac:dyDescent="0.3">
      <c r="A426">
        <v>204132</v>
      </c>
      <c r="B426" t="s">
        <v>85</v>
      </c>
      <c r="C426" s="2">
        <v>46087</v>
      </c>
      <c r="D426" s="2">
        <f t="shared" si="40"/>
        <v>46147</v>
      </c>
      <c r="F426">
        <v>4960</v>
      </c>
      <c r="G426">
        <v>60</v>
      </c>
      <c r="H426">
        <f t="shared" si="45"/>
        <v>0</v>
      </c>
      <c r="I426" t="str">
        <f t="shared" si="43"/>
        <v>On Time</v>
      </c>
      <c r="J426" cm="1">
        <f t="array" ref="J426">_xlfn.IFS(H426&lt;30,0,H426&lt;60,1,H426&lt;90,2,H426&lt;120,3)</f>
        <v>0</v>
      </c>
      <c r="M426" t="str">
        <f t="shared" si="44"/>
        <v>Low</v>
      </c>
      <c r="N426" t="str">
        <f t="shared" si="41"/>
        <v>Mar</v>
      </c>
      <c r="O426">
        <f t="shared" si="42"/>
        <v>2026</v>
      </c>
    </row>
    <row r="427" spans="1:15" x14ac:dyDescent="0.3">
      <c r="A427">
        <v>204133</v>
      </c>
      <c r="B427" t="s">
        <v>86</v>
      </c>
      <c r="C427" s="2">
        <v>46087</v>
      </c>
      <c r="D427" s="2">
        <f t="shared" si="40"/>
        <v>46117</v>
      </c>
      <c r="F427">
        <v>1845</v>
      </c>
      <c r="G427">
        <v>30</v>
      </c>
      <c r="H427">
        <f t="shared" si="45"/>
        <v>0</v>
      </c>
      <c r="I427" t="str">
        <f t="shared" si="43"/>
        <v>On Time</v>
      </c>
      <c r="J427" cm="1">
        <f t="array" ref="J427">_xlfn.IFS(H427&lt;30,0,H427&lt;60,1,H427&lt;90,2,H427&lt;120,3)</f>
        <v>0</v>
      </c>
      <c r="M427" t="str">
        <f t="shared" si="44"/>
        <v>Low</v>
      </c>
      <c r="N427" t="str">
        <f t="shared" si="41"/>
        <v>Mar</v>
      </c>
      <c r="O427">
        <f t="shared" si="42"/>
        <v>2026</v>
      </c>
    </row>
    <row r="428" spans="1:15" x14ac:dyDescent="0.3">
      <c r="A428">
        <v>204134</v>
      </c>
      <c r="B428" t="s">
        <v>87</v>
      </c>
      <c r="C428" s="2">
        <v>46087</v>
      </c>
      <c r="D428" s="2">
        <f t="shared" si="40"/>
        <v>46117</v>
      </c>
      <c r="F428">
        <v>4343</v>
      </c>
      <c r="G428">
        <v>30</v>
      </c>
      <c r="H428">
        <f t="shared" si="45"/>
        <v>0</v>
      </c>
      <c r="I428" t="str">
        <f t="shared" si="43"/>
        <v>On Time</v>
      </c>
      <c r="J428" cm="1">
        <f t="array" ref="J428">_xlfn.IFS(H428&lt;30,0,H428&lt;60,1,H428&lt;90,2,H428&lt;120,3)</f>
        <v>0</v>
      </c>
      <c r="M428" t="str">
        <f t="shared" si="44"/>
        <v>Low</v>
      </c>
      <c r="N428" t="str">
        <f t="shared" si="41"/>
        <v>Mar</v>
      </c>
      <c r="O428">
        <f t="shared" si="42"/>
        <v>2026</v>
      </c>
    </row>
    <row r="429" spans="1:15" x14ac:dyDescent="0.3">
      <c r="A429">
        <v>204135</v>
      </c>
      <c r="B429" t="s">
        <v>88</v>
      </c>
      <c r="C429" s="2">
        <v>46087</v>
      </c>
      <c r="D429" s="2">
        <f t="shared" si="40"/>
        <v>46117</v>
      </c>
      <c r="F429">
        <v>3735</v>
      </c>
      <c r="G429">
        <v>30</v>
      </c>
      <c r="H429">
        <f t="shared" si="45"/>
        <v>0</v>
      </c>
      <c r="I429" t="str">
        <f t="shared" si="43"/>
        <v>On Time</v>
      </c>
      <c r="J429" cm="1">
        <f t="array" ref="J429">_xlfn.IFS(H429&lt;30,0,H429&lt;60,1,H429&lt;90,2,H429&lt;120,3)</f>
        <v>0</v>
      </c>
      <c r="M429" t="str">
        <f t="shared" si="44"/>
        <v>Low</v>
      </c>
      <c r="N429" t="str">
        <f t="shared" si="41"/>
        <v>Mar</v>
      </c>
      <c r="O429">
        <f t="shared" si="42"/>
        <v>2026</v>
      </c>
    </row>
    <row r="430" spans="1:15" x14ac:dyDescent="0.3">
      <c r="A430">
        <v>204136</v>
      </c>
      <c r="B430" t="s">
        <v>89</v>
      </c>
      <c r="C430" s="2">
        <v>46087</v>
      </c>
      <c r="D430" s="2">
        <f t="shared" si="40"/>
        <v>46117</v>
      </c>
      <c r="F430">
        <v>1809</v>
      </c>
      <c r="G430">
        <v>30</v>
      </c>
      <c r="H430">
        <f t="shared" si="45"/>
        <v>0</v>
      </c>
      <c r="I430" t="str">
        <f t="shared" si="43"/>
        <v>On Time</v>
      </c>
      <c r="J430" cm="1">
        <f t="array" ref="J430">_xlfn.IFS(H430&lt;30,0,H430&lt;60,1,H430&lt;90,2,H430&lt;120,3)</f>
        <v>0</v>
      </c>
      <c r="M430" t="str">
        <f t="shared" si="44"/>
        <v>Low</v>
      </c>
      <c r="N430" t="str">
        <f t="shared" si="41"/>
        <v>Mar</v>
      </c>
      <c r="O430">
        <f t="shared" si="42"/>
        <v>2026</v>
      </c>
    </row>
    <row r="431" spans="1:15" x14ac:dyDescent="0.3">
      <c r="A431">
        <v>204137</v>
      </c>
      <c r="B431" t="s">
        <v>90</v>
      </c>
      <c r="C431" s="2">
        <v>46087</v>
      </c>
      <c r="D431" s="2">
        <f t="shared" si="40"/>
        <v>46117</v>
      </c>
      <c r="F431">
        <v>1525</v>
      </c>
      <c r="G431">
        <v>30</v>
      </c>
      <c r="H431">
        <f t="shared" si="45"/>
        <v>0</v>
      </c>
      <c r="I431" t="str">
        <f t="shared" si="43"/>
        <v>On Time</v>
      </c>
      <c r="J431" cm="1">
        <f t="array" ref="J431">_xlfn.IFS(H431&lt;30,0,H431&lt;60,1,H431&lt;90,2,H431&lt;120,3)</f>
        <v>0</v>
      </c>
      <c r="M431" t="str">
        <f t="shared" si="44"/>
        <v>Low</v>
      </c>
      <c r="N431" t="str">
        <f t="shared" si="41"/>
        <v>Mar</v>
      </c>
      <c r="O431">
        <f t="shared" si="42"/>
        <v>2026</v>
      </c>
    </row>
    <row r="432" spans="1:15" x14ac:dyDescent="0.3">
      <c r="A432">
        <v>204138</v>
      </c>
      <c r="B432" t="s">
        <v>91</v>
      </c>
      <c r="C432" s="2">
        <v>46087</v>
      </c>
      <c r="D432" s="2">
        <f t="shared" si="40"/>
        <v>46117</v>
      </c>
      <c r="F432">
        <v>3243</v>
      </c>
      <c r="G432">
        <v>30</v>
      </c>
      <c r="H432">
        <f t="shared" si="45"/>
        <v>0</v>
      </c>
      <c r="I432" t="str">
        <f t="shared" si="43"/>
        <v>On Time</v>
      </c>
      <c r="J432" cm="1">
        <f t="array" ref="J432">_xlfn.IFS(H432&lt;30,0,H432&lt;60,1,H432&lt;90,2,H432&lt;120,3)</f>
        <v>0</v>
      </c>
      <c r="M432" t="str">
        <f t="shared" si="44"/>
        <v>Low</v>
      </c>
      <c r="N432" t="str">
        <f t="shared" si="41"/>
        <v>Mar</v>
      </c>
      <c r="O432">
        <f t="shared" si="42"/>
        <v>2026</v>
      </c>
    </row>
    <row r="433" spans="1:15" x14ac:dyDescent="0.3">
      <c r="A433">
        <v>204139</v>
      </c>
      <c r="B433" t="s">
        <v>92</v>
      </c>
      <c r="C433" s="2">
        <v>46087</v>
      </c>
      <c r="D433" s="2">
        <f t="shared" si="40"/>
        <v>46117</v>
      </c>
      <c r="F433">
        <v>4721</v>
      </c>
      <c r="G433">
        <v>30</v>
      </c>
      <c r="H433">
        <f t="shared" si="45"/>
        <v>0</v>
      </c>
      <c r="I433" t="str">
        <f t="shared" si="43"/>
        <v>On Time</v>
      </c>
      <c r="J433" cm="1">
        <f t="array" ref="J433">_xlfn.IFS(H433&lt;30,0,H433&lt;60,1,H433&lt;90,2,H433&lt;120,3)</f>
        <v>0</v>
      </c>
      <c r="M433" t="str">
        <f t="shared" si="44"/>
        <v>Low</v>
      </c>
      <c r="N433" t="str">
        <f t="shared" si="41"/>
        <v>Mar</v>
      </c>
      <c r="O433">
        <f t="shared" si="42"/>
        <v>2026</v>
      </c>
    </row>
    <row r="434" spans="1:15" x14ac:dyDescent="0.3">
      <c r="A434">
        <v>204140</v>
      </c>
      <c r="B434" t="s">
        <v>93</v>
      </c>
      <c r="C434" s="2">
        <v>46087</v>
      </c>
      <c r="D434" s="2">
        <f t="shared" si="40"/>
        <v>46117</v>
      </c>
      <c r="F434">
        <v>1975</v>
      </c>
      <c r="G434">
        <v>30</v>
      </c>
      <c r="H434">
        <f t="shared" si="45"/>
        <v>0</v>
      </c>
      <c r="I434" t="str">
        <f t="shared" si="43"/>
        <v>On Time</v>
      </c>
      <c r="J434" cm="1">
        <f t="array" ref="J434">_xlfn.IFS(H434&lt;30,0,H434&lt;60,1,H434&lt;90,2,H434&lt;120,3)</f>
        <v>0</v>
      </c>
      <c r="M434" t="str">
        <f t="shared" si="44"/>
        <v>Low</v>
      </c>
      <c r="N434" t="str">
        <f t="shared" si="41"/>
        <v>Mar</v>
      </c>
      <c r="O434">
        <f t="shared" si="42"/>
        <v>2026</v>
      </c>
    </row>
    <row r="435" spans="1:15" x14ac:dyDescent="0.3">
      <c r="A435">
        <v>204141</v>
      </c>
      <c r="B435" t="s">
        <v>94</v>
      </c>
      <c r="C435" s="2">
        <v>46087</v>
      </c>
      <c r="D435" s="2">
        <f t="shared" si="40"/>
        <v>46117</v>
      </c>
      <c r="F435">
        <v>2724</v>
      </c>
      <c r="G435">
        <v>30</v>
      </c>
      <c r="H435">
        <f t="shared" si="45"/>
        <v>0</v>
      </c>
      <c r="I435" t="str">
        <f t="shared" si="43"/>
        <v>On Time</v>
      </c>
      <c r="J435" cm="1">
        <f t="array" ref="J435">_xlfn.IFS(H435&lt;30,0,H435&lt;60,1,H435&lt;90,2,H435&lt;120,3)</f>
        <v>0</v>
      </c>
      <c r="M435" t="str">
        <f t="shared" si="44"/>
        <v>Low</v>
      </c>
      <c r="N435" t="str">
        <f t="shared" si="41"/>
        <v>Mar</v>
      </c>
      <c r="O435">
        <f t="shared" si="42"/>
        <v>2026</v>
      </c>
    </row>
    <row r="436" spans="1:15" x14ac:dyDescent="0.3">
      <c r="A436">
        <v>204142</v>
      </c>
      <c r="B436" t="s">
        <v>95</v>
      </c>
      <c r="C436" s="2">
        <v>46087</v>
      </c>
      <c r="D436" s="2">
        <f t="shared" si="40"/>
        <v>46132</v>
      </c>
      <c r="F436">
        <v>2466</v>
      </c>
      <c r="G436">
        <v>45</v>
      </c>
      <c r="H436">
        <f t="shared" si="45"/>
        <v>0</v>
      </c>
      <c r="I436" t="str">
        <f t="shared" si="43"/>
        <v>On Time</v>
      </c>
      <c r="J436" cm="1">
        <f t="array" ref="J436">_xlfn.IFS(H436&lt;30,0,H436&lt;60,1,H436&lt;90,2,H436&lt;120,3)</f>
        <v>0</v>
      </c>
      <c r="M436" t="str">
        <f t="shared" si="44"/>
        <v>Low</v>
      </c>
      <c r="N436" t="str">
        <f t="shared" si="41"/>
        <v>Mar</v>
      </c>
      <c r="O436">
        <f t="shared" si="42"/>
        <v>2026</v>
      </c>
    </row>
    <row r="437" spans="1:15" x14ac:dyDescent="0.3">
      <c r="A437">
        <v>204103</v>
      </c>
      <c r="B437" t="s">
        <v>26</v>
      </c>
      <c r="C437" s="2">
        <v>46086</v>
      </c>
      <c r="D437" s="2">
        <f t="shared" si="40"/>
        <v>46116</v>
      </c>
      <c r="E437" s="1">
        <f>D437+15</f>
        <v>46131</v>
      </c>
      <c r="F437">
        <v>2254</v>
      </c>
      <c r="G437">
        <v>30</v>
      </c>
      <c r="H437">
        <f t="shared" si="45"/>
        <v>0</v>
      </c>
      <c r="I437" t="str">
        <f t="shared" si="43"/>
        <v>On Time</v>
      </c>
      <c r="J437" cm="1">
        <f t="array" ref="J437">_xlfn.IFS(H437&lt;30,0,H437&lt;60,1,H437&lt;90,2,H437&lt;120,3)</f>
        <v>0</v>
      </c>
      <c r="M437" t="str">
        <f t="shared" si="44"/>
        <v>Low</v>
      </c>
      <c r="N437" t="str">
        <f t="shared" si="41"/>
        <v>Mar</v>
      </c>
      <c r="O437">
        <f t="shared" si="42"/>
        <v>2026</v>
      </c>
    </row>
    <row r="438" spans="1:15" x14ac:dyDescent="0.3">
      <c r="A438">
        <v>204104</v>
      </c>
      <c r="B438" t="s">
        <v>27</v>
      </c>
      <c r="C438" s="2">
        <v>46086</v>
      </c>
      <c r="D438" s="2">
        <f t="shared" si="40"/>
        <v>46146</v>
      </c>
      <c r="E438" s="1">
        <f>D438-2</f>
        <v>46144</v>
      </c>
      <c r="F438">
        <v>3422</v>
      </c>
      <c r="G438">
        <v>60</v>
      </c>
      <c r="H438">
        <f t="shared" si="45"/>
        <v>0</v>
      </c>
      <c r="I438" t="str">
        <f t="shared" si="43"/>
        <v>On Time</v>
      </c>
      <c r="J438" cm="1">
        <f t="array" ref="J438">_xlfn.IFS(H438&lt;30,0,H438&lt;60,1,H438&lt;90,2,H438&lt;120,3)</f>
        <v>0</v>
      </c>
      <c r="M438" t="str">
        <f t="shared" si="44"/>
        <v>Low</v>
      </c>
      <c r="N438" t="str">
        <f t="shared" si="41"/>
        <v>Mar</v>
      </c>
      <c r="O438">
        <f t="shared" si="42"/>
        <v>2026</v>
      </c>
    </row>
    <row r="439" spans="1:15" x14ac:dyDescent="0.3">
      <c r="A439">
        <v>204105</v>
      </c>
      <c r="B439" t="s">
        <v>28</v>
      </c>
      <c r="C439" s="2">
        <v>46086</v>
      </c>
      <c r="D439" s="2">
        <f t="shared" si="40"/>
        <v>46116</v>
      </c>
      <c r="E439" s="1">
        <f>D439-2</f>
        <v>46114</v>
      </c>
      <c r="F439">
        <v>558</v>
      </c>
      <c r="G439">
        <v>30</v>
      </c>
      <c r="H439">
        <f t="shared" si="45"/>
        <v>0</v>
      </c>
      <c r="I439" t="str">
        <f t="shared" si="43"/>
        <v>On Time</v>
      </c>
      <c r="J439" cm="1">
        <f t="array" ref="J439">_xlfn.IFS(H439&lt;30,0,H439&lt;60,1,H439&lt;90,2,H439&lt;120,3)</f>
        <v>0</v>
      </c>
      <c r="M439" t="str">
        <f t="shared" si="44"/>
        <v>Low</v>
      </c>
      <c r="N439" t="str">
        <f t="shared" si="41"/>
        <v>Mar</v>
      </c>
      <c r="O439">
        <f t="shared" si="42"/>
        <v>2026</v>
      </c>
    </row>
    <row r="440" spans="1:15" x14ac:dyDescent="0.3">
      <c r="A440">
        <v>204106</v>
      </c>
      <c r="B440" t="s">
        <v>29</v>
      </c>
      <c r="C440" s="2">
        <v>46086</v>
      </c>
      <c r="D440" s="2">
        <f t="shared" si="40"/>
        <v>46116</v>
      </c>
      <c r="E440" s="1">
        <f>D440</f>
        <v>46116</v>
      </c>
      <c r="F440">
        <v>2527</v>
      </c>
      <c r="G440">
        <v>30</v>
      </c>
      <c r="H440">
        <f t="shared" si="45"/>
        <v>0</v>
      </c>
      <c r="I440" t="str">
        <f t="shared" si="43"/>
        <v>On Time</v>
      </c>
      <c r="J440" cm="1">
        <f t="array" ref="J440">_xlfn.IFS(H440&lt;30,0,H440&lt;60,1,H440&lt;90,2,H440&lt;120,3)</f>
        <v>0</v>
      </c>
      <c r="M440" t="str">
        <f t="shared" si="44"/>
        <v>Low</v>
      </c>
      <c r="N440" t="str">
        <f t="shared" si="41"/>
        <v>Mar</v>
      </c>
      <c r="O440">
        <f t="shared" si="42"/>
        <v>2026</v>
      </c>
    </row>
    <row r="441" spans="1:15" x14ac:dyDescent="0.3">
      <c r="A441">
        <v>204107</v>
      </c>
      <c r="B441" t="s">
        <v>30</v>
      </c>
      <c r="C441" s="2">
        <v>46086</v>
      </c>
      <c r="D441" s="2">
        <f t="shared" si="40"/>
        <v>46116</v>
      </c>
      <c r="E441" s="1">
        <f>D441+2</f>
        <v>46118</v>
      </c>
      <c r="F441">
        <v>1614</v>
      </c>
      <c r="G441">
        <v>30</v>
      </c>
      <c r="H441">
        <f t="shared" si="45"/>
        <v>0</v>
      </c>
      <c r="I441" t="str">
        <f t="shared" si="43"/>
        <v>On Time</v>
      </c>
      <c r="J441" cm="1">
        <f t="array" ref="J441">_xlfn.IFS(H441&lt;30,0,H441&lt;60,1,H441&lt;90,2,H441&lt;120,3)</f>
        <v>0</v>
      </c>
      <c r="M441" t="str">
        <f t="shared" si="44"/>
        <v>Low</v>
      </c>
      <c r="N441" t="str">
        <f t="shared" si="41"/>
        <v>Mar</v>
      </c>
      <c r="O441">
        <f t="shared" si="42"/>
        <v>2026</v>
      </c>
    </row>
    <row r="442" spans="1:15" x14ac:dyDescent="0.3">
      <c r="A442">
        <v>204108</v>
      </c>
      <c r="B442" t="s">
        <v>31</v>
      </c>
      <c r="C442" s="2">
        <v>46086</v>
      </c>
      <c r="D442" s="2">
        <f t="shared" si="40"/>
        <v>46131</v>
      </c>
      <c r="E442" s="1">
        <f>D442+2</f>
        <v>46133</v>
      </c>
      <c r="F442">
        <v>4088</v>
      </c>
      <c r="G442">
        <v>45</v>
      </c>
      <c r="H442">
        <f t="shared" si="45"/>
        <v>0</v>
      </c>
      <c r="I442" t="str">
        <f t="shared" si="43"/>
        <v>On Time</v>
      </c>
      <c r="J442" cm="1">
        <f t="array" ref="J442">_xlfn.IFS(H442&lt;30,0,H442&lt;60,1,H442&lt;90,2,H442&lt;120,3)</f>
        <v>0</v>
      </c>
      <c r="M442" t="str">
        <f t="shared" si="44"/>
        <v>Low</v>
      </c>
      <c r="N442" t="str">
        <f t="shared" si="41"/>
        <v>Mar</v>
      </c>
      <c r="O442">
        <f t="shared" si="42"/>
        <v>2026</v>
      </c>
    </row>
    <row r="443" spans="1:15" x14ac:dyDescent="0.3">
      <c r="A443">
        <v>204109</v>
      </c>
      <c r="B443" t="s">
        <v>39</v>
      </c>
      <c r="C443" s="2">
        <v>46086</v>
      </c>
      <c r="D443" s="2">
        <f t="shared" si="40"/>
        <v>46116</v>
      </c>
      <c r="E443" s="1">
        <f>D443+2</f>
        <v>46118</v>
      </c>
      <c r="F443">
        <v>1235</v>
      </c>
      <c r="G443">
        <v>30</v>
      </c>
      <c r="H443">
        <f t="shared" si="45"/>
        <v>0</v>
      </c>
      <c r="I443" t="str">
        <f t="shared" si="43"/>
        <v>On Time</v>
      </c>
      <c r="J443" cm="1">
        <f t="array" ref="J443">_xlfn.IFS(H443&lt;30,0,H443&lt;60,1,H443&lt;90,2,H443&lt;120,3)</f>
        <v>0</v>
      </c>
      <c r="M443" t="str">
        <f t="shared" si="44"/>
        <v>Low</v>
      </c>
      <c r="N443" t="str">
        <f t="shared" si="41"/>
        <v>Mar</v>
      </c>
      <c r="O443">
        <f t="shared" si="42"/>
        <v>2026</v>
      </c>
    </row>
    <row r="444" spans="1:15" x14ac:dyDescent="0.3">
      <c r="A444">
        <v>204110</v>
      </c>
      <c r="B444" t="s">
        <v>40</v>
      </c>
      <c r="C444" s="2">
        <v>46086</v>
      </c>
      <c r="D444" s="2">
        <f t="shared" si="40"/>
        <v>46116</v>
      </c>
      <c r="E444" s="1">
        <f>D444</f>
        <v>46116</v>
      </c>
      <c r="F444">
        <v>1728</v>
      </c>
      <c r="G444">
        <v>30</v>
      </c>
      <c r="H444">
        <f t="shared" si="45"/>
        <v>0</v>
      </c>
      <c r="I444" t="str">
        <f t="shared" si="43"/>
        <v>On Time</v>
      </c>
      <c r="J444" cm="1">
        <f t="array" ref="J444">_xlfn.IFS(H444&lt;30,0,H444&lt;60,1,H444&lt;90,2,H444&lt;120,3)</f>
        <v>0</v>
      </c>
      <c r="M444" t="str">
        <f t="shared" si="44"/>
        <v>Low</v>
      </c>
      <c r="N444" t="str">
        <f t="shared" si="41"/>
        <v>Mar</v>
      </c>
      <c r="O444">
        <f t="shared" si="42"/>
        <v>2026</v>
      </c>
    </row>
    <row r="445" spans="1:15" x14ac:dyDescent="0.3">
      <c r="A445">
        <v>204111</v>
      </c>
      <c r="B445" t="s">
        <v>41</v>
      </c>
      <c r="C445" s="2">
        <v>46086</v>
      </c>
      <c r="D445" s="2">
        <f t="shared" si="40"/>
        <v>46116</v>
      </c>
      <c r="E445" s="1">
        <f>D445+20</f>
        <v>46136</v>
      </c>
      <c r="F445">
        <v>3926</v>
      </c>
      <c r="G445">
        <v>30</v>
      </c>
      <c r="H445">
        <f t="shared" si="45"/>
        <v>0</v>
      </c>
      <c r="I445" t="str">
        <f t="shared" si="43"/>
        <v>On Time</v>
      </c>
      <c r="J445" cm="1">
        <f t="array" ref="J445">_xlfn.IFS(H445&lt;30,0,H445&lt;60,1,H445&lt;90,2,H445&lt;120,3)</f>
        <v>0</v>
      </c>
      <c r="M445" t="str">
        <f t="shared" si="44"/>
        <v>Low</v>
      </c>
      <c r="N445" t="str">
        <f t="shared" si="41"/>
        <v>Mar</v>
      </c>
      <c r="O445">
        <f t="shared" si="42"/>
        <v>2026</v>
      </c>
    </row>
    <row r="446" spans="1:15" x14ac:dyDescent="0.3">
      <c r="A446">
        <v>204112</v>
      </c>
      <c r="B446" t="s">
        <v>42</v>
      </c>
      <c r="C446" s="2">
        <v>46086</v>
      </c>
      <c r="D446" s="2">
        <f t="shared" si="40"/>
        <v>46116</v>
      </c>
      <c r="E446" s="1">
        <f>D446</f>
        <v>46116</v>
      </c>
      <c r="F446">
        <v>1427</v>
      </c>
      <c r="G446">
        <v>30</v>
      </c>
      <c r="H446">
        <f t="shared" si="45"/>
        <v>0</v>
      </c>
      <c r="I446" t="str">
        <f t="shared" si="43"/>
        <v>On Time</v>
      </c>
      <c r="J446" cm="1">
        <f t="array" ref="J446">_xlfn.IFS(H446&lt;30,0,H446&lt;60,1,H446&lt;90,2,H446&lt;120,3)</f>
        <v>0</v>
      </c>
      <c r="M446" t="str">
        <f t="shared" si="44"/>
        <v>Low</v>
      </c>
      <c r="N446" t="str">
        <f t="shared" si="41"/>
        <v>Mar</v>
      </c>
      <c r="O446">
        <f t="shared" si="42"/>
        <v>2026</v>
      </c>
    </row>
    <row r="447" spans="1:15" x14ac:dyDescent="0.3">
      <c r="A447">
        <v>204113</v>
      </c>
      <c r="B447" t="s">
        <v>43</v>
      </c>
      <c r="C447" s="2">
        <v>46086</v>
      </c>
      <c r="D447" s="2">
        <f t="shared" si="40"/>
        <v>46116</v>
      </c>
      <c r="E447" s="1">
        <f>D447+1</f>
        <v>46117</v>
      </c>
      <c r="F447">
        <v>496</v>
      </c>
      <c r="G447">
        <v>30</v>
      </c>
      <c r="H447">
        <f t="shared" si="45"/>
        <v>0</v>
      </c>
      <c r="I447" t="str">
        <f t="shared" si="43"/>
        <v>On Time</v>
      </c>
      <c r="J447" cm="1">
        <f t="array" ref="J447">_xlfn.IFS(H447&lt;30,0,H447&lt;60,1,H447&lt;90,2,H447&lt;120,3)</f>
        <v>0</v>
      </c>
      <c r="M447" t="str">
        <f t="shared" si="44"/>
        <v>Low</v>
      </c>
      <c r="N447" t="str">
        <f t="shared" si="41"/>
        <v>Mar</v>
      </c>
      <c r="O447">
        <f t="shared" si="42"/>
        <v>2026</v>
      </c>
    </row>
    <row r="448" spans="1:15" x14ac:dyDescent="0.3">
      <c r="A448">
        <v>204114</v>
      </c>
      <c r="B448" t="s">
        <v>44</v>
      </c>
      <c r="C448" s="2">
        <v>46086</v>
      </c>
      <c r="D448" s="2">
        <f t="shared" si="40"/>
        <v>46131</v>
      </c>
      <c r="E448" s="1">
        <f>D448</f>
        <v>46131</v>
      </c>
      <c r="F448">
        <v>1392</v>
      </c>
      <c r="G448">
        <v>45</v>
      </c>
      <c r="H448">
        <f t="shared" si="45"/>
        <v>0</v>
      </c>
      <c r="I448" t="str">
        <f t="shared" si="43"/>
        <v>On Time</v>
      </c>
      <c r="J448" cm="1">
        <f t="array" ref="J448">_xlfn.IFS(H448&lt;30,0,H448&lt;60,1,H448&lt;90,2,H448&lt;120,3)</f>
        <v>0</v>
      </c>
      <c r="M448" t="str">
        <f t="shared" si="44"/>
        <v>Low</v>
      </c>
      <c r="N448" t="str">
        <f t="shared" si="41"/>
        <v>Mar</v>
      </c>
      <c r="O448">
        <f t="shared" si="42"/>
        <v>2026</v>
      </c>
    </row>
    <row r="449" spans="1:15" x14ac:dyDescent="0.3">
      <c r="A449">
        <v>204115</v>
      </c>
      <c r="B449" t="s">
        <v>45</v>
      </c>
      <c r="C449" s="2">
        <v>46086</v>
      </c>
      <c r="D449" s="2">
        <f t="shared" si="40"/>
        <v>46131</v>
      </c>
      <c r="E449" s="1">
        <f>D449</f>
        <v>46131</v>
      </c>
      <c r="F449">
        <v>1695</v>
      </c>
      <c r="G449">
        <v>45</v>
      </c>
      <c r="H449">
        <f t="shared" si="45"/>
        <v>0</v>
      </c>
      <c r="I449" t="str">
        <f t="shared" si="43"/>
        <v>On Time</v>
      </c>
      <c r="J449" cm="1">
        <f t="array" ref="J449">_xlfn.IFS(H449&lt;30,0,H449&lt;60,1,H449&lt;90,2,H449&lt;120,3)</f>
        <v>0</v>
      </c>
      <c r="M449" t="str">
        <f t="shared" si="44"/>
        <v>Low</v>
      </c>
      <c r="N449" t="str">
        <f t="shared" si="41"/>
        <v>Mar</v>
      </c>
      <c r="O449">
        <f t="shared" si="42"/>
        <v>2026</v>
      </c>
    </row>
    <row r="450" spans="1:15" x14ac:dyDescent="0.3">
      <c r="A450">
        <v>204116</v>
      </c>
      <c r="B450" t="s">
        <v>46</v>
      </c>
      <c r="C450" s="2">
        <v>46086</v>
      </c>
      <c r="D450" s="2">
        <f t="shared" ref="D450:D513" si="46">C450+G450</f>
        <v>46146</v>
      </c>
      <c r="E450" s="1">
        <f>D450+5</f>
        <v>46151</v>
      </c>
      <c r="F450">
        <v>1002</v>
      </c>
      <c r="G450">
        <v>60</v>
      </c>
      <c r="H450">
        <f t="shared" si="45"/>
        <v>0</v>
      </c>
      <c r="I450" t="str">
        <f t="shared" si="43"/>
        <v>On Time</v>
      </c>
      <c r="J450" cm="1">
        <f t="array" ref="J450">_xlfn.IFS(H450&lt;30,0,H450&lt;60,1,H450&lt;90,2,H450&lt;120,3)</f>
        <v>0</v>
      </c>
      <c r="M450" t="str">
        <f t="shared" si="44"/>
        <v>Low</v>
      </c>
      <c r="N450" t="str">
        <f t="shared" ref="N450:N513" si="47">TEXT(C450,"mmm")</f>
        <v>Mar</v>
      </c>
      <c r="O450">
        <f t="shared" ref="O450:O513" si="48">YEAR(C450)</f>
        <v>2026</v>
      </c>
    </row>
    <row r="451" spans="1:15" x14ac:dyDescent="0.3">
      <c r="A451">
        <v>204117</v>
      </c>
      <c r="B451" t="s">
        <v>114</v>
      </c>
      <c r="C451" s="2">
        <v>46086</v>
      </c>
      <c r="D451" s="2">
        <f t="shared" si="46"/>
        <v>46116</v>
      </c>
      <c r="E451" s="1">
        <f>D451+2</f>
        <v>46118</v>
      </c>
      <c r="F451">
        <v>911</v>
      </c>
      <c r="G451">
        <v>30</v>
      </c>
      <c r="H451">
        <f t="shared" si="45"/>
        <v>0</v>
      </c>
      <c r="I451" t="str">
        <f t="shared" si="43"/>
        <v>On Time</v>
      </c>
      <c r="J451" cm="1">
        <f t="array" ref="J451">_xlfn.IFS(H451&lt;30,0,H451&lt;60,1,H451&lt;90,2,H451&lt;120,3)</f>
        <v>0</v>
      </c>
      <c r="M451" t="str">
        <f t="shared" si="44"/>
        <v>Low</v>
      </c>
      <c r="N451" t="str">
        <f t="shared" si="47"/>
        <v>Mar</v>
      </c>
      <c r="O451">
        <f t="shared" si="48"/>
        <v>2026</v>
      </c>
    </row>
    <row r="452" spans="1:15" x14ac:dyDescent="0.3">
      <c r="A452">
        <v>204118</v>
      </c>
      <c r="B452" t="s">
        <v>115</v>
      </c>
      <c r="C452" s="2">
        <v>46086</v>
      </c>
      <c r="D452" s="2">
        <f t="shared" si="46"/>
        <v>46116</v>
      </c>
      <c r="E452" s="1">
        <f>D452+5</f>
        <v>46121</v>
      </c>
      <c r="F452">
        <v>3583</v>
      </c>
      <c r="G452">
        <v>30</v>
      </c>
      <c r="H452">
        <f t="shared" si="45"/>
        <v>0</v>
      </c>
      <c r="I452" t="str">
        <f t="shared" si="43"/>
        <v>On Time</v>
      </c>
      <c r="J452" cm="1">
        <f t="array" ref="J452">_xlfn.IFS(H452&lt;30,0,H452&lt;60,1,H452&lt;90,2,H452&lt;120,3)</f>
        <v>0</v>
      </c>
      <c r="M452" t="str">
        <f t="shared" si="44"/>
        <v>Low</v>
      </c>
      <c r="N452" t="str">
        <f t="shared" si="47"/>
        <v>Mar</v>
      </c>
      <c r="O452">
        <f t="shared" si="48"/>
        <v>2026</v>
      </c>
    </row>
    <row r="453" spans="1:15" x14ac:dyDescent="0.3">
      <c r="A453">
        <v>204119</v>
      </c>
      <c r="B453" t="s">
        <v>116</v>
      </c>
      <c r="C453" s="2">
        <v>46086</v>
      </c>
      <c r="D453" s="2">
        <f t="shared" si="46"/>
        <v>46116</v>
      </c>
      <c r="E453" s="1">
        <f>D453</f>
        <v>46116</v>
      </c>
      <c r="F453">
        <v>2074</v>
      </c>
      <c r="G453">
        <v>30</v>
      </c>
      <c r="H453">
        <f t="shared" si="45"/>
        <v>0</v>
      </c>
      <c r="I453" t="str">
        <f t="shared" si="43"/>
        <v>On Time</v>
      </c>
      <c r="J453" cm="1">
        <f t="array" ref="J453">_xlfn.IFS(H453&lt;30,0,H453&lt;60,1,H453&lt;90,2,H453&lt;120,3)</f>
        <v>0</v>
      </c>
      <c r="M453" t="str">
        <f t="shared" si="44"/>
        <v>Low</v>
      </c>
      <c r="N453" t="str">
        <f t="shared" si="47"/>
        <v>Mar</v>
      </c>
      <c r="O453">
        <f t="shared" si="48"/>
        <v>2026</v>
      </c>
    </row>
    <row r="454" spans="1:15" x14ac:dyDescent="0.3">
      <c r="A454">
        <v>204120</v>
      </c>
      <c r="B454" t="s">
        <v>117</v>
      </c>
      <c r="C454" s="2">
        <v>46086</v>
      </c>
      <c r="D454" s="2">
        <f t="shared" si="46"/>
        <v>46116</v>
      </c>
      <c r="E454" s="1">
        <f>D454</f>
        <v>46116</v>
      </c>
      <c r="F454">
        <v>4023</v>
      </c>
      <c r="G454">
        <v>30</v>
      </c>
      <c r="H454">
        <f t="shared" si="45"/>
        <v>0</v>
      </c>
      <c r="I454" t="str">
        <f t="shared" si="43"/>
        <v>On Time</v>
      </c>
      <c r="J454" cm="1">
        <f t="array" ref="J454">_xlfn.IFS(H454&lt;30,0,H454&lt;60,1,H454&lt;90,2,H454&lt;120,3)</f>
        <v>0</v>
      </c>
      <c r="M454" t="str">
        <f t="shared" si="44"/>
        <v>Low</v>
      </c>
      <c r="N454" t="str">
        <f t="shared" si="47"/>
        <v>Mar</v>
      </c>
      <c r="O454">
        <f t="shared" si="48"/>
        <v>2026</v>
      </c>
    </row>
    <row r="455" spans="1:15" x14ac:dyDescent="0.3">
      <c r="A455">
        <v>204083</v>
      </c>
      <c r="B455" t="s">
        <v>74</v>
      </c>
      <c r="C455" s="2">
        <v>46085</v>
      </c>
      <c r="D455" s="2">
        <f t="shared" si="46"/>
        <v>46130</v>
      </c>
      <c r="E455" s="1">
        <f>D455+5</f>
        <v>46135</v>
      </c>
      <c r="F455">
        <v>4672</v>
      </c>
      <c r="G455">
        <v>45</v>
      </c>
      <c r="H455">
        <f t="shared" si="45"/>
        <v>0</v>
      </c>
      <c r="I455" t="str">
        <f t="shared" si="43"/>
        <v>On Time</v>
      </c>
      <c r="J455" cm="1">
        <f t="array" ref="J455">_xlfn.IFS(H455&lt;30,0,H455&lt;60,1,H455&lt;90,2,H455&lt;120,3)</f>
        <v>0</v>
      </c>
      <c r="M455" t="str">
        <f t="shared" si="44"/>
        <v>Low</v>
      </c>
      <c r="N455" t="str">
        <f t="shared" si="47"/>
        <v>Mar</v>
      </c>
      <c r="O455">
        <f t="shared" si="48"/>
        <v>2026</v>
      </c>
    </row>
    <row r="456" spans="1:15" x14ac:dyDescent="0.3">
      <c r="A456">
        <v>204084</v>
      </c>
      <c r="B456" t="s">
        <v>45</v>
      </c>
      <c r="C456" s="2">
        <v>46085</v>
      </c>
      <c r="D456" s="2">
        <f t="shared" si="46"/>
        <v>46130</v>
      </c>
      <c r="E456" s="1">
        <f>D456+2</f>
        <v>46132</v>
      </c>
      <c r="F456">
        <v>4511</v>
      </c>
      <c r="G456">
        <v>45</v>
      </c>
      <c r="H456">
        <f t="shared" si="45"/>
        <v>0</v>
      </c>
      <c r="I456" t="str">
        <f t="shared" si="43"/>
        <v>On Time</v>
      </c>
      <c r="J456" cm="1">
        <f t="array" ref="J456">_xlfn.IFS(H456&lt;30,0,H456&lt;60,1,H456&lt;90,2,H456&lt;120,3)</f>
        <v>0</v>
      </c>
      <c r="M456" t="str">
        <f t="shared" si="44"/>
        <v>Low</v>
      </c>
      <c r="N456" t="str">
        <f t="shared" si="47"/>
        <v>Mar</v>
      </c>
      <c r="O456">
        <f t="shared" si="48"/>
        <v>2026</v>
      </c>
    </row>
    <row r="457" spans="1:15" x14ac:dyDescent="0.3">
      <c r="A457">
        <v>204085</v>
      </c>
      <c r="B457" t="s">
        <v>46</v>
      </c>
      <c r="C457" s="2">
        <v>46085</v>
      </c>
      <c r="D457" s="2">
        <f t="shared" si="46"/>
        <v>46145</v>
      </c>
      <c r="E457" s="1">
        <f>D457</f>
        <v>46145</v>
      </c>
      <c r="F457">
        <v>3195</v>
      </c>
      <c r="G457">
        <v>60</v>
      </c>
      <c r="H457">
        <f t="shared" si="45"/>
        <v>0</v>
      </c>
      <c r="I457" t="str">
        <f t="shared" si="43"/>
        <v>On Time</v>
      </c>
      <c r="J457" cm="1">
        <f t="array" ref="J457">_xlfn.IFS(H457&lt;30,0,H457&lt;60,1,H457&lt;90,2,H457&lt;120,3)</f>
        <v>0</v>
      </c>
      <c r="M457" t="str">
        <f t="shared" si="44"/>
        <v>Low</v>
      </c>
      <c r="N457" t="str">
        <f t="shared" si="47"/>
        <v>Mar</v>
      </c>
      <c r="O457">
        <f t="shared" si="48"/>
        <v>2026</v>
      </c>
    </row>
    <row r="458" spans="1:15" x14ac:dyDescent="0.3">
      <c r="A458">
        <v>204086</v>
      </c>
      <c r="B458" t="s">
        <v>47</v>
      </c>
      <c r="C458" s="2">
        <v>46085</v>
      </c>
      <c r="D458" s="2">
        <f t="shared" si="46"/>
        <v>46145</v>
      </c>
      <c r="E458" s="1">
        <f>D458</f>
        <v>46145</v>
      </c>
      <c r="F458">
        <v>4543</v>
      </c>
      <c r="G458">
        <v>60</v>
      </c>
      <c r="H458">
        <f t="shared" si="45"/>
        <v>0</v>
      </c>
      <c r="I458" t="str">
        <f t="shared" si="43"/>
        <v>On Time</v>
      </c>
      <c r="J458" cm="1">
        <f t="array" ref="J458">_xlfn.IFS(H458&lt;30,0,H458&lt;60,1,H458&lt;90,2,H458&lt;120,3)</f>
        <v>0</v>
      </c>
      <c r="M458" t="str">
        <f t="shared" si="44"/>
        <v>Low</v>
      </c>
      <c r="N458" t="str">
        <f t="shared" si="47"/>
        <v>Mar</v>
      </c>
      <c r="O458">
        <f t="shared" si="48"/>
        <v>2026</v>
      </c>
    </row>
    <row r="459" spans="1:15" x14ac:dyDescent="0.3">
      <c r="A459">
        <v>204087</v>
      </c>
      <c r="B459" t="s">
        <v>48</v>
      </c>
      <c r="C459" s="2">
        <v>46085</v>
      </c>
      <c r="D459" s="2">
        <f t="shared" si="46"/>
        <v>46130</v>
      </c>
      <c r="E459" s="1">
        <f>D459</f>
        <v>46130</v>
      </c>
      <c r="F459">
        <v>12060</v>
      </c>
      <c r="G459">
        <v>45</v>
      </c>
      <c r="H459">
        <f t="shared" si="45"/>
        <v>0</v>
      </c>
      <c r="I459" t="str">
        <f t="shared" si="43"/>
        <v>On Time</v>
      </c>
      <c r="J459" cm="1">
        <f t="array" ref="J459">_xlfn.IFS(H459&lt;30,0,H459&lt;60,1,H459&lt;90,2,H459&lt;120,3)</f>
        <v>0</v>
      </c>
      <c r="M459" t="str">
        <f t="shared" si="44"/>
        <v>Low</v>
      </c>
      <c r="N459" t="str">
        <f t="shared" si="47"/>
        <v>Mar</v>
      </c>
      <c r="O459">
        <f t="shared" si="48"/>
        <v>2026</v>
      </c>
    </row>
    <row r="460" spans="1:15" x14ac:dyDescent="0.3">
      <c r="A460">
        <v>204088</v>
      </c>
      <c r="B460" t="s">
        <v>49</v>
      </c>
      <c r="C460" s="2">
        <v>46085</v>
      </c>
      <c r="D460" s="2">
        <f t="shared" si="46"/>
        <v>46115</v>
      </c>
      <c r="E460" s="1">
        <f>D460+60</f>
        <v>46175</v>
      </c>
      <c r="F460">
        <v>3258</v>
      </c>
      <c r="G460">
        <v>30</v>
      </c>
      <c r="H460">
        <f t="shared" si="45"/>
        <v>0</v>
      </c>
      <c r="I460" t="str">
        <f t="shared" si="43"/>
        <v>On Time</v>
      </c>
      <c r="J460" cm="1">
        <f t="array" ref="J460">_xlfn.IFS(H460&lt;30,0,H460&lt;60,1,H460&lt;90,2,H460&lt;120,3)</f>
        <v>0</v>
      </c>
      <c r="M460" t="str">
        <f t="shared" si="44"/>
        <v>Low</v>
      </c>
      <c r="N460" t="str">
        <f t="shared" si="47"/>
        <v>Mar</v>
      </c>
      <c r="O460">
        <f t="shared" si="48"/>
        <v>2026</v>
      </c>
    </row>
    <row r="461" spans="1:15" x14ac:dyDescent="0.3">
      <c r="A461">
        <v>204089</v>
      </c>
      <c r="B461" t="s">
        <v>50</v>
      </c>
      <c r="C461" s="2">
        <v>46085</v>
      </c>
      <c r="D461" s="2">
        <f t="shared" si="46"/>
        <v>46115</v>
      </c>
      <c r="E461" s="1">
        <f>D461</f>
        <v>46115</v>
      </c>
      <c r="F461">
        <v>3913</v>
      </c>
      <c r="G461">
        <v>30</v>
      </c>
      <c r="H461">
        <f t="shared" si="45"/>
        <v>0</v>
      </c>
      <c r="I461" t="str">
        <f t="shared" si="43"/>
        <v>On Time</v>
      </c>
      <c r="J461" cm="1">
        <f t="array" ref="J461">_xlfn.IFS(H461&lt;30,0,H461&lt;60,1,H461&lt;90,2,H461&lt;120,3)</f>
        <v>0</v>
      </c>
      <c r="M461" t="str">
        <f t="shared" si="44"/>
        <v>Low</v>
      </c>
      <c r="N461" t="str">
        <f t="shared" si="47"/>
        <v>Mar</v>
      </c>
      <c r="O461">
        <f t="shared" si="48"/>
        <v>2026</v>
      </c>
    </row>
    <row r="462" spans="1:15" x14ac:dyDescent="0.3">
      <c r="A462">
        <v>204090</v>
      </c>
      <c r="B462" t="s">
        <v>51</v>
      </c>
      <c r="C462" s="2">
        <v>46085</v>
      </c>
      <c r="D462" s="2">
        <f t="shared" si="46"/>
        <v>46115</v>
      </c>
      <c r="E462" s="1">
        <f>D462</f>
        <v>46115</v>
      </c>
      <c r="F462">
        <v>952</v>
      </c>
      <c r="G462">
        <v>30</v>
      </c>
      <c r="H462">
        <f t="shared" si="45"/>
        <v>0</v>
      </c>
      <c r="I462" t="str">
        <f t="shared" si="43"/>
        <v>On Time</v>
      </c>
      <c r="J462" cm="1">
        <f t="array" ref="J462">_xlfn.IFS(H462&lt;30,0,H462&lt;60,1,H462&lt;90,2,H462&lt;120,3)</f>
        <v>0</v>
      </c>
      <c r="M462" t="str">
        <f t="shared" si="44"/>
        <v>Low</v>
      </c>
      <c r="N462" t="str">
        <f t="shared" si="47"/>
        <v>Mar</v>
      </c>
      <c r="O462">
        <f t="shared" si="48"/>
        <v>2026</v>
      </c>
    </row>
    <row r="463" spans="1:15" x14ac:dyDescent="0.3">
      <c r="A463">
        <v>204091</v>
      </c>
      <c r="B463" t="s">
        <v>52</v>
      </c>
      <c r="C463" s="2">
        <v>46085</v>
      </c>
      <c r="D463" s="2">
        <f t="shared" si="46"/>
        <v>46115</v>
      </c>
      <c r="E463" s="1">
        <f>D463+3</f>
        <v>46118</v>
      </c>
      <c r="F463">
        <v>2703</v>
      </c>
      <c r="G463">
        <v>30</v>
      </c>
      <c r="H463">
        <f t="shared" si="45"/>
        <v>0</v>
      </c>
      <c r="I463" t="str">
        <f t="shared" si="43"/>
        <v>On Time</v>
      </c>
      <c r="J463" cm="1">
        <f t="array" ref="J463">_xlfn.IFS(H463&lt;30,0,H463&lt;60,1,H463&lt;90,2,H463&lt;120,3)</f>
        <v>0</v>
      </c>
      <c r="M463" t="str">
        <f t="shared" si="44"/>
        <v>Low</v>
      </c>
      <c r="N463" t="str">
        <f t="shared" si="47"/>
        <v>Mar</v>
      </c>
      <c r="O463">
        <f t="shared" si="48"/>
        <v>2026</v>
      </c>
    </row>
    <row r="464" spans="1:15" x14ac:dyDescent="0.3">
      <c r="A464">
        <v>204092</v>
      </c>
      <c r="B464" t="s">
        <v>53</v>
      </c>
      <c r="C464" s="2">
        <v>46085</v>
      </c>
      <c r="D464" s="2">
        <f t="shared" si="46"/>
        <v>46115</v>
      </c>
      <c r="E464" s="1">
        <f>D464+1</f>
        <v>46116</v>
      </c>
      <c r="F464">
        <v>1515</v>
      </c>
      <c r="G464">
        <v>30</v>
      </c>
      <c r="H464">
        <f t="shared" si="45"/>
        <v>0</v>
      </c>
      <c r="I464" t="str">
        <f t="shared" si="43"/>
        <v>On Time</v>
      </c>
      <c r="J464" cm="1">
        <f t="array" ref="J464">_xlfn.IFS(H464&lt;30,0,H464&lt;60,1,H464&lt;90,2,H464&lt;120,3)</f>
        <v>0</v>
      </c>
      <c r="M464" t="str">
        <f t="shared" si="44"/>
        <v>Low</v>
      </c>
      <c r="N464" t="str">
        <f t="shared" si="47"/>
        <v>Mar</v>
      </c>
      <c r="O464">
        <f t="shared" si="48"/>
        <v>2026</v>
      </c>
    </row>
    <row r="465" spans="1:15" x14ac:dyDescent="0.3">
      <c r="A465">
        <v>204093</v>
      </c>
      <c r="B465" t="s">
        <v>54</v>
      </c>
      <c r="C465" s="2">
        <v>46085</v>
      </c>
      <c r="D465" s="2">
        <f t="shared" si="46"/>
        <v>46115</v>
      </c>
      <c r="E465" s="1">
        <f>D465-1</f>
        <v>46114</v>
      </c>
      <c r="F465">
        <v>3022</v>
      </c>
      <c r="G465">
        <v>30</v>
      </c>
      <c r="H465">
        <f t="shared" si="45"/>
        <v>0</v>
      </c>
      <c r="I465" t="str">
        <f t="shared" si="43"/>
        <v>On Time</v>
      </c>
      <c r="J465" cm="1">
        <f t="array" ref="J465">_xlfn.IFS(H465&lt;30,0,H465&lt;60,1,H465&lt;90,2,H465&lt;120,3)</f>
        <v>0</v>
      </c>
      <c r="M465" t="str">
        <f t="shared" si="44"/>
        <v>Low</v>
      </c>
      <c r="N465" t="str">
        <f t="shared" si="47"/>
        <v>Mar</v>
      </c>
      <c r="O465">
        <f t="shared" si="48"/>
        <v>2026</v>
      </c>
    </row>
    <row r="466" spans="1:15" x14ac:dyDescent="0.3">
      <c r="A466">
        <v>204094</v>
      </c>
      <c r="B466" t="s">
        <v>36</v>
      </c>
      <c r="C466" s="2">
        <v>46085</v>
      </c>
      <c r="D466" s="2">
        <f t="shared" si="46"/>
        <v>46115</v>
      </c>
      <c r="E466" s="1">
        <f>D466</f>
        <v>46115</v>
      </c>
      <c r="F466">
        <v>2335</v>
      </c>
      <c r="G466">
        <v>30</v>
      </c>
      <c r="H466">
        <f t="shared" si="45"/>
        <v>0</v>
      </c>
      <c r="I466" t="str">
        <f t="shared" si="43"/>
        <v>On Time</v>
      </c>
      <c r="J466" cm="1">
        <f t="array" ref="J466">_xlfn.IFS(H466&lt;30,0,H466&lt;60,1,H466&lt;90,2,H466&lt;120,3)</f>
        <v>0</v>
      </c>
      <c r="M466" t="str">
        <f t="shared" si="44"/>
        <v>Low</v>
      </c>
      <c r="N466" t="str">
        <f t="shared" si="47"/>
        <v>Mar</v>
      </c>
      <c r="O466">
        <f t="shared" si="48"/>
        <v>2026</v>
      </c>
    </row>
    <row r="467" spans="1:15" x14ac:dyDescent="0.3">
      <c r="A467">
        <v>204095</v>
      </c>
      <c r="B467" t="s">
        <v>37</v>
      </c>
      <c r="C467" s="2">
        <v>46085</v>
      </c>
      <c r="D467" s="2">
        <f t="shared" si="46"/>
        <v>46115</v>
      </c>
      <c r="E467" s="1">
        <f>D467+1</f>
        <v>46116</v>
      </c>
      <c r="F467">
        <v>380</v>
      </c>
      <c r="G467">
        <v>30</v>
      </c>
      <c r="H467">
        <f t="shared" si="45"/>
        <v>0</v>
      </c>
      <c r="I467" t="str">
        <f t="shared" si="43"/>
        <v>On Time</v>
      </c>
      <c r="J467" cm="1">
        <f t="array" ref="J467">_xlfn.IFS(H467&lt;30,0,H467&lt;60,1,H467&lt;90,2,H467&lt;120,3)</f>
        <v>0</v>
      </c>
      <c r="M467" t="str">
        <f t="shared" si="44"/>
        <v>Low</v>
      </c>
      <c r="N467" t="str">
        <f t="shared" si="47"/>
        <v>Mar</v>
      </c>
      <c r="O467">
        <f t="shared" si="48"/>
        <v>2026</v>
      </c>
    </row>
    <row r="468" spans="1:15" x14ac:dyDescent="0.3">
      <c r="A468">
        <v>204096</v>
      </c>
      <c r="B468" t="s">
        <v>38</v>
      </c>
      <c r="C468" s="2">
        <v>46085</v>
      </c>
      <c r="D468" s="2">
        <f t="shared" si="46"/>
        <v>46115</v>
      </c>
      <c r="E468" s="1">
        <f>D468+35</f>
        <v>46150</v>
      </c>
      <c r="F468">
        <v>4928</v>
      </c>
      <c r="G468">
        <v>30</v>
      </c>
      <c r="H468">
        <f t="shared" si="45"/>
        <v>0</v>
      </c>
      <c r="I468" t="str">
        <f t="shared" si="43"/>
        <v>On Time</v>
      </c>
      <c r="J468" cm="1">
        <f t="array" ref="J468">_xlfn.IFS(H468&lt;30,0,H468&lt;60,1,H468&lt;90,2,H468&lt;120,3)</f>
        <v>0</v>
      </c>
      <c r="M468" t="str">
        <f t="shared" si="44"/>
        <v>Low</v>
      </c>
      <c r="N468" t="str">
        <f t="shared" si="47"/>
        <v>Mar</v>
      </c>
      <c r="O468">
        <f t="shared" si="48"/>
        <v>2026</v>
      </c>
    </row>
    <row r="469" spans="1:15" x14ac:dyDescent="0.3">
      <c r="A469">
        <v>204097</v>
      </c>
      <c r="B469" t="s">
        <v>39</v>
      </c>
      <c r="C469" s="2">
        <v>46085</v>
      </c>
      <c r="D469" s="2">
        <f t="shared" si="46"/>
        <v>46115</v>
      </c>
      <c r="E469" s="1">
        <f>D469+62</f>
        <v>46177</v>
      </c>
      <c r="F469">
        <v>13896</v>
      </c>
      <c r="G469">
        <v>30</v>
      </c>
      <c r="H469">
        <f t="shared" si="45"/>
        <v>0</v>
      </c>
      <c r="I469" t="str">
        <f t="shared" si="43"/>
        <v>On Time</v>
      </c>
      <c r="J469" cm="1">
        <f t="array" ref="J469">_xlfn.IFS(H469&lt;30,0,H469&lt;60,1,H469&lt;90,2,H469&lt;120,3)</f>
        <v>0</v>
      </c>
      <c r="M469" t="str">
        <f t="shared" si="44"/>
        <v>Low</v>
      </c>
      <c r="N469" t="str">
        <f t="shared" si="47"/>
        <v>Mar</v>
      </c>
      <c r="O469">
        <f t="shared" si="48"/>
        <v>2026</v>
      </c>
    </row>
    <row r="470" spans="1:15" x14ac:dyDescent="0.3">
      <c r="A470">
        <v>204098</v>
      </c>
      <c r="B470" t="s">
        <v>40</v>
      </c>
      <c r="C470" s="2">
        <v>46085</v>
      </c>
      <c r="D470" s="2">
        <f t="shared" si="46"/>
        <v>46115</v>
      </c>
      <c r="E470" s="1">
        <f>D470+5</f>
        <v>46120</v>
      </c>
      <c r="F470">
        <v>4551</v>
      </c>
      <c r="G470">
        <v>30</v>
      </c>
      <c r="H470">
        <f t="shared" si="45"/>
        <v>0</v>
      </c>
      <c r="I470" t="str">
        <f t="shared" ref="I470:I533" si="49">IF(H470=0,"On Time",IF(H470&lt;=15,"Paid Late","Seriously Late"))</f>
        <v>On Time</v>
      </c>
      <c r="J470" cm="1">
        <f t="array" ref="J470">_xlfn.IFS(H470&lt;30,0,H470&lt;60,1,H470&lt;90,2,H470&lt;120,3)</f>
        <v>0</v>
      </c>
      <c r="M470" t="str">
        <f t="shared" ref="M470:M533" si="50">IF(H470&gt;30,"High",IF(H470&gt;10,"Medium","Low"))</f>
        <v>Low</v>
      </c>
      <c r="N470" t="str">
        <f t="shared" si="47"/>
        <v>Mar</v>
      </c>
      <c r="O470">
        <f t="shared" si="48"/>
        <v>2026</v>
      </c>
    </row>
    <row r="471" spans="1:15" x14ac:dyDescent="0.3">
      <c r="A471">
        <v>204099</v>
      </c>
      <c r="B471" t="s">
        <v>41</v>
      </c>
      <c r="C471" s="2">
        <v>46085</v>
      </c>
      <c r="D471" s="2">
        <f t="shared" si="46"/>
        <v>46115</v>
      </c>
      <c r="E471" s="1">
        <f>D471</f>
        <v>46115</v>
      </c>
      <c r="F471">
        <v>2764</v>
      </c>
      <c r="G471">
        <v>30</v>
      </c>
      <c r="H471">
        <f t="shared" si="45"/>
        <v>0</v>
      </c>
      <c r="I471" t="str">
        <f t="shared" si="49"/>
        <v>On Time</v>
      </c>
      <c r="J471" cm="1">
        <f t="array" ref="J471">_xlfn.IFS(H471&lt;30,0,H471&lt;60,1,H471&lt;90,2,H471&lt;120,3)</f>
        <v>0</v>
      </c>
      <c r="M471" t="str">
        <f t="shared" si="50"/>
        <v>Low</v>
      </c>
      <c r="N471" t="str">
        <f t="shared" si="47"/>
        <v>Mar</v>
      </c>
      <c r="O471">
        <f t="shared" si="48"/>
        <v>2026</v>
      </c>
    </row>
    <row r="472" spans="1:15" x14ac:dyDescent="0.3">
      <c r="A472">
        <v>204100</v>
      </c>
      <c r="B472" t="s">
        <v>42</v>
      </c>
      <c r="C472" s="2">
        <v>46085</v>
      </c>
      <c r="D472" s="2">
        <f t="shared" si="46"/>
        <v>46115</v>
      </c>
      <c r="E472" s="1">
        <f>D472-1</f>
        <v>46114</v>
      </c>
      <c r="F472">
        <v>1016</v>
      </c>
      <c r="G472">
        <v>30</v>
      </c>
      <c r="H472">
        <f t="shared" si="45"/>
        <v>0</v>
      </c>
      <c r="I472" t="str">
        <f t="shared" si="49"/>
        <v>On Time</v>
      </c>
      <c r="J472" cm="1">
        <f t="array" ref="J472">_xlfn.IFS(H472&lt;30,0,H472&lt;60,1,H472&lt;90,2,H472&lt;120,3)</f>
        <v>0</v>
      </c>
      <c r="M472" t="str">
        <f t="shared" si="50"/>
        <v>Low</v>
      </c>
      <c r="N472" t="str">
        <f t="shared" si="47"/>
        <v>Mar</v>
      </c>
      <c r="O472">
        <f t="shared" si="48"/>
        <v>2026</v>
      </c>
    </row>
    <row r="473" spans="1:15" x14ac:dyDescent="0.3">
      <c r="A473">
        <v>204101</v>
      </c>
      <c r="B473" t="s">
        <v>43</v>
      </c>
      <c r="C473" s="2">
        <v>46085</v>
      </c>
      <c r="D473" s="2">
        <f t="shared" si="46"/>
        <v>46115</v>
      </c>
      <c r="E473" s="1">
        <f>D473</f>
        <v>46115</v>
      </c>
      <c r="F473">
        <v>3125</v>
      </c>
      <c r="G473">
        <v>30</v>
      </c>
      <c r="H473">
        <f t="shared" si="45"/>
        <v>0</v>
      </c>
      <c r="I473" t="str">
        <f t="shared" si="49"/>
        <v>On Time</v>
      </c>
      <c r="J473" cm="1">
        <f t="array" ref="J473">_xlfn.IFS(H473&lt;30,0,H473&lt;60,1,H473&lt;90,2,H473&lt;120,3)</f>
        <v>0</v>
      </c>
      <c r="M473" t="str">
        <f t="shared" si="50"/>
        <v>Low</v>
      </c>
      <c r="N473" t="str">
        <f t="shared" si="47"/>
        <v>Mar</v>
      </c>
      <c r="O473">
        <f t="shared" si="48"/>
        <v>2026</v>
      </c>
    </row>
    <row r="474" spans="1:15" x14ac:dyDescent="0.3">
      <c r="A474">
        <v>204102</v>
      </c>
      <c r="B474" t="s">
        <v>25</v>
      </c>
      <c r="C474" s="2">
        <v>46085</v>
      </c>
      <c r="D474" s="2">
        <f t="shared" si="46"/>
        <v>46145</v>
      </c>
      <c r="E474" s="1">
        <f>D474+32</f>
        <v>46177</v>
      </c>
      <c r="F474">
        <v>1369</v>
      </c>
      <c r="G474">
        <v>60</v>
      </c>
      <c r="H474">
        <f t="shared" si="45"/>
        <v>0</v>
      </c>
      <c r="I474" t="str">
        <f t="shared" si="49"/>
        <v>On Time</v>
      </c>
      <c r="J474" cm="1">
        <f t="array" ref="J474">_xlfn.IFS(H474&lt;30,0,H474&lt;60,1,H474&lt;90,2,H474&lt;120,3)</f>
        <v>0</v>
      </c>
      <c r="M474" t="str">
        <f t="shared" si="50"/>
        <v>Low</v>
      </c>
      <c r="N474" t="str">
        <f t="shared" si="47"/>
        <v>Mar</v>
      </c>
      <c r="O474">
        <f t="shared" si="48"/>
        <v>2026</v>
      </c>
    </row>
    <row r="475" spans="1:15" x14ac:dyDescent="0.3">
      <c r="A475">
        <v>204065</v>
      </c>
      <c r="B475" t="s">
        <v>104</v>
      </c>
      <c r="C475" s="2">
        <v>46084</v>
      </c>
      <c r="D475" s="2">
        <f t="shared" si="46"/>
        <v>46114</v>
      </c>
      <c r="E475" s="1">
        <f>D475+5</f>
        <v>46119</v>
      </c>
      <c r="F475">
        <v>4147</v>
      </c>
      <c r="G475">
        <v>30</v>
      </c>
      <c r="H475">
        <f t="shared" si="45"/>
        <v>0</v>
      </c>
      <c r="I475" t="str">
        <f t="shared" si="49"/>
        <v>On Time</v>
      </c>
      <c r="J475" cm="1">
        <f t="array" ref="J475">_xlfn.IFS(H475&lt;30,0,H475&lt;60,1,H475&lt;90,2,H475&lt;120,3)</f>
        <v>0</v>
      </c>
      <c r="M475" t="str">
        <f t="shared" si="50"/>
        <v>Low</v>
      </c>
      <c r="N475" t="str">
        <f t="shared" si="47"/>
        <v>Mar</v>
      </c>
      <c r="O475">
        <f t="shared" si="48"/>
        <v>2026</v>
      </c>
    </row>
    <row r="476" spans="1:15" x14ac:dyDescent="0.3">
      <c r="A476">
        <v>204066</v>
      </c>
      <c r="B476" t="s">
        <v>105</v>
      </c>
      <c r="C476" s="2">
        <v>46084</v>
      </c>
      <c r="D476" s="2">
        <f t="shared" si="46"/>
        <v>46114</v>
      </c>
      <c r="E476" s="1">
        <f>D476</f>
        <v>46114</v>
      </c>
      <c r="F476">
        <v>3187</v>
      </c>
      <c r="G476">
        <v>30</v>
      </c>
      <c r="H476">
        <f t="shared" si="45"/>
        <v>0</v>
      </c>
      <c r="I476" t="str">
        <f t="shared" si="49"/>
        <v>On Time</v>
      </c>
      <c r="J476" cm="1">
        <f t="array" ref="J476">_xlfn.IFS(H476&lt;30,0,H476&lt;60,1,H476&lt;90,2,H476&lt;120,3)</f>
        <v>0</v>
      </c>
      <c r="M476" t="str">
        <f t="shared" si="50"/>
        <v>Low</v>
      </c>
      <c r="N476" t="str">
        <f t="shared" si="47"/>
        <v>Mar</v>
      </c>
      <c r="O476">
        <f t="shared" si="48"/>
        <v>2026</v>
      </c>
    </row>
    <row r="477" spans="1:15" x14ac:dyDescent="0.3">
      <c r="A477">
        <v>204067</v>
      </c>
      <c r="B477" t="s">
        <v>86</v>
      </c>
      <c r="C477" s="2">
        <v>46084</v>
      </c>
      <c r="D477" s="2">
        <f t="shared" si="46"/>
        <v>46114</v>
      </c>
      <c r="E477" s="1">
        <f>D477-1</f>
        <v>46113</v>
      </c>
      <c r="F477">
        <v>1729</v>
      </c>
      <c r="G477">
        <v>30</v>
      </c>
      <c r="H477">
        <f t="shared" si="45"/>
        <v>0</v>
      </c>
      <c r="I477" t="str">
        <f t="shared" si="49"/>
        <v>On Time</v>
      </c>
      <c r="J477" cm="1">
        <f t="array" ref="J477">_xlfn.IFS(H477&lt;30,0,H477&lt;60,1,H477&lt;90,2,H477&lt;120,3)</f>
        <v>0</v>
      </c>
      <c r="M477" t="str">
        <f t="shared" si="50"/>
        <v>Low</v>
      </c>
      <c r="N477" t="str">
        <f t="shared" si="47"/>
        <v>Mar</v>
      </c>
      <c r="O477">
        <f t="shared" si="48"/>
        <v>2026</v>
      </c>
    </row>
    <row r="478" spans="1:15" x14ac:dyDescent="0.3">
      <c r="A478">
        <v>204068</v>
      </c>
      <c r="B478" t="s">
        <v>87</v>
      </c>
      <c r="C478" s="2">
        <v>46084</v>
      </c>
      <c r="D478" s="2">
        <f t="shared" si="46"/>
        <v>46114</v>
      </c>
      <c r="E478" s="1">
        <f>D478</f>
        <v>46114</v>
      </c>
      <c r="F478">
        <v>4014</v>
      </c>
      <c r="G478">
        <v>30</v>
      </c>
      <c r="H478">
        <f t="shared" si="45"/>
        <v>0</v>
      </c>
      <c r="I478" t="str">
        <f t="shared" si="49"/>
        <v>On Time</v>
      </c>
      <c r="J478" cm="1">
        <f t="array" ref="J478">_xlfn.IFS(H478&lt;30,0,H478&lt;60,1,H478&lt;90,2,H478&lt;120,3)</f>
        <v>0</v>
      </c>
      <c r="M478" t="str">
        <f t="shared" si="50"/>
        <v>Low</v>
      </c>
      <c r="N478" t="str">
        <f t="shared" si="47"/>
        <v>Mar</v>
      </c>
      <c r="O478">
        <f t="shared" si="48"/>
        <v>2026</v>
      </c>
    </row>
    <row r="479" spans="1:15" x14ac:dyDescent="0.3">
      <c r="A479">
        <v>204069</v>
      </c>
      <c r="B479" t="s">
        <v>88</v>
      </c>
      <c r="C479" s="2">
        <v>46084</v>
      </c>
      <c r="D479" s="2">
        <f t="shared" si="46"/>
        <v>46114</v>
      </c>
      <c r="E479" s="1">
        <f>D479+32</f>
        <v>46146</v>
      </c>
      <c r="F479">
        <v>2243</v>
      </c>
      <c r="G479">
        <v>30</v>
      </c>
      <c r="H479">
        <f t="shared" si="45"/>
        <v>0</v>
      </c>
      <c r="I479" t="str">
        <f t="shared" si="49"/>
        <v>On Time</v>
      </c>
      <c r="J479" cm="1">
        <f t="array" ref="J479">_xlfn.IFS(H479&lt;30,0,H479&lt;60,1,H479&lt;90,2,H479&lt;120,3)</f>
        <v>0</v>
      </c>
      <c r="M479" t="str">
        <f t="shared" si="50"/>
        <v>Low</v>
      </c>
      <c r="N479" t="str">
        <f t="shared" si="47"/>
        <v>Mar</v>
      </c>
      <c r="O479">
        <f t="shared" si="48"/>
        <v>2026</v>
      </c>
    </row>
    <row r="480" spans="1:15" x14ac:dyDescent="0.3">
      <c r="A480">
        <v>204070</v>
      </c>
      <c r="B480" t="s">
        <v>89</v>
      </c>
      <c r="C480" s="2">
        <v>46084</v>
      </c>
      <c r="D480" s="2">
        <f t="shared" si="46"/>
        <v>46114</v>
      </c>
      <c r="E480" s="1">
        <f>D480+15</f>
        <v>46129</v>
      </c>
      <c r="F480">
        <v>11887</v>
      </c>
      <c r="G480">
        <v>30</v>
      </c>
      <c r="H480">
        <f t="shared" si="45"/>
        <v>0</v>
      </c>
      <c r="I480" t="str">
        <f t="shared" si="49"/>
        <v>On Time</v>
      </c>
      <c r="J480" cm="1">
        <f t="array" ref="J480">_xlfn.IFS(H480&lt;30,0,H480&lt;60,1,H480&lt;90,2,H480&lt;120,3)</f>
        <v>0</v>
      </c>
      <c r="M480" t="str">
        <f t="shared" si="50"/>
        <v>Low</v>
      </c>
      <c r="N480" t="str">
        <f t="shared" si="47"/>
        <v>Mar</v>
      </c>
      <c r="O480">
        <f t="shared" si="48"/>
        <v>2026</v>
      </c>
    </row>
    <row r="481" spans="1:15" x14ac:dyDescent="0.3">
      <c r="A481">
        <v>204071</v>
      </c>
      <c r="B481" t="s">
        <v>90</v>
      </c>
      <c r="C481" s="2">
        <v>46084</v>
      </c>
      <c r="D481" s="2">
        <f t="shared" si="46"/>
        <v>46114</v>
      </c>
      <c r="E481" s="1">
        <f>D481</f>
        <v>46114</v>
      </c>
      <c r="F481">
        <v>4136</v>
      </c>
      <c r="G481">
        <v>30</v>
      </c>
      <c r="H481">
        <f t="shared" si="45"/>
        <v>0</v>
      </c>
      <c r="I481" t="str">
        <f t="shared" si="49"/>
        <v>On Time</v>
      </c>
      <c r="J481" cm="1">
        <f t="array" ref="J481">_xlfn.IFS(H481&lt;30,0,H481&lt;60,1,H481&lt;90,2,H481&lt;120,3)</f>
        <v>0</v>
      </c>
      <c r="M481" t="str">
        <f t="shared" si="50"/>
        <v>Low</v>
      </c>
      <c r="N481" t="str">
        <f t="shared" si="47"/>
        <v>Mar</v>
      </c>
      <c r="O481">
        <f t="shared" si="48"/>
        <v>2026</v>
      </c>
    </row>
    <row r="482" spans="1:15" x14ac:dyDescent="0.3">
      <c r="A482">
        <v>204072</v>
      </c>
      <c r="B482" t="s">
        <v>91</v>
      </c>
      <c r="C482" s="2">
        <v>46084</v>
      </c>
      <c r="D482" s="2">
        <f t="shared" si="46"/>
        <v>46114</v>
      </c>
      <c r="E482" s="1">
        <f>D482-2</f>
        <v>46112</v>
      </c>
      <c r="F482">
        <v>2107</v>
      </c>
      <c r="G482">
        <v>30</v>
      </c>
      <c r="H482">
        <f t="shared" si="45"/>
        <v>0</v>
      </c>
      <c r="I482" t="str">
        <f t="shared" si="49"/>
        <v>On Time</v>
      </c>
      <c r="J482" cm="1">
        <f t="array" ref="J482">_xlfn.IFS(H482&lt;30,0,H482&lt;60,1,H482&lt;90,2,H482&lt;120,3)</f>
        <v>0</v>
      </c>
      <c r="M482" t="str">
        <f t="shared" si="50"/>
        <v>Low</v>
      </c>
      <c r="N482" t="str">
        <f t="shared" si="47"/>
        <v>Mar</v>
      </c>
      <c r="O482">
        <f t="shared" si="48"/>
        <v>2026</v>
      </c>
    </row>
    <row r="483" spans="1:15" x14ac:dyDescent="0.3">
      <c r="A483">
        <v>204073</v>
      </c>
      <c r="B483" t="s">
        <v>92</v>
      </c>
      <c r="C483" s="2">
        <v>46084</v>
      </c>
      <c r="D483" s="2">
        <f t="shared" si="46"/>
        <v>46114</v>
      </c>
      <c r="E483" s="1">
        <f>D483</f>
        <v>46114</v>
      </c>
      <c r="F483">
        <v>2079</v>
      </c>
      <c r="G483">
        <v>30</v>
      </c>
      <c r="H483">
        <f t="shared" si="45"/>
        <v>0</v>
      </c>
      <c r="I483" t="str">
        <f t="shared" si="49"/>
        <v>On Time</v>
      </c>
      <c r="J483" cm="1">
        <f t="array" ref="J483">_xlfn.IFS(H483&lt;30,0,H483&lt;60,1,H483&lt;90,2,H483&lt;120,3)</f>
        <v>0</v>
      </c>
      <c r="M483" t="str">
        <f t="shared" si="50"/>
        <v>Low</v>
      </c>
      <c r="N483" t="str">
        <f t="shared" si="47"/>
        <v>Mar</v>
      </c>
      <c r="O483">
        <f t="shared" si="48"/>
        <v>2026</v>
      </c>
    </row>
    <row r="484" spans="1:15" x14ac:dyDescent="0.3">
      <c r="A484">
        <v>204074</v>
      </c>
      <c r="B484" t="s">
        <v>93</v>
      </c>
      <c r="C484" s="2">
        <v>46084</v>
      </c>
      <c r="D484" s="2">
        <f t="shared" si="46"/>
        <v>46114</v>
      </c>
      <c r="E484" s="1">
        <f>D484+2</f>
        <v>46116</v>
      </c>
      <c r="F484">
        <v>6342</v>
      </c>
      <c r="G484">
        <v>30</v>
      </c>
      <c r="H484">
        <f t="shared" si="45"/>
        <v>0</v>
      </c>
      <c r="I484" t="str">
        <f t="shared" si="49"/>
        <v>On Time</v>
      </c>
      <c r="J484" cm="1">
        <f t="array" ref="J484">_xlfn.IFS(H484&lt;30,0,H484&lt;60,1,H484&lt;90,2,H484&lt;120,3)</f>
        <v>0</v>
      </c>
      <c r="M484" t="str">
        <f t="shared" si="50"/>
        <v>Low</v>
      </c>
      <c r="N484" t="str">
        <f t="shared" si="47"/>
        <v>Mar</v>
      </c>
      <c r="O484">
        <f t="shared" si="48"/>
        <v>2026</v>
      </c>
    </row>
    <row r="485" spans="1:15" x14ac:dyDescent="0.3">
      <c r="A485">
        <v>204075</v>
      </c>
      <c r="B485" t="s">
        <v>94</v>
      </c>
      <c r="C485" s="2">
        <v>46084</v>
      </c>
      <c r="D485" s="2">
        <f t="shared" si="46"/>
        <v>46114</v>
      </c>
      <c r="E485" s="1">
        <f>D485+2</f>
        <v>46116</v>
      </c>
      <c r="F485">
        <v>1417</v>
      </c>
      <c r="G485">
        <v>30</v>
      </c>
      <c r="H485">
        <f t="shared" si="45"/>
        <v>0</v>
      </c>
      <c r="I485" t="str">
        <f t="shared" si="49"/>
        <v>On Time</v>
      </c>
      <c r="J485" cm="1">
        <f t="array" ref="J485">_xlfn.IFS(H485&lt;30,0,H485&lt;60,1,H485&lt;90,2,H485&lt;120,3)</f>
        <v>0</v>
      </c>
      <c r="M485" t="str">
        <f t="shared" si="50"/>
        <v>Low</v>
      </c>
      <c r="N485" t="str">
        <f t="shared" si="47"/>
        <v>Mar</v>
      </c>
      <c r="O485">
        <f t="shared" si="48"/>
        <v>2026</v>
      </c>
    </row>
    <row r="486" spans="1:15" x14ac:dyDescent="0.3">
      <c r="A486">
        <v>204076</v>
      </c>
      <c r="B486" t="s">
        <v>95</v>
      </c>
      <c r="C486" s="2">
        <v>46084</v>
      </c>
      <c r="D486" s="2">
        <f t="shared" si="46"/>
        <v>46129</v>
      </c>
      <c r="E486" s="1">
        <f>D486+2</f>
        <v>46131</v>
      </c>
      <c r="F486">
        <v>4768</v>
      </c>
      <c r="G486">
        <v>45</v>
      </c>
      <c r="H486">
        <f t="shared" ref="H486:H549" si="51">MAX(0,P451-D486)</f>
        <v>0</v>
      </c>
      <c r="I486" t="str">
        <f t="shared" si="49"/>
        <v>On Time</v>
      </c>
      <c r="J486" cm="1">
        <f t="array" ref="J486">_xlfn.IFS(H486&lt;30,0,H486&lt;60,1,H486&lt;90,2,H486&lt;120,3)</f>
        <v>0</v>
      </c>
      <c r="M486" t="str">
        <f t="shared" si="50"/>
        <v>Low</v>
      </c>
      <c r="N486" t="str">
        <f t="shared" si="47"/>
        <v>Mar</v>
      </c>
      <c r="O486">
        <f t="shared" si="48"/>
        <v>2026</v>
      </c>
    </row>
    <row r="487" spans="1:15" x14ac:dyDescent="0.3">
      <c r="A487">
        <v>204077</v>
      </c>
      <c r="B487" t="s">
        <v>68</v>
      </c>
      <c r="C487" s="2">
        <v>46084</v>
      </c>
      <c r="D487" s="2">
        <f t="shared" si="46"/>
        <v>46114</v>
      </c>
      <c r="E487" s="1">
        <f>D487</f>
        <v>46114</v>
      </c>
      <c r="F487">
        <v>4371</v>
      </c>
      <c r="G487">
        <v>30</v>
      </c>
      <c r="H487">
        <f t="shared" si="51"/>
        <v>0</v>
      </c>
      <c r="I487" t="str">
        <f t="shared" si="49"/>
        <v>On Time</v>
      </c>
      <c r="J487" cm="1">
        <f t="array" ref="J487">_xlfn.IFS(H487&lt;30,0,H487&lt;60,1,H487&lt;90,2,H487&lt;120,3)</f>
        <v>0</v>
      </c>
      <c r="M487" t="str">
        <f t="shared" si="50"/>
        <v>Low</v>
      </c>
      <c r="N487" t="str">
        <f t="shared" si="47"/>
        <v>Mar</v>
      </c>
      <c r="O487">
        <f t="shared" si="48"/>
        <v>2026</v>
      </c>
    </row>
    <row r="488" spans="1:15" x14ac:dyDescent="0.3">
      <c r="A488">
        <v>204078</v>
      </c>
      <c r="B488" t="s">
        <v>69</v>
      </c>
      <c r="C488" s="2">
        <v>46084</v>
      </c>
      <c r="D488" s="2">
        <f t="shared" si="46"/>
        <v>46114</v>
      </c>
      <c r="E488" s="1">
        <f>D488+20</f>
        <v>46134</v>
      </c>
      <c r="F488">
        <v>4778</v>
      </c>
      <c r="G488">
        <v>30</v>
      </c>
      <c r="H488">
        <f t="shared" si="51"/>
        <v>0</v>
      </c>
      <c r="I488" t="str">
        <f t="shared" si="49"/>
        <v>On Time</v>
      </c>
      <c r="J488" cm="1">
        <f t="array" ref="J488">_xlfn.IFS(H488&lt;30,0,H488&lt;60,1,H488&lt;90,2,H488&lt;120,3)</f>
        <v>0</v>
      </c>
      <c r="M488" t="str">
        <f t="shared" si="50"/>
        <v>Low</v>
      </c>
      <c r="N488" t="str">
        <f t="shared" si="47"/>
        <v>Mar</v>
      </c>
      <c r="O488">
        <f t="shared" si="48"/>
        <v>2026</v>
      </c>
    </row>
    <row r="489" spans="1:15" x14ac:dyDescent="0.3">
      <c r="A489">
        <v>204079</v>
      </c>
      <c r="B489" t="s">
        <v>70</v>
      </c>
      <c r="C489" s="2">
        <v>46084</v>
      </c>
      <c r="D489" s="2">
        <f t="shared" si="46"/>
        <v>46114</v>
      </c>
      <c r="E489" s="1">
        <f>D489</f>
        <v>46114</v>
      </c>
      <c r="F489">
        <v>3234</v>
      </c>
      <c r="G489">
        <v>30</v>
      </c>
      <c r="H489">
        <f t="shared" si="51"/>
        <v>0</v>
      </c>
      <c r="I489" t="str">
        <f t="shared" si="49"/>
        <v>On Time</v>
      </c>
      <c r="J489" cm="1">
        <f t="array" ref="J489">_xlfn.IFS(H489&lt;30,0,H489&lt;60,1,H489&lt;90,2,H489&lt;120,3)</f>
        <v>0</v>
      </c>
      <c r="M489" t="str">
        <f t="shared" si="50"/>
        <v>Low</v>
      </c>
      <c r="N489" t="str">
        <f t="shared" si="47"/>
        <v>Mar</v>
      </c>
      <c r="O489">
        <f t="shared" si="48"/>
        <v>2026</v>
      </c>
    </row>
    <row r="490" spans="1:15" x14ac:dyDescent="0.3">
      <c r="A490">
        <v>204080</v>
      </c>
      <c r="B490" t="s">
        <v>71</v>
      </c>
      <c r="C490" s="2">
        <v>46084</v>
      </c>
      <c r="D490" s="2">
        <f t="shared" si="46"/>
        <v>46114</v>
      </c>
      <c r="E490" s="1">
        <f>D490+1</f>
        <v>46115</v>
      </c>
      <c r="F490">
        <v>2587</v>
      </c>
      <c r="G490">
        <v>30</v>
      </c>
      <c r="H490">
        <f t="shared" si="51"/>
        <v>0</v>
      </c>
      <c r="I490" t="str">
        <f t="shared" si="49"/>
        <v>On Time</v>
      </c>
      <c r="J490" cm="1">
        <f t="array" ref="J490">_xlfn.IFS(H490&lt;30,0,H490&lt;60,1,H490&lt;90,2,H490&lt;120,3)</f>
        <v>0</v>
      </c>
      <c r="M490" t="str">
        <f t="shared" si="50"/>
        <v>Low</v>
      </c>
      <c r="N490" t="str">
        <f t="shared" si="47"/>
        <v>Mar</v>
      </c>
      <c r="O490">
        <f t="shared" si="48"/>
        <v>2026</v>
      </c>
    </row>
    <row r="491" spans="1:15" x14ac:dyDescent="0.3">
      <c r="A491">
        <v>204081</v>
      </c>
      <c r="B491" t="s">
        <v>72</v>
      </c>
      <c r="C491" s="2">
        <v>46084</v>
      </c>
      <c r="D491" s="2">
        <f t="shared" si="46"/>
        <v>46114</v>
      </c>
      <c r="E491" s="1">
        <f>D491</f>
        <v>46114</v>
      </c>
      <c r="F491">
        <v>2490</v>
      </c>
      <c r="G491">
        <v>30</v>
      </c>
      <c r="H491">
        <f t="shared" si="51"/>
        <v>0</v>
      </c>
      <c r="I491" t="str">
        <f t="shared" si="49"/>
        <v>On Time</v>
      </c>
      <c r="J491" cm="1">
        <f t="array" ref="J491">_xlfn.IFS(H491&lt;30,0,H491&lt;60,1,H491&lt;90,2,H491&lt;120,3)</f>
        <v>0</v>
      </c>
      <c r="M491" t="str">
        <f t="shared" si="50"/>
        <v>Low</v>
      </c>
      <c r="N491" t="str">
        <f t="shared" si="47"/>
        <v>Mar</v>
      </c>
      <c r="O491">
        <f t="shared" si="48"/>
        <v>2026</v>
      </c>
    </row>
    <row r="492" spans="1:15" x14ac:dyDescent="0.3">
      <c r="A492">
        <v>204082</v>
      </c>
      <c r="B492" t="s">
        <v>73</v>
      </c>
      <c r="C492" s="2">
        <v>46084</v>
      </c>
      <c r="D492" s="2">
        <f t="shared" si="46"/>
        <v>46129</v>
      </c>
      <c r="E492" s="1">
        <f>D492</f>
        <v>46129</v>
      </c>
      <c r="F492">
        <v>2942</v>
      </c>
      <c r="G492">
        <v>45</v>
      </c>
      <c r="H492">
        <f t="shared" si="51"/>
        <v>0</v>
      </c>
      <c r="I492" t="str">
        <f t="shared" si="49"/>
        <v>On Time</v>
      </c>
      <c r="J492" cm="1">
        <f t="array" ref="J492">_xlfn.IFS(H492&lt;30,0,H492&lt;60,1,H492&lt;90,2,H492&lt;120,3)</f>
        <v>0</v>
      </c>
      <c r="M492" t="str">
        <f t="shared" si="50"/>
        <v>Low</v>
      </c>
      <c r="N492" t="str">
        <f t="shared" si="47"/>
        <v>Mar</v>
      </c>
      <c r="O492">
        <f t="shared" si="48"/>
        <v>2026</v>
      </c>
    </row>
    <row r="493" spans="1:15" x14ac:dyDescent="0.3">
      <c r="A493">
        <v>204045</v>
      </c>
      <c r="B493" t="s">
        <v>119</v>
      </c>
      <c r="C493" s="2">
        <v>46083</v>
      </c>
      <c r="D493" s="2">
        <f t="shared" si="46"/>
        <v>46113</v>
      </c>
      <c r="E493" s="1">
        <f>D493+20</f>
        <v>46133</v>
      </c>
      <c r="F493">
        <v>1193</v>
      </c>
      <c r="G493">
        <v>30</v>
      </c>
      <c r="H493">
        <f t="shared" si="51"/>
        <v>0</v>
      </c>
      <c r="I493" t="str">
        <f t="shared" si="49"/>
        <v>On Time</v>
      </c>
      <c r="J493" cm="1">
        <f t="array" ref="J493">_xlfn.IFS(H493&lt;30,0,H493&lt;60,1,H493&lt;90,2,H493&lt;120,3)</f>
        <v>0</v>
      </c>
      <c r="M493" t="str">
        <f t="shared" si="50"/>
        <v>Low</v>
      </c>
      <c r="N493" t="str">
        <f t="shared" si="47"/>
        <v>Mar</v>
      </c>
      <c r="O493">
        <f t="shared" si="48"/>
        <v>2026</v>
      </c>
    </row>
    <row r="494" spans="1:15" x14ac:dyDescent="0.3">
      <c r="A494">
        <v>204046</v>
      </c>
      <c r="B494" t="s">
        <v>31</v>
      </c>
      <c r="C494" s="2">
        <v>46083</v>
      </c>
      <c r="D494" s="2">
        <f t="shared" si="46"/>
        <v>46128</v>
      </c>
      <c r="E494" s="1">
        <f>D494</f>
        <v>46128</v>
      </c>
      <c r="F494">
        <v>2237</v>
      </c>
      <c r="G494">
        <v>45</v>
      </c>
      <c r="H494">
        <f t="shared" si="51"/>
        <v>0</v>
      </c>
      <c r="I494" t="str">
        <f t="shared" si="49"/>
        <v>On Time</v>
      </c>
      <c r="J494" cm="1">
        <f t="array" ref="J494">_xlfn.IFS(H494&lt;30,0,H494&lt;60,1,H494&lt;90,2,H494&lt;120,3)</f>
        <v>0</v>
      </c>
      <c r="M494" t="str">
        <f t="shared" si="50"/>
        <v>Low</v>
      </c>
      <c r="N494" t="str">
        <f t="shared" si="47"/>
        <v>Mar</v>
      </c>
      <c r="O494">
        <f t="shared" si="48"/>
        <v>2026</v>
      </c>
    </row>
    <row r="495" spans="1:15" x14ac:dyDescent="0.3">
      <c r="A495">
        <v>204047</v>
      </c>
      <c r="B495" t="s">
        <v>32</v>
      </c>
      <c r="C495" s="2">
        <v>46083</v>
      </c>
      <c r="D495" s="2">
        <f t="shared" si="46"/>
        <v>46128</v>
      </c>
      <c r="E495" s="1">
        <f>D495+1</f>
        <v>46129</v>
      </c>
      <c r="F495">
        <v>1317</v>
      </c>
      <c r="G495">
        <v>45</v>
      </c>
      <c r="H495">
        <f t="shared" si="51"/>
        <v>0</v>
      </c>
      <c r="I495" t="str">
        <f t="shared" si="49"/>
        <v>On Time</v>
      </c>
      <c r="J495" cm="1">
        <f t="array" ref="J495">_xlfn.IFS(H495&lt;30,0,H495&lt;60,1,H495&lt;90,2,H495&lt;120,3)</f>
        <v>0</v>
      </c>
      <c r="M495" t="str">
        <f t="shared" si="50"/>
        <v>Low</v>
      </c>
      <c r="N495" t="str">
        <f t="shared" si="47"/>
        <v>Mar</v>
      </c>
      <c r="O495">
        <f t="shared" si="48"/>
        <v>2026</v>
      </c>
    </row>
    <row r="496" spans="1:15" x14ac:dyDescent="0.3">
      <c r="A496">
        <v>204048</v>
      </c>
      <c r="B496" t="s">
        <v>33</v>
      </c>
      <c r="C496" s="2">
        <v>46083</v>
      </c>
      <c r="D496" s="2">
        <f t="shared" si="46"/>
        <v>46113</v>
      </c>
      <c r="E496" s="1">
        <f>D496</f>
        <v>46113</v>
      </c>
      <c r="F496">
        <v>17699</v>
      </c>
      <c r="G496">
        <v>30</v>
      </c>
      <c r="H496">
        <f t="shared" si="51"/>
        <v>0</v>
      </c>
      <c r="I496" t="str">
        <f t="shared" si="49"/>
        <v>On Time</v>
      </c>
      <c r="J496" cm="1">
        <f t="array" ref="J496">_xlfn.IFS(H496&lt;30,0,H496&lt;60,1,H496&lt;90,2,H496&lt;120,3)</f>
        <v>0</v>
      </c>
      <c r="M496" t="str">
        <f t="shared" si="50"/>
        <v>Low</v>
      </c>
      <c r="N496" t="str">
        <f t="shared" si="47"/>
        <v>Mar</v>
      </c>
      <c r="O496">
        <f t="shared" si="48"/>
        <v>2026</v>
      </c>
    </row>
    <row r="497" spans="1:15" x14ac:dyDescent="0.3">
      <c r="A497">
        <v>204049</v>
      </c>
      <c r="B497" t="s">
        <v>34</v>
      </c>
      <c r="C497" s="2">
        <v>46083</v>
      </c>
      <c r="D497" s="2">
        <f t="shared" si="46"/>
        <v>46143</v>
      </c>
      <c r="E497" s="1">
        <f>D497</f>
        <v>46143</v>
      </c>
      <c r="F497">
        <v>2771</v>
      </c>
      <c r="G497">
        <v>60</v>
      </c>
      <c r="H497">
        <f t="shared" si="51"/>
        <v>0</v>
      </c>
      <c r="I497" t="str">
        <f t="shared" si="49"/>
        <v>On Time</v>
      </c>
      <c r="J497" cm="1">
        <f t="array" ref="J497">_xlfn.IFS(H497&lt;30,0,H497&lt;60,1,H497&lt;90,2,H497&lt;120,3)</f>
        <v>0</v>
      </c>
      <c r="M497" t="str">
        <f t="shared" si="50"/>
        <v>Low</v>
      </c>
      <c r="N497" t="str">
        <f t="shared" si="47"/>
        <v>Mar</v>
      </c>
      <c r="O497">
        <f t="shared" si="48"/>
        <v>2026</v>
      </c>
    </row>
    <row r="498" spans="1:15" x14ac:dyDescent="0.3">
      <c r="A498">
        <v>204050</v>
      </c>
      <c r="B498" t="s">
        <v>35</v>
      </c>
      <c r="C498" s="2">
        <v>46083</v>
      </c>
      <c r="D498" s="2">
        <f t="shared" si="46"/>
        <v>46128</v>
      </c>
      <c r="E498" s="1">
        <f>D498+5</f>
        <v>46133</v>
      </c>
      <c r="F498">
        <v>4087</v>
      </c>
      <c r="G498">
        <v>45</v>
      </c>
      <c r="H498">
        <f t="shared" si="51"/>
        <v>0</v>
      </c>
      <c r="I498" t="str">
        <f t="shared" si="49"/>
        <v>On Time</v>
      </c>
      <c r="J498" cm="1">
        <f t="array" ref="J498">_xlfn.IFS(H498&lt;30,0,H498&lt;60,1,H498&lt;90,2,H498&lt;120,3)</f>
        <v>0</v>
      </c>
      <c r="M498" t="str">
        <f t="shared" si="50"/>
        <v>Low</v>
      </c>
      <c r="N498" t="str">
        <f t="shared" si="47"/>
        <v>Mar</v>
      </c>
      <c r="O498">
        <f t="shared" si="48"/>
        <v>2026</v>
      </c>
    </row>
    <row r="499" spans="1:15" x14ac:dyDescent="0.3">
      <c r="A499">
        <v>204051</v>
      </c>
      <c r="B499" t="s">
        <v>36</v>
      </c>
      <c r="C499" s="2">
        <v>46083</v>
      </c>
      <c r="D499" s="2">
        <f t="shared" si="46"/>
        <v>46113</v>
      </c>
      <c r="E499" s="1">
        <f>D499+2</f>
        <v>46115</v>
      </c>
      <c r="F499">
        <v>1630</v>
      </c>
      <c r="G499">
        <v>30</v>
      </c>
      <c r="H499">
        <f t="shared" si="51"/>
        <v>0</v>
      </c>
      <c r="I499" t="str">
        <f t="shared" si="49"/>
        <v>On Time</v>
      </c>
      <c r="J499" cm="1">
        <f t="array" ref="J499">_xlfn.IFS(H499&lt;30,0,H499&lt;60,1,H499&lt;90,2,H499&lt;120,3)</f>
        <v>0</v>
      </c>
      <c r="M499" t="str">
        <f t="shared" si="50"/>
        <v>Low</v>
      </c>
      <c r="N499" t="str">
        <f t="shared" si="47"/>
        <v>Mar</v>
      </c>
      <c r="O499">
        <f t="shared" si="48"/>
        <v>2026</v>
      </c>
    </row>
    <row r="500" spans="1:15" x14ac:dyDescent="0.3">
      <c r="A500">
        <v>204052</v>
      </c>
      <c r="B500" t="s">
        <v>64</v>
      </c>
      <c r="C500" s="2">
        <v>46083</v>
      </c>
      <c r="D500" s="2">
        <f t="shared" si="46"/>
        <v>46113</v>
      </c>
      <c r="E500" s="1">
        <f>D500+5</f>
        <v>46118</v>
      </c>
      <c r="F500">
        <v>3455</v>
      </c>
      <c r="G500">
        <v>30</v>
      </c>
      <c r="H500">
        <f t="shared" si="51"/>
        <v>0</v>
      </c>
      <c r="I500" t="str">
        <f t="shared" si="49"/>
        <v>On Time</v>
      </c>
      <c r="J500" cm="1">
        <f t="array" ref="J500">_xlfn.IFS(H500&lt;30,0,H500&lt;60,1,H500&lt;90,2,H500&lt;120,3)</f>
        <v>0</v>
      </c>
      <c r="M500" t="str">
        <f t="shared" si="50"/>
        <v>Low</v>
      </c>
      <c r="N500" t="str">
        <f t="shared" si="47"/>
        <v>Mar</v>
      </c>
      <c r="O500">
        <f t="shared" si="48"/>
        <v>2026</v>
      </c>
    </row>
    <row r="501" spans="1:15" x14ac:dyDescent="0.3">
      <c r="A501">
        <v>204053</v>
      </c>
      <c r="B501" t="s">
        <v>45</v>
      </c>
      <c r="C501" s="2">
        <v>46083</v>
      </c>
      <c r="D501" s="2">
        <f t="shared" si="46"/>
        <v>46128</v>
      </c>
      <c r="E501" s="1">
        <f>D501</f>
        <v>46128</v>
      </c>
      <c r="F501">
        <v>4793</v>
      </c>
      <c r="G501">
        <v>45</v>
      </c>
      <c r="H501">
        <f t="shared" si="51"/>
        <v>0</v>
      </c>
      <c r="I501" t="str">
        <f t="shared" si="49"/>
        <v>On Time</v>
      </c>
      <c r="J501" cm="1">
        <f t="array" ref="J501">_xlfn.IFS(H501&lt;30,0,H501&lt;60,1,H501&lt;90,2,H501&lt;120,3)</f>
        <v>0</v>
      </c>
      <c r="M501" t="str">
        <f t="shared" si="50"/>
        <v>Low</v>
      </c>
      <c r="N501" t="str">
        <f t="shared" si="47"/>
        <v>Mar</v>
      </c>
      <c r="O501">
        <f t="shared" si="48"/>
        <v>2026</v>
      </c>
    </row>
    <row r="502" spans="1:15" x14ac:dyDescent="0.3">
      <c r="A502">
        <v>204054</v>
      </c>
      <c r="B502" t="s">
        <v>46</v>
      </c>
      <c r="C502" s="2">
        <v>46083</v>
      </c>
      <c r="D502" s="2">
        <f t="shared" si="46"/>
        <v>46143</v>
      </c>
      <c r="E502" s="1">
        <f>D502</f>
        <v>46143</v>
      </c>
      <c r="F502">
        <v>3133</v>
      </c>
      <c r="G502">
        <v>60</v>
      </c>
      <c r="H502">
        <f t="shared" si="51"/>
        <v>0</v>
      </c>
      <c r="I502" t="str">
        <f t="shared" si="49"/>
        <v>On Time</v>
      </c>
      <c r="J502" cm="1">
        <f t="array" ref="J502">_xlfn.IFS(H502&lt;30,0,H502&lt;60,1,H502&lt;90,2,H502&lt;120,3)</f>
        <v>0</v>
      </c>
      <c r="M502" t="str">
        <f t="shared" si="50"/>
        <v>Low</v>
      </c>
      <c r="N502" t="str">
        <f t="shared" si="47"/>
        <v>Mar</v>
      </c>
      <c r="O502">
        <f t="shared" si="48"/>
        <v>2026</v>
      </c>
    </row>
    <row r="503" spans="1:15" x14ac:dyDescent="0.3">
      <c r="A503">
        <v>204055</v>
      </c>
      <c r="B503" t="s">
        <v>114</v>
      </c>
      <c r="C503" s="2">
        <v>46083</v>
      </c>
      <c r="D503" s="2">
        <f t="shared" si="46"/>
        <v>46113</v>
      </c>
      <c r="E503" s="1">
        <f>D503+60</f>
        <v>46173</v>
      </c>
      <c r="F503">
        <v>237</v>
      </c>
      <c r="G503">
        <v>30</v>
      </c>
      <c r="H503">
        <f t="shared" si="51"/>
        <v>0</v>
      </c>
      <c r="I503" t="str">
        <f t="shared" si="49"/>
        <v>On Time</v>
      </c>
      <c r="J503" cm="1">
        <f t="array" ref="J503">_xlfn.IFS(H503&lt;30,0,H503&lt;60,1,H503&lt;90,2,H503&lt;120,3)</f>
        <v>0</v>
      </c>
      <c r="M503" t="str">
        <f t="shared" si="50"/>
        <v>Low</v>
      </c>
      <c r="N503" t="str">
        <f t="shared" si="47"/>
        <v>Mar</v>
      </c>
      <c r="O503">
        <f t="shared" si="48"/>
        <v>2026</v>
      </c>
    </row>
    <row r="504" spans="1:15" x14ac:dyDescent="0.3">
      <c r="A504">
        <v>204056</v>
      </c>
      <c r="B504" t="s">
        <v>115</v>
      </c>
      <c r="C504" s="2">
        <v>46083</v>
      </c>
      <c r="D504" s="2">
        <f t="shared" si="46"/>
        <v>46113</v>
      </c>
      <c r="E504" s="1">
        <f>D504</f>
        <v>46113</v>
      </c>
      <c r="F504">
        <v>1327</v>
      </c>
      <c r="G504">
        <v>30</v>
      </c>
      <c r="H504">
        <f t="shared" si="51"/>
        <v>0</v>
      </c>
      <c r="I504" t="str">
        <f t="shared" si="49"/>
        <v>On Time</v>
      </c>
      <c r="J504" cm="1">
        <f t="array" ref="J504">_xlfn.IFS(H504&lt;30,0,H504&lt;60,1,H504&lt;90,2,H504&lt;120,3)</f>
        <v>0</v>
      </c>
      <c r="M504" t="str">
        <f t="shared" si="50"/>
        <v>Low</v>
      </c>
      <c r="N504" t="str">
        <f t="shared" si="47"/>
        <v>Mar</v>
      </c>
      <c r="O504">
        <f t="shared" si="48"/>
        <v>2026</v>
      </c>
    </row>
    <row r="505" spans="1:15" x14ac:dyDescent="0.3">
      <c r="A505">
        <v>204057</v>
      </c>
      <c r="B505" t="s">
        <v>116</v>
      </c>
      <c r="C505" s="2">
        <v>46083</v>
      </c>
      <c r="D505" s="2">
        <f t="shared" si="46"/>
        <v>46113</v>
      </c>
      <c r="F505">
        <v>10045</v>
      </c>
      <c r="G505">
        <v>30</v>
      </c>
      <c r="H505">
        <f t="shared" si="51"/>
        <v>0</v>
      </c>
      <c r="I505" t="str">
        <f t="shared" si="49"/>
        <v>On Time</v>
      </c>
      <c r="J505" cm="1">
        <f t="array" ref="J505">_xlfn.IFS(H505&lt;30,0,H505&lt;60,1,H505&lt;90,2,H505&lt;120,3)</f>
        <v>0</v>
      </c>
      <c r="M505" t="str">
        <f t="shared" si="50"/>
        <v>Low</v>
      </c>
      <c r="N505" t="str">
        <f t="shared" si="47"/>
        <v>Mar</v>
      </c>
      <c r="O505">
        <f t="shared" si="48"/>
        <v>2026</v>
      </c>
    </row>
    <row r="506" spans="1:15" x14ac:dyDescent="0.3">
      <c r="A506">
        <v>204058</v>
      </c>
      <c r="B506" t="s">
        <v>117</v>
      </c>
      <c r="C506" s="2">
        <v>46083</v>
      </c>
      <c r="D506" s="2">
        <f t="shared" si="46"/>
        <v>46113</v>
      </c>
      <c r="E506" s="1">
        <f>D506+3</f>
        <v>46116</v>
      </c>
      <c r="F506">
        <v>2714</v>
      </c>
      <c r="G506">
        <v>30</v>
      </c>
      <c r="H506">
        <f t="shared" si="51"/>
        <v>0</v>
      </c>
      <c r="I506" t="str">
        <f t="shared" si="49"/>
        <v>On Time</v>
      </c>
      <c r="J506" cm="1">
        <f t="array" ref="J506">_xlfn.IFS(H506&lt;30,0,H506&lt;60,1,H506&lt;90,2,H506&lt;120,3)</f>
        <v>0</v>
      </c>
      <c r="M506" t="str">
        <f t="shared" si="50"/>
        <v>Low</v>
      </c>
      <c r="N506" t="str">
        <f t="shared" si="47"/>
        <v>Mar</v>
      </c>
      <c r="O506">
        <f t="shared" si="48"/>
        <v>2026</v>
      </c>
    </row>
    <row r="507" spans="1:15" x14ac:dyDescent="0.3">
      <c r="A507">
        <v>204059</v>
      </c>
      <c r="B507" t="s">
        <v>118</v>
      </c>
      <c r="C507" s="2">
        <v>46083</v>
      </c>
      <c r="D507" s="2">
        <f t="shared" si="46"/>
        <v>46113</v>
      </c>
      <c r="E507" s="1">
        <f>D507+1</f>
        <v>46114</v>
      </c>
      <c r="F507">
        <v>717</v>
      </c>
      <c r="G507">
        <v>30</v>
      </c>
      <c r="H507">
        <f t="shared" si="51"/>
        <v>0</v>
      </c>
      <c r="I507" t="str">
        <f t="shared" si="49"/>
        <v>On Time</v>
      </c>
      <c r="J507" cm="1">
        <f t="array" ref="J507">_xlfn.IFS(H507&lt;30,0,H507&lt;60,1,H507&lt;90,2,H507&lt;120,3)</f>
        <v>0</v>
      </c>
      <c r="M507" t="str">
        <f t="shared" si="50"/>
        <v>Low</v>
      </c>
      <c r="N507" t="str">
        <f t="shared" si="47"/>
        <v>Mar</v>
      </c>
      <c r="O507">
        <f t="shared" si="48"/>
        <v>2026</v>
      </c>
    </row>
    <row r="508" spans="1:15" x14ac:dyDescent="0.3">
      <c r="A508">
        <v>204060</v>
      </c>
      <c r="B508" t="s">
        <v>119</v>
      </c>
      <c r="C508" s="2">
        <v>46083</v>
      </c>
      <c r="D508" s="2">
        <f t="shared" si="46"/>
        <v>46113</v>
      </c>
      <c r="E508" s="1">
        <f>D508-1</f>
        <v>46112</v>
      </c>
      <c r="F508">
        <v>2921</v>
      </c>
      <c r="G508">
        <v>30</v>
      </c>
      <c r="H508">
        <f t="shared" si="51"/>
        <v>0</v>
      </c>
      <c r="I508" t="str">
        <f t="shared" si="49"/>
        <v>On Time</v>
      </c>
      <c r="J508" cm="1">
        <f t="array" ref="J508">_xlfn.IFS(H508&lt;30,0,H508&lt;60,1,H508&lt;90,2,H508&lt;120,3)</f>
        <v>0</v>
      </c>
      <c r="M508" t="str">
        <f t="shared" si="50"/>
        <v>Low</v>
      </c>
      <c r="N508" t="str">
        <f t="shared" si="47"/>
        <v>Mar</v>
      </c>
      <c r="O508">
        <f t="shared" si="48"/>
        <v>2026</v>
      </c>
    </row>
    <row r="509" spans="1:15" x14ac:dyDescent="0.3">
      <c r="A509">
        <v>204061</v>
      </c>
      <c r="B509" t="s">
        <v>100</v>
      </c>
      <c r="C509" s="2">
        <v>46083</v>
      </c>
      <c r="D509" s="2">
        <f t="shared" si="46"/>
        <v>46113</v>
      </c>
      <c r="E509" s="1">
        <f>D509</f>
        <v>46113</v>
      </c>
      <c r="F509">
        <v>3097</v>
      </c>
      <c r="G509">
        <v>30</v>
      </c>
      <c r="H509">
        <f t="shared" si="51"/>
        <v>0</v>
      </c>
      <c r="I509" t="str">
        <f t="shared" si="49"/>
        <v>On Time</v>
      </c>
      <c r="J509" cm="1">
        <f t="array" ref="J509">_xlfn.IFS(H509&lt;30,0,H509&lt;60,1,H509&lt;90,2,H509&lt;120,3)</f>
        <v>0</v>
      </c>
      <c r="M509" t="str">
        <f t="shared" si="50"/>
        <v>Low</v>
      </c>
      <c r="N509" t="str">
        <f t="shared" si="47"/>
        <v>Mar</v>
      </c>
      <c r="O509">
        <f t="shared" si="48"/>
        <v>2026</v>
      </c>
    </row>
    <row r="510" spans="1:15" x14ac:dyDescent="0.3">
      <c r="A510">
        <v>204062</v>
      </c>
      <c r="B510" t="s">
        <v>101</v>
      </c>
      <c r="C510" s="2">
        <v>46083</v>
      </c>
      <c r="D510" s="2">
        <f t="shared" si="46"/>
        <v>46113</v>
      </c>
      <c r="E510" s="1">
        <f>D510-5</f>
        <v>46108</v>
      </c>
      <c r="F510">
        <v>1765</v>
      </c>
      <c r="G510">
        <v>30</v>
      </c>
      <c r="H510">
        <f t="shared" si="51"/>
        <v>0</v>
      </c>
      <c r="I510" t="str">
        <f t="shared" si="49"/>
        <v>On Time</v>
      </c>
      <c r="J510" cm="1">
        <f t="array" ref="J510">_xlfn.IFS(H510&lt;30,0,H510&lt;60,1,H510&lt;90,2,H510&lt;120,3)</f>
        <v>0</v>
      </c>
      <c r="M510" t="str">
        <f t="shared" si="50"/>
        <v>Low</v>
      </c>
      <c r="N510" t="str">
        <f t="shared" si="47"/>
        <v>Mar</v>
      </c>
      <c r="O510">
        <f t="shared" si="48"/>
        <v>2026</v>
      </c>
    </row>
    <row r="511" spans="1:15" x14ac:dyDescent="0.3">
      <c r="A511">
        <v>204063</v>
      </c>
      <c r="B511" t="s">
        <v>102</v>
      </c>
      <c r="C511" s="2">
        <v>46083</v>
      </c>
      <c r="D511" s="2">
        <f t="shared" si="46"/>
        <v>46113</v>
      </c>
      <c r="E511" s="1">
        <f>D511+35</f>
        <v>46148</v>
      </c>
      <c r="F511">
        <v>3043</v>
      </c>
      <c r="G511">
        <v>30</v>
      </c>
      <c r="H511">
        <f t="shared" si="51"/>
        <v>0</v>
      </c>
      <c r="I511" t="str">
        <f t="shared" si="49"/>
        <v>On Time</v>
      </c>
      <c r="J511" cm="1">
        <f t="array" ref="J511">_xlfn.IFS(H511&lt;30,0,H511&lt;60,1,H511&lt;90,2,H511&lt;120,3)</f>
        <v>0</v>
      </c>
      <c r="M511" t="str">
        <f t="shared" si="50"/>
        <v>Low</v>
      </c>
      <c r="N511" t="str">
        <f t="shared" si="47"/>
        <v>Mar</v>
      </c>
      <c r="O511">
        <f t="shared" si="48"/>
        <v>2026</v>
      </c>
    </row>
    <row r="512" spans="1:15" x14ac:dyDescent="0.3">
      <c r="A512">
        <v>204064</v>
      </c>
      <c r="B512" t="s">
        <v>103</v>
      </c>
      <c r="C512" s="2">
        <v>46083</v>
      </c>
      <c r="D512" s="2">
        <f t="shared" si="46"/>
        <v>46113</v>
      </c>
      <c r="E512" s="1">
        <f>D512+75</f>
        <v>46188</v>
      </c>
      <c r="F512">
        <v>2270</v>
      </c>
      <c r="G512">
        <v>30</v>
      </c>
      <c r="H512">
        <f t="shared" si="51"/>
        <v>0</v>
      </c>
      <c r="I512" t="str">
        <f t="shared" si="49"/>
        <v>On Time</v>
      </c>
      <c r="J512" cm="1">
        <f t="array" ref="J512">_xlfn.IFS(H512&lt;30,0,H512&lt;60,1,H512&lt;90,2,H512&lt;120,3)</f>
        <v>0</v>
      </c>
      <c r="M512" t="str">
        <f t="shared" si="50"/>
        <v>Low</v>
      </c>
      <c r="N512" t="str">
        <f t="shared" si="47"/>
        <v>Mar</v>
      </c>
      <c r="O512">
        <f t="shared" si="48"/>
        <v>2026</v>
      </c>
    </row>
    <row r="513" spans="1:15" x14ac:dyDescent="0.3">
      <c r="A513">
        <v>204026</v>
      </c>
      <c r="B513" t="s">
        <v>65</v>
      </c>
      <c r="C513" s="2">
        <v>46080</v>
      </c>
      <c r="D513" s="2">
        <f t="shared" si="46"/>
        <v>46125</v>
      </c>
      <c r="E513" s="1">
        <f>D513+1</f>
        <v>46126</v>
      </c>
      <c r="F513">
        <v>2954</v>
      </c>
      <c r="G513">
        <v>45</v>
      </c>
      <c r="H513">
        <f t="shared" si="51"/>
        <v>0</v>
      </c>
      <c r="I513" t="str">
        <f t="shared" si="49"/>
        <v>On Time</v>
      </c>
      <c r="J513" cm="1">
        <f t="array" ref="J513">_xlfn.IFS(H513&lt;30,0,H513&lt;60,1,H513&lt;90,2,H513&lt;120,3)</f>
        <v>0</v>
      </c>
      <c r="M513" t="str">
        <f t="shared" si="50"/>
        <v>Low</v>
      </c>
      <c r="N513" t="str">
        <f t="shared" si="47"/>
        <v>Feb</v>
      </c>
      <c r="O513">
        <f t="shared" si="48"/>
        <v>2026</v>
      </c>
    </row>
    <row r="514" spans="1:15" x14ac:dyDescent="0.3">
      <c r="A514">
        <v>204027</v>
      </c>
      <c r="B514" t="s">
        <v>66</v>
      </c>
      <c r="C514" s="2">
        <v>46080</v>
      </c>
      <c r="D514" s="2">
        <f t="shared" ref="D514:D577" si="52">C514+G514</f>
        <v>46140</v>
      </c>
      <c r="E514" s="1">
        <f>D514-1</f>
        <v>46139</v>
      </c>
      <c r="F514">
        <v>3316</v>
      </c>
      <c r="G514">
        <v>60</v>
      </c>
      <c r="H514">
        <f t="shared" si="51"/>
        <v>0</v>
      </c>
      <c r="I514" t="str">
        <f t="shared" si="49"/>
        <v>On Time</v>
      </c>
      <c r="J514" cm="1">
        <f t="array" ref="J514">_xlfn.IFS(H514&lt;30,0,H514&lt;60,1,H514&lt;90,2,H514&lt;120,3)</f>
        <v>0</v>
      </c>
      <c r="M514" t="str">
        <f t="shared" si="50"/>
        <v>Low</v>
      </c>
      <c r="N514" t="str">
        <f t="shared" ref="N514:N577" si="53">TEXT(C514,"mmm")</f>
        <v>Feb</v>
      </c>
      <c r="O514">
        <f t="shared" ref="O514:O577" si="54">YEAR(C514)</f>
        <v>2026</v>
      </c>
    </row>
    <row r="515" spans="1:15" x14ac:dyDescent="0.3">
      <c r="A515">
        <v>204028</v>
      </c>
      <c r="B515" t="s">
        <v>67</v>
      </c>
      <c r="C515" s="2">
        <v>46080</v>
      </c>
      <c r="D515" s="2">
        <f t="shared" si="52"/>
        <v>46110</v>
      </c>
      <c r="E515" s="1">
        <f>D515</f>
        <v>46110</v>
      </c>
      <c r="F515">
        <v>3914</v>
      </c>
      <c r="G515">
        <v>30</v>
      </c>
      <c r="H515">
        <f t="shared" si="51"/>
        <v>0</v>
      </c>
      <c r="I515" t="str">
        <f t="shared" si="49"/>
        <v>On Time</v>
      </c>
      <c r="J515" cm="1">
        <f t="array" ref="J515">_xlfn.IFS(H515&lt;30,0,H515&lt;60,1,H515&lt;90,2,H515&lt;120,3)</f>
        <v>0</v>
      </c>
      <c r="M515" t="str">
        <f t="shared" si="50"/>
        <v>Low</v>
      </c>
      <c r="N515" t="str">
        <f t="shared" si="53"/>
        <v>Feb</v>
      </c>
      <c r="O515">
        <f t="shared" si="54"/>
        <v>2026</v>
      </c>
    </row>
    <row r="516" spans="1:15" x14ac:dyDescent="0.3">
      <c r="A516">
        <v>204029</v>
      </c>
      <c r="B516" t="s">
        <v>68</v>
      </c>
      <c r="C516" s="2">
        <v>46080</v>
      </c>
      <c r="D516" s="2">
        <f t="shared" si="52"/>
        <v>46110</v>
      </c>
      <c r="E516" s="1">
        <f>D516+1</f>
        <v>46111</v>
      </c>
      <c r="F516">
        <v>2883</v>
      </c>
      <c r="G516">
        <v>30</v>
      </c>
      <c r="H516">
        <f t="shared" si="51"/>
        <v>0</v>
      </c>
      <c r="I516" t="str">
        <f t="shared" si="49"/>
        <v>On Time</v>
      </c>
      <c r="J516" cm="1">
        <f t="array" ref="J516">_xlfn.IFS(H516&lt;30,0,H516&lt;60,1,H516&lt;90,2,H516&lt;120,3)</f>
        <v>0</v>
      </c>
      <c r="M516" t="str">
        <f t="shared" si="50"/>
        <v>Low</v>
      </c>
      <c r="N516" t="str">
        <f t="shared" si="53"/>
        <v>Feb</v>
      </c>
      <c r="O516">
        <f t="shared" si="54"/>
        <v>2026</v>
      </c>
    </row>
    <row r="517" spans="1:15" x14ac:dyDescent="0.3">
      <c r="A517">
        <v>204030</v>
      </c>
      <c r="B517" t="s">
        <v>69</v>
      </c>
      <c r="C517" s="2">
        <v>46080</v>
      </c>
      <c r="D517" s="2">
        <f t="shared" si="52"/>
        <v>46110</v>
      </c>
      <c r="E517" s="1">
        <f>D517+35</f>
        <v>46145</v>
      </c>
      <c r="F517">
        <v>4042</v>
      </c>
      <c r="G517">
        <v>30</v>
      </c>
      <c r="H517">
        <f t="shared" si="51"/>
        <v>0</v>
      </c>
      <c r="I517" t="str">
        <f t="shared" si="49"/>
        <v>On Time</v>
      </c>
      <c r="J517" cm="1">
        <f t="array" ref="J517">_xlfn.IFS(H517&lt;30,0,H517&lt;60,1,H517&lt;90,2,H517&lt;120,3)</f>
        <v>0</v>
      </c>
      <c r="M517" t="str">
        <f t="shared" si="50"/>
        <v>Low</v>
      </c>
      <c r="N517" t="str">
        <f t="shared" si="53"/>
        <v>Feb</v>
      </c>
      <c r="O517">
        <f t="shared" si="54"/>
        <v>2026</v>
      </c>
    </row>
    <row r="518" spans="1:15" x14ac:dyDescent="0.3">
      <c r="A518">
        <v>204031</v>
      </c>
      <c r="B518" t="s">
        <v>70</v>
      </c>
      <c r="C518" s="2">
        <v>46080</v>
      </c>
      <c r="D518" s="2">
        <f t="shared" si="52"/>
        <v>46110</v>
      </c>
      <c r="E518" s="1">
        <f>D518+75</f>
        <v>46185</v>
      </c>
      <c r="F518">
        <v>3866</v>
      </c>
      <c r="G518">
        <v>30</v>
      </c>
      <c r="H518">
        <f t="shared" si="51"/>
        <v>0</v>
      </c>
      <c r="I518" t="str">
        <f t="shared" si="49"/>
        <v>On Time</v>
      </c>
      <c r="J518" cm="1">
        <f t="array" ref="J518">_xlfn.IFS(H518&lt;30,0,H518&lt;60,1,H518&lt;90,2,H518&lt;120,3)</f>
        <v>0</v>
      </c>
      <c r="M518" t="str">
        <f t="shared" si="50"/>
        <v>Low</v>
      </c>
      <c r="N518" t="str">
        <f t="shared" si="53"/>
        <v>Feb</v>
      </c>
      <c r="O518">
        <f t="shared" si="54"/>
        <v>2026</v>
      </c>
    </row>
    <row r="519" spans="1:15" x14ac:dyDescent="0.3">
      <c r="A519">
        <v>204032</v>
      </c>
      <c r="B519" t="s">
        <v>71</v>
      </c>
      <c r="C519" s="2">
        <v>46080</v>
      </c>
      <c r="D519" s="2">
        <f t="shared" si="52"/>
        <v>46110</v>
      </c>
      <c r="E519" s="1">
        <f>D519+5</f>
        <v>46115</v>
      </c>
      <c r="F519">
        <v>1773</v>
      </c>
      <c r="G519">
        <v>30</v>
      </c>
      <c r="H519">
        <f t="shared" si="51"/>
        <v>0</v>
      </c>
      <c r="I519" t="str">
        <f t="shared" si="49"/>
        <v>On Time</v>
      </c>
      <c r="J519" cm="1">
        <f t="array" ref="J519">_xlfn.IFS(H519&lt;30,0,H519&lt;60,1,H519&lt;90,2,H519&lt;120,3)</f>
        <v>0</v>
      </c>
      <c r="M519" t="str">
        <f t="shared" si="50"/>
        <v>Low</v>
      </c>
      <c r="N519" t="str">
        <f t="shared" si="53"/>
        <v>Feb</v>
      </c>
      <c r="O519">
        <f t="shared" si="54"/>
        <v>2026</v>
      </c>
    </row>
    <row r="520" spans="1:15" x14ac:dyDescent="0.3">
      <c r="A520">
        <v>204033</v>
      </c>
      <c r="B520" t="s">
        <v>72</v>
      </c>
      <c r="C520" s="2">
        <v>46080</v>
      </c>
      <c r="D520" s="2">
        <f t="shared" si="52"/>
        <v>46110</v>
      </c>
      <c r="E520" s="1">
        <f>D520</f>
        <v>46110</v>
      </c>
      <c r="F520">
        <v>1921</v>
      </c>
      <c r="G520">
        <v>30</v>
      </c>
      <c r="H520">
        <f t="shared" si="51"/>
        <v>0</v>
      </c>
      <c r="I520" t="str">
        <f t="shared" si="49"/>
        <v>On Time</v>
      </c>
      <c r="J520" cm="1">
        <f t="array" ref="J520">_xlfn.IFS(H520&lt;30,0,H520&lt;60,1,H520&lt;90,2,H520&lt;120,3)</f>
        <v>0</v>
      </c>
      <c r="M520" t="str">
        <f t="shared" si="50"/>
        <v>Low</v>
      </c>
      <c r="N520" t="str">
        <f t="shared" si="53"/>
        <v>Feb</v>
      </c>
      <c r="O520">
        <f t="shared" si="54"/>
        <v>2026</v>
      </c>
    </row>
    <row r="521" spans="1:15" x14ac:dyDescent="0.3">
      <c r="A521">
        <v>204034</v>
      </c>
      <c r="B521" t="s">
        <v>73</v>
      </c>
      <c r="C521" s="2">
        <v>46080</v>
      </c>
      <c r="D521" s="2">
        <f t="shared" si="52"/>
        <v>46125</v>
      </c>
      <c r="E521" s="1">
        <f>D521-1</f>
        <v>46124</v>
      </c>
      <c r="F521">
        <v>377</v>
      </c>
      <c r="G521">
        <v>45</v>
      </c>
      <c r="H521">
        <f t="shared" si="51"/>
        <v>0</v>
      </c>
      <c r="I521" t="str">
        <f t="shared" si="49"/>
        <v>On Time</v>
      </c>
      <c r="J521" cm="1">
        <f t="array" ref="J521">_xlfn.IFS(H521&lt;30,0,H521&lt;60,1,H521&lt;90,2,H521&lt;120,3)</f>
        <v>0</v>
      </c>
      <c r="M521" t="str">
        <f t="shared" si="50"/>
        <v>Low</v>
      </c>
      <c r="N521" t="str">
        <f t="shared" si="53"/>
        <v>Feb</v>
      </c>
      <c r="O521">
        <f t="shared" si="54"/>
        <v>2026</v>
      </c>
    </row>
    <row r="522" spans="1:15" x14ac:dyDescent="0.3">
      <c r="A522">
        <v>204035</v>
      </c>
      <c r="B522" t="s">
        <v>101</v>
      </c>
      <c r="C522" s="2">
        <v>46080</v>
      </c>
      <c r="D522" s="2">
        <f t="shared" si="52"/>
        <v>46110</v>
      </c>
      <c r="E522" s="1">
        <f>D522</f>
        <v>46110</v>
      </c>
      <c r="F522">
        <v>14053</v>
      </c>
      <c r="G522">
        <v>30</v>
      </c>
      <c r="H522">
        <f t="shared" si="51"/>
        <v>0</v>
      </c>
      <c r="I522" t="str">
        <f t="shared" si="49"/>
        <v>On Time</v>
      </c>
      <c r="J522" cm="1">
        <f t="array" ref="J522">_xlfn.IFS(H522&lt;30,0,H522&lt;60,1,H522&lt;90,2,H522&lt;120,3)</f>
        <v>0</v>
      </c>
      <c r="M522" t="str">
        <f t="shared" si="50"/>
        <v>Low</v>
      </c>
      <c r="N522" t="str">
        <f t="shared" si="53"/>
        <v>Feb</v>
      </c>
      <c r="O522">
        <f t="shared" si="54"/>
        <v>2026</v>
      </c>
    </row>
    <row r="523" spans="1:15" x14ac:dyDescent="0.3">
      <c r="A523">
        <v>204036</v>
      </c>
      <c r="B523" t="s">
        <v>102</v>
      </c>
      <c r="C523" s="2">
        <v>46080</v>
      </c>
      <c r="D523" s="2">
        <f t="shared" si="52"/>
        <v>46110</v>
      </c>
      <c r="E523" s="1">
        <f>D523+32</f>
        <v>46142</v>
      </c>
      <c r="F523">
        <v>1641</v>
      </c>
      <c r="G523">
        <v>30</v>
      </c>
      <c r="H523">
        <f t="shared" si="51"/>
        <v>0</v>
      </c>
      <c r="I523" t="str">
        <f t="shared" si="49"/>
        <v>On Time</v>
      </c>
      <c r="J523" cm="1">
        <f t="array" ref="J523">_xlfn.IFS(H523&lt;30,0,H523&lt;60,1,H523&lt;90,2,H523&lt;120,3)</f>
        <v>0</v>
      </c>
      <c r="M523" t="str">
        <f t="shared" si="50"/>
        <v>Low</v>
      </c>
      <c r="N523" t="str">
        <f t="shared" si="53"/>
        <v>Feb</v>
      </c>
      <c r="O523">
        <f t="shared" si="54"/>
        <v>2026</v>
      </c>
    </row>
    <row r="524" spans="1:15" x14ac:dyDescent="0.3">
      <c r="A524">
        <v>204037</v>
      </c>
      <c r="B524" t="s">
        <v>103</v>
      </c>
      <c r="C524" s="2">
        <v>46080</v>
      </c>
      <c r="D524" s="2">
        <f t="shared" si="52"/>
        <v>46110</v>
      </c>
      <c r="E524" s="1">
        <f>D524+15</f>
        <v>46125</v>
      </c>
      <c r="F524">
        <v>4296</v>
      </c>
      <c r="G524">
        <v>30</v>
      </c>
      <c r="H524">
        <f t="shared" si="51"/>
        <v>0</v>
      </c>
      <c r="I524" t="str">
        <f t="shared" si="49"/>
        <v>On Time</v>
      </c>
      <c r="J524" cm="1">
        <f t="array" ref="J524">_xlfn.IFS(H524&lt;30,0,H524&lt;60,1,H524&lt;90,2,H524&lt;120,3)</f>
        <v>0</v>
      </c>
      <c r="M524" t="str">
        <f t="shared" si="50"/>
        <v>Low</v>
      </c>
      <c r="N524" t="str">
        <f t="shared" si="53"/>
        <v>Feb</v>
      </c>
      <c r="O524">
        <f t="shared" si="54"/>
        <v>2026</v>
      </c>
    </row>
    <row r="525" spans="1:15" x14ac:dyDescent="0.3">
      <c r="A525">
        <v>204038</v>
      </c>
      <c r="B525" t="s">
        <v>104</v>
      </c>
      <c r="C525" s="2">
        <v>46080</v>
      </c>
      <c r="D525" s="2">
        <f t="shared" si="52"/>
        <v>46110</v>
      </c>
      <c r="E525" s="1">
        <f>D525-2</f>
        <v>46108</v>
      </c>
      <c r="F525">
        <v>4353</v>
      </c>
      <c r="G525">
        <v>30</v>
      </c>
      <c r="H525">
        <f t="shared" si="51"/>
        <v>0</v>
      </c>
      <c r="I525" t="str">
        <f t="shared" si="49"/>
        <v>On Time</v>
      </c>
      <c r="J525" cm="1">
        <f t="array" ref="J525">_xlfn.IFS(H525&lt;30,0,H525&lt;60,1,H525&lt;90,2,H525&lt;120,3)</f>
        <v>0</v>
      </c>
      <c r="M525" t="str">
        <f t="shared" si="50"/>
        <v>Low</v>
      </c>
      <c r="N525" t="str">
        <f t="shared" si="53"/>
        <v>Feb</v>
      </c>
      <c r="O525">
        <f t="shared" si="54"/>
        <v>2026</v>
      </c>
    </row>
    <row r="526" spans="1:15" x14ac:dyDescent="0.3">
      <c r="A526">
        <v>204039</v>
      </c>
      <c r="B526" t="s">
        <v>105</v>
      </c>
      <c r="C526" s="2">
        <v>46080</v>
      </c>
      <c r="D526" s="2">
        <f t="shared" si="52"/>
        <v>46110</v>
      </c>
      <c r="E526" s="1">
        <f>D526-2</f>
        <v>46108</v>
      </c>
      <c r="F526">
        <v>2077</v>
      </c>
      <c r="G526">
        <v>30</v>
      </c>
      <c r="H526">
        <f t="shared" si="51"/>
        <v>0</v>
      </c>
      <c r="I526" t="str">
        <f t="shared" si="49"/>
        <v>On Time</v>
      </c>
      <c r="J526" cm="1">
        <f t="array" ref="J526">_xlfn.IFS(H526&lt;30,0,H526&lt;60,1,H526&lt;90,2,H526&lt;120,3)</f>
        <v>0</v>
      </c>
      <c r="M526" t="str">
        <f t="shared" si="50"/>
        <v>Low</v>
      </c>
      <c r="N526" t="str">
        <f t="shared" si="53"/>
        <v>Feb</v>
      </c>
      <c r="O526">
        <f t="shared" si="54"/>
        <v>2026</v>
      </c>
    </row>
    <row r="527" spans="1:15" x14ac:dyDescent="0.3">
      <c r="A527">
        <v>204040</v>
      </c>
      <c r="B527" t="s">
        <v>114</v>
      </c>
      <c r="C527" s="2">
        <v>46080</v>
      </c>
      <c r="D527" s="2">
        <f t="shared" si="52"/>
        <v>46110</v>
      </c>
      <c r="E527" s="1">
        <f>D527</f>
        <v>46110</v>
      </c>
      <c r="F527">
        <v>4483</v>
      </c>
      <c r="G527">
        <v>30</v>
      </c>
      <c r="H527">
        <f t="shared" si="51"/>
        <v>0</v>
      </c>
      <c r="I527" t="str">
        <f t="shared" si="49"/>
        <v>On Time</v>
      </c>
      <c r="J527" cm="1">
        <f t="array" ref="J527">_xlfn.IFS(H527&lt;30,0,H527&lt;60,1,H527&lt;90,2,H527&lt;120,3)</f>
        <v>0</v>
      </c>
      <c r="M527" t="str">
        <f t="shared" si="50"/>
        <v>Low</v>
      </c>
      <c r="N527" t="str">
        <f t="shared" si="53"/>
        <v>Feb</v>
      </c>
      <c r="O527">
        <f t="shared" si="54"/>
        <v>2026</v>
      </c>
    </row>
    <row r="528" spans="1:15" x14ac:dyDescent="0.3">
      <c r="A528">
        <v>204041</v>
      </c>
      <c r="B528" t="s">
        <v>115</v>
      </c>
      <c r="C528" s="2">
        <v>46080</v>
      </c>
      <c r="D528" s="2">
        <f t="shared" si="52"/>
        <v>46110</v>
      </c>
      <c r="E528" s="1">
        <f>D528+2</f>
        <v>46112</v>
      </c>
      <c r="F528">
        <v>4883</v>
      </c>
      <c r="G528">
        <v>30</v>
      </c>
      <c r="H528">
        <f t="shared" si="51"/>
        <v>0</v>
      </c>
      <c r="I528" t="str">
        <f t="shared" si="49"/>
        <v>On Time</v>
      </c>
      <c r="J528" cm="1">
        <f t="array" ref="J528">_xlfn.IFS(H528&lt;30,0,H528&lt;60,1,H528&lt;90,2,H528&lt;120,3)</f>
        <v>0</v>
      </c>
      <c r="M528" t="str">
        <f t="shared" si="50"/>
        <v>Low</v>
      </c>
      <c r="N528" t="str">
        <f t="shared" si="53"/>
        <v>Feb</v>
      </c>
      <c r="O528">
        <f t="shared" si="54"/>
        <v>2026</v>
      </c>
    </row>
    <row r="529" spans="1:15" x14ac:dyDescent="0.3">
      <c r="A529">
        <v>204042</v>
      </c>
      <c r="B529" t="s">
        <v>116</v>
      </c>
      <c r="C529" s="2">
        <v>46080</v>
      </c>
      <c r="D529" s="2">
        <f t="shared" si="52"/>
        <v>46110</v>
      </c>
      <c r="E529" s="1">
        <f>D529+2</f>
        <v>46112</v>
      </c>
      <c r="F529">
        <v>877</v>
      </c>
      <c r="G529">
        <v>30</v>
      </c>
      <c r="H529">
        <f t="shared" si="51"/>
        <v>0</v>
      </c>
      <c r="I529" t="str">
        <f t="shared" si="49"/>
        <v>On Time</v>
      </c>
      <c r="J529" cm="1">
        <f t="array" ref="J529">_xlfn.IFS(H529&lt;30,0,H529&lt;60,1,H529&lt;90,2,H529&lt;120,3)</f>
        <v>0</v>
      </c>
      <c r="M529" t="str">
        <f t="shared" si="50"/>
        <v>Low</v>
      </c>
      <c r="N529" t="str">
        <f t="shared" si="53"/>
        <v>Feb</v>
      </c>
      <c r="O529">
        <f t="shared" si="54"/>
        <v>2026</v>
      </c>
    </row>
    <row r="530" spans="1:15" x14ac:dyDescent="0.3">
      <c r="A530">
        <v>204043</v>
      </c>
      <c r="B530" t="s">
        <v>117</v>
      </c>
      <c r="C530" s="2">
        <v>46080</v>
      </c>
      <c r="D530" s="2">
        <f t="shared" si="52"/>
        <v>46110</v>
      </c>
      <c r="E530" s="1">
        <f>D530+2</f>
        <v>46112</v>
      </c>
      <c r="F530">
        <v>3505</v>
      </c>
      <c r="G530">
        <v>30</v>
      </c>
      <c r="H530">
        <f t="shared" si="51"/>
        <v>0</v>
      </c>
      <c r="I530" t="str">
        <f t="shared" si="49"/>
        <v>On Time</v>
      </c>
      <c r="J530" cm="1">
        <f t="array" ref="J530">_xlfn.IFS(H530&lt;30,0,H530&lt;60,1,H530&lt;90,2,H530&lt;120,3)</f>
        <v>0</v>
      </c>
      <c r="M530" t="str">
        <f t="shared" si="50"/>
        <v>Low</v>
      </c>
      <c r="N530" t="str">
        <f t="shared" si="53"/>
        <v>Feb</v>
      </c>
      <c r="O530">
        <f t="shared" si="54"/>
        <v>2026</v>
      </c>
    </row>
    <row r="531" spans="1:15" x14ac:dyDescent="0.3">
      <c r="A531">
        <v>204044</v>
      </c>
      <c r="B531" t="s">
        <v>118</v>
      </c>
      <c r="C531" s="2">
        <v>46080</v>
      </c>
      <c r="D531" s="2">
        <f t="shared" si="52"/>
        <v>46110</v>
      </c>
      <c r="E531" s="1">
        <f>D531</f>
        <v>46110</v>
      </c>
      <c r="F531">
        <v>1853</v>
      </c>
      <c r="G531">
        <v>30</v>
      </c>
      <c r="H531">
        <f t="shared" si="51"/>
        <v>0</v>
      </c>
      <c r="I531" t="str">
        <f t="shared" si="49"/>
        <v>On Time</v>
      </c>
      <c r="J531" cm="1">
        <f t="array" ref="J531">_xlfn.IFS(H531&lt;30,0,H531&lt;60,1,H531&lt;90,2,H531&lt;120,3)</f>
        <v>0</v>
      </c>
      <c r="M531" t="str">
        <f t="shared" si="50"/>
        <v>Low</v>
      </c>
      <c r="N531" t="str">
        <f t="shared" si="53"/>
        <v>Feb</v>
      </c>
      <c r="O531">
        <f t="shared" si="54"/>
        <v>2026</v>
      </c>
    </row>
    <row r="532" spans="1:15" x14ac:dyDescent="0.3">
      <c r="A532">
        <v>204006</v>
      </c>
      <c r="B532" t="s">
        <v>99</v>
      </c>
      <c r="C532" s="2">
        <v>46079</v>
      </c>
      <c r="D532" s="2">
        <f t="shared" si="52"/>
        <v>46109</v>
      </c>
      <c r="E532" s="1">
        <f>D532-2</f>
        <v>46107</v>
      </c>
      <c r="F532">
        <v>3477</v>
      </c>
      <c r="G532">
        <v>30</v>
      </c>
      <c r="H532">
        <f t="shared" si="51"/>
        <v>0</v>
      </c>
      <c r="I532" t="str">
        <f t="shared" si="49"/>
        <v>On Time</v>
      </c>
      <c r="J532" cm="1">
        <f t="array" ref="J532">_xlfn.IFS(H532&lt;30,0,H532&lt;60,1,H532&lt;90,2,H532&lt;120,3)</f>
        <v>0</v>
      </c>
      <c r="M532" t="str">
        <f t="shared" si="50"/>
        <v>Low</v>
      </c>
      <c r="N532" t="str">
        <f t="shared" si="53"/>
        <v>Feb</v>
      </c>
      <c r="O532">
        <f t="shared" si="54"/>
        <v>2026</v>
      </c>
    </row>
    <row r="533" spans="1:15" x14ac:dyDescent="0.3">
      <c r="A533">
        <v>204007</v>
      </c>
      <c r="B533" t="s">
        <v>100</v>
      </c>
      <c r="C533" s="2">
        <v>46079</v>
      </c>
      <c r="D533" s="2">
        <f t="shared" si="52"/>
        <v>46109</v>
      </c>
      <c r="E533" s="1">
        <f>D533</f>
        <v>46109</v>
      </c>
      <c r="F533">
        <v>3435</v>
      </c>
      <c r="G533">
        <v>30</v>
      </c>
      <c r="H533">
        <f t="shared" si="51"/>
        <v>0</v>
      </c>
      <c r="I533" t="str">
        <f t="shared" si="49"/>
        <v>On Time</v>
      </c>
      <c r="J533" cm="1">
        <f t="array" ref="J533">_xlfn.IFS(H533&lt;30,0,H533&lt;60,1,H533&lt;90,2,H533&lt;120,3)</f>
        <v>0</v>
      </c>
      <c r="M533" t="str">
        <f t="shared" si="50"/>
        <v>Low</v>
      </c>
      <c r="N533" t="str">
        <f t="shared" si="53"/>
        <v>Feb</v>
      </c>
      <c r="O533">
        <f t="shared" si="54"/>
        <v>2026</v>
      </c>
    </row>
    <row r="534" spans="1:15" x14ac:dyDescent="0.3">
      <c r="A534">
        <v>204008</v>
      </c>
      <c r="B534" t="s">
        <v>101</v>
      </c>
      <c r="C534" s="2">
        <v>46079</v>
      </c>
      <c r="D534" s="2">
        <f t="shared" si="52"/>
        <v>46109</v>
      </c>
      <c r="E534" s="1">
        <f>D534+2</f>
        <v>46111</v>
      </c>
      <c r="F534">
        <v>4598</v>
      </c>
      <c r="G534">
        <v>30</v>
      </c>
      <c r="H534">
        <f t="shared" si="51"/>
        <v>0</v>
      </c>
      <c r="I534" t="str">
        <f t="shared" ref="I534:I597" si="55">IF(H534=0,"On Time",IF(H534&lt;=15,"Paid Late","Seriously Late"))</f>
        <v>On Time</v>
      </c>
      <c r="J534" cm="1">
        <f t="array" ref="J534">_xlfn.IFS(H534&lt;30,0,H534&lt;60,1,H534&lt;90,2,H534&lt;120,3)</f>
        <v>0</v>
      </c>
      <c r="M534" t="str">
        <f t="shared" ref="M534:M597" si="56">IF(H534&gt;30,"High",IF(H534&gt;10,"Medium","Low"))</f>
        <v>Low</v>
      </c>
      <c r="N534" t="str">
        <f t="shared" si="53"/>
        <v>Feb</v>
      </c>
      <c r="O534">
        <f t="shared" si="54"/>
        <v>2026</v>
      </c>
    </row>
    <row r="535" spans="1:15" x14ac:dyDescent="0.3">
      <c r="A535">
        <v>204009</v>
      </c>
      <c r="B535" t="s">
        <v>102</v>
      </c>
      <c r="C535" s="2">
        <v>46079</v>
      </c>
      <c r="D535" s="2">
        <f t="shared" si="52"/>
        <v>46109</v>
      </c>
      <c r="E535" s="1">
        <f>D535+2</f>
        <v>46111</v>
      </c>
      <c r="F535">
        <v>3359</v>
      </c>
      <c r="G535">
        <v>30</v>
      </c>
      <c r="H535">
        <f t="shared" si="51"/>
        <v>0</v>
      </c>
      <c r="I535" t="str">
        <f t="shared" si="55"/>
        <v>On Time</v>
      </c>
      <c r="J535" cm="1">
        <f t="array" ref="J535">_xlfn.IFS(H535&lt;30,0,H535&lt;60,1,H535&lt;90,2,H535&lt;120,3)</f>
        <v>0</v>
      </c>
      <c r="M535" t="str">
        <f t="shared" si="56"/>
        <v>Low</v>
      </c>
      <c r="N535" t="str">
        <f t="shared" si="53"/>
        <v>Feb</v>
      </c>
      <c r="O535">
        <f t="shared" si="54"/>
        <v>2026</v>
      </c>
    </row>
    <row r="536" spans="1:15" x14ac:dyDescent="0.3">
      <c r="A536">
        <v>204010</v>
      </c>
      <c r="B536" t="s">
        <v>103</v>
      </c>
      <c r="C536" s="2">
        <v>46079</v>
      </c>
      <c r="D536" s="2">
        <f t="shared" si="52"/>
        <v>46109</v>
      </c>
      <c r="E536" s="1">
        <f>D536+2</f>
        <v>46111</v>
      </c>
      <c r="F536">
        <v>2344</v>
      </c>
      <c r="G536">
        <v>30</v>
      </c>
      <c r="H536">
        <f t="shared" si="51"/>
        <v>0</v>
      </c>
      <c r="I536" t="str">
        <f t="shared" si="55"/>
        <v>On Time</v>
      </c>
      <c r="J536" cm="1">
        <f t="array" ref="J536">_xlfn.IFS(H536&lt;30,0,H536&lt;60,1,H536&lt;90,2,H536&lt;120,3)</f>
        <v>0</v>
      </c>
      <c r="M536" t="str">
        <f t="shared" si="56"/>
        <v>Low</v>
      </c>
      <c r="N536" t="str">
        <f t="shared" si="53"/>
        <v>Feb</v>
      </c>
      <c r="O536">
        <f t="shared" si="54"/>
        <v>2026</v>
      </c>
    </row>
    <row r="537" spans="1:15" x14ac:dyDescent="0.3">
      <c r="A537">
        <v>204011</v>
      </c>
      <c r="B537" t="s">
        <v>104</v>
      </c>
      <c r="C537" s="2">
        <v>46079</v>
      </c>
      <c r="D537" s="2">
        <f t="shared" si="52"/>
        <v>46109</v>
      </c>
      <c r="E537" s="1">
        <f>D537</f>
        <v>46109</v>
      </c>
      <c r="F537">
        <v>4605</v>
      </c>
      <c r="G537">
        <v>30</v>
      </c>
      <c r="H537">
        <f t="shared" si="51"/>
        <v>0</v>
      </c>
      <c r="I537" t="str">
        <f t="shared" si="55"/>
        <v>On Time</v>
      </c>
      <c r="J537" cm="1">
        <f t="array" ref="J537">_xlfn.IFS(H537&lt;30,0,H537&lt;60,1,H537&lt;90,2,H537&lt;120,3)</f>
        <v>0</v>
      </c>
      <c r="M537" t="str">
        <f t="shared" si="56"/>
        <v>Low</v>
      </c>
      <c r="N537" t="str">
        <f t="shared" si="53"/>
        <v>Feb</v>
      </c>
      <c r="O537">
        <f t="shared" si="54"/>
        <v>2026</v>
      </c>
    </row>
    <row r="538" spans="1:15" x14ac:dyDescent="0.3">
      <c r="A538">
        <v>204012</v>
      </c>
      <c r="B538" t="s">
        <v>105</v>
      </c>
      <c r="C538" s="2">
        <v>46079</v>
      </c>
      <c r="D538" s="2">
        <f t="shared" si="52"/>
        <v>46109</v>
      </c>
      <c r="E538" s="1">
        <f>D538+20</f>
        <v>46129</v>
      </c>
      <c r="F538">
        <v>4408</v>
      </c>
      <c r="G538">
        <v>30</v>
      </c>
      <c r="H538">
        <f t="shared" si="51"/>
        <v>0</v>
      </c>
      <c r="I538" t="str">
        <f t="shared" si="55"/>
        <v>On Time</v>
      </c>
      <c r="J538" cm="1">
        <f t="array" ref="J538">_xlfn.IFS(H538&lt;30,0,H538&lt;60,1,H538&lt;90,2,H538&lt;120,3)</f>
        <v>0</v>
      </c>
      <c r="M538" t="str">
        <f t="shared" si="56"/>
        <v>Low</v>
      </c>
      <c r="N538" t="str">
        <f t="shared" si="53"/>
        <v>Feb</v>
      </c>
      <c r="O538">
        <f t="shared" si="54"/>
        <v>2026</v>
      </c>
    </row>
    <row r="539" spans="1:15" x14ac:dyDescent="0.3">
      <c r="A539">
        <v>204013</v>
      </c>
      <c r="B539" t="s">
        <v>114</v>
      </c>
      <c r="C539" s="2">
        <v>46079</v>
      </c>
      <c r="D539" s="2">
        <f t="shared" si="52"/>
        <v>46109</v>
      </c>
      <c r="E539" s="1">
        <f>D539</f>
        <v>46109</v>
      </c>
      <c r="F539">
        <v>170</v>
      </c>
      <c r="G539">
        <v>30</v>
      </c>
      <c r="H539">
        <f t="shared" si="51"/>
        <v>0</v>
      </c>
      <c r="I539" t="str">
        <f t="shared" si="55"/>
        <v>On Time</v>
      </c>
      <c r="J539" cm="1">
        <f t="array" ref="J539">_xlfn.IFS(H539&lt;30,0,H539&lt;60,1,H539&lt;90,2,H539&lt;120,3)</f>
        <v>0</v>
      </c>
      <c r="M539" t="str">
        <f t="shared" si="56"/>
        <v>Low</v>
      </c>
      <c r="N539" t="str">
        <f t="shared" si="53"/>
        <v>Feb</v>
      </c>
      <c r="O539">
        <f t="shared" si="54"/>
        <v>2026</v>
      </c>
    </row>
    <row r="540" spans="1:15" x14ac:dyDescent="0.3">
      <c r="A540">
        <v>204014</v>
      </c>
      <c r="B540" t="s">
        <v>115</v>
      </c>
      <c r="C540" s="2">
        <v>46079</v>
      </c>
      <c r="D540" s="2">
        <f t="shared" si="52"/>
        <v>46109</v>
      </c>
      <c r="E540" s="1">
        <f>D540+1</f>
        <v>46110</v>
      </c>
      <c r="F540">
        <v>1712</v>
      </c>
      <c r="G540">
        <v>30</v>
      </c>
      <c r="H540">
        <f t="shared" si="51"/>
        <v>0</v>
      </c>
      <c r="I540" t="str">
        <f t="shared" si="55"/>
        <v>On Time</v>
      </c>
      <c r="J540" cm="1">
        <f t="array" ref="J540">_xlfn.IFS(H540&lt;30,0,H540&lt;60,1,H540&lt;90,2,H540&lt;120,3)</f>
        <v>0</v>
      </c>
      <c r="M540" t="str">
        <f t="shared" si="56"/>
        <v>Low</v>
      </c>
      <c r="N540" t="str">
        <f t="shared" si="53"/>
        <v>Feb</v>
      </c>
      <c r="O540">
        <f t="shared" si="54"/>
        <v>2026</v>
      </c>
    </row>
    <row r="541" spans="1:15" x14ac:dyDescent="0.3">
      <c r="A541">
        <v>204015</v>
      </c>
      <c r="B541" t="s">
        <v>116</v>
      </c>
      <c r="C541" s="2">
        <v>46079</v>
      </c>
      <c r="D541" s="2">
        <f t="shared" si="52"/>
        <v>46109</v>
      </c>
      <c r="E541" s="1">
        <f>D541</f>
        <v>46109</v>
      </c>
      <c r="F541">
        <v>4839</v>
      </c>
      <c r="G541">
        <v>30</v>
      </c>
      <c r="H541">
        <f t="shared" si="51"/>
        <v>0</v>
      </c>
      <c r="I541" t="str">
        <f t="shared" si="55"/>
        <v>On Time</v>
      </c>
      <c r="J541" cm="1">
        <f t="array" ref="J541">_xlfn.IFS(H541&lt;30,0,H541&lt;60,1,H541&lt;90,2,H541&lt;120,3)</f>
        <v>0</v>
      </c>
      <c r="M541" t="str">
        <f t="shared" si="56"/>
        <v>Low</v>
      </c>
      <c r="N541" t="str">
        <f t="shared" si="53"/>
        <v>Feb</v>
      </c>
      <c r="O541">
        <f t="shared" si="54"/>
        <v>2026</v>
      </c>
    </row>
    <row r="542" spans="1:15" x14ac:dyDescent="0.3">
      <c r="A542">
        <v>204016</v>
      </c>
      <c r="B542" t="s">
        <v>117</v>
      </c>
      <c r="C542" s="2">
        <v>46079</v>
      </c>
      <c r="D542" s="2">
        <f t="shared" si="52"/>
        <v>46109</v>
      </c>
      <c r="E542" s="1">
        <f>D542</f>
        <v>46109</v>
      </c>
      <c r="F542">
        <v>2513</v>
      </c>
      <c r="G542">
        <v>30</v>
      </c>
      <c r="H542">
        <f t="shared" si="51"/>
        <v>0</v>
      </c>
      <c r="I542" t="str">
        <f t="shared" si="55"/>
        <v>On Time</v>
      </c>
      <c r="J542" cm="1">
        <f t="array" ref="J542">_xlfn.IFS(H542&lt;30,0,H542&lt;60,1,H542&lt;90,2,H542&lt;120,3)</f>
        <v>0</v>
      </c>
      <c r="M542" t="str">
        <f t="shared" si="56"/>
        <v>Low</v>
      </c>
      <c r="N542" t="str">
        <f t="shared" si="53"/>
        <v>Feb</v>
      </c>
      <c r="O542">
        <f t="shared" si="54"/>
        <v>2026</v>
      </c>
    </row>
    <row r="543" spans="1:15" x14ac:dyDescent="0.3">
      <c r="A543">
        <v>204017</v>
      </c>
      <c r="B543" t="s">
        <v>118</v>
      </c>
      <c r="C543" s="2">
        <v>46079</v>
      </c>
      <c r="D543" s="2">
        <f t="shared" si="52"/>
        <v>46109</v>
      </c>
      <c r="E543" s="1">
        <f>D543+5</f>
        <v>46114</v>
      </c>
      <c r="F543">
        <v>3241</v>
      </c>
      <c r="G543">
        <v>30</v>
      </c>
      <c r="H543">
        <f t="shared" si="51"/>
        <v>0</v>
      </c>
      <c r="I543" t="str">
        <f t="shared" si="55"/>
        <v>On Time</v>
      </c>
      <c r="J543" cm="1">
        <f t="array" ref="J543">_xlfn.IFS(H543&lt;30,0,H543&lt;60,1,H543&lt;90,2,H543&lt;120,3)</f>
        <v>0</v>
      </c>
      <c r="M543" t="str">
        <f t="shared" si="56"/>
        <v>Low</v>
      </c>
      <c r="N543" t="str">
        <f t="shared" si="53"/>
        <v>Feb</v>
      </c>
      <c r="O543">
        <f t="shared" si="54"/>
        <v>2026</v>
      </c>
    </row>
    <row r="544" spans="1:15" x14ac:dyDescent="0.3">
      <c r="A544">
        <v>204018</v>
      </c>
      <c r="B544" t="s">
        <v>119</v>
      </c>
      <c r="C544" s="2">
        <v>46079</v>
      </c>
      <c r="D544" s="2">
        <f t="shared" si="52"/>
        <v>46109</v>
      </c>
      <c r="E544" s="1">
        <f>D544+2</f>
        <v>46111</v>
      </c>
      <c r="F544">
        <v>193</v>
      </c>
      <c r="G544">
        <v>30</v>
      </c>
      <c r="H544">
        <f t="shared" si="51"/>
        <v>0</v>
      </c>
      <c r="I544" t="str">
        <f t="shared" si="55"/>
        <v>On Time</v>
      </c>
      <c r="J544" cm="1">
        <f t="array" ref="J544">_xlfn.IFS(H544&lt;30,0,H544&lt;60,1,H544&lt;90,2,H544&lt;120,3)</f>
        <v>0</v>
      </c>
      <c r="M544" t="str">
        <f t="shared" si="56"/>
        <v>Low</v>
      </c>
      <c r="N544" t="str">
        <f t="shared" si="53"/>
        <v>Feb</v>
      </c>
      <c r="O544">
        <f t="shared" si="54"/>
        <v>2026</v>
      </c>
    </row>
    <row r="545" spans="1:15" x14ac:dyDescent="0.3">
      <c r="A545">
        <v>204019</v>
      </c>
      <c r="B545" t="s">
        <v>31</v>
      </c>
      <c r="C545" s="2">
        <v>46079</v>
      </c>
      <c r="D545" s="2">
        <f t="shared" si="52"/>
        <v>46124</v>
      </c>
      <c r="E545" s="1">
        <f>D545</f>
        <v>46124</v>
      </c>
      <c r="F545">
        <v>2886</v>
      </c>
      <c r="G545">
        <v>45</v>
      </c>
      <c r="H545">
        <f t="shared" si="51"/>
        <v>0</v>
      </c>
      <c r="I545" t="str">
        <f t="shared" si="55"/>
        <v>On Time</v>
      </c>
      <c r="J545" cm="1">
        <f t="array" ref="J545">_xlfn.IFS(H545&lt;30,0,H545&lt;60,1,H545&lt;90,2,H545&lt;120,3)</f>
        <v>0</v>
      </c>
      <c r="M545" t="str">
        <f t="shared" si="56"/>
        <v>Low</v>
      </c>
      <c r="N545" t="str">
        <f t="shared" si="53"/>
        <v>Feb</v>
      </c>
      <c r="O545">
        <f t="shared" si="54"/>
        <v>2026</v>
      </c>
    </row>
    <row r="546" spans="1:15" x14ac:dyDescent="0.3">
      <c r="A546">
        <v>204020</v>
      </c>
      <c r="B546" t="s">
        <v>32</v>
      </c>
      <c r="C546" s="2">
        <v>46079</v>
      </c>
      <c r="D546" s="2">
        <f t="shared" si="52"/>
        <v>46124</v>
      </c>
      <c r="E546" s="1">
        <f>D546</f>
        <v>46124</v>
      </c>
      <c r="F546">
        <v>4979</v>
      </c>
      <c r="G546">
        <v>45</v>
      </c>
      <c r="H546">
        <f t="shared" si="51"/>
        <v>0</v>
      </c>
      <c r="I546" t="str">
        <f t="shared" si="55"/>
        <v>On Time</v>
      </c>
      <c r="J546" cm="1">
        <f t="array" ref="J546">_xlfn.IFS(H546&lt;30,0,H546&lt;60,1,H546&lt;90,2,H546&lt;120,3)</f>
        <v>0</v>
      </c>
      <c r="M546" t="str">
        <f t="shared" si="56"/>
        <v>Low</v>
      </c>
      <c r="N546" t="str">
        <f t="shared" si="53"/>
        <v>Feb</v>
      </c>
      <c r="O546">
        <f t="shared" si="54"/>
        <v>2026</v>
      </c>
    </row>
    <row r="547" spans="1:15" x14ac:dyDescent="0.3">
      <c r="A547">
        <v>204021</v>
      </c>
      <c r="B547" t="s">
        <v>33</v>
      </c>
      <c r="C547" s="2">
        <v>46079</v>
      </c>
      <c r="D547" s="2">
        <f t="shared" si="52"/>
        <v>46109</v>
      </c>
      <c r="E547" s="1">
        <f>D547</f>
        <v>46109</v>
      </c>
      <c r="F547">
        <v>4806</v>
      </c>
      <c r="G547">
        <v>30</v>
      </c>
      <c r="H547">
        <f t="shared" si="51"/>
        <v>0</v>
      </c>
      <c r="I547" t="str">
        <f t="shared" si="55"/>
        <v>On Time</v>
      </c>
      <c r="J547" cm="1">
        <f t="array" ref="J547">_xlfn.IFS(H547&lt;30,0,H547&lt;60,1,H547&lt;90,2,H547&lt;120,3)</f>
        <v>0</v>
      </c>
      <c r="M547" t="str">
        <f t="shared" si="56"/>
        <v>Low</v>
      </c>
      <c r="N547" t="str">
        <f t="shared" si="53"/>
        <v>Feb</v>
      </c>
      <c r="O547">
        <f t="shared" si="54"/>
        <v>2026</v>
      </c>
    </row>
    <row r="548" spans="1:15" x14ac:dyDescent="0.3">
      <c r="A548">
        <v>204022</v>
      </c>
      <c r="B548" t="s">
        <v>34</v>
      </c>
      <c r="C548" s="2">
        <v>46079</v>
      </c>
      <c r="D548" s="2">
        <f t="shared" si="52"/>
        <v>46139</v>
      </c>
      <c r="E548" s="1">
        <f>D548+60</f>
        <v>46199</v>
      </c>
      <c r="F548">
        <v>3799</v>
      </c>
      <c r="G548">
        <v>60</v>
      </c>
      <c r="H548">
        <f t="shared" si="51"/>
        <v>0</v>
      </c>
      <c r="I548" t="str">
        <f t="shared" si="55"/>
        <v>On Time</v>
      </c>
      <c r="J548" cm="1">
        <f t="array" ref="J548">_xlfn.IFS(H548&lt;30,0,H548&lt;60,1,H548&lt;90,2,H548&lt;120,3)</f>
        <v>0</v>
      </c>
      <c r="M548" t="str">
        <f t="shared" si="56"/>
        <v>Low</v>
      </c>
      <c r="N548" t="str">
        <f t="shared" si="53"/>
        <v>Feb</v>
      </c>
      <c r="O548">
        <f t="shared" si="54"/>
        <v>2026</v>
      </c>
    </row>
    <row r="549" spans="1:15" x14ac:dyDescent="0.3">
      <c r="A549">
        <v>204023</v>
      </c>
      <c r="B549" t="s">
        <v>35</v>
      </c>
      <c r="C549" s="2">
        <v>46079</v>
      </c>
      <c r="D549" s="2">
        <f t="shared" si="52"/>
        <v>46124</v>
      </c>
      <c r="E549" s="1">
        <f>D549</f>
        <v>46124</v>
      </c>
      <c r="F549">
        <v>2578</v>
      </c>
      <c r="G549">
        <v>45</v>
      </c>
      <c r="H549">
        <f t="shared" si="51"/>
        <v>0</v>
      </c>
      <c r="I549" t="str">
        <f t="shared" si="55"/>
        <v>On Time</v>
      </c>
      <c r="J549" cm="1">
        <f t="array" ref="J549">_xlfn.IFS(H549&lt;30,0,H549&lt;60,1,H549&lt;90,2,H549&lt;120,3)</f>
        <v>0</v>
      </c>
      <c r="M549" t="str">
        <f t="shared" si="56"/>
        <v>Low</v>
      </c>
      <c r="N549" t="str">
        <f t="shared" si="53"/>
        <v>Feb</v>
      </c>
      <c r="O549">
        <f t="shared" si="54"/>
        <v>2026</v>
      </c>
    </row>
    <row r="550" spans="1:15" x14ac:dyDescent="0.3">
      <c r="A550">
        <v>204024</v>
      </c>
      <c r="B550" t="s">
        <v>36</v>
      </c>
      <c r="C550" s="2">
        <v>46079</v>
      </c>
      <c r="D550" s="2">
        <f t="shared" si="52"/>
        <v>46109</v>
      </c>
      <c r="E550" s="1">
        <f>D550</f>
        <v>46109</v>
      </c>
      <c r="F550">
        <v>2842</v>
      </c>
      <c r="G550">
        <v>30</v>
      </c>
      <c r="H550">
        <f t="shared" ref="H550:H613" si="57">MAX(0,P515-D550)</f>
        <v>0</v>
      </c>
      <c r="I550" t="str">
        <f t="shared" si="55"/>
        <v>On Time</v>
      </c>
      <c r="J550" cm="1">
        <f t="array" ref="J550">_xlfn.IFS(H550&lt;30,0,H550&lt;60,1,H550&lt;90,2,H550&lt;120,3)</f>
        <v>0</v>
      </c>
      <c r="M550" t="str">
        <f t="shared" si="56"/>
        <v>Low</v>
      </c>
      <c r="N550" t="str">
        <f t="shared" si="53"/>
        <v>Feb</v>
      </c>
      <c r="O550">
        <f t="shared" si="54"/>
        <v>2026</v>
      </c>
    </row>
    <row r="551" spans="1:15" x14ac:dyDescent="0.3">
      <c r="A551">
        <v>204025</v>
      </c>
      <c r="B551" t="s">
        <v>64</v>
      </c>
      <c r="C551" s="2">
        <v>46079</v>
      </c>
      <c r="D551" s="2">
        <f t="shared" si="52"/>
        <v>46109</v>
      </c>
      <c r="E551" s="1">
        <f>D551+3</f>
        <v>46112</v>
      </c>
      <c r="F551">
        <v>4632</v>
      </c>
      <c r="G551">
        <v>30</v>
      </c>
      <c r="H551">
        <f t="shared" si="57"/>
        <v>0</v>
      </c>
      <c r="I551" t="str">
        <f t="shared" si="55"/>
        <v>On Time</v>
      </c>
      <c r="J551" cm="1">
        <f t="array" ref="J551">_xlfn.IFS(H551&lt;30,0,H551&lt;60,1,H551&lt;90,2,H551&lt;120,3)</f>
        <v>0</v>
      </c>
      <c r="M551" t="str">
        <f t="shared" si="56"/>
        <v>Low</v>
      </c>
      <c r="N551" t="str">
        <f t="shared" si="53"/>
        <v>Feb</v>
      </c>
      <c r="O551">
        <f t="shared" si="54"/>
        <v>2026</v>
      </c>
    </row>
    <row r="552" spans="1:15" x14ac:dyDescent="0.3">
      <c r="A552">
        <v>203988</v>
      </c>
      <c r="B552" t="s">
        <v>31</v>
      </c>
      <c r="C552" s="2">
        <v>46078</v>
      </c>
      <c r="D552" s="2">
        <f t="shared" si="52"/>
        <v>46123</v>
      </c>
      <c r="E552" s="1">
        <f>D552</f>
        <v>46123</v>
      </c>
      <c r="F552">
        <v>3429</v>
      </c>
      <c r="G552">
        <v>45</v>
      </c>
      <c r="H552">
        <f t="shared" si="57"/>
        <v>0</v>
      </c>
      <c r="I552" t="str">
        <f t="shared" si="55"/>
        <v>On Time</v>
      </c>
      <c r="J552" cm="1">
        <f t="array" ref="J552">_xlfn.IFS(H552&lt;30,0,H552&lt;60,1,H552&lt;90,2,H552&lt;120,3)</f>
        <v>0</v>
      </c>
      <c r="M552" t="str">
        <f t="shared" si="56"/>
        <v>Low</v>
      </c>
      <c r="N552" t="str">
        <f t="shared" si="53"/>
        <v>Feb</v>
      </c>
      <c r="O552">
        <f t="shared" si="54"/>
        <v>2026</v>
      </c>
    </row>
    <row r="553" spans="1:15" x14ac:dyDescent="0.3">
      <c r="A553">
        <v>203989</v>
      </c>
      <c r="B553" t="s">
        <v>54</v>
      </c>
      <c r="C553" s="2">
        <v>46078</v>
      </c>
      <c r="D553" s="2">
        <f t="shared" si="52"/>
        <v>46108</v>
      </c>
      <c r="E553" s="1">
        <f>D553+60</f>
        <v>46168</v>
      </c>
      <c r="F553">
        <v>1297</v>
      </c>
      <c r="G553">
        <v>30</v>
      </c>
      <c r="H553">
        <f t="shared" si="57"/>
        <v>0</v>
      </c>
      <c r="I553" t="str">
        <f t="shared" si="55"/>
        <v>On Time</v>
      </c>
      <c r="J553" cm="1">
        <f t="array" ref="J553">_xlfn.IFS(H553&lt;30,0,H553&lt;60,1,H553&lt;90,2,H553&lt;120,3)</f>
        <v>0</v>
      </c>
      <c r="M553" t="str">
        <f t="shared" si="56"/>
        <v>Low</v>
      </c>
      <c r="N553" t="str">
        <f t="shared" si="53"/>
        <v>Feb</v>
      </c>
      <c r="O553">
        <f t="shared" si="54"/>
        <v>2026</v>
      </c>
    </row>
    <row r="554" spans="1:15" x14ac:dyDescent="0.3">
      <c r="A554">
        <v>203990</v>
      </c>
      <c r="B554" t="s">
        <v>55</v>
      </c>
      <c r="C554" s="2">
        <v>46078</v>
      </c>
      <c r="D554" s="2">
        <f t="shared" si="52"/>
        <v>46108</v>
      </c>
      <c r="E554" s="1">
        <f>D554</f>
        <v>46108</v>
      </c>
      <c r="F554">
        <v>4852</v>
      </c>
      <c r="G554">
        <v>30</v>
      </c>
      <c r="H554">
        <f t="shared" si="57"/>
        <v>0</v>
      </c>
      <c r="I554" t="str">
        <f t="shared" si="55"/>
        <v>On Time</v>
      </c>
      <c r="J554" cm="1">
        <f t="array" ref="J554">_xlfn.IFS(H554&lt;30,0,H554&lt;60,1,H554&lt;90,2,H554&lt;120,3)</f>
        <v>0</v>
      </c>
      <c r="M554" t="str">
        <f t="shared" si="56"/>
        <v>Low</v>
      </c>
      <c r="N554" t="str">
        <f t="shared" si="53"/>
        <v>Feb</v>
      </c>
      <c r="O554">
        <f t="shared" si="54"/>
        <v>2026</v>
      </c>
    </row>
    <row r="555" spans="1:15" x14ac:dyDescent="0.3">
      <c r="A555">
        <v>203991</v>
      </c>
      <c r="B555" t="s">
        <v>56</v>
      </c>
      <c r="C555" s="2">
        <v>46078</v>
      </c>
      <c r="D555" s="2">
        <f t="shared" si="52"/>
        <v>46123</v>
      </c>
      <c r="F555">
        <v>4859</v>
      </c>
      <c r="G555">
        <v>45</v>
      </c>
      <c r="H555">
        <f t="shared" si="57"/>
        <v>0</v>
      </c>
      <c r="I555" t="str">
        <f t="shared" si="55"/>
        <v>On Time</v>
      </c>
      <c r="J555" cm="1">
        <f t="array" ref="J555">_xlfn.IFS(H555&lt;30,0,H555&lt;60,1,H555&lt;90,2,H555&lt;120,3)</f>
        <v>0</v>
      </c>
      <c r="M555" t="str">
        <f t="shared" si="56"/>
        <v>Low</v>
      </c>
      <c r="N555" t="str">
        <f t="shared" si="53"/>
        <v>Feb</v>
      </c>
      <c r="O555">
        <f t="shared" si="54"/>
        <v>2026</v>
      </c>
    </row>
    <row r="556" spans="1:15" x14ac:dyDescent="0.3">
      <c r="A556">
        <v>203992</v>
      </c>
      <c r="B556" t="s">
        <v>57</v>
      </c>
      <c r="C556" s="2">
        <v>46078</v>
      </c>
      <c r="D556" s="2">
        <f t="shared" si="52"/>
        <v>46138</v>
      </c>
      <c r="E556" s="1">
        <f>D556+3</f>
        <v>46141</v>
      </c>
      <c r="F556">
        <v>3518</v>
      </c>
      <c r="G556">
        <v>60</v>
      </c>
      <c r="H556">
        <f t="shared" si="57"/>
        <v>0</v>
      </c>
      <c r="I556" t="str">
        <f t="shared" si="55"/>
        <v>On Time</v>
      </c>
      <c r="J556" cm="1">
        <f t="array" ref="J556">_xlfn.IFS(H556&lt;30,0,H556&lt;60,1,H556&lt;90,2,H556&lt;120,3)</f>
        <v>0</v>
      </c>
      <c r="M556" t="str">
        <f t="shared" si="56"/>
        <v>Low</v>
      </c>
      <c r="N556" t="str">
        <f t="shared" si="53"/>
        <v>Feb</v>
      </c>
      <c r="O556">
        <f t="shared" si="54"/>
        <v>2026</v>
      </c>
    </row>
    <row r="557" spans="1:15" x14ac:dyDescent="0.3">
      <c r="A557">
        <v>203993</v>
      </c>
      <c r="B557" t="s">
        <v>58</v>
      </c>
      <c r="C557" s="2">
        <v>46078</v>
      </c>
      <c r="D557" s="2">
        <f t="shared" si="52"/>
        <v>46108</v>
      </c>
      <c r="E557" s="1">
        <f>D557+1</f>
        <v>46109</v>
      </c>
      <c r="F557">
        <v>2280</v>
      </c>
      <c r="G557">
        <v>30</v>
      </c>
      <c r="H557">
        <f t="shared" si="57"/>
        <v>0</v>
      </c>
      <c r="I557" t="str">
        <f t="shared" si="55"/>
        <v>On Time</v>
      </c>
      <c r="J557" cm="1">
        <f t="array" ref="J557">_xlfn.IFS(H557&lt;30,0,H557&lt;60,1,H557&lt;90,2,H557&lt;120,3)</f>
        <v>0</v>
      </c>
      <c r="M557" t="str">
        <f t="shared" si="56"/>
        <v>Low</v>
      </c>
      <c r="N557" t="str">
        <f t="shared" si="53"/>
        <v>Feb</v>
      </c>
      <c r="O557">
        <f t="shared" si="54"/>
        <v>2026</v>
      </c>
    </row>
    <row r="558" spans="1:15" x14ac:dyDescent="0.3">
      <c r="A558">
        <v>203994</v>
      </c>
      <c r="B558" t="s">
        <v>59</v>
      </c>
      <c r="C558" s="2">
        <v>46078</v>
      </c>
      <c r="D558" s="2">
        <f t="shared" si="52"/>
        <v>46108</v>
      </c>
      <c r="E558" s="1">
        <f>D558-1</f>
        <v>46107</v>
      </c>
      <c r="F558">
        <v>2605</v>
      </c>
      <c r="G558">
        <v>30</v>
      </c>
      <c r="H558">
        <f t="shared" si="57"/>
        <v>0</v>
      </c>
      <c r="I558" t="str">
        <f t="shared" si="55"/>
        <v>On Time</v>
      </c>
      <c r="J558" cm="1">
        <f t="array" ref="J558">_xlfn.IFS(H558&lt;30,0,H558&lt;60,1,H558&lt;90,2,H558&lt;120,3)</f>
        <v>0</v>
      </c>
      <c r="M558" t="str">
        <f t="shared" si="56"/>
        <v>Low</v>
      </c>
      <c r="N558" t="str">
        <f t="shared" si="53"/>
        <v>Feb</v>
      </c>
      <c r="O558">
        <f t="shared" si="54"/>
        <v>2026</v>
      </c>
    </row>
    <row r="559" spans="1:15" x14ac:dyDescent="0.3">
      <c r="A559">
        <v>203995</v>
      </c>
      <c r="B559" t="s">
        <v>60</v>
      </c>
      <c r="C559" s="2">
        <v>46078</v>
      </c>
      <c r="D559" s="2">
        <f t="shared" si="52"/>
        <v>46108</v>
      </c>
      <c r="E559" s="1">
        <f>D559</f>
        <v>46108</v>
      </c>
      <c r="F559">
        <v>4987</v>
      </c>
      <c r="G559">
        <v>30</v>
      </c>
      <c r="H559">
        <f t="shared" si="57"/>
        <v>0</v>
      </c>
      <c r="I559" t="str">
        <f t="shared" si="55"/>
        <v>On Time</v>
      </c>
      <c r="J559" cm="1">
        <f t="array" ref="J559">_xlfn.IFS(H559&lt;30,0,H559&lt;60,1,H559&lt;90,2,H559&lt;120,3)</f>
        <v>0</v>
      </c>
      <c r="M559" t="str">
        <f t="shared" si="56"/>
        <v>Low</v>
      </c>
      <c r="N559" t="str">
        <f t="shared" si="53"/>
        <v>Feb</v>
      </c>
      <c r="O559">
        <f t="shared" si="54"/>
        <v>2026</v>
      </c>
    </row>
    <row r="560" spans="1:15" x14ac:dyDescent="0.3">
      <c r="A560">
        <v>203996</v>
      </c>
      <c r="B560" t="s">
        <v>61</v>
      </c>
      <c r="C560" s="2">
        <v>46078</v>
      </c>
      <c r="D560" s="2">
        <f t="shared" si="52"/>
        <v>46108</v>
      </c>
      <c r="E560" s="1">
        <f>D560-5</f>
        <v>46103</v>
      </c>
      <c r="F560">
        <v>3898</v>
      </c>
      <c r="G560">
        <v>30</v>
      </c>
      <c r="H560">
        <f t="shared" si="57"/>
        <v>0</v>
      </c>
      <c r="I560" t="str">
        <f t="shared" si="55"/>
        <v>On Time</v>
      </c>
      <c r="J560" cm="1">
        <f t="array" ref="J560">_xlfn.IFS(H560&lt;30,0,H560&lt;60,1,H560&lt;90,2,H560&lt;120,3)</f>
        <v>0</v>
      </c>
      <c r="M560" t="str">
        <f t="shared" si="56"/>
        <v>Low</v>
      </c>
      <c r="N560" t="str">
        <f t="shared" si="53"/>
        <v>Feb</v>
      </c>
      <c r="O560">
        <f t="shared" si="54"/>
        <v>2026</v>
      </c>
    </row>
    <row r="561" spans="1:15" x14ac:dyDescent="0.3">
      <c r="A561">
        <v>203997</v>
      </c>
      <c r="B561" t="s">
        <v>62</v>
      </c>
      <c r="C561" s="2">
        <v>46078</v>
      </c>
      <c r="D561" s="2">
        <f t="shared" si="52"/>
        <v>46108</v>
      </c>
      <c r="E561" s="1">
        <f>D561+35</f>
        <v>46143</v>
      </c>
      <c r="F561">
        <v>3251</v>
      </c>
      <c r="G561">
        <v>30</v>
      </c>
      <c r="H561">
        <f t="shared" si="57"/>
        <v>0</v>
      </c>
      <c r="I561" t="str">
        <f t="shared" si="55"/>
        <v>On Time</v>
      </c>
      <c r="J561" cm="1">
        <f t="array" ref="J561">_xlfn.IFS(H561&lt;30,0,H561&lt;60,1,H561&lt;90,2,H561&lt;120,3)</f>
        <v>0</v>
      </c>
      <c r="M561" t="str">
        <f t="shared" si="56"/>
        <v>Low</v>
      </c>
      <c r="N561" t="str">
        <f t="shared" si="53"/>
        <v>Feb</v>
      </c>
      <c r="O561">
        <f t="shared" si="54"/>
        <v>2026</v>
      </c>
    </row>
    <row r="562" spans="1:15" x14ac:dyDescent="0.3">
      <c r="A562">
        <v>203998</v>
      </c>
      <c r="B562" t="s">
        <v>63</v>
      </c>
      <c r="C562" s="2">
        <v>46078</v>
      </c>
      <c r="D562" s="2">
        <f t="shared" si="52"/>
        <v>46108</v>
      </c>
      <c r="E562" s="1">
        <f>D562+75</f>
        <v>46183</v>
      </c>
      <c r="F562">
        <v>713</v>
      </c>
      <c r="G562">
        <v>30</v>
      </c>
      <c r="H562">
        <f t="shared" si="57"/>
        <v>0</v>
      </c>
      <c r="I562" t="str">
        <f t="shared" si="55"/>
        <v>On Time</v>
      </c>
      <c r="J562" cm="1">
        <f t="array" ref="J562">_xlfn.IFS(H562&lt;30,0,H562&lt;60,1,H562&lt;90,2,H562&lt;120,3)</f>
        <v>0</v>
      </c>
      <c r="M562" t="str">
        <f t="shared" si="56"/>
        <v>Low</v>
      </c>
      <c r="N562" t="str">
        <f t="shared" si="53"/>
        <v>Feb</v>
      </c>
      <c r="O562">
        <f t="shared" si="54"/>
        <v>2026</v>
      </c>
    </row>
    <row r="563" spans="1:15" x14ac:dyDescent="0.3">
      <c r="A563">
        <v>203999</v>
      </c>
      <c r="B563" t="s">
        <v>64</v>
      </c>
      <c r="C563" s="2">
        <v>46078</v>
      </c>
      <c r="D563" s="2">
        <f t="shared" si="52"/>
        <v>46108</v>
      </c>
      <c r="E563" s="1">
        <f>D563+5</f>
        <v>46113</v>
      </c>
      <c r="F563">
        <v>1991</v>
      </c>
      <c r="G563">
        <v>30</v>
      </c>
      <c r="H563">
        <f t="shared" si="57"/>
        <v>0</v>
      </c>
      <c r="I563" t="str">
        <f t="shared" si="55"/>
        <v>On Time</v>
      </c>
      <c r="J563" cm="1">
        <f t="array" ref="J563">_xlfn.IFS(H563&lt;30,0,H563&lt;60,1,H563&lt;90,2,H563&lt;120,3)</f>
        <v>0</v>
      </c>
      <c r="M563" t="str">
        <f t="shared" si="56"/>
        <v>Low</v>
      </c>
      <c r="N563" t="str">
        <f t="shared" si="53"/>
        <v>Feb</v>
      </c>
      <c r="O563">
        <f t="shared" si="54"/>
        <v>2026</v>
      </c>
    </row>
    <row r="564" spans="1:15" x14ac:dyDescent="0.3">
      <c r="A564">
        <v>204000</v>
      </c>
      <c r="B564" t="s">
        <v>65</v>
      </c>
      <c r="C564" s="2">
        <v>46078</v>
      </c>
      <c r="D564" s="2">
        <f t="shared" si="52"/>
        <v>46123</v>
      </c>
      <c r="E564" s="1">
        <f>D564</f>
        <v>46123</v>
      </c>
      <c r="F564">
        <v>1280</v>
      </c>
      <c r="G564">
        <v>45</v>
      </c>
      <c r="H564">
        <f t="shared" si="57"/>
        <v>0</v>
      </c>
      <c r="I564" t="str">
        <f t="shared" si="55"/>
        <v>On Time</v>
      </c>
      <c r="J564" cm="1">
        <f t="array" ref="J564">_xlfn.IFS(H564&lt;30,0,H564&lt;60,1,H564&lt;90,2,H564&lt;120,3)</f>
        <v>0</v>
      </c>
      <c r="M564" t="str">
        <f t="shared" si="56"/>
        <v>Low</v>
      </c>
      <c r="N564" t="str">
        <f t="shared" si="53"/>
        <v>Feb</v>
      </c>
      <c r="O564">
        <f t="shared" si="54"/>
        <v>2026</v>
      </c>
    </row>
    <row r="565" spans="1:15" x14ac:dyDescent="0.3">
      <c r="A565">
        <v>204001</v>
      </c>
      <c r="B565" t="s">
        <v>94</v>
      </c>
      <c r="C565" s="2">
        <v>46078</v>
      </c>
      <c r="D565" s="2">
        <f t="shared" si="52"/>
        <v>46108</v>
      </c>
      <c r="E565" s="1">
        <f>D565-1</f>
        <v>46107</v>
      </c>
      <c r="F565">
        <v>1422</v>
      </c>
      <c r="G565">
        <v>30</v>
      </c>
      <c r="H565">
        <f t="shared" si="57"/>
        <v>0</v>
      </c>
      <c r="I565" t="str">
        <f t="shared" si="55"/>
        <v>On Time</v>
      </c>
      <c r="J565" cm="1">
        <f t="array" ref="J565">_xlfn.IFS(H565&lt;30,0,H565&lt;60,1,H565&lt;90,2,H565&lt;120,3)</f>
        <v>0</v>
      </c>
      <c r="M565" t="str">
        <f t="shared" si="56"/>
        <v>Low</v>
      </c>
      <c r="N565" t="str">
        <f t="shared" si="53"/>
        <v>Feb</v>
      </c>
      <c r="O565">
        <f t="shared" si="54"/>
        <v>2026</v>
      </c>
    </row>
    <row r="566" spans="1:15" x14ac:dyDescent="0.3">
      <c r="A566">
        <v>204002</v>
      </c>
      <c r="B566" t="s">
        <v>95</v>
      </c>
      <c r="C566" s="2">
        <v>46078</v>
      </c>
      <c r="D566" s="2">
        <f t="shared" si="52"/>
        <v>46123</v>
      </c>
      <c r="E566" s="1">
        <f>D566</f>
        <v>46123</v>
      </c>
      <c r="F566">
        <v>3662</v>
      </c>
      <c r="G566">
        <v>45</v>
      </c>
      <c r="H566">
        <f t="shared" si="57"/>
        <v>0</v>
      </c>
      <c r="I566" t="str">
        <f t="shared" si="55"/>
        <v>On Time</v>
      </c>
      <c r="J566" cm="1">
        <f t="array" ref="J566">_xlfn.IFS(H566&lt;30,0,H566&lt;60,1,H566&lt;90,2,H566&lt;120,3)</f>
        <v>0</v>
      </c>
      <c r="M566" t="str">
        <f t="shared" si="56"/>
        <v>Low</v>
      </c>
      <c r="N566" t="str">
        <f t="shared" si="53"/>
        <v>Feb</v>
      </c>
      <c r="O566">
        <f t="shared" si="54"/>
        <v>2026</v>
      </c>
    </row>
    <row r="567" spans="1:15" x14ac:dyDescent="0.3">
      <c r="A567">
        <v>204003</v>
      </c>
      <c r="B567" t="s">
        <v>96</v>
      </c>
      <c r="C567" s="2">
        <v>46078</v>
      </c>
      <c r="D567" s="2">
        <f t="shared" si="52"/>
        <v>46138</v>
      </c>
      <c r="E567" s="1">
        <f>D567+32</f>
        <v>46170</v>
      </c>
      <c r="F567">
        <v>4241</v>
      </c>
      <c r="G567">
        <v>60</v>
      </c>
      <c r="H567">
        <f t="shared" si="57"/>
        <v>0</v>
      </c>
      <c r="I567" t="str">
        <f t="shared" si="55"/>
        <v>On Time</v>
      </c>
      <c r="J567" cm="1">
        <f t="array" ref="J567">_xlfn.IFS(H567&lt;30,0,H567&lt;60,1,H567&lt;90,2,H567&lt;120,3)</f>
        <v>0</v>
      </c>
      <c r="M567" t="str">
        <f t="shared" si="56"/>
        <v>Low</v>
      </c>
      <c r="N567" t="str">
        <f t="shared" si="53"/>
        <v>Feb</v>
      </c>
      <c r="O567">
        <f t="shared" si="54"/>
        <v>2026</v>
      </c>
    </row>
    <row r="568" spans="1:15" x14ac:dyDescent="0.3">
      <c r="A568">
        <v>204004</v>
      </c>
      <c r="B568" t="s">
        <v>97</v>
      </c>
      <c r="C568" s="2">
        <v>46078</v>
      </c>
      <c r="D568" s="2">
        <f t="shared" si="52"/>
        <v>46108</v>
      </c>
      <c r="E568" s="1">
        <f>D568+15</f>
        <v>46123</v>
      </c>
      <c r="F568">
        <v>4281</v>
      </c>
      <c r="G568">
        <v>30</v>
      </c>
      <c r="H568">
        <f t="shared" si="57"/>
        <v>0</v>
      </c>
      <c r="I568" t="str">
        <f t="shared" si="55"/>
        <v>On Time</v>
      </c>
      <c r="J568" cm="1">
        <f t="array" ref="J568">_xlfn.IFS(H568&lt;30,0,H568&lt;60,1,H568&lt;90,2,H568&lt;120,3)</f>
        <v>0</v>
      </c>
      <c r="M568" t="str">
        <f t="shared" si="56"/>
        <v>Low</v>
      </c>
      <c r="N568" t="str">
        <f t="shared" si="53"/>
        <v>Feb</v>
      </c>
      <c r="O568">
        <f t="shared" si="54"/>
        <v>2026</v>
      </c>
    </row>
    <row r="569" spans="1:15" x14ac:dyDescent="0.3">
      <c r="A569">
        <v>204005</v>
      </c>
      <c r="B569" t="s">
        <v>98</v>
      </c>
      <c r="C569" s="2">
        <v>46078</v>
      </c>
      <c r="D569" s="2">
        <f t="shared" si="52"/>
        <v>46108</v>
      </c>
      <c r="E569" s="1">
        <f>D569</f>
        <v>46108</v>
      </c>
      <c r="F569">
        <v>465</v>
      </c>
      <c r="G569">
        <v>30</v>
      </c>
      <c r="H569">
        <f t="shared" si="57"/>
        <v>0</v>
      </c>
      <c r="I569" t="str">
        <f t="shared" si="55"/>
        <v>On Time</v>
      </c>
      <c r="J569" cm="1">
        <f t="array" ref="J569">_xlfn.IFS(H569&lt;30,0,H569&lt;60,1,H569&lt;90,2,H569&lt;120,3)</f>
        <v>0</v>
      </c>
      <c r="M569" t="str">
        <f t="shared" si="56"/>
        <v>Low</v>
      </c>
      <c r="N569" t="str">
        <f t="shared" si="53"/>
        <v>Feb</v>
      </c>
      <c r="O569">
        <f t="shared" si="54"/>
        <v>2026</v>
      </c>
    </row>
    <row r="570" spans="1:15" x14ac:dyDescent="0.3">
      <c r="A570">
        <v>203970</v>
      </c>
      <c r="B570" t="s">
        <v>110</v>
      </c>
      <c r="C570" s="2">
        <v>46077</v>
      </c>
      <c r="D570" s="2">
        <f t="shared" si="52"/>
        <v>46122</v>
      </c>
      <c r="E570" s="1">
        <f>D570+32</f>
        <v>46154</v>
      </c>
      <c r="F570">
        <v>3955</v>
      </c>
      <c r="G570">
        <v>45</v>
      </c>
      <c r="H570">
        <f t="shared" si="57"/>
        <v>0</v>
      </c>
      <c r="I570" t="str">
        <f t="shared" si="55"/>
        <v>On Time</v>
      </c>
      <c r="J570" cm="1">
        <f t="array" ref="J570">_xlfn.IFS(H570&lt;30,0,H570&lt;60,1,H570&lt;90,2,H570&lt;120,3)</f>
        <v>0</v>
      </c>
      <c r="M570" t="str">
        <f t="shared" si="56"/>
        <v>Low</v>
      </c>
      <c r="N570" t="str">
        <f t="shared" si="53"/>
        <v>Feb</v>
      </c>
      <c r="O570">
        <f t="shared" si="54"/>
        <v>2026</v>
      </c>
    </row>
    <row r="571" spans="1:15" x14ac:dyDescent="0.3">
      <c r="A571">
        <v>203971</v>
      </c>
      <c r="B571" t="s">
        <v>111</v>
      </c>
      <c r="C571" s="2">
        <v>46077</v>
      </c>
      <c r="D571" s="2">
        <f t="shared" si="52"/>
        <v>46137</v>
      </c>
      <c r="E571" s="1">
        <f>D571+15</f>
        <v>46152</v>
      </c>
      <c r="F571">
        <v>3590</v>
      </c>
      <c r="G571">
        <v>60</v>
      </c>
      <c r="H571">
        <f t="shared" si="57"/>
        <v>0</v>
      </c>
      <c r="I571" t="str">
        <f t="shared" si="55"/>
        <v>On Time</v>
      </c>
      <c r="J571" cm="1">
        <f t="array" ref="J571">_xlfn.IFS(H571&lt;30,0,H571&lt;60,1,H571&lt;90,2,H571&lt;120,3)</f>
        <v>0</v>
      </c>
      <c r="M571" t="str">
        <f t="shared" si="56"/>
        <v>Low</v>
      </c>
      <c r="N571" t="str">
        <f t="shared" si="53"/>
        <v>Feb</v>
      </c>
      <c r="O571">
        <f t="shared" si="54"/>
        <v>2026</v>
      </c>
    </row>
    <row r="572" spans="1:15" x14ac:dyDescent="0.3">
      <c r="A572">
        <v>203972</v>
      </c>
      <c r="B572" t="s">
        <v>112</v>
      </c>
      <c r="C572" s="2">
        <v>46077</v>
      </c>
      <c r="D572" s="2">
        <f t="shared" si="52"/>
        <v>46122</v>
      </c>
      <c r="E572" s="1">
        <f>D572-2</f>
        <v>46120</v>
      </c>
      <c r="F572">
        <v>18030</v>
      </c>
      <c r="G572">
        <v>45</v>
      </c>
      <c r="H572">
        <f t="shared" si="57"/>
        <v>0</v>
      </c>
      <c r="I572" t="str">
        <f t="shared" si="55"/>
        <v>On Time</v>
      </c>
      <c r="J572" cm="1">
        <f t="array" ref="J572">_xlfn.IFS(H572&lt;30,0,H572&lt;60,1,H572&lt;90,2,H572&lt;120,3)</f>
        <v>0</v>
      </c>
      <c r="M572" t="str">
        <f t="shared" si="56"/>
        <v>Low</v>
      </c>
      <c r="N572" t="str">
        <f t="shared" si="53"/>
        <v>Feb</v>
      </c>
      <c r="O572">
        <f t="shared" si="54"/>
        <v>2026</v>
      </c>
    </row>
    <row r="573" spans="1:15" x14ac:dyDescent="0.3">
      <c r="A573">
        <v>203973</v>
      </c>
      <c r="B573" t="s">
        <v>113</v>
      </c>
      <c r="C573" s="2">
        <v>46077</v>
      </c>
      <c r="D573" s="2">
        <f t="shared" si="52"/>
        <v>46122</v>
      </c>
      <c r="E573" s="1">
        <f>D573-2</f>
        <v>46120</v>
      </c>
      <c r="F573">
        <v>4421</v>
      </c>
      <c r="G573">
        <v>45</v>
      </c>
      <c r="H573">
        <f t="shared" si="57"/>
        <v>0</v>
      </c>
      <c r="I573" t="str">
        <f t="shared" si="55"/>
        <v>On Time</v>
      </c>
      <c r="J573" cm="1">
        <f t="array" ref="J573">_xlfn.IFS(H573&lt;30,0,H573&lt;60,1,H573&lt;90,2,H573&lt;120,3)</f>
        <v>0</v>
      </c>
      <c r="M573" t="str">
        <f t="shared" si="56"/>
        <v>Low</v>
      </c>
      <c r="N573" t="str">
        <f t="shared" si="53"/>
        <v>Feb</v>
      </c>
      <c r="O573">
        <f t="shared" si="54"/>
        <v>2026</v>
      </c>
    </row>
    <row r="574" spans="1:15" x14ac:dyDescent="0.3">
      <c r="A574">
        <v>203974</v>
      </c>
      <c r="B574" t="s">
        <v>114</v>
      </c>
      <c r="C574" s="2">
        <v>46077</v>
      </c>
      <c r="D574" s="2">
        <f t="shared" si="52"/>
        <v>46107</v>
      </c>
      <c r="E574" s="1">
        <f>D574</f>
        <v>46107</v>
      </c>
      <c r="F574">
        <v>11337</v>
      </c>
      <c r="G574">
        <v>30</v>
      </c>
      <c r="H574">
        <f t="shared" si="57"/>
        <v>0</v>
      </c>
      <c r="I574" t="str">
        <f t="shared" si="55"/>
        <v>On Time</v>
      </c>
      <c r="J574" cm="1">
        <f t="array" ref="J574">_xlfn.IFS(H574&lt;30,0,H574&lt;60,1,H574&lt;90,2,H574&lt;120,3)</f>
        <v>0</v>
      </c>
      <c r="M574" t="str">
        <f t="shared" si="56"/>
        <v>Low</v>
      </c>
      <c r="N574" t="str">
        <f t="shared" si="53"/>
        <v>Feb</v>
      </c>
      <c r="O574">
        <f t="shared" si="54"/>
        <v>2026</v>
      </c>
    </row>
    <row r="575" spans="1:15" x14ac:dyDescent="0.3">
      <c r="A575">
        <v>203975</v>
      </c>
      <c r="B575" t="s">
        <v>115</v>
      </c>
      <c r="C575" s="2">
        <v>46077</v>
      </c>
      <c r="D575" s="2">
        <f t="shared" si="52"/>
        <v>46107</v>
      </c>
      <c r="E575" s="1">
        <f>D575+2</f>
        <v>46109</v>
      </c>
      <c r="F575">
        <v>4940</v>
      </c>
      <c r="G575">
        <v>30</v>
      </c>
      <c r="H575">
        <f t="shared" si="57"/>
        <v>0</v>
      </c>
      <c r="I575" t="str">
        <f t="shared" si="55"/>
        <v>On Time</v>
      </c>
      <c r="J575" cm="1">
        <f t="array" ref="J575">_xlfn.IFS(H575&lt;30,0,H575&lt;60,1,H575&lt;90,2,H575&lt;120,3)</f>
        <v>0</v>
      </c>
      <c r="M575" t="str">
        <f t="shared" si="56"/>
        <v>Low</v>
      </c>
      <c r="N575" t="str">
        <f t="shared" si="53"/>
        <v>Feb</v>
      </c>
      <c r="O575">
        <f t="shared" si="54"/>
        <v>2026</v>
      </c>
    </row>
    <row r="576" spans="1:15" x14ac:dyDescent="0.3">
      <c r="A576">
        <v>203976</v>
      </c>
      <c r="B576" t="s">
        <v>116</v>
      </c>
      <c r="C576" s="2">
        <v>46077</v>
      </c>
      <c r="D576" s="2">
        <f t="shared" si="52"/>
        <v>46107</v>
      </c>
      <c r="E576" s="1">
        <f>D576+2</f>
        <v>46109</v>
      </c>
      <c r="F576">
        <v>2726</v>
      </c>
      <c r="G576">
        <v>30</v>
      </c>
      <c r="H576">
        <f t="shared" si="57"/>
        <v>0</v>
      </c>
      <c r="I576" t="str">
        <f t="shared" si="55"/>
        <v>On Time</v>
      </c>
      <c r="J576" cm="1">
        <f t="array" ref="J576">_xlfn.IFS(H576&lt;30,0,H576&lt;60,1,H576&lt;90,2,H576&lt;120,3)</f>
        <v>0</v>
      </c>
      <c r="M576" t="str">
        <f t="shared" si="56"/>
        <v>Low</v>
      </c>
      <c r="N576" t="str">
        <f t="shared" si="53"/>
        <v>Feb</v>
      </c>
      <c r="O576">
        <f t="shared" si="54"/>
        <v>2026</v>
      </c>
    </row>
    <row r="577" spans="1:15" x14ac:dyDescent="0.3">
      <c r="A577">
        <v>203977</v>
      </c>
      <c r="B577" t="s">
        <v>20</v>
      </c>
      <c r="C577" s="2">
        <v>46077</v>
      </c>
      <c r="D577" s="2">
        <f t="shared" si="52"/>
        <v>46107</v>
      </c>
      <c r="E577" s="1">
        <f>D577+2</f>
        <v>46109</v>
      </c>
      <c r="F577">
        <v>1722</v>
      </c>
      <c r="G577">
        <v>30</v>
      </c>
      <c r="H577">
        <f t="shared" si="57"/>
        <v>0</v>
      </c>
      <c r="I577" t="str">
        <f t="shared" si="55"/>
        <v>On Time</v>
      </c>
      <c r="J577" cm="1">
        <f t="array" ref="J577">_xlfn.IFS(H577&lt;30,0,H577&lt;60,1,H577&lt;90,2,H577&lt;120,3)</f>
        <v>0</v>
      </c>
      <c r="M577" t="str">
        <f t="shared" si="56"/>
        <v>Low</v>
      </c>
      <c r="N577" t="str">
        <f t="shared" si="53"/>
        <v>Feb</v>
      </c>
      <c r="O577">
        <f t="shared" si="54"/>
        <v>2026</v>
      </c>
    </row>
    <row r="578" spans="1:15" x14ac:dyDescent="0.3">
      <c r="A578">
        <v>203978</v>
      </c>
      <c r="B578" t="s">
        <v>21</v>
      </c>
      <c r="C578" s="2">
        <v>46077</v>
      </c>
      <c r="D578" s="2">
        <f t="shared" ref="D578:D641" si="58">C578+G578</f>
        <v>46107</v>
      </c>
      <c r="E578" s="1">
        <f>D578</f>
        <v>46107</v>
      </c>
      <c r="F578">
        <v>4402</v>
      </c>
      <c r="G578">
        <v>30</v>
      </c>
      <c r="H578">
        <f t="shared" si="57"/>
        <v>0</v>
      </c>
      <c r="I578" t="str">
        <f t="shared" si="55"/>
        <v>On Time</v>
      </c>
      <c r="J578" cm="1">
        <f t="array" ref="J578">_xlfn.IFS(H578&lt;30,0,H578&lt;60,1,H578&lt;90,2,H578&lt;120,3)</f>
        <v>0</v>
      </c>
      <c r="M578" t="str">
        <f t="shared" si="56"/>
        <v>Low</v>
      </c>
      <c r="N578" t="str">
        <f t="shared" ref="N578:N641" si="59">TEXT(C578,"mmm")</f>
        <v>Feb</v>
      </c>
      <c r="O578">
        <f t="shared" ref="O578:O641" si="60">YEAR(C578)</f>
        <v>2026</v>
      </c>
    </row>
    <row r="579" spans="1:15" x14ac:dyDescent="0.3">
      <c r="A579">
        <v>203979</v>
      </c>
      <c r="B579" t="s">
        <v>22</v>
      </c>
      <c r="C579" s="2">
        <v>46077</v>
      </c>
      <c r="D579" s="2">
        <f t="shared" si="58"/>
        <v>46107</v>
      </c>
      <c r="E579" s="1">
        <f>D579+20</f>
        <v>46127</v>
      </c>
      <c r="F579">
        <v>1330</v>
      </c>
      <c r="G579">
        <v>30</v>
      </c>
      <c r="H579">
        <f t="shared" si="57"/>
        <v>0</v>
      </c>
      <c r="I579" t="str">
        <f t="shared" si="55"/>
        <v>On Time</v>
      </c>
      <c r="J579" cm="1">
        <f t="array" ref="J579">_xlfn.IFS(H579&lt;30,0,H579&lt;60,1,H579&lt;90,2,H579&lt;120,3)</f>
        <v>0</v>
      </c>
      <c r="M579" t="str">
        <f t="shared" si="56"/>
        <v>Low</v>
      </c>
      <c r="N579" t="str">
        <f t="shared" si="59"/>
        <v>Feb</v>
      </c>
      <c r="O579">
        <f t="shared" si="60"/>
        <v>2026</v>
      </c>
    </row>
    <row r="580" spans="1:15" x14ac:dyDescent="0.3">
      <c r="A580">
        <v>203980</v>
      </c>
      <c r="B580" t="s">
        <v>23</v>
      </c>
      <c r="C580" s="2">
        <v>46077</v>
      </c>
      <c r="D580" s="2">
        <f t="shared" si="58"/>
        <v>46122</v>
      </c>
      <c r="E580" s="1">
        <f>D580</f>
        <v>46122</v>
      </c>
      <c r="F580">
        <v>697</v>
      </c>
      <c r="G580">
        <v>45</v>
      </c>
      <c r="H580">
        <f t="shared" si="57"/>
        <v>0</v>
      </c>
      <c r="I580" t="str">
        <f t="shared" si="55"/>
        <v>On Time</v>
      </c>
      <c r="J580" cm="1">
        <f t="array" ref="J580">_xlfn.IFS(H580&lt;30,0,H580&lt;60,1,H580&lt;90,2,H580&lt;120,3)</f>
        <v>0</v>
      </c>
      <c r="M580" t="str">
        <f t="shared" si="56"/>
        <v>Low</v>
      </c>
      <c r="N580" t="str">
        <f t="shared" si="59"/>
        <v>Feb</v>
      </c>
      <c r="O580">
        <f t="shared" si="60"/>
        <v>2026</v>
      </c>
    </row>
    <row r="581" spans="1:15" x14ac:dyDescent="0.3">
      <c r="A581">
        <v>203981</v>
      </c>
      <c r="B581" t="s">
        <v>24</v>
      </c>
      <c r="C581" s="2">
        <v>46077</v>
      </c>
      <c r="D581" s="2">
        <f t="shared" si="58"/>
        <v>46122</v>
      </c>
      <c r="E581" s="1">
        <f>D581+1</f>
        <v>46123</v>
      </c>
      <c r="F581">
        <v>4507</v>
      </c>
      <c r="G581">
        <v>45</v>
      </c>
      <c r="H581">
        <f t="shared" si="57"/>
        <v>0</v>
      </c>
      <c r="I581" t="str">
        <f t="shared" si="55"/>
        <v>On Time</v>
      </c>
      <c r="J581" cm="1">
        <f t="array" ref="J581">_xlfn.IFS(H581&lt;30,0,H581&lt;60,1,H581&lt;90,2,H581&lt;120,3)</f>
        <v>0</v>
      </c>
      <c r="M581" t="str">
        <f t="shared" si="56"/>
        <v>Low</v>
      </c>
      <c r="N581" t="str">
        <f t="shared" si="59"/>
        <v>Feb</v>
      </c>
      <c r="O581">
        <f t="shared" si="60"/>
        <v>2026</v>
      </c>
    </row>
    <row r="582" spans="1:15" x14ac:dyDescent="0.3">
      <c r="A582">
        <v>203982</v>
      </c>
      <c r="B582" t="s">
        <v>25</v>
      </c>
      <c r="C582" s="2">
        <v>46077</v>
      </c>
      <c r="D582" s="2">
        <f t="shared" si="58"/>
        <v>46137</v>
      </c>
      <c r="E582" s="1">
        <f>D582</f>
        <v>46137</v>
      </c>
      <c r="F582">
        <v>768</v>
      </c>
      <c r="G582">
        <v>60</v>
      </c>
      <c r="H582">
        <f t="shared" si="57"/>
        <v>0</v>
      </c>
      <c r="I582" t="str">
        <f t="shared" si="55"/>
        <v>On Time</v>
      </c>
      <c r="J582" cm="1">
        <f t="array" ref="J582">_xlfn.IFS(H582&lt;30,0,H582&lt;60,1,H582&lt;90,2,H582&lt;120,3)</f>
        <v>0</v>
      </c>
      <c r="M582" t="str">
        <f t="shared" si="56"/>
        <v>Low</v>
      </c>
      <c r="N582" t="str">
        <f t="shared" si="59"/>
        <v>Feb</v>
      </c>
      <c r="O582">
        <f t="shared" si="60"/>
        <v>2026</v>
      </c>
    </row>
    <row r="583" spans="1:15" x14ac:dyDescent="0.3">
      <c r="A583">
        <v>203983</v>
      </c>
      <c r="B583" t="s">
        <v>26</v>
      </c>
      <c r="C583" s="2">
        <v>46077</v>
      </c>
      <c r="D583" s="2">
        <f t="shared" si="58"/>
        <v>46107</v>
      </c>
      <c r="E583" s="1">
        <f>D583</f>
        <v>46107</v>
      </c>
      <c r="F583">
        <v>4444</v>
      </c>
      <c r="G583">
        <v>30</v>
      </c>
      <c r="H583">
        <f t="shared" si="57"/>
        <v>0</v>
      </c>
      <c r="I583" t="str">
        <f t="shared" si="55"/>
        <v>On Time</v>
      </c>
      <c r="J583" cm="1">
        <f t="array" ref="J583">_xlfn.IFS(H583&lt;30,0,H583&lt;60,1,H583&lt;90,2,H583&lt;120,3)</f>
        <v>0</v>
      </c>
      <c r="M583" t="str">
        <f t="shared" si="56"/>
        <v>Low</v>
      </c>
      <c r="N583" t="str">
        <f t="shared" si="59"/>
        <v>Feb</v>
      </c>
      <c r="O583">
        <f t="shared" si="60"/>
        <v>2026</v>
      </c>
    </row>
    <row r="584" spans="1:15" x14ac:dyDescent="0.3">
      <c r="A584">
        <v>203984</v>
      </c>
      <c r="B584" t="s">
        <v>27</v>
      </c>
      <c r="C584" s="2">
        <v>46077</v>
      </c>
      <c r="D584" s="2">
        <f t="shared" si="58"/>
        <v>46137</v>
      </c>
      <c r="E584" s="1">
        <f>D584+5</f>
        <v>46142</v>
      </c>
      <c r="F584">
        <v>1480</v>
      </c>
      <c r="G584">
        <v>60</v>
      </c>
      <c r="H584">
        <f t="shared" si="57"/>
        <v>0</v>
      </c>
      <c r="I584" t="str">
        <f t="shared" si="55"/>
        <v>On Time</v>
      </c>
      <c r="J584" cm="1">
        <f t="array" ref="J584">_xlfn.IFS(H584&lt;30,0,H584&lt;60,1,H584&lt;90,2,H584&lt;120,3)</f>
        <v>0</v>
      </c>
      <c r="M584" t="str">
        <f t="shared" si="56"/>
        <v>Low</v>
      </c>
      <c r="N584" t="str">
        <f t="shared" si="59"/>
        <v>Feb</v>
      </c>
      <c r="O584">
        <f t="shared" si="60"/>
        <v>2026</v>
      </c>
    </row>
    <row r="585" spans="1:15" x14ac:dyDescent="0.3">
      <c r="A585">
        <v>203985</v>
      </c>
      <c r="B585" t="s">
        <v>28</v>
      </c>
      <c r="C585" s="2">
        <v>46077</v>
      </c>
      <c r="D585" s="2">
        <f t="shared" si="58"/>
        <v>46107</v>
      </c>
      <c r="E585" s="1">
        <f>D585+2</f>
        <v>46109</v>
      </c>
      <c r="F585">
        <v>2632</v>
      </c>
      <c r="G585">
        <v>30</v>
      </c>
      <c r="H585">
        <f t="shared" si="57"/>
        <v>0</v>
      </c>
      <c r="I585" t="str">
        <f t="shared" si="55"/>
        <v>On Time</v>
      </c>
      <c r="J585" cm="1">
        <f t="array" ref="J585">_xlfn.IFS(H585&lt;30,0,H585&lt;60,1,H585&lt;90,2,H585&lt;120,3)</f>
        <v>0</v>
      </c>
      <c r="M585" t="str">
        <f t="shared" si="56"/>
        <v>Low</v>
      </c>
      <c r="N585" t="str">
        <f t="shared" si="59"/>
        <v>Feb</v>
      </c>
      <c r="O585">
        <f t="shared" si="60"/>
        <v>2026</v>
      </c>
    </row>
    <row r="586" spans="1:15" x14ac:dyDescent="0.3">
      <c r="A586">
        <v>203986</v>
      </c>
      <c r="B586" t="s">
        <v>29</v>
      </c>
      <c r="C586" s="2">
        <v>46077</v>
      </c>
      <c r="D586" s="2">
        <f t="shared" si="58"/>
        <v>46107</v>
      </c>
      <c r="E586" s="1">
        <f>D586+5</f>
        <v>46112</v>
      </c>
      <c r="F586">
        <v>2452</v>
      </c>
      <c r="G586">
        <v>30</v>
      </c>
      <c r="H586">
        <f t="shared" si="57"/>
        <v>0</v>
      </c>
      <c r="I586" t="str">
        <f t="shared" si="55"/>
        <v>On Time</v>
      </c>
      <c r="J586" cm="1">
        <f t="array" ref="J586">_xlfn.IFS(H586&lt;30,0,H586&lt;60,1,H586&lt;90,2,H586&lt;120,3)</f>
        <v>0</v>
      </c>
      <c r="M586" t="str">
        <f t="shared" si="56"/>
        <v>Low</v>
      </c>
      <c r="N586" t="str">
        <f t="shared" si="59"/>
        <v>Feb</v>
      </c>
      <c r="O586">
        <f t="shared" si="60"/>
        <v>2026</v>
      </c>
    </row>
    <row r="587" spans="1:15" x14ac:dyDescent="0.3">
      <c r="A587">
        <v>203987</v>
      </c>
      <c r="B587" t="s">
        <v>30</v>
      </c>
      <c r="C587" s="2">
        <v>46077</v>
      </c>
      <c r="D587" s="2">
        <f t="shared" si="58"/>
        <v>46107</v>
      </c>
      <c r="E587" s="1">
        <f>D587</f>
        <v>46107</v>
      </c>
      <c r="F587">
        <v>2603</v>
      </c>
      <c r="G587">
        <v>30</v>
      </c>
      <c r="H587">
        <f t="shared" si="57"/>
        <v>0</v>
      </c>
      <c r="I587" t="str">
        <f t="shared" si="55"/>
        <v>On Time</v>
      </c>
      <c r="J587" cm="1">
        <f t="array" ref="J587">_xlfn.IFS(H587&lt;30,0,H587&lt;60,1,H587&lt;90,2,H587&lt;120,3)</f>
        <v>0</v>
      </c>
      <c r="M587" t="str">
        <f t="shared" si="56"/>
        <v>Low</v>
      </c>
      <c r="N587" t="str">
        <f t="shared" si="59"/>
        <v>Feb</v>
      </c>
      <c r="O587">
        <f t="shared" si="60"/>
        <v>2026</v>
      </c>
    </row>
    <row r="588" spans="1:15" x14ac:dyDescent="0.3">
      <c r="A588">
        <v>203954</v>
      </c>
      <c r="B588" t="s">
        <v>105</v>
      </c>
      <c r="C588" s="2">
        <v>46076</v>
      </c>
      <c r="D588" s="2">
        <f t="shared" si="58"/>
        <v>46106</v>
      </c>
      <c r="E588" s="1">
        <f>D588</f>
        <v>46106</v>
      </c>
      <c r="F588">
        <v>12571</v>
      </c>
      <c r="G588">
        <v>30</v>
      </c>
      <c r="H588">
        <f t="shared" si="57"/>
        <v>0</v>
      </c>
      <c r="I588" t="str">
        <f t="shared" si="55"/>
        <v>On Time</v>
      </c>
      <c r="J588" cm="1">
        <f t="array" ref="J588">_xlfn.IFS(H588&lt;30,0,H588&lt;60,1,H588&lt;90,2,H588&lt;120,3)</f>
        <v>0</v>
      </c>
      <c r="M588" t="str">
        <f t="shared" si="56"/>
        <v>Low</v>
      </c>
      <c r="N588" t="str">
        <f t="shared" si="59"/>
        <v>Feb</v>
      </c>
      <c r="O588">
        <f t="shared" si="60"/>
        <v>2026</v>
      </c>
    </row>
    <row r="589" spans="1:15" x14ac:dyDescent="0.3">
      <c r="A589">
        <v>203955</v>
      </c>
      <c r="B589" t="s">
        <v>106</v>
      </c>
      <c r="C589" s="2">
        <v>46076</v>
      </c>
      <c r="D589" s="2">
        <f t="shared" si="58"/>
        <v>46106</v>
      </c>
      <c r="E589" s="1">
        <f>D589</f>
        <v>46106</v>
      </c>
      <c r="F589">
        <v>2520</v>
      </c>
      <c r="G589">
        <v>30</v>
      </c>
      <c r="H589">
        <f t="shared" si="57"/>
        <v>0</v>
      </c>
      <c r="I589" t="str">
        <f t="shared" si="55"/>
        <v>On Time</v>
      </c>
      <c r="J589" cm="1">
        <f t="array" ref="J589">_xlfn.IFS(H589&lt;30,0,H589&lt;60,1,H589&lt;90,2,H589&lt;120,3)</f>
        <v>0</v>
      </c>
      <c r="M589" t="str">
        <f t="shared" si="56"/>
        <v>Low</v>
      </c>
      <c r="N589" t="str">
        <f t="shared" si="59"/>
        <v>Feb</v>
      </c>
      <c r="O589">
        <f t="shared" si="60"/>
        <v>2026</v>
      </c>
    </row>
    <row r="590" spans="1:15" x14ac:dyDescent="0.3">
      <c r="A590">
        <v>203956</v>
      </c>
      <c r="B590" t="s">
        <v>107</v>
      </c>
      <c r="C590" s="2">
        <v>46076</v>
      </c>
      <c r="D590" s="2">
        <f t="shared" si="58"/>
        <v>46106</v>
      </c>
      <c r="E590" s="1">
        <f>D590+60</f>
        <v>46166</v>
      </c>
      <c r="F590">
        <v>231</v>
      </c>
      <c r="G590">
        <v>30</v>
      </c>
      <c r="H590">
        <f t="shared" si="57"/>
        <v>0</v>
      </c>
      <c r="I590" t="str">
        <f t="shared" si="55"/>
        <v>On Time</v>
      </c>
      <c r="J590" cm="1">
        <f t="array" ref="J590">_xlfn.IFS(H590&lt;30,0,H590&lt;60,1,H590&lt;90,2,H590&lt;120,3)</f>
        <v>0</v>
      </c>
      <c r="M590" t="str">
        <f t="shared" si="56"/>
        <v>Low</v>
      </c>
      <c r="N590" t="str">
        <f t="shared" si="59"/>
        <v>Feb</v>
      </c>
      <c r="O590">
        <f t="shared" si="60"/>
        <v>2026</v>
      </c>
    </row>
    <row r="591" spans="1:15" x14ac:dyDescent="0.3">
      <c r="A591">
        <v>203957</v>
      </c>
      <c r="B591" t="s">
        <v>56</v>
      </c>
      <c r="C591" s="2">
        <v>46076</v>
      </c>
      <c r="D591" s="2">
        <f t="shared" si="58"/>
        <v>46121</v>
      </c>
      <c r="E591" s="1">
        <f>D591</f>
        <v>46121</v>
      </c>
      <c r="F591">
        <v>2269</v>
      </c>
      <c r="G591">
        <v>45</v>
      </c>
      <c r="H591">
        <f t="shared" si="57"/>
        <v>0</v>
      </c>
      <c r="I591" t="str">
        <f t="shared" si="55"/>
        <v>On Time</v>
      </c>
      <c r="J591" cm="1">
        <f t="array" ref="J591">_xlfn.IFS(H591&lt;30,0,H591&lt;60,1,H591&lt;90,2,H591&lt;120,3)</f>
        <v>0</v>
      </c>
      <c r="M591" t="str">
        <f t="shared" si="56"/>
        <v>Low</v>
      </c>
      <c r="N591" t="str">
        <f t="shared" si="59"/>
        <v>Feb</v>
      </c>
      <c r="O591">
        <f t="shared" si="60"/>
        <v>2026</v>
      </c>
    </row>
    <row r="592" spans="1:15" x14ac:dyDescent="0.3">
      <c r="A592">
        <v>203958</v>
      </c>
      <c r="B592" t="s">
        <v>57</v>
      </c>
      <c r="C592" s="2">
        <v>46076</v>
      </c>
      <c r="D592" s="2">
        <f t="shared" si="58"/>
        <v>46136</v>
      </c>
      <c r="E592" s="1">
        <f>D592</f>
        <v>46136</v>
      </c>
      <c r="F592">
        <v>1345</v>
      </c>
      <c r="G592">
        <v>60</v>
      </c>
      <c r="H592">
        <f t="shared" si="57"/>
        <v>0</v>
      </c>
      <c r="I592" t="str">
        <f t="shared" si="55"/>
        <v>On Time</v>
      </c>
      <c r="J592" cm="1">
        <f t="array" ref="J592">_xlfn.IFS(H592&lt;30,0,H592&lt;60,1,H592&lt;90,2,H592&lt;120,3)</f>
        <v>0</v>
      </c>
      <c r="M592" t="str">
        <f t="shared" si="56"/>
        <v>Low</v>
      </c>
      <c r="N592" t="str">
        <f t="shared" si="59"/>
        <v>Feb</v>
      </c>
      <c r="O592">
        <f t="shared" si="60"/>
        <v>2026</v>
      </c>
    </row>
    <row r="593" spans="1:15" x14ac:dyDescent="0.3">
      <c r="A593">
        <v>203959</v>
      </c>
      <c r="B593" t="s">
        <v>58</v>
      </c>
      <c r="C593" s="2">
        <v>46076</v>
      </c>
      <c r="D593" s="2">
        <f t="shared" si="58"/>
        <v>46106</v>
      </c>
      <c r="E593" s="1">
        <f>D593+3</f>
        <v>46109</v>
      </c>
      <c r="F593">
        <v>1198</v>
      </c>
      <c r="G593">
        <v>30</v>
      </c>
      <c r="H593">
        <f t="shared" si="57"/>
        <v>0</v>
      </c>
      <c r="I593" t="str">
        <f t="shared" si="55"/>
        <v>On Time</v>
      </c>
      <c r="J593" cm="1">
        <f t="array" ref="J593">_xlfn.IFS(H593&lt;30,0,H593&lt;60,1,H593&lt;90,2,H593&lt;120,3)</f>
        <v>0</v>
      </c>
      <c r="M593" t="str">
        <f t="shared" si="56"/>
        <v>Low</v>
      </c>
      <c r="N593" t="str">
        <f t="shared" si="59"/>
        <v>Feb</v>
      </c>
      <c r="O593">
        <f t="shared" si="60"/>
        <v>2026</v>
      </c>
    </row>
    <row r="594" spans="1:15" x14ac:dyDescent="0.3">
      <c r="A594">
        <v>203960</v>
      </c>
      <c r="B594" t="s">
        <v>59</v>
      </c>
      <c r="C594" s="2">
        <v>46076</v>
      </c>
      <c r="D594" s="2">
        <f t="shared" si="58"/>
        <v>46106</v>
      </c>
      <c r="E594" s="1">
        <f>D594+1</f>
        <v>46107</v>
      </c>
      <c r="F594">
        <v>3032</v>
      </c>
      <c r="G594">
        <v>30</v>
      </c>
      <c r="H594">
        <f t="shared" si="57"/>
        <v>0</v>
      </c>
      <c r="I594" t="str">
        <f t="shared" si="55"/>
        <v>On Time</v>
      </c>
      <c r="J594" cm="1">
        <f t="array" ref="J594">_xlfn.IFS(H594&lt;30,0,H594&lt;60,1,H594&lt;90,2,H594&lt;120,3)</f>
        <v>0</v>
      </c>
      <c r="M594" t="str">
        <f t="shared" si="56"/>
        <v>Low</v>
      </c>
      <c r="N594" t="str">
        <f t="shared" si="59"/>
        <v>Feb</v>
      </c>
      <c r="O594">
        <f t="shared" si="60"/>
        <v>2026</v>
      </c>
    </row>
    <row r="595" spans="1:15" x14ac:dyDescent="0.3">
      <c r="A595">
        <v>203961</v>
      </c>
      <c r="B595" t="s">
        <v>60</v>
      </c>
      <c r="C595" s="2">
        <v>46076</v>
      </c>
      <c r="D595" s="2">
        <f t="shared" si="58"/>
        <v>46106</v>
      </c>
      <c r="E595" s="1">
        <f>D595-1</f>
        <v>46105</v>
      </c>
      <c r="F595">
        <v>2772</v>
      </c>
      <c r="G595">
        <v>30</v>
      </c>
      <c r="H595">
        <f t="shared" si="57"/>
        <v>0</v>
      </c>
      <c r="I595" t="str">
        <f t="shared" si="55"/>
        <v>On Time</v>
      </c>
      <c r="J595" cm="1">
        <f t="array" ref="J595">_xlfn.IFS(H595&lt;30,0,H595&lt;60,1,H595&lt;90,2,H595&lt;120,3)</f>
        <v>0</v>
      </c>
      <c r="M595" t="str">
        <f t="shared" si="56"/>
        <v>Low</v>
      </c>
      <c r="N595" t="str">
        <f t="shared" si="59"/>
        <v>Feb</v>
      </c>
      <c r="O595">
        <f t="shared" si="60"/>
        <v>2026</v>
      </c>
    </row>
    <row r="596" spans="1:15" x14ac:dyDescent="0.3">
      <c r="A596">
        <v>203962</v>
      </c>
      <c r="B596" t="s">
        <v>61</v>
      </c>
      <c r="C596" s="2">
        <v>46076</v>
      </c>
      <c r="D596" s="2">
        <f t="shared" si="58"/>
        <v>46106</v>
      </c>
      <c r="E596" s="1">
        <f>D596</f>
        <v>46106</v>
      </c>
      <c r="F596">
        <v>5540</v>
      </c>
      <c r="G596">
        <v>30</v>
      </c>
      <c r="H596">
        <f t="shared" si="57"/>
        <v>0</v>
      </c>
      <c r="I596" t="str">
        <f t="shared" si="55"/>
        <v>On Time</v>
      </c>
      <c r="J596" cm="1">
        <f t="array" ref="J596">_xlfn.IFS(H596&lt;30,0,H596&lt;60,1,H596&lt;90,2,H596&lt;120,3)</f>
        <v>0</v>
      </c>
      <c r="M596" t="str">
        <f t="shared" si="56"/>
        <v>Low</v>
      </c>
      <c r="N596" t="str">
        <f t="shared" si="59"/>
        <v>Feb</v>
      </c>
      <c r="O596">
        <f t="shared" si="60"/>
        <v>2026</v>
      </c>
    </row>
    <row r="597" spans="1:15" x14ac:dyDescent="0.3">
      <c r="A597">
        <v>203963</v>
      </c>
      <c r="B597" t="s">
        <v>62</v>
      </c>
      <c r="C597" s="2">
        <v>46076</v>
      </c>
      <c r="D597" s="2">
        <f t="shared" si="58"/>
        <v>46106</v>
      </c>
      <c r="E597" s="1">
        <f>D597+1</f>
        <v>46107</v>
      </c>
      <c r="F597">
        <v>2457</v>
      </c>
      <c r="G597">
        <v>30</v>
      </c>
      <c r="H597">
        <f t="shared" si="57"/>
        <v>0</v>
      </c>
      <c r="I597" t="str">
        <f t="shared" si="55"/>
        <v>On Time</v>
      </c>
      <c r="J597" cm="1">
        <f t="array" ref="J597">_xlfn.IFS(H597&lt;30,0,H597&lt;60,1,H597&lt;90,2,H597&lt;120,3)</f>
        <v>0</v>
      </c>
      <c r="M597" t="str">
        <f t="shared" si="56"/>
        <v>Low</v>
      </c>
      <c r="N597" t="str">
        <f t="shared" si="59"/>
        <v>Feb</v>
      </c>
      <c r="O597">
        <f t="shared" si="60"/>
        <v>2026</v>
      </c>
    </row>
    <row r="598" spans="1:15" x14ac:dyDescent="0.3">
      <c r="A598">
        <v>203964</v>
      </c>
      <c r="B598" t="s">
        <v>63</v>
      </c>
      <c r="C598" s="2">
        <v>46076</v>
      </c>
      <c r="D598" s="2">
        <f t="shared" si="58"/>
        <v>46106</v>
      </c>
      <c r="E598" s="1">
        <f>D598+35</f>
        <v>46141</v>
      </c>
      <c r="F598">
        <v>1957</v>
      </c>
      <c r="G598">
        <v>30</v>
      </c>
      <c r="H598">
        <f t="shared" si="57"/>
        <v>0</v>
      </c>
      <c r="I598" t="str">
        <f t="shared" ref="I598:I661" si="61">IF(H598=0,"On Time",IF(H598&lt;=15,"Paid Late","Seriously Late"))</f>
        <v>On Time</v>
      </c>
      <c r="J598" cm="1">
        <f t="array" ref="J598">_xlfn.IFS(H598&lt;30,0,H598&lt;60,1,H598&lt;90,2,H598&lt;120,3)</f>
        <v>0</v>
      </c>
      <c r="M598" t="str">
        <f t="shared" ref="M598:M661" si="62">IF(H598&gt;30,"High",IF(H598&gt;10,"Medium","Low"))</f>
        <v>Low</v>
      </c>
      <c r="N598" t="str">
        <f t="shared" si="59"/>
        <v>Feb</v>
      </c>
      <c r="O598">
        <f t="shared" si="60"/>
        <v>2026</v>
      </c>
    </row>
    <row r="599" spans="1:15" x14ac:dyDescent="0.3">
      <c r="A599">
        <v>203965</v>
      </c>
      <c r="B599" t="s">
        <v>64</v>
      </c>
      <c r="C599" s="2">
        <v>46076</v>
      </c>
      <c r="D599" s="2">
        <f t="shared" si="58"/>
        <v>46106</v>
      </c>
      <c r="E599" s="1">
        <f>D599+75</f>
        <v>46181</v>
      </c>
      <c r="F599">
        <v>2236</v>
      </c>
      <c r="G599">
        <v>30</v>
      </c>
      <c r="H599">
        <f t="shared" si="57"/>
        <v>0</v>
      </c>
      <c r="I599" t="str">
        <f t="shared" si="61"/>
        <v>On Time</v>
      </c>
      <c r="J599" cm="1">
        <f t="array" ref="J599">_xlfn.IFS(H599&lt;30,0,H599&lt;60,1,H599&lt;90,2,H599&lt;120,3)</f>
        <v>0</v>
      </c>
      <c r="M599" t="str">
        <f t="shared" si="62"/>
        <v>Low</v>
      </c>
      <c r="N599" t="str">
        <f t="shared" si="59"/>
        <v>Feb</v>
      </c>
      <c r="O599">
        <f t="shared" si="60"/>
        <v>2026</v>
      </c>
    </row>
    <row r="600" spans="1:15" x14ac:dyDescent="0.3">
      <c r="A600">
        <v>203966</v>
      </c>
      <c r="B600" t="s">
        <v>65</v>
      </c>
      <c r="C600" s="2">
        <v>46076</v>
      </c>
      <c r="D600" s="2">
        <f t="shared" si="58"/>
        <v>46121</v>
      </c>
      <c r="E600" s="1">
        <f>D600+5</f>
        <v>46126</v>
      </c>
      <c r="F600">
        <v>1907</v>
      </c>
      <c r="G600">
        <v>45</v>
      </c>
      <c r="H600">
        <f t="shared" si="57"/>
        <v>0</v>
      </c>
      <c r="I600" t="str">
        <f t="shared" si="61"/>
        <v>On Time</v>
      </c>
      <c r="J600" cm="1">
        <f t="array" ref="J600">_xlfn.IFS(H600&lt;30,0,H600&lt;60,1,H600&lt;90,2,H600&lt;120,3)</f>
        <v>0</v>
      </c>
      <c r="M600" t="str">
        <f t="shared" si="62"/>
        <v>Low</v>
      </c>
      <c r="N600" t="str">
        <f t="shared" si="59"/>
        <v>Feb</v>
      </c>
      <c r="O600">
        <f t="shared" si="60"/>
        <v>2026</v>
      </c>
    </row>
    <row r="601" spans="1:15" x14ac:dyDescent="0.3">
      <c r="A601">
        <v>203967</v>
      </c>
      <c r="B601" t="s">
        <v>66</v>
      </c>
      <c r="C601" s="2">
        <v>46076</v>
      </c>
      <c r="D601" s="2">
        <f t="shared" si="58"/>
        <v>46136</v>
      </c>
      <c r="E601" s="1">
        <f>D601</f>
        <v>46136</v>
      </c>
      <c r="F601">
        <v>3721</v>
      </c>
      <c r="G601">
        <v>60</v>
      </c>
      <c r="H601">
        <f t="shared" si="57"/>
        <v>0</v>
      </c>
      <c r="I601" t="str">
        <f t="shared" si="61"/>
        <v>On Time</v>
      </c>
      <c r="J601" cm="1">
        <f t="array" ref="J601">_xlfn.IFS(H601&lt;30,0,H601&lt;60,1,H601&lt;90,2,H601&lt;120,3)</f>
        <v>0</v>
      </c>
      <c r="M601" t="str">
        <f t="shared" si="62"/>
        <v>Low</v>
      </c>
      <c r="N601" t="str">
        <f t="shared" si="59"/>
        <v>Feb</v>
      </c>
      <c r="O601">
        <f t="shared" si="60"/>
        <v>2026</v>
      </c>
    </row>
    <row r="602" spans="1:15" x14ac:dyDescent="0.3">
      <c r="A602">
        <v>203968</v>
      </c>
      <c r="B602" t="s">
        <v>108</v>
      </c>
      <c r="C602" s="2">
        <v>46076</v>
      </c>
      <c r="D602" s="2">
        <f t="shared" si="58"/>
        <v>46106</v>
      </c>
      <c r="E602" s="1">
        <f>D602-1</f>
        <v>46105</v>
      </c>
      <c r="F602">
        <v>3456</v>
      </c>
      <c r="G602">
        <v>30</v>
      </c>
      <c r="H602">
        <f t="shared" si="57"/>
        <v>0</v>
      </c>
      <c r="I602" t="str">
        <f t="shared" si="61"/>
        <v>On Time</v>
      </c>
      <c r="J602" cm="1">
        <f t="array" ref="J602">_xlfn.IFS(H602&lt;30,0,H602&lt;60,1,H602&lt;90,2,H602&lt;120,3)</f>
        <v>0</v>
      </c>
      <c r="M602" t="str">
        <f t="shared" si="62"/>
        <v>Low</v>
      </c>
      <c r="N602" t="str">
        <f t="shared" si="59"/>
        <v>Feb</v>
      </c>
      <c r="O602">
        <f t="shared" si="60"/>
        <v>2026</v>
      </c>
    </row>
    <row r="603" spans="1:15" x14ac:dyDescent="0.3">
      <c r="A603">
        <v>203969</v>
      </c>
      <c r="B603" t="s">
        <v>109</v>
      </c>
      <c r="C603" s="2">
        <v>46076</v>
      </c>
      <c r="D603" s="2">
        <f t="shared" si="58"/>
        <v>46106</v>
      </c>
      <c r="E603" s="1">
        <f>D603</f>
        <v>46106</v>
      </c>
      <c r="F603">
        <v>4240</v>
      </c>
      <c r="G603">
        <v>30</v>
      </c>
      <c r="H603">
        <f t="shared" si="57"/>
        <v>0</v>
      </c>
      <c r="I603" t="str">
        <f t="shared" si="61"/>
        <v>On Time</v>
      </c>
      <c r="J603" cm="1">
        <f t="array" ref="J603">_xlfn.IFS(H603&lt;30,0,H603&lt;60,1,H603&lt;90,2,H603&lt;120,3)</f>
        <v>0</v>
      </c>
      <c r="M603" t="str">
        <f t="shared" si="62"/>
        <v>Low</v>
      </c>
      <c r="N603" t="str">
        <f t="shared" si="59"/>
        <v>Feb</v>
      </c>
      <c r="O603">
        <f t="shared" si="60"/>
        <v>2026</v>
      </c>
    </row>
    <row r="604" spans="1:15" x14ac:dyDescent="0.3">
      <c r="A604">
        <v>203934</v>
      </c>
      <c r="B604" t="s">
        <v>99</v>
      </c>
      <c r="C604" s="2">
        <v>46073</v>
      </c>
      <c r="D604" s="2">
        <f t="shared" si="58"/>
        <v>46103</v>
      </c>
      <c r="E604" s="1">
        <f>D604</f>
        <v>46103</v>
      </c>
      <c r="F604">
        <v>2433</v>
      </c>
      <c r="G604">
        <v>30</v>
      </c>
      <c r="H604">
        <f t="shared" si="57"/>
        <v>0</v>
      </c>
      <c r="I604" t="str">
        <f t="shared" si="61"/>
        <v>On Time</v>
      </c>
      <c r="J604" cm="1">
        <f t="array" ref="J604">_xlfn.IFS(H604&lt;30,0,H604&lt;60,1,H604&lt;90,2,H604&lt;120,3)</f>
        <v>0</v>
      </c>
      <c r="M604" t="str">
        <f t="shared" si="62"/>
        <v>Low</v>
      </c>
      <c r="N604" t="str">
        <f t="shared" si="59"/>
        <v>Feb</v>
      </c>
      <c r="O604">
        <f t="shared" si="60"/>
        <v>2026</v>
      </c>
    </row>
    <row r="605" spans="1:15" x14ac:dyDescent="0.3">
      <c r="A605">
        <v>203935</v>
      </c>
      <c r="B605" t="s">
        <v>100</v>
      </c>
      <c r="C605" s="2">
        <v>46073</v>
      </c>
      <c r="D605" s="2">
        <f t="shared" si="58"/>
        <v>46103</v>
      </c>
      <c r="E605" s="1">
        <f>D605-1</f>
        <v>46102</v>
      </c>
      <c r="F605">
        <v>3337</v>
      </c>
      <c r="G605">
        <v>30</v>
      </c>
      <c r="H605">
        <f t="shared" si="57"/>
        <v>0</v>
      </c>
      <c r="I605" t="str">
        <f t="shared" si="61"/>
        <v>On Time</v>
      </c>
      <c r="J605" cm="1">
        <f t="array" ref="J605">_xlfn.IFS(H605&lt;30,0,H605&lt;60,1,H605&lt;90,2,H605&lt;120,3)</f>
        <v>0</v>
      </c>
      <c r="M605" t="str">
        <f t="shared" si="62"/>
        <v>Low</v>
      </c>
      <c r="N605" t="str">
        <f t="shared" si="59"/>
        <v>Feb</v>
      </c>
      <c r="O605">
        <f t="shared" si="60"/>
        <v>2026</v>
      </c>
    </row>
    <row r="606" spans="1:15" x14ac:dyDescent="0.3">
      <c r="A606">
        <v>203936</v>
      </c>
      <c r="B606" t="s">
        <v>101</v>
      </c>
      <c r="C606" s="2">
        <v>46073</v>
      </c>
      <c r="D606" s="2">
        <f t="shared" si="58"/>
        <v>46103</v>
      </c>
      <c r="E606" s="1">
        <f>D606</f>
        <v>46103</v>
      </c>
      <c r="F606">
        <v>4531</v>
      </c>
      <c r="G606">
        <v>30</v>
      </c>
      <c r="H606">
        <f t="shared" si="57"/>
        <v>0</v>
      </c>
      <c r="I606" t="str">
        <f t="shared" si="61"/>
        <v>On Time</v>
      </c>
      <c r="J606" cm="1">
        <f t="array" ref="J606">_xlfn.IFS(H606&lt;30,0,H606&lt;60,1,H606&lt;90,2,H606&lt;120,3)</f>
        <v>0</v>
      </c>
      <c r="M606" t="str">
        <f t="shared" si="62"/>
        <v>Low</v>
      </c>
      <c r="N606" t="str">
        <f t="shared" si="59"/>
        <v>Feb</v>
      </c>
      <c r="O606">
        <f t="shared" si="60"/>
        <v>2026</v>
      </c>
    </row>
    <row r="607" spans="1:15" x14ac:dyDescent="0.3">
      <c r="A607">
        <v>203937</v>
      </c>
      <c r="B607" t="s">
        <v>102</v>
      </c>
      <c r="C607" s="2">
        <v>46073</v>
      </c>
      <c r="D607" s="2">
        <f t="shared" si="58"/>
        <v>46103</v>
      </c>
      <c r="E607" s="1">
        <f>D607+32</f>
        <v>46135</v>
      </c>
      <c r="F607">
        <v>12025</v>
      </c>
      <c r="G607">
        <v>30</v>
      </c>
      <c r="H607">
        <f t="shared" si="57"/>
        <v>0</v>
      </c>
      <c r="I607" t="str">
        <f t="shared" si="61"/>
        <v>On Time</v>
      </c>
      <c r="J607" cm="1">
        <f t="array" ref="J607">_xlfn.IFS(H607&lt;30,0,H607&lt;60,1,H607&lt;90,2,H607&lt;120,3)</f>
        <v>0</v>
      </c>
      <c r="M607" t="str">
        <f t="shared" si="62"/>
        <v>Low</v>
      </c>
      <c r="N607" t="str">
        <f t="shared" si="59"/>
        <v>Feb</v>
      </c>
      <c r="O607">
        <f t="shared" si="60"/>
        <v>2026</v>
      </c>
    </row>
    <row r="608" spans="1:15" x14ac:dyDescent="0.3">
      <c r="A608">
        <v>203938</v>
      </c>
      <c r="B608" t="s">
        <v>38</v>
      </c>
      <c r="C608" s="2">
        <v>46073</v>
      </c>
      <c r="D608" s="2">
        <f t="shared" si="58"/>
        <v>46103</v>
      </c>
      <c r="E608" s="1">
        <f>D608+15</f>
        <v>46118</v>
      </c>
      <c r="F608">
        <v>2981</v>
      </c>
      <c r="G608">
        <v>30</v>
      </c>
      <c r="H608">
        <f t="shared" si="57"/>
        <v>0</v>
      </c>
      <c r="I608" t="str">
        <f t="shared" si="61"/>
        <v>On Time</v>
      </c>
      <c r="J608" cm="1">
        <f t="array" ref="J608">_xlfn.IFS(H608&lt;30,0,H608&lt;60,1,H608&lt;90,2,H608&lt;120,3)</f>
        <v>0</v>
      </c>
      <c r="M608" t="str">
        <f t="shared" si="62"/>
        <v>Low</v>
      </c>
      <c r="N608" t="str">
        <f t="shared" si="59"/>
        <v>Feb</v>
      </c>
      <c r="O608">
        <f t="shared" si="60"/>
        <v>2026</v>
      </c>
    </row>
    <row r="609" spans="1:15" x14ac:dyDescent="0.3">
      <c r="A609">
        <v>203939</v>
      </c>
      <c r="B609" t="s">
        <v>39</v>
      </c>
      <c r="C609" s="2">
        <v>46073</v>
      </c>
      <c r="D609" s="2">
        <f t="shared" si="58"/>
        <v>46103</v>
      </c>
      <c r="E609" s="1">
        <f>D609</f>
        <v>46103</v>
      </c>
      <c r="F609">
        <v>433</v>
      </c>
      <c r="G609">
        <v>30</v>
      </c>
      <c r="H609">
        <f t="shared" si="57"/>
        <v>0</v>
      </c>
      <c r="I609" t="str">
        <f t="shared" si="61"/>
        <v>On Time</v>
      </c>
      <c r="J609" cm="1">
        <f t="array" ref="J609">_xlfn.IFS(H609&lt;30,0,H609&lt;60,1,H609&lt;90,2,H609&lt;120,3)</f>
        <v>0</v>
      </c>
      <c r="M609" t="str">
        <f t="shared" si="62"/>
        <v>Low</v>
      </c>
      <c r="N609" t="str">
        <f t="shared" si="59"/>
        <v>Feb</v>
      </c>
      <c r="O609">
        <f t="shared" si="60"/>
        <v>2026</v>
      </c>
    </row>
    <row r="610" spans="1:15" x14ac:dyDescent="0.3">
      <c r="A610">
        <v>203940</v>
      </c>
      <c r="B610" t="s">
        <v>40</v>
      </c>
      <c r="C610" s="2">
        <v>46073</v>
      </c>
      <c r="D610" s="2">
        <f t="shared" si="58"/>
        <v>46103</v>
      </c>
      <c r="E610" s="1">
        <f>D610-2</f>
        <v>46101</v>
      </c>
      <c r="F610">
        <v>14761</v>
      </c>
      <c r="G610">
        <v>30</v>
      </c>
      <c r="H610">
        <f t="shared" si="57"/>
        <v>0</v>
      </c>
      <c r="I610" t="str">
        <f t="shared" si="61"/>
        <v>On Time</v>
      </c>
      <c r="J610" cm="1">
        <f t="array" ref="J610">_xlfn.IFS(H610&lt;30,0,H610&lt;60,1,H610&lt;90,2,H610&lt;120,3)</f>
        <v>0</v>
      </c>
      <c r="M610" t="str">
        <f t="shared" si="62"/>
        <v>Low</v>
      </c>
      <c r="N610" t="str">
        <f t="shared" si="59"/>
        <v>Feb</v>
      </c>
      <c r="O610">
        <f t="shared" si="60"/>
        <v>2026</v>
      </c>
    </row>
    <row r="611" spans="1:15" x14ac:dyDescent="0.3">
      <c r="A611">
        <v>203941</v>
      </c>
      <c r="B611" t="s">
        <v>41</v>
      </c>
      <c r="C611" s="2">
        <v>46073</v>
      </c>
      <c r="D611" s="2">
        <f t="shared" si="58"/>
        <v>46103</v>
      </c>
      <c r="E611" s="1">
        <f>D611</f>
        <v>46103</v>
      </c>
      <c r="F611">
        <v>3047</v>
      </c>
      <c r="G611">
        <v>30</v>
      </c>
      <c r="H611">
        <f t="shared" si="57"/>
        <v>0</v>
      </c>
      <c r="I611" t="str">
        <f t="shared" si="61"/>
        <v>On Time</v>
      </c>
      <c r="J611" cm="1">
        <f t="array" ref="J611">_xlfn.IFS(H611&lt;30,0,H611&lt;60,1,H611&lt;90,2,H611&lt;120,3)</f>
        <v>0</v>
      </c>
      <c r="M611" t="str">
        <f t="shared" si="62"/>
        <v>Low</v>
      </c>
      <c r="N611" t="str">
        <f t="shared" si="59"/>
        <v>Feb</v>
      </c>
      <c r="O611">
        <f t="shared" si="60"/>
        <v>2026</v>
      </c>
    </row>
    <row r="612" spans="1:15" x14ac:dyDescent="0.3">
      <c r="A612">
        <v>203942</v>
      </c>
      <c r="B612" t="s">
        <v>42</v>
      </c>
      <c r="C612" s="2">
        <v>46073</v>
      </c>
      <c r="D612" s="2">
        <f t="shared" si="58"/>
        <v>46103</v>
      </c>
      <c r="E612" s="1">
        <f>D612+2</f>
        <v>46105</v>
      </c>
      <c r="F612">
        <v>1878</v>
      </c>
      <c r="G612">
        <v>30</v>
      </c>
      <c r="H612">
        <f t="shared" si="57"/>
        <v>0</v>
      </c>
      <c r="I612" t="str">
        <f t="shared" si="61"/>
        <v>On Time</v>
      </c>
      <c r="J612" cm="1">
        <f t="array" ref="J612">_xlfn.IFS(H612&lt;30,0,H612&lt;60,1,H612&lt;90,2,H612&lt;120,3)</f>
        <v>0</v>
      </c>
      <c r="M612" t="str">
        <f t="shared" si="62"/>
        <v>Low</v>
      </c>
      <c r="N612" t="str">
        <f t="shared" si="59"/>
        <v>Feb</v>
      </c>
      <c r="O612">
        <f t="shared" si="60"/>
        <v>2026</v>
      </c>
    </row>
    <row r="613" spans="1:15" x14ac:dyDescent="0.3">
      <c r="A613">
        <v>203943</v>
      </c>
      <c r="B613" t="s">
        <v>43</v>
      </c>
      <c r="C613" s="2">
        <v>46073</v>
      </c>
      <c r="D613" s="2">
        <f t="shared" si="58"/>
        <v>46103</v>
      </c>
      <c r="E613" s="1">
        <f>D613+2</f>
        <v>46105</v>
      </c>
      <c r="F613">
        <v>7092</v>
      </c>
      <c r="G613">
        <v>30</v>
      </c>
      <c r="H613">
        <f t="shared" si="57"/>
        <v>0</v>
      </c>
      <c r="I613" t="str">
        <f t="shared" si="61"/>
        <v>On Time</v>
      </c>
      <c r="J613" cm="1">
        <f t="array" ref="J613">_xlfn.IFS(H613&lt;30,0,H613&lt;60,1,H613&lt;90,2,H613&lt;120,3)</f>
        <v>0</v>
      </c>
      <c r="M613" t="str">
        <f t="shared" si="62"/>
        <v>Low</v>
      </c>
      <c r="N613" t="str">
        <f t="shared" si="59"/>
        <v>Feb</v>
      </c>
      <c r="O613">
        <f t="shared" si="60"/>
        <v>2026</v>
      </c>
    </row>
    <row r="614" spans="1:15" x14ac:dyDescent="0.3">
      <c r="A614">
        <v>203944</v>
      </c>
      <c r="B614" t="s">
        <v>44</v>
      </c>
      <c r="C614" s="2">
        <v>46073</v>
      </c>
      <c r="D614" s="2">
        <f t="shared" si="58"/>
        <v>46118</v>
      </c>
      <c r="E614" s="1">
        <f>D614+2</f>
        <v>46120</v>
      </c>
      <c r="F614">
        <v>1442</v>
      </c>
      <c r="G614">
        <v>45</v>
      </c>
      <c r="H614">
        <f t="shared" ref="H614:H677" si="63">MAX(0,P579-D614)</f>
        <v>0</v>
      </c>
      <c r="I614" t="str">
        <f t="shared" si="61"/>
        <v>On Time</v>
      </c>
      <c r="J614" cm="1">
        <f t="array" ref="J614">_xlfn.IFS(H614&lt;30,0,H614&lt;60,1,H614&lt;90,2,H614&lt;120,3)</f>
        <v>0</v>
      </c>
      <c r="M614" t="str">
        <f t="shared" si="62"/>
        <v>Low</v>
      </c>
      <c r="N614" t="str">
        <f t="shared" si="59"/>
        <v>Feb</v>
      </c>
      <c r="O614">
        <f t="shared" si="60"/>
        <v>2026</v>
      </c>
    </row>
    <row r="615" spans="1:15" x14ac:dyDescent="0.3">
      <c r="A615">
        <v>203945</v>
      </c>
      <c r="B615" t="s">
        <v>96</v>
      </c>
      <c r="C615" s="2">
        <v>46073</v>
      </c>
      <c r="D615" s="2">
        <f t="shared" si="58"/>
        <v>46133</v>
      </c>
      <c r="E615" s="1">
        <f>D615</f>
        <v>46133</v>
      </c>
      <c r="F615">
        <v>3395</v>
      </c>
      <c r="G615">
        <v>60</v>
      </c>
      <c r="H615">
        <f t="shared" si="63"/>
        <v>0</v>
      </c>
      <c r="I615" t="str">
        <f t="shared" si="61"/>
        <v>On Time</v>
      </c>
      <c r="J615" cm="1">
        <f t="array" ref="J615">_xlfn.IFS(H615&lt;30,0,H615&lt;60,1,H615&lt;90,2,H615&lt;120,3)</f>
        <v>0</v>
      </c>
      <c r="M615" t="str">
        <f t="shared" si="62"/>
        <v>Low</v>
      </c>
      <c r="N615" t="str">
        <f t="shared" si="59"/>
        <v>Feb</v>
      </c>
      <c r="O615">
        <f t="shared" si="60"/>
        <v>2026</v>
      </c>
    </row>
    <row r="616" spans="1:15" x14ac:dyDescent="0.3">
      <c r="A616">
        <v>203946</v>
      </c>
      <c r="B616" t="s">
        <v>97</v>
      </c>
      <c r="C616" s="2">
        <v>46073</v>
      </c>
      <c r="D616" s="2">
        <f t="shared" si="58"/>
        <v>46103</v>
      </c>
      <c r="E616" s="1">
        <f>D616+20</f>
        <v>46123</v>
      </c>
      <c r="F616">
        <v>4440</v>
      </c>
      <c r="G616">
        <v>30</v>
      </c>
      <c r="H616">
        <f t="shared" si="63"/>
        <v>0</v>
      </c>
      <c r="I616" t="str">
        <f t="shared" si="61"/>
        <v>On Time</v>
      </c>
      <c r="J616" cm="1">
        <f t="array" ref="J616">_xlfn.IFS(H616&lt;30,0,H616&lt;60,1,H616&lt;90,2,H616&lt;120,3)</f>
        <v>0</v>
      </c>
      <c r="M616" t="str">
        <f t="shared" si="62"/>
        <v>Low</v>
      </c>
      <c r="N616" t="str">
        <f t="shared" si="59"/>
        <v>Feb</v>
      </c>
      <c r="O616">
        <f t="shared" si="60"/>
        <v>2026</v>
      </c>
    </row>
    <row r="617" spans="1:15" x14ac:dyDescent="0.3">
      <c r="A617">
        <v>203947</v>
      </c>
      <c r="B617" t="s">
        <v>98</v>
      </c>
      <c r="C617" s="2">
        <v>46073</v>
      </c>
      <c r="D617" s="2">
        <f t="shared" si="58"/>
        <v>46103</v>
      </c>
      <c r="E617" s="1">
        <f>D617</f>
        <v>46103</v>
      </c>
      <c r="F617">
        <v>2542</v>
      </c>
      <c r="G617">
        <v>30</v>
      </c>
      <c r="H617">
        <f t="shared" si="63"/>
        <v>0</v>
      </c>
      <c r="I617" t="str">
        <f t="shared" si="61"/>
        <v>On Time</v>
      </c>
      <c r="J617" cm="1">
        <f t="array" ref="J617">_xlfn.IFS(H617&lt;30,0,H617&lt;60,1,H617&lt;90,2,H617&lt;120,3)</f>
        <v>0</v>
      </c>
      <c r="M617" t="str">
        <f t="shared" si="62"/>
        <v>Low</v>
      </c>
      <c r="N617" t="str">
        <f t="shared" si="59"/>
        <v>Feb</v>
      </c>
      <c r="O617">
        <f t="shared" si="60"/>
        <v>2026</v>
      </c>
    </row>
    <row r="618" spans="1:15" x14ac:dyDescent="0.3">
      <c r="A618">
        <v>203948</v>
      </c>
      <c r="B618" t="s">
        <v>99</v>
      </c>
      <c r="C618" s="2">
        <v>46073</v>
      </c>
      <c r="D618" s="2">
        <f t="shared" si="58"/>
        <v>46103</v>
      </c>
      <c r="E618" s="1">
        <f>D618+1</f>
        <v>46104</v>
      </c>
      <c r="F618">
        <v>2945</v>
      </c>
      <c r="G618">
        <v>30</v>
      </c>
      <c r="H618">
        <f t="shared" si="63"/>
        <v>0</v>
      </c>
      <c r="I618" t="str">
        <f t="shared" si="61"/>
        <v>On Time</v>
      </c>
      <c r="J618" cm="1">
        <f t="array" ref="J618">_xlfn.IFS(H618&lt;30,0,H618&lt;60,1,H618&lt;90,2,H618&lt;120,3)</f>
        <v>0</v>
      </c>
      <c r="M618" t="str">
        <f t="shared" si="62"/>
        <v>Low</v>
      </c>
      <c r="N618" t="str">
        <f t="shared" si="59"/>
        <v>Feb</v>
      </c>
      <c r="O618">
        <f t="shared" si="60"/>
        <v>2026</v>
      </c>
    </row>
    <row r="619" spans="1:15" x14ac:dyDescent="0.3">
      <c r="A619">
        <v>203949</v>
      </c>
      <c r="B619" t="s">
        <v>100</v>
      </c>
      <c r="C619" s="2">
        <v>46073</v>
      </c>
      <c r="D619" s="2">
        <f t="shared" si="58"/>
        <v>46103</v>
      </c>
      <c r="E619" s="1">
        <f>D619</f>
        <v>46103</v>
      </c>
      <c r="F619">
        <v>16491</v>
      </c>
      <c r="G619">
        <v>30</v>
      </c>
      <c r="H619">
        <f t="shared" si="63"/>
        <v>0</v>
      </c>
      <c r="I619" t="str">
        <f t="shared" si="61"/>
        <v>On Time</v>
      </c>
      <c r="J619" cm="1">
        <f t="array" ref="J619">_xlfn.IFS(H619&lt;30,0,H619&lt;60,1,H619&lt;90,2,H619&lt;120,3)</f>
        <v>0</v>
      </c>
      <c r="M619" t="str">
        <f t="shared" si="62"/>
        <v>Low</v>
      </c>
      <c r="N619" t="str">
        <f t="shared" si="59"/>
        <v>Feb</v>
      </c>
      <c r="O619">
        <f t="shared" si="60"/>
        <v>2026</v>
      </c>
    </row>
    <row r="620" spans="1:15" x14ac:dyDescent="0.3">
      <c r="A620">
        <v>203950</v>
      </c>
      <c r="B620" t="s">
        <v>101</v>
      </c>
      <c r="C620" s="2">
        <v>46073</v>
      </c>
      <c r="D620" s="2">
        <f t="shared" si="58"/>
        <v>46103</v>
      </c>
      <c r="E620" s="1">
        <f>D620</f>
        <v>46103</v>
      </c>
      <c r="F620">
        <v>2488</v>
      </c>
      <c r="G620">
        <v>30</v>
      </c>
      <c r="H620">
        <f t="shared" si="63"/>
        <v>0</v>
      </c>
      <c r="I620" t="str">
        <f t="shared" si="61"/>
        <v>On Time</v>
      </c>
      <c r="J620" cm="1">
        <f t="array" ref="J620">_xlfn.IFS(H620&lt;30,0,H620&lt;60,1,H620&lt;90,2,H620&lt;120,3)</f>
        <v>0</v>
      </c>
      <c r="M620" t="str">
        <f t="shared" si="62"/>
        <v>Low</v>
      </c>
      <c r="N620" t="str">
        <f t="shared" si="59"/>
        <v>Feb</v>
      </c>
      <c r="O620">
        <f t="shared" si="60"/>
        <v>2026</v>
      </c>
    </row>
    <row r="621" spans="1:15" x14ac:dyDescent="0.3">
      <c r="A621">
        <v>203951</v>
      </c>
      <c r="B621" t="s">
        <v>102</v>
      </c>
      <c r="C621" s="2">
        <v>46073</v>
      </c>
      <c r="D621" s="2">
        <f t="shared" si="58"/>
        <v>46103</v>
      </c>
      <c r="E621" s="1">
        <f>D621+5</f>
        <v>46108</v>
      </c>
      <c r="F621">
        <v>4848</v>
      </c>
      <c r="G621">
        <v>30</v>
      </c>
      <c r="H621">
        <f t="shared" si="63"/>
        <v>0</v>
      </c>
      <c r="I621" t="str">
        <f t="shared" si="61"/>
        <v>On Time</v>
      </c>
      <c r="J621" cm="1">
        <f t="array" ref="J621">_xlfn.IFS(H621&lt;30,0,H621&lt;60,1,H621&lt;90,2,H621&lt;120,3)</f>
        <v>0</v>
      </c>
      <c r="M621" t="str">
        <f t="shared" si="62"/>
        <v>Low</v>
      </c>
      <c r="N621" t="str">
        <f t="shared" si="59"/>
        <v>Feb</v>
      </c>
      <c r="O621">
        <f t="shared" si="60"/>
        <v>2026</v>
      </c>
    </row>
    <row r="622" spans="1:15" x14ac:dyDescent="0.3">
      <c r="A622">
        <v>203952</v>
      </c>
      <c r="B622" t="s">
        <v>103</v>
      </c>
      <c r="C622" s="2">
        <v>46073</v>
      </c>
      <c r="D622" s="2">
        <f t="shared" si="58"/>
        <v>46103</v>
      </c>
      <c r="E622" s="1">
        <f>D622+2</f>
        <v>46105</v>
      </c>
      <c r="F622">
        <v>2879</v>
      </c>
      <c r="G622">
        <v>30</v>
      </c>
      <c r="H622">
        <f t="shared" si="63"/>
        <v>0</v>
      </c>
      <c r="I622" t="str">
        <f t="shared" si="61"/>
        <v>On Time</v>
      </c>
      <c r="J622" cm="1">
        <f t="array" ref="J622">_xlfn.IFS(H622&lt;30,0,H622&lt;60,1,H622&lt;90,2,H622&lt;120,3)</f>
        <v>0</v>
      </c>
      <c r="M622" t="str">
        <f t="shared" si="62"/>
        <v>Low</v>
      </c>
      <c r="N622" t="str">
        <f t="shared" si="59"/>
        <v>Feb</v>
      </c>
      <c r="O622">
        <f t="shared" si="60"/>
        <v>2026</v>
      </c>
    </row>
    <row r="623" spans="1:15" x14ac:dyDescent="0.3">
      <c r="A623">
        <v>203953</v>
      </c>
      <c r="B623" t="s">
        <v>104</v>
      </c>
      <c r="C623" s="2">
        <v>46073</v>
      </c>
      <c r="D623" s="2">
        <f t="shared" si="58"/>
        <v>46103</v>
      </c>
      <c r="E623" s="1">
        <f>D623</f>
        <v>46103</v>
      </c>
      <c r="F623">
        <v>3689</v>
      </c>
      <c r="G623">
        <v>30</v>
      </c>
      <c r="H623">
        <f t="shared" si="63"/>
        <v>0</v>
      </c>
      <c r="I623" t="str">
        <f t="shared" si="61"/>
        <v>On Time</v>
      </c>
      <c r="J623" cm="1">
        <f t="array" ref="J623">_xlfn.IFS(H623&lt;30,0,H623&lt;60,1,H623&lt;90,2,H623&lt;120,3)</f>
        <v>0</v>
      </c>
      <c r="M623" t="str">
        <f t="shared" si="62"/>
        <v>Low</v>
      </c>
      <c r="N623" t="str">
        <f t="shared" si="59"/>
        <v>Feb</v>
      </c>
      <c r="O623">
        <f t="shared" si="60"/>
        <v>2026</v>
      </c>
    </row>
    <row r="624" spans="1:15" x14ac:dyDescent="0.3">
      <c r="A624">
        <v>203913</v>
      </c>
      <c r="B624" t="s">
        <v>26</v>
      </c>
      <c r="C624" s="2">
        <v>46072</v>
      </c>
      <c r="D624" s="2">
        <f t="shared" si="58"/>
        <v>46102</v>
      </c>
      <c r="E624" s="1">
        <f>D624+20</f>
        <v>46122</v>
      </c>
      <c r="F624">
        <v>1407</v>
      </c>
      <c r="G624">
        <v>30</v>
      </c>
      <c r="H624">
        <f t="shared" si="63"/>
        <v>0</v>
      </c>
      <c r="I624" t="str">
        <f t="shared" si="61"/>
        <v>On Time</v>
      </c>
      <c r="J624" cm="1">
        <f t="array" ref="J624">_xlfn.IFS(H624&lt;30,0,H624&lt;60,1,H624&lt;90,2,H624&lt;120,3)</f>
        <v>0</v>
      </c>
      <c r="M624" t="str">
        <f t="shared" si="62"/>
        <v>Low</v>
      </c>
      <c r="N624" t="str">
        <f t="shared" si="59"/>
        <v>Feb</v>
      </c>
      <c r="O624">
        <f t="shared" si="60"/>
        <v>2026</v>
      </c>
    </row>
    <row r="625" spans="1:15" x14ac:dyDescent="0.3">
      <c r="A625">
        <v>203914</v>
      </c>
      <c r="B625" t="s">
        <v>27</v>
      </c>
      <c r="C625" s="2">
        <v>46072</v>
      </c>
      <c r="D625" s="2">
        <f t="shared" si="58"/>
        <v>46132</v>
      </c>
      <c r="E625" s="1">
        <f>D625</f>
        <v>46132</v>
      </c>
      <c r="F625">
        <v>961</v>
      </c>
      <c r="G625">
        <v>60</v>
      </c>
      <c r="H625">
        <f t="shared" si="63"/>
        <v>0</v>
      </c>
      <c r="I625" t="str">
        <f t="shared" si="61"/>
        <v>On Time</v>
      </c>
      <c r="J625" cm="1">
        <f t="array" ref="J625">_xlfn.IFS(H625&lt;30,0,H625&lt;60,1,H625&lt;90,2,H625&lt;120,3)</f>
        <v>0</v>
      </c>
      <c r="M625" t="str">
        <f t="shared" si="62"/>
        <v>Low</v>
      </c>
      <c r="N625" t="str">
        <f t="shared" si="59"/>
        <v>Feb</v>
      </c>
      <c r="O625">
        <f t="shared" si="60"/>
        <v>2026</v>
      </c>
    </row>
    <row r="626" spans="1:15" x14ac:dyDescent="0.3">
      <c r="A626">
        <v>203915</v>
      </c>
      <c r="B626" t="s">
        <v>28</v>
      </c>
      <c r="C626" s="2">
        <v>46072</v>
      </c>
      <c r="D626" s="2">
        <f t="shared" si="58"/>
        <v>46102</v>
      </c>
      <c r="E626" s="1">
        <f>D626+1</f>
        <v>46103</v>
      </c>
      <c r="F626">
        <v>3032</v>
      </c>
      <c r="G626">
        <v>30</v>
      </c>
      <c r="H626">
        <f t="shared" si="63"/>
        <v>0</v>
      </c>
      <c r="I626" t="str">
        <f t="shared" si="61"/>
        <v>On Time</v>
      </c>
      <c r="J626" cm="1">
        <f t="array" ref="J626">_xlfn.IFS(H626&lt;30,0,H626&lt;60,1,H626&lt;90,2,H626&lt;120,3)</f>
        <v>0</v>
      </c>
      <c r="M626" t="str">
        <f t="shared" si="62"/>
        <v>Low</v>
      </c>
      <c r="N626" t="str">
        <f t="shared" si="59"/>
        <v>Feb</v>
      </c>
      <c r="O626">
        <f t="shared" si="60"/>
        <v>2026</v>
      </c>
    </row>
    <row r="627" spans="1:15" x14ac:dyDescent="0.3">
      <c r="A627">
        <v>203916</v>
      </c>
      <c r="B627" t="s">
        <v>29</v>
      </c>
      <c r="C627" s="2">
        <v>46072</v>
      </c>
      <c r="D627" s="2">
        <f t="shared" si="58"/>
        <v>46102</v>
      </c>
      <c r="E627" s="1">
        <f>D627</f>
        <v>46102</v>
      </c>
      <c r="F627">
        <v>4016</v>
      </c>
      <c r="G627">
        <v>30</v>
      </c>
      <c r="H627">
        <f t="shared" si="63"/>
        <v>0</v>
      </c>
      <c r="I627" t="str">
        <f t="shared" si="61"/>
        <v>On Time</v>
      </c>
      <c r="J627" cm="1">
        <f t="array" ref="J627">_xlfn.IFS(H627&lt;30,0,H627&lt;60,1,H627&lt;90,2,H627&lt;120,3)</f>
        <v>0</v>
      </c>
      <c r="M627" t="str">
        <f t="shared" si="62"/>
        <v>Low</v>
      </c>
      <c r="N627" t="str">
        <f t="shared" si="59"/>
        <v>Feb</v>
      </c>
      <c r="O627">
        <f t="shared" si="60"/>
        <v>2026</v>
      </c>
    </row>
    <row r="628" spans="1:15" x14ac:dyDescent="0.3">
      <c r="A628">
        <v>203917</v>
      </c>
      <c r="B628" t="s">
        <v>75</v>
      </c>
      <c r="C628" s="2">
        <v>46072</v>
      </c>
      <c r="D628" s="2">
        <f t="shared" si="58"/>
        <v>46132</v>
      </c>
      <c r="E628" s="1">
        <f>D628</f>
        <v>46132</v>
      </c>
      <c r="F628">
        <v>4585</v>
      </c>
      <c r="G628">
        <v>60</v>
      </c>
      <c r="H628">
        <f t="shared" si="63"/>
        <v>0</v>
      </c>
      <c r="I628" t="str">
        <f t="shared" si="61"/>
        <v>On Time</v>
      </c>
      <c r="J628" cm="1">
        <f t="array" ref="J628">_xlfn.IFS(H628&lt;30,0,H628&lt;60,1,H628&lt;90,2,H628&lt;120,3)</f>
        <v>0</v>
      </c>
      <c r="M628" t="str">
        <f t="shared" si="62"/>
        <v>Low</v>
      </c>
      <c r="N628" t="str">
        <f t="shared" si="59"/>
        <v>Feb</v>
      </c>
      <c r="O628">
        <f t="shared" si="60"/>
        <v>2026</v>
      </c>
    </row>
    <row r="629" spans="1:15" x14ac:dyDescent="0.3">
      <c r="A629">
        <v>203918</v>
      </c>
      <c r="B629" t="s">
        <v>76</v>
      </c>
      <c r="C629" s="2">
        <v>46072</v>
      </c>
      <c r="D629" s="2">
        <f t="shared" si="58"/>
        <v>46102</v>
      </c>
      <c r="E629" s="1">
        <f>D629+5</f>
        <v>46107</v>
      </c>
      <c r="F629">
        <v>3690</v>
      </c>
      <c r="G629">
        <v>30</v>
      </c>
      <c r="H629">
        <f t="shared" si="63"/>
        <v>0</v>
      </c>
      <c r="I629" t="str">
        <f t="shared" si="61"/>
        <v>On Time</v>
      </c>
      <c r="J629" cm="1">
        <f t="array" ref="J629">_xlfn.IFS(H629&lt;30,0,H629&lt;60,1,H629&lt;90,2,H629&lt;120,3)</f>
        <v>0</v>
      </c>
      <c r="M629" t="str">
        <f t="shared" si="62"/>
        <v>Low</v>
      </c>
      <c r="N629" t="str">
        <f t="shared" si="59"/>
        <v>Feb</v>
      </c>
      <c r="O629">
        <f t="shared" si="60"/>
        <v>2026</v>
      </c>
    </row>
    <row r="630" spans="1:15" x14ac:dyDescent="0.3">
      <c r="A630">
        <v>203919</v>
      </c>
      <c r="B630" t="s">
        <v>77</v>
      </c>
      <c r="C630" s="2">
        <v>46072</v>
      </c>
      <c r="D630" s="2">
        <f t="shared" si="58"/>
        <v>46102</v>
      </c>
      <c r="E630" s="1">
        <f>D630+2</f>
        <v>46104</v>
      </c>
      <c r="F630">
        <v>1838</v>
      </c>
      <c r="G630">
        <v>30</v>
      </c>
      <c r="H630">
        <f t="shared" si="63"/>
        <v>0</v>
      </c>
      <c r="I630" t="str">
        <f t="shared" si="61"/>
        <v>On Time</v>
      </c>
      <c r="J630" cm="1">
        <f t="array" ref="J630">_xlfn.IFS(H630&lt;30,0,H630&lt;60,1,H630&lt;90,2,H630&lt;120,3)</f>
        <v>0</v>
      </c>
      <c r="M630" t="str">
        <f t="shared" si="62"/>
        <v>Low</v>
      </c>
      <c r="N630" t="str">
        <f t="shared" si="59"/>
        <v>Feb</v>
      </c>
      <c r="O630">
        <f t="shared" si="60"/>
        <v>2026</v>
      </c>
    </row>
    <row r="631" spans="1:15" x14ac:dyDescent="0.3">
      <c r="A631">
        <v>203920</v>
      </c>
      <c r="B631" t="s">
        <v>78</v>
      </c>
      <c r="C631" s="2">
        <v>46072</v>
      </c>
      <c r="D631" s="2">
        <f t="shared" si="58"/>
        <v>46102</v>
      </c>
      <c r="E631" s="1">
        <f>D631+5</f>
        <v>46107</v>
      </c>
      <c r="F631">
        <v>4935</v>
      </c>
      <c r="G631">
        <v>30</v>
      </c>
      <c r="H631">
        <f t="shared" si="63"/>
        <v>0</v>
      </c>
      <c r="I631" t="str">
        <f t="shared" si="61"/>
        <v>On Time</v>
      </c>
      <c r="J631" cm="1">
        <f t="array" ref="J631">_xlfn.IFS(H631&lt;30,0,H631&lt;60,1,H631&lt;90,2,H631&lt;120,3)</f>
        <v>0</v>
      </c>
      <c r="M631" t="str">
        <f t="shared" si="62"/>
        <v>Low</v>
      </c>
      <c r="N631" t="str">
        <f t="shared" si="59"/>
        <v>Feb</v>
      </c>
      <c r="O631">
        <f t="shared" si="60"/>
        <v>2026</v>
      </c>
    </row>
    <row r="632" spans="1:15" x14ac:dyDescent="0.3">
      <c r="A632">
        <v>203921</v>
      </c>
      <c r="B632" t="s">
        <v>79</v>
      </c>
      <c r="C632" s="2">
        <v>46072</v>
      </c>
      <c r="D632" s="2">
        <f t="shared" si="58"/>
        <v>46102</v>
      </c>
      <c r="E632" s="1">
        <f>D632</f>
        <v>46102</v>
      </c>
      <c r="F632">
        <v>1324</v>
      </c>
      <c r="G632">
        <v>30</v>
      </c>
      <c r="H632">
        <f t="shared" si="63"/>
        <v>0</v>
      </c>
      <c r="I632" t="str">
        <f t="shared" si="61"/>
        <v>On Time</v>
      </c>
      <c r="J632" cm="1">
        <f t="array" ref="J632">_xlfn.IFS(H632&lt;30,0,H632&lt;60,1,H632&lt;90,2,H632&lt;120,3)</f>
        <v>0</v>
      </c>
      <c r="M632" t="str">
        <f t="shared" si="62"/>
        <v>Low</v>
      </c>
      <c r="N632" t="str">
        <f t="shared" si="59"/>
        <v>Feb</v>
      </c>
      <c r="O632">
        <f t="shared" si="60"/>
        <v>2026</v>
      </c>
    </row>
    <row r="633" spans="1:15" x14ac:dyDescent="0.3">
      <c r="A633">
        <v>203922</v>
      </c>
      <c r="B633" t="s">
        <v>80</v>
      </c>
      <c r="C633" s="2">
        <v>46072</v>
      </c>
      <c r="D633" s="2">
        <f t="shared" si="58"/>
        <v>46102</v>
      </c>
      <c r="E633" s="1">
        <f>D633</f>
        <v>46102</v>
      </c>
      <c r="F633">
        <v>2389</v>
      </c>
      <c r="G633">
        <v>30</v>
      </c>
      <c r="H633">
        <f t="shared" si="63"/>
        <v>0</v>
      </c>
      <c r="I633" t="str">
        <f t="shared" si="61"/>
        <v>On Time</v>
      </c>
      <c r="J633" cm="1">
        <f t="array" ref="J633">_xlfn.IFS(H633&lt;30,0,H633&lt;60,1,H633&lt;90,2,H633&lt;120,3)</f>
        <v>0</v>
      </c>
      <c r="M633" t="str">
        <f t="shared" si="62"/>
        <v>Low</v>
      </c>
      <c r="N633" t="str">
        <f t="shared" si="59"/>
        <v>Feb</v>
      </c>
      <c r="O633">
        <f t="shared" si="60"/>
        <v>2026</v>
      </c>
    </row>
    <row r="634" spans="1:15" x14ac:dyDescent="0.3">
      <c r="A634">
        <v>203923</v>
      </c>
      <c r="B634" t="s">
        <v>81</v>
      </c>
      <c r="C634" s="2">
        <v>46072</v>
      </c>
      <c r="D634" s="2">
        <f t="shared" si="58"/>
        <v>46102</v>
      </c>
      <c r="E634" s="1">
        <f>D634+60</f>
        <v>46162</v>
      </c>
      <c r="F634">
        <v>3936</v>
      </c>
      <c r="G634">
        <v>30</v>
      </c>
      <c r="H634">
        <f t="shared" si="63"/>
        <v>0</v>
      </c>
      <c r="I634" t="str">
        <f t="shared" si="61"/>
        <v>On Time</v>
      </c>
      <c r="J634" cm="1">
        <f t="array" ref="J634">_xlfn.IFS(H634&lt;30,0,H634&lt;60,1,H634&lt;90,2,H634&lt;120,3)</f>
        <v>0</v>
      </c>
      <c r="M634" t="str">
        <f t="shared" si="62"/>
        <v>Low</v>
      </c>
      <c r="N634" t="str">
        <f t="shared" si="59"/>
        <v>Feb</v>
      </c>
      <c r="O634">
        <f t="shared" si="60"/>
        <v>2026</v>
      </c>
    </row>
    <row r="635" spans="1:15" x14ac:dyDescent="0.3">
      <c r="A635">
        <v>203924</v>
      </c>
      <c r="B635" t="s">
        <v>82</v>
      </c>
      <c r="C635" s="2">
        <v>46072</v>
      </c>
      <c r="D635" s="2">
        <f t="shared" si="58"/>
        <v>46117</v>
      </c>
      <c r="E635" s="1">
        <f>D635</f>
        <v>46117</v>
      </c>
      <c r="F635">
        <v>1899</v>
      </c>
      <c r="G635">
        <v>45</v>
      </c>
      <c r="H635">
        <f t="shared" si="63"/>
        <v>0</v>
      </c>
      <c r="I635" t="str">
        <f t="shared" si="61"/>
        <v>On Time</v>
      </c>
      <c r="J635" cm="1">
        <f t="array" ref="J635">_xlfn.IFS(H635&lt;30,0,H635&lt;60,1,H635&lt;90,2,H635&lt;120,3)</f>
        <v>0</v>
      </c>
      <c r="M635" t="str">
        <f t="shared" si="62"/>
        <v>Low</v>
      </c>
      <c r="N635" t="str">
        <f t="shared" si="59"/>
        <v>Feb</v>
      </c>
      <c r="O635">
        <f t="shared" si="60"/>
        <v>2026</v>
      </c>
    </row>
    <row r="636" spans="1:15" x14ac:dyDescent="0.3">
      <c r="A636">
        <v>203925</v>
      </c>
      <c r="B636" t="s">
        <v>83</v>
      </c>
      <c r="C636" s="2">
        <v>46072</v>
      </c>
      <c r="D636" s="2">
        <f t="shared" si="58"/>
        <v>46117</v>
      </c>
      <c r="F636">
        <v>4886</v>
      </c>
      <c r="G636">
        <v>45</v>
      </c>
      <c r="H636">
        <f t="shared" si="63"/>
        <v>0</v>
      </c>
      <c r="I636" t="str">
        <f t="shared" si="61"/>
        <v>On Time</v>
      </c>
      <c r="J636" cm="1">
        <f t="array" ref="J636">_xlfn.IFS(H636&lt;30,0,H636&lt;60,1,H636&lt;90,2,H636&lt;120,3)</f>
        <v>0</v>
      </c>
      <c r="M636" t="str">
        <f t="shared" si="62"/>
        <v>Low</v>
      </c>
      <c r="N636" t="str">
        <f t="shared" si="59"/>
        <v>Feb</v>
      </c>
      <c r="O636">
        <f t="shared" si="60"/>
        <v>2026</v>
      </c>
    </row>
    <row r="637" spans="1:15" x14ac:dyDescent="0.3">
      <c r="A637">
        <v>203926</v>
      </c>
      <c r="B637" t="s">
        <v>84</v>
      </c>
      <c r="C637" s="2">
        <v>46072</v>
      </c>
      <c r="D637" s="2">
        <f t="shared" si="58"/>
        <v>46132</v>
      </c>
      <c r="E637" s="1">
        <f>D637+3</f>
        <v>46135</v>
      </c>
      <c r="F637">
        <v>2454</v>
      </c>
      <c r="G637">
        <v>60</v>
      </c>
      <c r="H637">
        <f t="shared" si="63"/>
        <v>0</v>
      </c>
      <c r="I637" t="str">
        <f t="shared" si="61"/>
        <v>On Time</v>
      </c>
      <c r="J637" cm="1">
        <f t="array" ref="J637">_xlfn.IFS(H637&lt;30,0,H637&lt;60,1,H637&lt;90,2,H637&lt;120,3)</f>
        <v>0</v>
      </c>
      <c r="M637" t="str">
        <f t="shared" si="62"/>
        <v>Low</v>
      </c>
      <c r="N637" t="str">
        <f t="shared" si="59"/>
        <v>Feb</v>
      </c>
      <c r="O637">
        <f t="shared" si="60"/>
        <v>2026</v>
      </c>
    </row>
    <row r="638" spans="1:15" x14ac:dyDescent="0.3">
      <c r="A638">
        <v>203927</v>
      </c>
      <c r="B638" t="s">
        <v>92</v>
      </c>
      <c r="C638" s="2">
        <v>46072</v>
      </c>
      <c r="D638" s="2">
        <f t="shared" si="58"/>
        <v>46102</v>
      </c>
      <c r="E638" s="1">
        <f>D638+1</f>
        <v>46103</v>
      </c>
      <c r="F638">
        <v>876</v>
      </c>
      <c r="G638">
        <v>30</v>
      </c>
      <c r="H638">
        <f t="shared" si="63"/>
        <v>0</v>
      </c>
      <c r="I638" t="str">
        <f t="shared" si="61"/>
        <v>On Time</v>
      </c>
      <c r="J638" cm="1">
        <f t="array" ref="J638">_xlfn.IFS(H638&lt;30,0,H638&lt;60,1,H638&lt;90,2,H638&lt;120,3)</f>
        <v>0</v>
      </c>
      <c r="M638" t="str">
        <f t="shared" si="62"/>
        <v>Low</v>
      </c>
      <c r="N638" t="str">
        <f t="shared" si="59"/>
        <v>Feb</v>
      </c>
      <c r="O638">
        <f t="shared" si="60"/>
        <v>2026</v>
      </c>
    </row>
    <row r="639" spans="1:15" x14ac:dyDescent="0.3">
      <c r="A639">
        <v>203928</v>
      </c>
      <c r="B639" t="s">
        <v>93</v>
      </c>
      <c r="C639" s="2">
        <v>46072</v>
      </c>
      <c r="D639" s="2">
        <f t="shared" si="58"/>
        <v>46102</v>
      </c>
      <c r="E639" s="1">
        <f>D639-1</f>
        <v>46101</v>
      </c>
      <c r="F639">
        <v>2752</v>
      </c>
      <c r="G639">
        <v>30</v>
      </c>
      <c r="H639">
        <f t="shared" si="63"/>
        <v>0</v>
      </c>
      <c r="I639" t="str">
        <f t="shared" si="61"/>
        <v>On Time</v>
      </c>
      <c r="J639" cm="1">
        <f t="array" ref="J639">_xlfn.IFS(H639&lt;30,0,H639&lt;60,1,H639&lt;90,2,H639&lt;120,3)</f>
        <v>0</v>
      </c>
      <c r="M639" t="str">
        <f t="shared" si="62"/>
        <v>Low</v>
      </c>
      <c r="N639" t="str">
        <f t="shared" si="59"/>
        <v>Feb</v>
      </c>
      <c r="O639">
        <f t="shared" si="60"/>
        <v>2026</v>
      </c>
    </row>
    <row r="640" spans="1:15" x14ac:dyDescent="0.3">
      <c r="A640">
        <v>203929</v>
      </c>
      <c r="B640" t="s">
        <v>94</v>
      </c>
      <c r="C640" s="2">
        <v>46072</v>
      </c>
      <c r="D640" s="2">
        <f t="shared" si="58"/>
        <v>46102</v>
      </c>
      <c r="E640" s="1">
        <f>D640</f>
        <v>46102</v>
      </c>
      <c r="F640">
        <v>1878</v>
      </c>
      <c r="G640">
        <v>30</v>
      </c>
      <c r="H640">
        <f t="shared" si="63"/>
        <v>0</v>
      </c>
      <c r="I640" t="str">
        <f t="shared" si="61"/>
        <v>On Time</v>
      </c>
      <c r="J640" cm="1">
        <f t="array" ref="J640">_xlfn.IFS(H640&lt;30,0,H640&lt;60,1,H640&lt;90,2,H640&lt;120,3)</f>
        <v>0</v>
      </c>
      <c r="M640" t="str">
        <f t="shared" si="62"/>
        <v>Low</v>
      </c>
      <c r="N640" t="str">
        <f t="shared" si="59"/>
        <v>Feb</v>
      </c>
      <c r="O640">
        <f t="shared" si="60"/>
        <v>2026</v>
      </c>
    </row>
    <row r="641" spans="1:15" x14ac:dyDescent="0.3">
      <c r="A641">
        <v>203930</v>
      </c>
      <c r="B641" t="s">
        <v>95</v>
      </c>
      <c r="C641" s="2">
        <v>46072</v>
      </c>
      <c r="D641" s="2">
        <f t="shared" si="58"/>
        <v>46117</v>
      </c>
      <c r="E641" s="1">
        <f>D641-5</f>
        <v>46112</v>
      </c>
      <c r="F641">
        <v>12835</v>
      </c>
      <c r="G641">
        <v>45</v>
      </c>
      <c r="H641">
        <f t="shared" si="63"/>
        <v>0</v>
      </c>
      <c r="I641" t="str">
        <f t="shared" si="61"/>
        <v>On Time</v>
      </c>
      <c r="J641" cm="1">
        <f t="array" ref="J641">_xlfn.IFS(H641&lt;30,0,H641&lt;60,1,H641&lt;90,2,H641&lt;120,3)</f>
        <v>0</v>
      </c>
      <c r="M641" t="str">
        <f t="shared" si="62"/>
        <v>Low</v>
      </c>
      <c r="N641" t="str">
        <f t="shared" si="59"/>
        <v>Feb</v>
      </c>
      <c r="O641">
        <f t="shared" si="60"/>
        <v>2026</v>
      </c>
    </row>
    <row r="642" spans="1:15" x14ac:dyDescent="0.3">
      <c r="A642">
        <v>203931</v>
      </c>
      <c r="B642" t="s">
        <v>96</v>
      </c>
      <c r="C642" s="2">
        <v>46072</v>
      </c>
      <c r="D642" s="2">
        <f t="shared" ref="D642:D705" si="64">C642+G642</f>
        <v>46132</v>
      </c>
      <c r="E642" s="1">
        <f>D642+35</f>
        <v>46167</v>
      </c>
      <c r="F642">
        <v>2944</v>
      </c>
      <c r="G642">
        <v>60</v>
      </c>
      <c r="H642">
        <f t="shared" si="63"/>
        <v>0</v>
      </c>
      <c r="I642" t="str">
        <f t="shared" si="61"/>
        <v>On Time</v>
      </c>
      <c r="J642" cm="1">
        <f t="array" ref="J642">_xlfn.IFS(H642&lt;30,0,H642&lt;60,1,H642&lt;90,2,H642&lt;120,3)</f>
        <v>0</v>
      </c>
      <c r="M642" t="str">
        <f t="shared" si="62"/>
        <v>Low</v>
      </c>
      <c r="N642" t="str">
        <f t="shared" ref="N642:N705" si="65">TEXT(C642,"mmm")</f>
        <v>Feb</v>
      </c>
      <c r="O642">
        <f t="shared" ref="O642:O705" si="66">YEAR(C642)</f>
        <v>2026</v>
      </c>
    </row>
    <row r="643" spans="1:15" x14ac:dyDescent="0.3">
      <c r="A643">
        <v>203932</v>
      </c>
      <c r="B643" t="s">
        <v>97</v>
      </c>
      <c r="C643" s="2">
        <v>46072</v>
      </c>
      <c r="D643" s="2">
        <f t="shared" si="64"/>
        <v>46102</v>
      </c>
      <c r="E643" s="1">
        <f>D643+75</f>
        <v>46177</v>
      </c>
      <c r="F643">
        <v>4369</v>
      </c>
      <c r="G643">
        <v>30</v>
      </c>
      <c r="H643">
        <f t="shared" si="63"/>
        <v>0</v>
      </c>
      <c r="I643" t="str">
        <f t="shared" si="61"/>
        <v>On Time</v>
      </c>
      <c r="J643" cm="1">
        <f t="array" ref="J643">_xlfn.IFS(H643&lt;30,0,H643&lt;60,1,H643&lt;90,2,H643&lt;120,3)</f>
        <v>0</v>
      </c>
      <c r="M643" t="str">
        <f t="shared" si="62"/>
        <v>Low</v>
      </c>
      <c r="N643" t="str">
        <f t="shared" si="65"/>
        <v>Feb</v>
      </c>
      <c r="O643">
        <f t="shared" si="66"/>
        <v>2026</v>
      </c>
    </row>
    <row r="644" spans="1:15" x14ac:dyDescent="0.3">
      <c r="A644">
        <v>203933</v>
      </c>
      <c r="B644" t="s">
        <v>98</v>
      </c>
      <c r="C644" s="2">
        <v>46072</v>
      </c>
      <c r="D644" s="2">
        <f t="shared" si="64"/>
        <v>46102</v>
      </c>
      <c r="E644" s="1">
        <f>D644+5</f>
        <v>46107</v>
      </c>
      <c r="F644">
        <v>1786</v>
      </c>
      <c r="G644">
        <v>30</v>
      </c>
      <c r="H644">
        <f t="shared" si="63"/>
        <v>0</v>
      </c>
      <c r="I644" t="str">
        <f t="shared" si="61"/>
        <v>On Time</v>
      </c>
      <c r="J644" cm="1">
        <f t="array" ref="J644">_xlfn.IFS(H644&lt;30,0,H644&lt;60,1,H644&lt;90,2,H644&lt;120,3)</f>
        <v>0</v>
      </c>
      <c r="M644" t="str">
        <f t="shared" si="62"/>
        <v>Low</v>
      </c>
      <c r="N644" t="str">
        <f t="shared" si="65"/>
        <v>Feb</v>
      </c>
      <c r="O644">
        <f t="shared" si="66"/>
        <v>2026</v>
      </c>
    </row>
    <row r="645" spans="1:15" x14ac:dyDescent="0.3">
      <c r="A645">
        <v>203889</v>
      </c>
      <c r="B645" t="s">
        <v>46</v>
      </c>
      <c r="C645" s="2">
        <v>46071</v>
      </c>
      <c r="D645" s="2">
        <f t="shared" si="64"/>
        <v>46131</v>
      </c>
      <c r="E645" s="1">
        <f>D645</f>
        <v>46131</v>
      </c>
      <c r="F645">
        <v>4875</v>
      </c>
      <c r="G645">
        <v>60</v>
      </c>
      <c r="H645">
        <f t="shared" si="63"/>
        <v>0</v>
      </c>
      <c r="I645" t="str">
        <f t="shared" si="61"/>
        <v>On Time</v>
      </c>
      <c r="J645" cm="1">
        <f t="array" ref="J645">_xlfn.IFS(H645&lt;30,0,H645&lt;60,1,H645&lt;90,2,H645&lt;120,3)</f>
        <v>0</v>
      </c>
      <c r="M645" t="str">
        <f t="shared" si="62"/>
        <v>Low</v>
      </c>
      <c r="N645" t="str">
        <f t="shared" si="65"/>
        <v>Feb</v>
      </c>
      <c r="O645">
        <f t="shared" si="66"/>
        <v>2026</v>
      </c>
    </row>
    <row r="646" spans="1:15" x14ac:dyDescent="0.3">
      <c r="A646">
        <v>203890</v>
      </c>
      <c r="B646" t="s">
        <v>47</v>
      </c>
      <c r="C646" s="2">
        <v>46071</v>
      </c>
      <c r="D646" s="2">
        <f t="shared" si="64"/>
        <v>46131</v>
      </c>
      <c r="E646" s="1">
        <f>D646+63</f>
        <v>46194</v>
      </c>
      <c r="F646">
        <v>3762</v>
      </c>
      <c r="G646">
        <v>60</v>
      </c>
      <c r="H646">
        <f t="shared" si="63"/>
        <v>0</v>
      </c>
      <c r="I646" t="str">
        <f t="shared" si="61"/>
        <v>On Time</v>
      </c>
      <c r="J646" cm="1">
        <f t="array" ref="J646">_xlfn.IFS(H646&lt;30,0,H646&lt;60,1,H646&lt;90,2,H646&lt;120,3)</f>
        <v>0</v>
      </c>
      <c r="M646" t="str">
        <f t="shared" si="62"/>
        <v>Low</v>
      </c>
      <c r="N646" t="str">
        <f t="shared" si="65"/>
        <v>Feb</v>
      </c>
      <c r="O646">
        <f t="shared" si="66"/>
        <v>2026</v>
      </c>
    </row>
    <row r="647" spans="1:15" x14ac:dyDescent="0.3">
      <c r="A647">
        <v>203891</v>
      </c>
      <c r="B647" t="s">
        <v>48</v>
      </c>
      <c r="C647" s="2">
        <v>46071</v>
      </c>
      <c r="D647" s="2">
        <f t="shared" si="64"/>
        <v>46116</v>
      </c>
      <c r="E647" s="1">
        <f>D647</f>
        <v>46116</v>
      </c>
      <c r="F647">
        <v>2111</v>
      </c>
      <c r="G647">
        <v>45</v>
      </c>
      <c r="H647">
        <f t="shared" si="63"/>
        <v>0</v>
      </c>
      <c r="I647" t="str">
        <f t="shared" si="61"/>
        <v>On Time</v>
      </c>
      <c r="J647" cm="1">
        <f t="array" ref="J647">_xlfn.IFS(H647&lt;30,0,H647&lt;60,1,H647&lt;90,2,H647&lt;120,3)</f>
        <v>0</v>
      </c>
      <c r="M647" t="str">
        <f t="shared" si="62"/>
        <v>Low</v>
      </c>
      <c r="N647" t="str">
        <f t="shared" si="65"/>
        <v>Feb</v>
      </c>
      <c r="O647">
        <f t="shared" si="66"/>
        <v>2026</v>
      </c>
    </row>
    <row r="648" spans="1:15" x14ac:dyDescent="0.3">
      <c r="A648">
        <v>203892</v>
      </c>
      <c r="B648" t="s">
        <v>49</v>
      </c>
      <c r="C648" s="2">
        <v>46071</v>
      </c>
      <c r="D648" s="2">
        <f t="shared" si="64"/>
        <v>46101</v>
      </c>
      <c r="E648" s="1">
        <f>D648</f>
        <v>46101</v>
      </c>
      <c r="F648">
        <v>4353</v>
      </c>
      <c r="G648">
        <v>30</v>
      </c>
      <c r="H648">
        <f t="shared" si="63"/>
        <v>0</v>
      </c>
      <c r="I648" t="str">
        <f t="shared" si="61"/>
        <v>On Time</v>
      </c>
      <c r="J648" cm="1">
        <f t="array" ref="J648">_xlfn.IFS(H648&lt;30,0,H648&lt;60,1,H648&lt;90,2,H648&lt;120,3)</f>
        <v>0</v>
      </c>
      <c r="M648" t="str">
        <f t="shared" si="62"/>
        <v>Low</v>
      </c>
      <c r="N648" t="str">
        <f t="shared" si="65"/>
        <v>Feb</v>
      </c>
      <c r="O648">
        <f t="shared" si="66"/>
        <v>2026</v>
      </c>
    </row>
    <row r="649" spans="1:15" x14ac:dyDescent="0.3">
      <c r="A649">
        <v>203893</v>
      </c>
      <c r="B649" t="s">
        <v>50</v>
      </c>
      <c r="C649" s="2">
        <v>46071</v>
      </c>
      <c r="D649" s="2">
        <f t="shared" si="64"/>
        <v>46101</v>
      </c>
      <c r="E649" s="1">
        <f>D649+3</f>
        <v>46104</v>
      </c>
      <c r="F649">
        <v>4596</v>
      </c>
      <c r="G649">
        <v>30</v>
      </c>
      <c r="H649">
        <f t="shared" si="63"/>
        <v>0</v>
      </c>
      <c r="I649" t="str">
        <f t="shared" si="61"/>
        <v>On Time</v>
      </c>
      <c r="J649" cm="1">
        <f t="array" ref="J649">_xlfn.IFS(H649&lt;30,0,H649&lt;60,1,H649&lt;90,2,H649&lt;120,3)</f>
        <v>0</v>
      </c>
      <c r="M649" t="str">
        <f t="shared" si="62"/>
        <v>Low</v>
      </c>
      <c r="N649" t="str">
        <f t="shared" si="65"/>
        <v>Feb</v>
      </c>
      <c r="O649">
        <f t="shared" si="66"/>
        <v>2026</v>
      </c>
    </row>
    <row r="650" spans="1:15" x14ac:dyDescent="0.3">
      <c r="A650">
        <v>203894</v>
      </c>
      <c r="B650" t="s">
        <v>51</v>
      </c>
      <c r="C650" s="2">
        <v>46071</v>
      </c>
      <c r="D650" s="2">
        <f t="shared" si="64"/>
        <v>46101</v>
      </c>
      <c r="E650" s="1">
        <f>D650+1</f>
        <v>46102</v>
      </c>
      <c r="F650">
        <v>14255</v>
      </c>
      <c r="G650">
        <v>30</v>
      </c>
      <c r="H650">
        <f t="shared" si="63"/>
        <v>0</v>
      </c>
      <c r="I650" t="str">
        <f t="shared" si="61"/>
        <v>On Time</v>
      </c>
      <c r="J650" cm="1">
        <f t="array" ref="J650">_xlfn.IFS(H650&lt;30,0,H650&lt;60,1,H650&lt;90,2,H650&lt;120,3)</f>
        <v>0</v>
      </c>
      <c r="M650" t="str">
        <f t="shared" si="62"/>
        <v>Low</v>
      </c>
      <c r="N650" t="str">
        <f t="shared" si="65"/>
        <v>Feb</v>
      </c>
      <c r="O650">
        <f t="shared" si="66"/>
        <v>2026</v>
      </c>
    </row>
    <row r="651" spans="1:15" x14ac:dyDescent="0.3">
      <c r="A651">
        <v>203895</v>
      </c>
      <c r="B651" t="s">
        <v>52</v>
      </c>
      <c r="C651" s="2">
        <v>46071</v>
      </c>
      <c r="D651" s="2">
        <f t="shared" si="64"/>
        <v>46101</v>
      </c>
      <c r="E651" s="1">
        <f>D651-1</f>
        <v>46100</v>
      </c>
      <c r="F651">
        <v>2102</v>
      </c>
      <c r="G651">
        <v>30</v>
      </c>
      <c r="H651">
        <f t="shared" si="63"/>
        <v>0</v>
      </c>
      <c r="I651" t="str">
        <f t="shared" si="61"/>
        <v>On Time</v>
      </c>
      <c r="J651" cm="1">
        <f t="array" ref="J651">_xlfn.IFS(H651&lt;30,0,H651&lt;60,1,H651&lt;90,2,H651&lt;120,3)</f>
        <v>0</v>
      </c>
      <c r="M651" t="str">
        <f t="shared" si="62"/>
        <v>Low</v>
      </c>
      <c r="N651" t="str">
        <f t="shared" si="65"/>
        <v>Feb</v>
      </c>
      <c r="O651">
        <f t="shared" si="66"/>
        <v>2026</v>
      </c>
    </row>
    <row r="652" spans="1:15" x14ac:dyDescent="0.3">
      <c r="A652">
        <v>203896</v>
      </c>
      <c r="B652" t="s">
        <v>53</v>
      </c>
      <c r="C652" s="2">
        <v>46071</v>
      </c>
      <c r="D652" s="2">
        <f t="shared" si="64"/>
        <v>46101</v>
      </c>
      <c r="E652" s="1">
        <f>D652</f>
        <v>46101</v>
      </c>
      <c r="F652">
        <v>3652</v>
      </c>
      <c r="G652">
        <v>30</v>
      </c>
      <c r="H652">
        <f t="shared" si="63"/>
        <v>0</v>
      </c>
      <c r="I652" t="str">
        <f t="shared" si="61"/>
        <v>On Time</v>
      </c>
      <c r="J652" cm="1">
        <f t="array" ref="J652">_xlfn.IFS(H652&lt;30,0,H652&lt;60,1,H652&lt;90,2,H652&lt;120,3)</f>
        <v>0</v>
      </c>
      <c r="M652" t="str">
        <f t="shared" si="62"/>
        <v>Low</v>
      </c>
      <c r="N652" t="str">
        <f t="shared" si="65"/>
        <v>Feb</v>
      </c>
      <c r="O652">
        <f t="shared" si="66"/>
        <v>2026</v>
      </c>
    </row>
    <row r="653" spans="1:15" x14ac:dyDescent="0.3">
      <c r="A653">
        <v>203897</v>
      </c>
      <c r="B653" t="s">
        <v>54</v>
      </c>
      <c r="C653" s="2">
        <v>46071</v>
      </c>
      <c r="D653" s="2">
        <f t="shared" si="64"/>
        <v>46101</v>
      </c>
      <c r="E653" s="1">
        <f>D653+1</f>
        <v>46102</v>
      </c>
      <c r="F653">
        <v>6662</v>
      </c>
      <c r="G653">
        <v>30</v>
      </c>
      <c r="H653">
        <f t="shared" si="63"/>
        <v>0</v>
      </c>
      <c r="I653" t="str">
        <f t="shared" si="61"/>
        <v>On Time</v>
      </c>
      <c r="J653" cm="1">
        <f t="array" ref="J653">_xlfn.IFS(H653&lt;30,0,H653&lt;60,1,H653&lt;90,2,H653&lt;120,3)</f>
        <v>0</v>
      </c>
      <c r="M653" t="str">
        <f t="shared" si="62"/>
        <v>Low</v>
      </c>
      <c r="N653" t="str">
        <f t="shared" si="65"/>
        <v>Feb</v>
      </c>
      <c r="O653">
        <f t="shared" si="66"/>
        <v>2026</v>
      </c>
    </row>
    <row r="654" spans="1:15" x14ac:dyDescent="0.3">
      <c r="A654">
        <v>203898</v>
      </c>
      <c r="B654" t="s">
        <v>36</v>
      </c>
      <c r="C654" s="2">
        <v>46071</v>
      </c>
      <c r="D654" s="2">
        <f t="shared" si="64"/>
        <v>46101</v>
      </c>
      <c r="E654" s="1">
        <f>D654+35</f>
        <v>46136</v>
      </c>
      <c r="F654">
        <v>4780</v>
      </c>
      <c r="G654">
        <v>30</v>
      </c>
      <c r="H654">
        <f t="shared" si="63"/>
        <v>0</v>
      </c>
      <c r="I654" t="str">
        <f t="shared" si="61"/>
        <v>On Time</v>
      </c>
      <c r="J654" cm="1">
        <f t="array" ref="J654">_xlfn.IFS(H654&lt;30,0,H654&lt;60,1,H654&lt;90,2,H654&lt;120,3)</f>
        <v>0</v>
      </c>
      <c r="M654" t="str">
        <f t="shared" si="62"/>
        <v>Low</v>
      </c>
      <c r="N654" t="str">
        <f t="shared" si="65"/>
        <v>Feb</v>
      </c>
      <c r="O654">
        <f t="shared" si="66"/>
        <v>2026</v>
      </c>
    </row>
    <row r="655" spans="1:15" x14ac:dyDescent="0.3">
      <c r="A655">
        <v>203899</v>
      </c>
      <c r="B655" t="s">
        <v>37</v>
      </c>
      <c r="C655" s="2">
        <v>46071</v>
      </c>
      <c r="D655" s="2">
        <f t="shared" si="64"/>
        <v>46101</v>
      </c>
      <c r="E655" s="1">
        <f>D655+75</f>
        <v>46176</v>
      </c>
      <c r="F655">
        <v>1610</v>
      </c>
      <c r="G655">
        <v>30</v>
      </c>
      <c r="H655">
        <f t="shared" si="63"/>
        <v>0</v>
      </c>
      <c r="I655" t="str">
        <f t="shared" si="61"/>
        <v>On Time</v>
      </c>
      <c r="J655" cm="1">
        <f t="array" ref="J655">_xlfn.IFS(H655&lt;30,0,H655&lt;60,1,H655&lt;90,2,H655&lt;120,3)</f>
        <v>0</v>
      </c>
      <c r="M655" t="str">
        <f t="shared" si="62"/>
        <v>Low</v>
      </c>
      <c r="N655" t="str">
        <f t="shared" si="65"/>
        <v>Feb</v>
      </c>
      <c r="O655">
        <f t="shared" si="66"/>
        <v>2026</v>
      </c>
    </row>
    <row r="656" spans="1:15" x14ac:dyDescent="0.3">
      <c r="A656">
        <v>203900</v>
      </c>
      <c r="B656" t="s">
        <v>38</v>
      </c>
      <c r="C656" s="2">
        <v>46071</v>
      </c>
      <c r="D656" s="2">
        <f t="shared" si="64"/>
        <v>46101</v>
      </c>
      <c r="E656" s="1">
        <f>D656+5</f>
        <v>46106</v>
      </c>
      <c r="F656">
        <v>2556</v>
      </c>
      <c r="G656">
        <v>30</v>
      </c>
      <c r="H656">
        <f t="shared" si="63"/>
        <v>0</v>
      </c>
      <c r="I656" t="str">
        <f t="shared" si="61"/>
        <v>On Time</v>
      </c>
      <c r="J656" cm="1">
        <f t="array" ref="J656">_xlfn.IFS(H656&lt;30,0,H656&lt;60,1,H656&lt;90,2,H656&lt;120,3)</f>
        <v>0</v>
      </c>
      <c r="M656" t="str">
        <f t="shared" si="62"/>
        <v>Low</v>
      </c>
      <c r="N656" t="str">
        <f t="shared" si="65"/>
        <v>Feb</v>
      </c>
      <c r="O656">
        <f t="shared" si="66"/>
        <v>2026</v>
      </c>
    </row>
    <row r="657" spans="1:15" x14ac:dyDescent="0.3">
      <c r="A657">
        <v>203901</v>
      </c>
      <c r="B657" t="s">
        <v>39</v>
      </c>
      <c r="C657" s="2">
        <v>46071</v>
      </c>
      <c r="D657" s="2">
        <f t="shared" si="64"/>
        <v>46101</v>
      </c>
      <c r="E657" s="1">
        <f>D657</f>
        <v>46101</v>
      </c>
      <c r="F657">
        <v>3327</v>
      </c>
      <c r="G657">
        <v>30</v>
      </c>
      <c r="H657">
        <f t="shared" si="63"/>
        <v>0</v>
      </c>
      <c r="I657" t="str">
        <f t="shared" si="61"/>
        <v>On Time</v>
      </c>
      <c r="J657" cm="1">
        <f t="array" ref="J657">_xlfn.IFS(H657&lt;30,0,H657&lt;60,1,H657&lt;90,2,H657&lt;120,3)</f>
        <v>0</v>
      </c>
      <c r="M657" t="str">
        <f t="shared" si="62"/>
        <v>Low</v>
      </c>
      <c r="N657" t="str">
        <f t="shared" si="65"/>
        <v>Feb</v>
      </c>
      <c r="O657">
        <f t="shared" si="66"/>
        <v>2026</v>
      </c>
    </row>
    <row r="658" spans="1:15" x14ac:dyDescent="0.3">
      <c r="A658">
        <v>203902</v>
      </c>
      <c r="B658" t="s">
        <v>40</v>
      </c>
      <c r="C658" s="2">
        <v>46071</v>
      </c>
      <c r="D658" s="2">
        <f t="shared" si="64"/>
        <v>46101</v>
      </c>
      <c r="E658" s="1">
        <f>D658-1</f>
        <v>46100</v>
      </c>
      <c r="F658">
        <v>4327</v>
      </c>
      <c r="G658">
        <v>30</v>
      </c>
      <c r="H658">
        <f t="shared" si="63"/>
        <v>0</v>
      </c>
      <c r="I658" t="str">
        <f t="shared" si="61"/>
        <v>On Time</v>
      </c>
      <c r="J658" cm="1">
        <f t="array" ref="J658">_xlfn.IFS(H658&lt;30,0,H658&lt;60,1,H658&lt;90,2,H658&lt;120,3)</f>
        <v>0</v>
      </c>
      <c r="M658" t="str">
        <f t="shared" si="62"/>
        <v>Low</v>
      </c>
      <c r="N658" t="str">
        <f t="shared" si="65"/>
        <v>Feb</v>
      </c>
      <c r="O658">
        <f t="shared" si="66"/>
        <v>2026</v>
      </c>
    </row>
    <row r="659" spans="1:15" x14ac:dyDescent="0.3">
      <c r="A659">
        <v>203903</v>
      </c>
      <c r="B659" t="s">
        <v>41</v>
      </c>
      <c r="C659" s="2">
        <v>46071</v>
      </c>
      <c r="D659" s="2">
        <f t="shared" si="64"/>
        <v>46101</v>
      </c>
      <c r="E659" s="1">
        <f>D659</f>
        <v>46101</v>
      </c>
      <c r="F659">
        <v>4610</v>
      </c>
      <c r="G659">
        <v>30</v>
      </c>
      <c r="H659">
        <f t="shared" si="63"/>
        <v>0</v>
      </c>
      <c r="I659" t="str">
        <f t="shared" si="61"/>
        <v>On Time</v>
      </c>
      <c r="J659" cm="1">
        <f t="array" ref="J659">_xlfn.IFS(H659&lt;30,0,H659&lt;60,1,H659&lt;90,2,H659&lt;120,3)</f>
        <v>0</v>
      </c>
      <c r="M659" t="str">
        <f t="shared" si="62"/>
        <v>Low</v>
      </c>
      <c r="N659" t="str">
        <f t="shared" si="65"/>
        <v>Feb</v>
      </c>
      <c r="O659">
        <f t="shared" si="66"/>
        <v>2026</v>
      </c>
    </row>
    <row r="660" spans="1:15" x14ac:dyDescent="0.3">
      <c r="A660">
        <v>203904</v>
      </c>
      <c r="B660" t="s">
        <v>42</v>
      </c>
      <c r="C660" s="2">
        <v>46071</v>
      </c>
      <c r="D660" s="2">
        <f t="shared" si="64"/>
        <v>46101</v>
      </c>
      <c r="E660" s="1">
        <f>D660+32</f>
        <v>46133</v>
      </c>
      <c r="F660">
        <v>4726</v>
      </c>
      <c r="G660">
        <v>30</v>
      </c>
      <c r="H660">
        <f t="shared" si="63"/>
        <v>0</v>
      </c>
      <c r="I660" t="str">
        <f t="shared" si="61"/>
        <v>On Time</v>
      </c>
      <c r="J660" cm="1">
        <f t="array" ref="J660">_xlfn.IFS(H660&lt;30,0,H660&lt;60,1,H660&lt;90,2,H660&lt;120,3)</f>
        <v>0</v>
      </c>
      <c r="M660" t="str">
        <f t="shared" si="62"/>
        <v>Low</v>
      </c>
      <c r="N660" t="str">
        <f t="shared" si="65"/>
        <v>Feb</v>
      </c>
      <c r="O660">
        <f t="shared" si="66"/>
        <v>2026</v>
      </c>
    </row>
    <row r="661" spans="1:15" x14ac:dyDescent="0.3">
      <c r="A661">
        <v>203905</v>
      </c>
      <c r="B661" t="s">
        <v>43</v>
      </c>
      <c r="C661" s="2">
        <v>46071</v>
      </c>
      <c r="D661" s="2">
        <f t="shared" si="64"/>
        <v>46101</v>
      </c>
      <c r="E661" s="1">
        <f>D661+15</f>
        <v>46116</v>
      </c>
      <c r="F661">
        <v>4468</v>
      </c>
      <c r="G661">
        <v>30</v>
      </c>
      <c r="H661">
        <f t="shared" si="63"/>
        <v>0</v>
      </c>
      <c r="I661" t="str">
        <f t="shared" si="61"/>
        <v>On Time</v>
      </c>
      <c r="J661" cm="1">
        <f t="array" ref="J661">_xlfn.IFS(H661&lt;30,0,H661&lt;60,1,H661&lt;90,2,H661&lt;120,3)</f>
        <v>0</v>
      </c>
      <c r="M661" t="str">
        <f t="shared" si="62"/>
        <v>Low</v>
      </c>
      <c r="N661" t="str">
        <f t="shared" si="65"/>
        <v>Feb</v>
      </c>
      <c r="O661">
        <f t="shared" si="66"/>
        <v>2026</v>
      </c>
    </row>
    <row r="662" spans="1:15" x14ac:dyDescent="0.3">
      <c r="A662">
        <v>203906</v>
      </c>
      <c r="B662" t="s">
        <v>44</v>
      </c>
      <c r="C662" s="2">
        <v>46071</v>
      </c>
      <c r="D662" s="2">
        <f t="shared" si="64"/>
        <v>46116</v>
      </c>
      <c r="E662" s="1">
        <f>D662-2</f>
        <v>46114</v>
      </c>
      <c r="F662">
        <v>111</v>
      </c>
      <c r="G662">
        <v>45</v>
      </c>
      <c r="H662">
        <f t="shared" si="63"/>
        <v>0</v>
      </c>
      <c r="I662" t="str">
        <f t="shared" ref="I662:I725" si="67">IF(H662=0,"On Time",IF(H662&lt;=15,"Paid Late","Seriously Late"))</f>
        <v>On Time</v>
      </c>
      <c r="J662" cm="1">
        <f t="array" ref="J662">_xlfn.IFS(H662&lt;30,0,H662&lt;60,1,H662&lt;90,2,H662&lt;120,3)</f>
        <v>0</v>
      </c>
      <c r="M662" t="str">
        <f t="shared" ref="M662:M725" si="68">IF(H662&gt;30,"High",IF(H662&gt;10,"Medium","Low"))</f>
        <v>Low</v>
      </c>
      <c r="N662" t="str">
        <f t="shared" si="65"/>
        <v>Feb</v>
      </c>
      <c r="O662">
        <f t="shared" si="66"/>
        <v>2026</v>
      </c>
    </row>
    <row r="663" spans="1:15" x14ac:dyDescent="0.3">
      <c r="A663">
        <v>203907</v>
      </c>
      <c r="B663" t="s">
        <v>20</v>
      </c>
      <c r="C663" s="2">
        <v>46071</v>
      </c>
      <c r="D663" s="2">
        <f t="shared" si="64"/>
        <v>46101</v>
      </c>
      <c r="E663" s="1">
        <f>D663-2</f>
        <v>46099</v>
      </c>
      <c r="F663">
        <v>1053</v>
      </c>
      <c r="G663">
        <v>30</v>
      </c>
      <c r="H663">
        <f t="shared" si="63"/>
        <v>0</v>
      </c>
      <c r="I663" t="str">
        <f t="shared" si="67"/>
        <v>On Time</v>
      </c>
      <c r="J663" cm="1">
        <f t="array" ref="J663">_xlfn.IFS(H663&lt;30,0,H663&lt;60,1,H663&lt;90,2,H663&lt;120,3)</f>
        <v>0</v>
      </c>
      <c r="M663" t="str">
        <f t="shared" si="68"/>
        <v>Low</v>
      </c>
      <c r="N663" t="str">
        <f t="shared" si="65"/>
        <v>Feb</v>
      </c>
      <c r="O663">
        <f t="shared" si="66"/>
        <v>2026</v>
      </c>
    </row>
    <row r="664" spans="1:15" x14ac:dyDescent="0.3">
      <c r="A664">
        <v>203908</v>
      </c>
      <c r="B664" t="s">
        <v>21</v>
      </c>
      <c r="C664" s="2">
        <v>46071</v>
      </c>
      <c r="D664" s="2">
        <f t="shared" si="64"/>
        <v>46101</v>
      </c>
      <c r="E664" s="1">
        <f>D664</f>
        <v>46101</v>
      </c>
      <c r="F664">
        <v>11034</v>
      </c>
      <c r="G664">
        <v>30</v>
      </c>
      <c r="H664">
        <f t="shared" si="63"/>
        <v>0</v>
      </c>
      <c r="I664" t="str">
        <f t="shared" si="67"/>
        <v>On Time</v>
      </c>
      <c r="J664" cm="1">
        <f t="array" ref="J664">_xlfn.IFS(H664&lt;30,0,H664&lt;60,1,H664&lt;90,2,H664&lt;120,3)</f>
        <v>0</v>
      </c>
      <c r="M664" t="str">
        <f t="shared" si="68"/>
        <v>Low</v>
      </c>
      <c r="N664" t="str">
        <f t="shared" si="65"/>
        <v>Feb</v>
      </c>
      <c r="O664">
        <f t="shared" si="66"/>
        <v>2026</v>
      </c>
    </row>
    <row r="665" spans="1:15" x14ac:dyDescent="0.3">
      <c r="A665">
        <v>203909</v>
      </c>
      <c r="B665" t="s">
        <v>22</v>
      </c>
      <c r="C665" s="2">
        <v>46071</v>
      </c>
      <c r="D665" s="2">
        <f t="shared" si="64"/>
        <v>46101</v>
      </c>
      <c r="E665" s="1">
        <f>D665+2</f>
        <v>46103</v>
      </c>
      <c r="F665">
        <v>1522</v>
      </c>
      <c r="G665">
        <v>30</v>
      </c>
      <c r="H665">
        <f t="shared" si="63"/>
        <v>0</v>
      </c>
      <c r="I665" t="str">
        <f t="shared" si="67"/>
        <v>On Time</v>
      </c>
      <c r="J665" cm="1">
        <f t="array" ref="J665">_xlfn.IFS(H665&lt;30,0,H665&lt;60,1,H665&lt;90,2,H665&lt;120,3)</f>
        <v>0</v>
      </c>
      <c r="M665" t="str">
        <f t="shared" si="68"/>
        <v>Low</v>
      </c>
      <c r="N665" t="str">
        <f t="shared" si="65"/>
        <v>Feb</v>
      </c>
      <c r="O665">
        <f t="shared" si="66"/>
        <v>2026</v>
      </c>
    </row>
    <row r="666" spans="1:15" x14ac:dyDescent="0.3">
      <c r="A666">
        <v>203910</v>
      </c>
      <c r="B666" t="s">
        <v>23</v>
      </c>
      <c r="C666" s="2">
        <v>46071</v>
      </c>
      <c r="D666" s="2">
        <f t="shared" si="64"/>
        <v>46116</v>
      </c>
      <c r="E666" s="1">
        <f>D666+2</f>
        <v>46118</v>
      </c>
      <c r="F666">
        <v>2274</v>
      </c>
      <c r="G666">
        <v>45</v>
      </c>
      <c r="H666">
        <f t="shared" si="63"/>
        <v>0</v>
      </c>
      <c r="I666" t="str">
        <f t="shared" si="67"/>
        <v>On Time</v>
      </c>
      <c r="J666" cm="1">
        <f t="array" ref="J666">_xlfn.IFS(H666&lt;30,0,H666&lt;60,1,H666&lt;90,2,H666&lt;120,3)</f>
        <v>0</v>
      </c>
      <c r="M666" t="str">
        <f t="shared" si="68"/>
        <v>Low</v>
      </c>
      <c r="N666" t="str">
        <f t="shared" si="65"/>
        <v>Feb</v>
      </c>
      <c r="O666">
        <f t="shared" si="66"/>
        <v>2026</v>
      </c>
    </row>
    <row r="667" spans="1:15" x14ac:dyDescent="0.3">
      <c r="A667">
        <v>203911</v>
      </c>
      <c r="B667" t="s">
        <v>24</v>
      </c>
      <c r="C667" s="2">
        <v>46071</v>
      </c>
      <c r="D667" s="2">
        <f t="shared" si="64"/>
        <v>46116</v>
      </c>
      <c r="E667" s="1">
        <f>D667+2</f>
        <v>46118</v>
      </c>
      <c r="F667">
        <v>1260</v>
      </c>
      <c r="G667">
        <v>45</v>
      </c>
      <c r="H667">
        <f t="shared" si="63"/>
        <v>0</v>
      </c>
      <c r="I667" t="str">
        <f t="shared" si="67"/>
        <v>On Time</v>
      </c>
      <c r="J667" cm="1">
        <f t="array" ref="J667">_xlfn.IFS(H667&lt;30,0,H667&lt;60,1,H667&lt;90,2,H667&lt;120,3)</f>
        <v>0</v>
      </c>
      <c r="M667" t="str">
        <f t="shared" si="68"/>
        <v>Low</v>
      </c>
      <c r="N667" t="str">
        <f t="shared" si="65"/>
        <v>Feb</v>
      </c>
      <c r="O667">
        <f t="shared" si="66"/>
        <v>2026</v>
      </c>
    </row>
    <row r="668" spans="1:15" x14ac:dyDescent="0.3">
      <c r="A668">
        <v>203912</v>
      </c>
      <c r="B668" t="s">
        <v>25</v>
      </c>
      <c r="C668" s="2">
        <v>46071</v>
      </c>
      <c r="D668" s="2">
        <f t="shared" si="64"/>
        <v>46131</v>
      </c>
      <c r="E668" s="1">
        <f>D668</f>
        <v>46131</v>
      </c>
      <c r="F668">
        <v>3031</v>
      </c>
      <c r="G668">
        <v>60</v>
      </c>
      <c r="H668">
        <f t="shared" si="63"/>
        <v>0</v>
      </c>
      <c r="I668" t="str">
        <f t="shared" si="67"/>
        <v>On Time</v>
      </c>
      <c r="J668" cm="1">
        <f t="array" ref="J668">_xlfn.IFS(H668&lt;30,0,H668&lt;60,1,H668&lt;90,2,H668&lt;120,3)</f>
        <v>0</v>
      </c>
      <c r="M668" t="str">
        <f t="shared" si="68"/>
        <v>Low</v>
      </c>
      <c r="N668" t="str">
        <f t="shared" si="65"/>
        <v>Feb</v>
      </c>
      <c r="O668">
        <f t="shared" si="66"/>
        <v>2026</v>
      </c>
    </row>
    <row r="669" spans="1:15" x14ac:dyDescent="0.3">
      <c r="A669">
        <v>203869</v>
      </c>
      <c r="B669" t="s">
        <v>87</v>
      </c>
      <c r="C669" s="2">
        <v>46070</v>
      </c>
      <c r="D669" s="2">
        <f t="shared" si="64"/>
        <v>46100</v>
      </c>
      <c r="E669" s="1">
        <f>D669-1</f>
        <v>46099</v>
      </c>
      <c r="F669">
        <v>4774</v>
      </c>
      <c r="G669">
        <v>30</v>
      </c>
      <c r="H669">
        <f t="shared" si="63"/>
        <v>0</v>
      </c>
      <c r="I669" t="str">
        <f t="shared" si="67"/>
        <v>On Time</v>
      </c>
      <c r="J669" cm="1">
        <f t="array" ref="J669">_xlfn.IFS(H669&lt;30,0,H669&lt;60,1,H669&lt;90,2,H669&lt;120,3)</f>
        <v>0</v>
      </c>
      <c r="M669" t="str">
        <f t="shared" si="68"/>
        <v>Low</v>
      </c>
      <c r="N669" t="str">
        <f t="shared" si="65"/>
        <v>Feb</v>
      </c>
      <c r="O669">
        <f t="shared" si="66"/>
        <v>2026</v>
      </c>
    </row>
    <row r="670" spans="1:15" x14ac:dyDescent="0.3">
      <c r="A670">
        <v>203870</v>
      </c>
      <c r="B670" t="s">
        <v>88</v>
      </c>
      <c r="C670" s="2">
        <v>46070</v>
      </c>
      <c r="D670" s="2">
        <f t="shared" si="64"/>
        <v>46100</v>
      </c>
      <c r="E670" s="1">
        <f>D670</f>
        <v>46100</v>
      </c>
      <c r="F670">
        <v>660</v>
      </c>
      <c r="G670">
        <v>30</v>
      </c>
      <c r="H670">
        <f t="shared" si="63"/>
        <v>0</v>
      </c>
      <c r="I670" t="str">
        <f t="shared" si="67"/>
        <v>On Time</v>
      </c>
      <c r="J670" cm="1">
        <f t="array" ref="J670">_xlfn.IFS(H670&lt;30,0,H670&lt;60,1,H670&lt;90,2,H670&lt;120,3)</f>
        <v>0</v>
      </c>
      <c r="M670" t="str">
        <f t="shared" si="68"/>
        <v>Low</v>
      </c>
      <c r="N670" t="str">
        <f t="shared" si="65"/>
        <v>Feb</v>
      </c>
      <c r="O670">
        <f t="shared" si="66"/>
        <v>2026</v>
      </c>
    </row>
    <row r="671" spans="1:15" x14ac:dyDescent="0.3">
      <c r="A671">
        <v>203871</v>
      </c>
      <c r="B671" t="s">
        <v>89</v>
      </c>
      <c r="C671" s="2">
        <v>46070</v>
      </c>
      <c r="D671" s="2">
        <f t="shared" si="64"/>
        <v>46100</v>
      </c>
      <c r="E671" s="1">
        <f>D671+32</f>
        <v>46132</v>
      </c>
      <c r="F671">
        <v>4354</v>
      </c>
      <c r="G671">
        <v>30</v>
      </c>
      <c r="H671">
        <f t="shared" si="63"/>
        <v>0</v>
      </c>
      <c r="I671" t="str">
        <f t="shared" si="67"/>
        <v>On Time</v>
      </c>
      <c r="J671" cm="1">
        <f t="array" ref="J671">_xlfn.IFS(H671&lt;30,0,H671&lt;60,1,H671&lt;90,2,H671&lt;120,3)</f>
        <v>0</v>
      </c>
      <c r="M671" t="str">
        <f t="shared" si="68"/>
        <v>Low</v>
      </c>
      <c r="N671" t="str">
        <f t="shared" si="65"/>
        <v>Feb</v>
      </c>
      <c r="O671">
        <f t="shared" si="66"/>
        <v>2026</v>
      </c>
    </row>
    <row r="672" spans="1:15" x14ac:dyDescent="0.3">
      <c r="A672">
        <v>203872</v>
      </c>
      <c r="B672" t="s">
        <v>90</v>
      </c>
      <c r="C672" s="2">
        <v>46070</v>
      </c>
      <c r="D672" s="2">
        <f t="shared" si="64"/>
        <v>46100</v>
      </c>
      <c r="E672" s="1">
        <f>D672+15</f>
        <v>46115</v>
      </c>
      <c r="F672">
        <v>19096</v>
      </c>
      <c r="G672">
        <v>30</v>
      </c>
      <c r="H672">
        <f t="shared" si="63"/>
        <v>0</v>
      </c>
      <c r="I672" t="str">
        <f t="shared" si="67"/>
        <v>On Time</v>
      </c>
      <c r="J672" cm="1">
        <f t="array" ref="J672">_xlfn.IFS(H672&lt;30,0,H672&lt;60,1,H672&lt;90,2,H672&lt;120,3)</f>
        <v>0</v>
      </c>
      <c r="M672" t="str">
        <f t="shared" si="68"/>
        <v>Low</v>
      </c>
      <c r="N672" t="str">
        <f t="shared" si="65"/>
        <v>Feb</v>
      </c>
      <c r="O672">
        <f t="shared" si="66"/>
        <v>2026</v>
      </c>
    </row>
    <row r="673" spans="1:15" x14ac:dyDescent="0.3">
      <c r="A673">
        <v>203873</v>
      </c>
      <c r="B673" t="s">
        <v>91</v>
      </c>
      <c r="C673" s="2">
        <v>46070</v>
      </c>
      <c r="D673" s="2">
        <f t="shared" si="64"/>
        <v>46100</v>
      </c>
      <c r="E673" s="1">
        <f>D673</f>
        <v>46100</v>
      </c>
      <c r="F673">
        <v>15900</v>
      </c>
      <c r="G673">
        <v>30</v>
      </c>
      <c r="H673">
        <f t="shared" si="63"/>
        <v>0</v>
      </c>
      <c r="I673" t="str">
        <f t="shared" si="67"/>
        <v>On Time</v>
      </c>
      <c r="J673" cm="1">
        <f t="array" ref="J673">_xlfn.IFS(H673&lt;30,0,H673&lt;60,1,H673&lt;90,2,H673&lt;120,3)</f>
        <v>0</v>
      </c>
      <c r="M673" t="str">
        <f t="shared" si="68"/>
        <v>Low</v>
      </c>
      <c r="N673" t="str">
        <f t="shared" si="65"/>
        <v>Feb</v>
      </c>
      <c r="O673">
        <f t="shared" si="66"/>
        <v>2026</v>
      </c>
    </row>
    <row r="674" spans="1:15" x14ac:dyDescent="0.3">
      <c r="A674">
        <v>203874</v>
      </c>
      <c r="B674" t="s">
        <v>92</v>
      </c>
      <c r="C674" s="2">
        <v>46070</v>
      </c>
      <c r="D674" s="2">
        <f t="shared" si="64"/>
        <v>46100</v>
      </c>
      <c r="E674" s="1">
        <f>D674-2</f>
        <v>46098</v>
      </c>
      <c r="F674">
        <v>1063</v>
      </c>
      <c r="G674">
        <v>30</v>
      </c>
      <c r="H674">
        <f t="shared" si="63"/>
        <v>0</v>
      </c>
      <c r="I674" t="str">
        <f t="shared" si="67"/>
        <v>On Time</v>
      </c>
      <c r="J674" cm="1">
        <f t="array" ref="J674">_xlfn.IFS(H674&lt;30,0,H674&lt;60,1,H674&lt;90,2,H674&lt;120,3)</f>
        <v>0</v>
      </c>
      <c r="M674" t="str">
        <f t="shared" si="68"/>
        <v>Low</v>
      </c>
      <c r="N674" t="str">
        <f t="shared" si="65"/>
        <v>Feb</v>
      </c>
      <c r="O674">
        <f t="shared" si="66"/>
        <v>2026</v>
      </c>
    </row>
    <row r="675" spans="1:15" x14ac:dyDescent="0.3">
      <c r="A675">
        <v>203875</v>
      </c>
      <c r="B675" t="s">
        <v>93</v>
      </c>
      <c r="C675" s="2">
        <v>46070</v>
      </c>
      <c r="D675" s="2">
        <f t="shared" si="64"/>
        <v>46100</v>
      </c>
      <c r="E675" s="1">
        <f>D675</f>
        <v>46100</v>
      </c>
      <c r="F675">
        <v>4533</v>
      </c>
      <c r="G675">
        <v>30</v>
      </c>
      <c r="H675">
        <f t="shared" si="63"/>
        <v>0</v>
      </c>
      <c r="I675" t="str">
        <f t="shared" si="67"/>
        <v>On Time</v>
      </c>
      <c r="J675" cm="1">
        <f t="array" ref="J675">_xlfn.IFS(H675&lt;30,0,H675&lt;60,1,H675&lt;90,2,H675&lt;120,3)</f>
        <v>0</v>
      </c>
      <c r="M675" t="str">
        <f t="shared" si="68"/>
        <v>Low</v>
      </c>
      <c r="N675" t="str">
        <f t="shared" si="65"/>
        <v>Feb</v>
      </c>
      <c r="O675">
        <f t="shared" si="66"/>
        <v>2026</v>
      </c>
    </row>
    <row r="676" spans="1:15" x14ac:dyDescent="0.3">
      <c r="A676">
        <v>203876</v>
      </c>
      <c r="B676" t="s">
        <v>94</v>
      </c>
      <c r="C676" s="2">
        <v>46070</v>
      </c>
      <c r="D676" s="2">
        <f t="shared" si="64"/>
        <v>46100</v>
      </c>
      <c r="E676" s="1">
        <f>D676+2</f>
        <v>46102</v>
      </c>
      <c r="F676">
        <v>1351</v>
      </c>
      <c r="G676">
        <v>30</v>
      </c>
      <c r="H676">
        <f t="shared" si="63"/>
        <v>0</v>
      </c>
      <c r="I676" t="str">
        <f t="shared" si="67"/>
        <v>On Time</v>
      </c>
      <c r="J676" cm="1">
        <f t="array" ref="J676">_xlfn.IFS(H676&lt;30,0,H676&lt;60,1,H676&lt;90,2,H676&lt;120,3)</f>
        <v>0</v>
      </c>
      <c r="M676" t="str">
        <f t="shared" si="68"/>
        <v>Low</v>
      </c>
      <c r="N676" t="str">
        <f t="shared" si="65"/>
        <v>Feb</v>
      </c>
      <c r="O676">
        <f t="shared" si="66"/>
        <v>2026</v>
      </c>
    </row>
    <row r="677" spans="1:15" x14ac:dyDescent="0.3">
      <c r="A677">
        <v>203877</v>
      </c>
      <c r="B677" t="s">
        <v>95</v>
      </c>
      <c r="C677" s="2">
        <v>46070</v>
      </c>
      <c r="D677" s="2">
        <f t="shared" si="64"/>
        <v>46115</v>
      </c>
      <c r="E677" s="1">
        <f>D677+2</f>
        <v>46117</v>
      </c>
      <c r="F677">
        <v>898</v>
      </c>
      <c r="G677">
        <v>45</v>
      </c>
      <c r="H677">
        <f t="shared" si="63"/>
        <v>0</v>
      </c>
      <c r="I677" t="str">
        <f t="shared" si="67"/>
        <v>On Time</v>
      </c>
      <c r="J677" cm="1">
        <f t="array" ref="J677">_xlfn.IFS(H677&lt;30,0,H677&lt;60,1,H677&lt;90,2,H677&lt;120,3)</f>
        <v>0</v>
      </c>
      <c r="M677" t="str">
        <f t="shared" si="68"/>
        <v>Low</v>
      </c>
      <c r="N677" t="str">
        <f t="shared" si="65"/>
        <v>Feb</v>
      </c>
      <c r="O677">
        <f t="shared" si="66"/>
        <v>2026</v>
      </c>
    </row>
    <row r="678" spans="1:15" x14ac:dyDescent="0.3">
      <c r="A678">
        <v>203878</v>
      </c>
      <c r="B678" t="s">
        <v>68</v>
      </c>
      <c r="C678" s="2">
        <v>46070</v>
      </c>
      <c r="D678" s="2">
        <f t="shared" si="64"/>
        <v>46100</v>
      </c>
      <c r="E678" s="1">
        <f>D678+2</f>
        <v>46102</v>
      </c>
      <c r="F678">
        <v>1912</v>
      </c>
      <c r="G678">
        <v>30</v>
      </c>
      <c r="H678">
        <f t="shared" ref="H678:H741" si="69">MAX(0,P643-D678)</f>
        <v>0</v>
      </c>
      <c r="I678" t="str">
        <f t="shared" si="67"/>
        <v>On Time</v>
      </c>
      <c r="J678" cm="1">
        <f t="array" ref="J678">_xlfn.IFS(H678&lt;30,0,H678&lt;60,1,H678&lt;90,2,H678&lt;120,3)</f>
        <v>0</v>
      </c>
      <c r="M678" t="str">
        <f t="shared" si="68"/>
        <v>Low</v>
      </c>
      <c r="N678" t="str">
        <f t="shared" si="65"/>
        <v>Feb</v>
      </c>
      <c r="O678">
        <f t="shared" si="66"/>
        <v>2026</v>
      </c>
    </row>
    <row r="679" spans="1:15" x14ac:dyDescent="0.3">
      <c r="A679">
        <v>203879</v>
      </c>
      <c r="B679" t="s">
        <v>69</v>
      </c>
      <c r="C679" s="2">
        <v>46070</v>
      </c>
      <c r="D679" s="2">
        <f t="shared" si="64"/>
        <v>46100</v>
      </c>
      <c r="E679" s="1">
        <f>D679</f>
        <v>46100</v>
      </c>
      <c r="F679">
        <v>4357</v>
      </c>
      <c r="G679">
        <v>30</v>
      </c>
      <c r="H679">
        <f t="shared" si="69"/>
        <v>0</v>
      </c>
      <c r="I679" t="str">
        <f t="shared" si="67"/>
        <v>On Time</v>
      </c>
      <c r="J679" cm="1">
        <f t="array" ref="J679">_xlfn.IFS(H679&lt;30,0,H679&lt;60,1,H679&lt;90,2,H679&lt;120,3)</f>
        <v>0</v>
      </c>
      <c r="M679" t="str">
        <f t="shared" si="68"/>
        <v>Low</v>
      </c>
      <c r="N679" t="str">
        <f t="shared" si="65"/>
        <v>Feb</v>
      </c>
      <c r="O679">
        <f t="shared" si="66"/>
        <v>2026</v>
      </c>
    </row>
    <row r="680" spans="1:15" x14ac:dyDescent="0.3">
      <c r="A680">
        <v>203880</v>
      </c>
      <c r="B680" t="s">
        <v>70</v>
      </c>
      <c r="C680" s="2">
        <v>46070</v>
      </c>
      <c r="D680" s="2">
        <f t="shared" si="64"/>
        <v>46100</v>
      </c>
      <c r="E680" s="1">
        <f>D680+20</f>
        <v>46120</v>
      </c>
      <c r="F680">
        <v>1317</v>
      </c>
      <c r="G680">
        <v>30</v>
      </c>
      <c r="H680">
        <f t="shared" si="69"/>
        <v>0</v>
      </c>
      <c r="I680" t="str">
        <f t="shared" si="67"/>
        <v>On Time</v>
      </c>
      <c r="J680" cm="1">
        <f t="array" ref="J680">_xlfn.IFS(H680&lt;30,0,H680&lt;60,1,H680&lt;90,2,H680&lt;120,3)</f>
        <v>0</v>
      </c>
      <c r="M680" t="str">
        <f t="shared" si="68"/>
        <v>Low</v>
      </c>
      <c r="N680" t="str">
        <f t="shared" si="65"/>
        <v>Feb</v>
      </c>
      <c r="O680">
        <f t="shared" si="66"/>
        <v>2026</v>
      </c>
    </row>
    <row r="681" spans="1:15" x14ac:dyDescent="0.3">
      <c r="A681">
        <v>203881</v>
      </c>
      <c r="B681" t="s">
        <v>71</v>
      </c>
      <c r="C681" s="2">
        <v>46070</v>
      </c>
      <c r="D681" s="2">
        <f t="shared" si="64"/>
        <v>46100</v>
      </c>
      <c r="E681" s="1">
        <f>D681</f>
        <v>46100</v>
      </c>
      <c r="F681">
        <v>144</v>
      </c>
      <c r="G681">
        <v>30</v>
      </c>
      <c r="H681">
        <f t="shared" si="69"/>
        <v>0</v>
      </c>
      <c r="I681" t="str">
        <f t="shared" si="67"/>
        <v>On Time</v>
      </c>
      <c r="J681" cm="1">
        <f t="array" ref="J681">_xlfn.IFS(H681&lt;30,0,H681&lt;60,1,H681&lt;90,2,H681&lt;120,3)</f>
        <v>0</v>
      </c>
      <c r="M681" t="str">
        <f t="shared" si="68"/>
        <v>Low</v>
      </c>
      <c r="N681" t="str">
        <f t="shared" si="65"/>
        <v>Feb</v>
      </c>
      <c r="O681">
        <f t="shared" si="66"/>
        <v>2026</v>
      </c>
    </row>
    <row r="682" spans="1:15" x14ac:dyDescent="0.3">
      <c r="A682">
        <v>203882</v>
      </c>
      <c r="B682" t="s">
        <v>72</v>
      </c>
      <c r="C682" s="2">
        <v>46070</v>
      </c>
      <c r="D682" s="2">
        <f t="shared" si="64"/>
        <v>46100</v>
      </c>
      <c r="E682" s="1">
        <f>D682+1</f>
        <v>46101</v>
      </c>
      <c r="F682">
        <v>11605</v>
      </c>
      <c r="G682">
        <v>30</v>
      </c>
      <c r="H682">
        <f t="shared" si="69"/>
        <v>0</v>
      </c>
      <c r="I682" t="str">
        <f t="shared" si="67"/>
        <v>On Time</v>
      </c>
      <c r="J682" cm="1">
        <f t="array" ref="J682">_xlfn.IFS(H682&lt;30,0,H682&lt;60,1,H682&lt;90,2,H682&lt;120,3)</f>
        <v>0</v>
      </c>
      <c r="M682" t="str">
        <f t="shared" si="68"/>
        <v>Low</v>
      </c>
      <c r="N682" t="str">
        <f t="shared" si="65"/>
        <v>Feb</v>
      </c>
      <c r="O682">
        <f t="shared" si="66"/>
        <v>2026</v>
      </c>
    </row>
    <row r="683" spans="1:15" x14ac:dyDescent="0.3">
      <c r="A683">
        <v>203883</v>
      </c>
      <c r="B683" t="s">
        <v>73</v>
      </c>
      <c r="C683" s="2">
        <v>46070</v>
      </c>
      <c r="D683" s="2">
        <f t="shared" si="64"/>
        <v>46115</v>
      </c>
      <c r="E683" s="1">
        <f>D683</f>
        <v>46115</v>
      </c>
      <c r="F683">
        <v>2015</v>
      </c>
      <c r="G683">
        <v>45</v>
      </c>
      <c r="H683">
        <f t="shared" si="69"/>
        <v>0</v>
      </c>
      <c r="I683" t="str">
        <f t="shared" si="67"/>
        <v>On Time</v>
      </c>
      <c r="J683" cm="1">
        <f t="array" ref="J683">_xlfn.IFS(H683&lt;30,0,H683&lt;60,1,H683&lt;90,2,H683&lt;120,3)</f>
        <v>0</v>
      </c>
      <c r="M683" t="str">
        <f t="shared" si="68"/>
        <v>Low</v>
      </c>
      <c r="N683" t="str">
        <f t="shared" si="65"/>
        <v>Feb</v>
      </c>
      <c r="O683">
        <f t="shared" si="66"/>
        <v>2026</v>
      </c>
    </row>
    <row r="684" spans="1:15" x14ac:dyDescent="0.3">
      <c r="A684">
        <v>203884</v>
      </c>
      <c r="B684" t="s">
        <v>74</v>
      </c>
      <c r="C684" s="2">
        <v>46070</v>
      </c>
      <c r="D684" s="2">
        <f t="shared" si="64"/>
        <v>46115</v>
      </c>
      <c r="E684" s="1">
        <f>D684</f>
        <v>46115</v>
      </c>
      <c r="F684">
        <v>15350</v>
      </c>
      <c r="G684">
        <v>45</v>
      </c>
      <c r="H684">
        <f t="shared" si="69"/>
        <v>0</v>
      </c>
      <c r="I684" t="str">
        <f t="shared" si="67"/>
        <v>On Time</v>
      </c>
      <c r="J684" cm="1">
        <f t="array" ref="J684">_xlfn.IFS(H684&lt;30,0,H684&lt;60,1,H684&lt;90,2,H684&lt;120,3)</f>
        <v>0</v>
      </c>
      <c r="M684" t="str">
        <f t="shared" si="68"/>
        <v>Low</v>
      </c>
      <c r="N684" t="str">
        <f t="shared" si="65"/>
        <v>Feb</v>
      </c>
      <c r="O684">
        <f t="shared" si="66"/>
        <v>2026</v>
      </c>
    </row>
    <row r="685" spans="1:15" x14ac:dyDescent="0.3">
      <c r="A685">
        <v>203885</v>
      </c>
      <c r="B685" t="s">
        <v>75</v>
      </c>
      <c r="C685" s="2">
        <v>46070</v>
      </c>
      <c r="D685" s="2">
        <f t="shared" si="64"/>
        <v>46130</v>
      </c>
      <c r="E685" s="1">
        <f>D685+5</f>
        <v>46135</v>
      </c>
      <c r="F685">
        <v>3217</v>
      </c>
      <c r="G685">
        <v>60</v>
      </c>
      <c r="H685">
        <f t="shared" si="69"/>
        <v>0</v>
      </c>
      <c r="I685" t="str">
        <f t="shared" si="67"/>
        <v>On Time</v>
      </c>
      <c r="J685" cm="1">
        <f t="array" ref="J685">_xlfn.IFS(H685&lt;30,0,H685&lt;60,1,H685&lt;90,2,H685&lt;120,3)</f>
        <v>0</v>
      </c>
      <c r="M685" t="str">
        <f t="shared" si="68"/>
        <v>Low</v>
      </c>
      <c r="N685" t="str">
        <f t="shared" si="65"/>
        <v>Feb</v>
      </c>
      <c r="O685">
        <f t="shared" si="66"/>
        <v>2026</v>
      </c>
    </row>
    <row r="686" spans="1:15" x14ac:dyDescent="0.3">
      <c r="A686">
        <v>203886</v>
      </c>
      <c r="B686" t="s">
        <v>76</v>
      </c>
      <c r="C686" s="2">
        <v>46070</v>
      </c>
      <c r="D686" s="2">
        <f t="shared" si="64"/>
        <v>46100</v>
      </c>
      <c r="E686" s="1">
        <f>D686+2</f>
        <v>46102</v>
      </c>
      <c r="F686">
        <v>3685</v>
      </c>
      <c r="G686">
        <v>30</v>
      </c>
      <c r="H686">
        <f t="shared" si="69"/>
        <v>0</v>
      </c>
      <c r="I686" t="str">
        <f t="shared" si="67"/>
        <v>On Time</v>
      </c>
      <c r="J686" cm="1">
        <f t="array" ref="J686">_xlfn.IFS(H686&lt;30,0,H686&lt;60,1,H686&lt;90,2,H686&lt;120,3)</f>
        <v>0</v>
      </c>
      <c r="M686" t="str">
        <f t="shared" si="68"/>
        <v>Low</v>
      </c>
      <c r="N686" t="str">
        <f t="shared" si="65"/>
        <v>Feb</v>
      </c>
      <c r="O686">
        <f t="shared" si="66"/>
        <v>2026</v>
      </c>
    </row>
    <row r="687" spans="1:15" x14ac:dyDescent="0.3">
      <c r="A687">
        <v>203887</v>
      </c>
      <c r="B687" t="s">
        <v>44</v>
      </c>
      <c r="C687" s="2">
        <v>46070</v>
      </c>
      <c r="D687" s="2">
        <f t="shared" si="64"/>
        <v>46115</v>
      </c>
      <c r="E687" s="1">
        <f>D687</f>
        <v>46115</v>
      </c>
      <c r="F687">
        <v>4155</v>
      </c>
      <c r="G687">
        <v>45</v>
      </c>
      <c r="H687">
        <f t="shared" si="69"/>
        <v>0</v>
      </c>
      <c r="I687" t="str">
        <f t="shared" si="67"/>
        <v>On Time</v>
      </c>
      <c r="J687" cm="1">
        <f t="array" ref="J687">_xlfn.IFS(H687&lt;30,0,H687&lt;60,1,H687&lt;90,2,H687&lt;120,3)</f>
        <v>0</v>
      </c>
      <c r="M687" t="str">
        <f t="shared" si="68"/>
        <v>Low</v>
      </c>
      <c r="N687" t="str">
        <f t="shared" si="65"/>
        <v>Feb</v>
      </c>
      <c r="O687">
        <f t="shared" si="66"/>
        <v>2026</v>
      </c>
    </row>
    <row r="688" spans="1:15" x14ac:dyDescent="0.3">
      <c r="A688">
        <v>203888</v>
      </c>
      <c r="B688" t="s">
        <v>45</v>
      </c>
      <c r="C688" s="2">
        <v>46070</v>
      </c>
      <c r="D688" s="2">
        <f t="shared" si="64"/>
        <v>46115</v>
      </c>
      <c r="E688" s="1">
        <f>D688</f>
        <v>46115</v>
      </c>
      <c r="F688">
        <v>3702</v>
      </c>
      <c r="G688">
        <v>45</v>
      </c>
      <c r="H688">
        <f t="shared" si="69"/>
        <v>0</v>
      </c>
      <c r="I688" t="str">
        <f t="shared" si="67"/>
        <v>On Time</v>
      </c>
      <c r="J688" cm="1">
        <f t="array" ref="J688">_xlfn.IFS(H688&lt;30,0,H688&lt;60,1,H688&lt;90,2,H688&lt;120,3)</f>
        <v>0</v>
      </c>
      <c r="M688" t="str">
        <f t="shared" si="68"/>
        <v>Low</v>
      </c>
      <c r="N688" t="str">
        <f t="shared" si="65"/>
        <v>Feb</v>
      </c>
      <c r="O688">
        <f t="shared" si="66"/>
        <v>2026</v>
      </c>
    </row>
    <row r="689" spans="1:15" x14ac:dyDescent="0.3">
      <c r="A689">
        <v>203849</v>
      </c>
      <c r="B689" t="s">
        <v>44</v>
      </c>
      <c r="C689" s="2">
        <v>46069</v>
      </c>
      <c r="D689" s="2">
        <f t="shared" si="64"/>
        <v>46114</v>
      </c>
      <c r="E689" s="1">
        <f>D689+1</f>
        <v>46115</v>
      </c>
      <c r="F689">
        <v>4563</v>
      </c>
      <c r="G689">
        <v>45</v>
      </c>
      <c r="H689">
        <f t="shared" si="69"/>
        <v>0</v>
      </c>
      <c r="I689" t="str">
        <f t="shared" si="67"/>
        <v>On Time</v>
      </c>
      <c r="J689" cm="1">
        <f t="array" ref="J689">_xlfn.IFS(H689&lt;30,0,H689&lt;60,1,H689&lt;90,2,H689&lt;120,3)</f>
        <v>0</v>
      </c>
      <c r="M689" t="str">
        <f t="shared" si="68"/>
        <v>Low</v>
      </c>
      <c r="N689" t="str">
        <f t="shared" si="65"/>
        <v>Feb</v>
      </c>
      <c r="O689">
        <f t="shared" si="66"/>
        <v>2026</v>
      </c>
    </row>
    <row r="690" spans="1:15" x14ac:dyDescent="0.3">
      <c r="A690">
        <v>203850</v>
      </c>
      <c r="B690" t="s">
        <v>45</v>
      </c>
      <c r="C690" s="2">
        <v>46069</v>
      </c>
      <c r="D690" s="2">
        <f t="shared" si="64"/>
        <v>46114</v>
      </c>
      <c r="E690" s="1">
        <f>D690</f>
        <v>46114</v>
      </c>
      <c r="F690">
        <v>3843</v>
      </c>
      <c r="G690">
        <v>45</v>
      </c>
      <c r="H690">
        <f t="shared" si="69"/>
        <v>0</v>
      </c>
      <c r="I690" t="str">
        <f t="shared" si="67"/>
        <v>On Time</v>
      </c>
      <c r="J690" cm="1">
        <f t="array" ref="J690">_xlfn.IFS(H690&lt;30,0,H690&lt;60,1,H690&lt;90,2,H690&lt;120,3)</f>
        <v>0</v>
      </c>
      <c r="M690" t="str">
        <f t="shared" si="68"/>
        <v>Low</v>
      </c>
      <c r="N690" t="str">
        <f t="shared" si="65"/>
        <v>Feb</v>
      </c>
      <c r="O690">
        <f t="shared" si="66"/>
        <v>2026</v>
      </c>
    </row>
    <row r="691" spans="1:15" x14ac:dyDescent="0.3">
      <c r="A691">
        <v>203851</v>
      </c>
      <c r="B691" t="s">
        <v>46</v>
      </c>
      <c r="C691" s="2">
        <v>46069</v>
      </c>
      <c r="D691" s="2">
        <f t="shared" si="64"/>
        <v>46129</v>
      </c>
      <c r="E691" s="1">
        <f>D691</f>
        <v>46129</v>
      </c>
      <c r="F691">
        <v>4304</v>
      </c>
      <c r="G691">
        <v>60</v>
      </c>
      <c r="H691">
        <f t="shared" si="69"/>
        <v>0</v>
      </c>
      <c r="I691" t="str">
        <f t="shared" si="67"/>
        <v>On Time</v>
      </c>
      <c r="J691" cm="1">
        <f t="array" ref="J691">_xlfn.IFS(H691&lt;30,0,H691&lt;60,1,H691&lt;90,2,H691&lt;120,3)</f>
        <v>0</v>
      </c>
      <c r="M691" t="str">
        <f t="shared" si="68"/>
        <v>Low</v>
      </c>
      <c r="N691" t="str">
        <f t="shared" si="65"/>
        <v>Feb</v>
      </c>
      <c r="O691">
        <f t="shared" si="66"/>
        <v>2026</v>
      </c>
    </row>
    <row r="692" spans="1:15" x14ac:dyDescent="0.3">
      <c r="A692">
        <v>203852</v>
      </c>
      <c r="B692" t="s">
        <v>114</v>
      </c>
      <c r="C692" s="2">
        <v>46069</v>
      </c>
      <c r="D692" s="2">
        <f t="shared" si="64"/>
        <v>46099</v>
      </c>
      <c r="E692" s="1">
        <f>D692+5</f>
        <v>46104</v>
      </c>
      <c r="F692">
        <v>2178</v>
      </c>
      <c r="G692">
        <v>30</v>
      </c>
      <c r="H692">
        <f t="shared" si="69"/>
        <v>0</v>
      </c>
      <c r="I692" t="str">
        <f t="shared" si="67"/>
        <v>On Time</v>
      </c>
      <c r="J692" cm="1">
        <f t="array" ref="J692">_xlfn.IFS(H692&lt;30,0,H692&lt;60,1,H692&lt;90,2,H692&lt;120,3)</f>
        <v>0</v>
      </c>
      <c r="M692" t="str">
        <f t="shared" si="68"/>
        <v>Low</v>
      </c>
      <c r="N692" t="str">
        <f t="shared" si="65"/>
        <v>Feb</v>
      </c>
      <c r="O692">
        <f t="shared" si="66"/>
        <v>2026</v>
      </c>
    </row>
    <row r="693" spans="1:15" x14ac:dyDescent="0.3">
      <c r="A693">
        <v>203853</v>
      </c>
      <c r="B693" t="s">
        <v>115</v>
      </c>
      <c r="C693" s="2">
        <v>46069</v>
      </c>
      <c r="D693" s="2">
        <f t="shared" si="64"/>
        <v>46099</v>
      </c>
      <c r="E693" s="1">
        <f>D693+2</f>
        <v>46101</v>
      </c>
      <c r="F693">
        <v>1538</v>
      </c>
      <c r="G693">
        <v>30</v>
      </c>
      <c r="H693">
        <f t="shared" si="69"/>
        <v>0</v>
      </c>
      <c r="I693" t="str">
        <f t="shared" si="67"/>
        <v>On Time</v>
      </c>
      <c r="J693" cm="1">
        <f t="array" ref="J693">_xlfn.IFS(H693&lt;30,0,H693&lt;60,1,H693&lt;90,2,H693&lt;120,3)</f>
        <v>0</v>
      </c>
      <c r="M693" t="str">
        <f t="shared" si="68"/>
        <v>Low</v>
      </c>
      <c r="N693" t="str">
        <f t="shared" si="65"/>
        <v>Feb</v>
      </c>
      <c r="O693">
        <f t="shared" si="66"/>
        <v>2026</v>
      </c>
    </row>
    <row r="694" spans="1:15" x14ac:dyDescent="0.3">
      <c r="A694">
        <v>203854</v>
      </c>
      <c r="B694" t="s">
        <v>116</v>
      </c>
      <c r="C694" s="2">
        <v>46069</v>
      </c>
      <c r="D694" s="2">
        <f t="shared" si="64"/>
        <v>46099</v>
      </c>
      <c r="E694" s="1">
        <f>D694+5</f>
        <v>46104</v>
      </c>
      <c r="F694">
        <v>1862</v>
      </c>
      <c r="G694">
        <v>30</v>
      </c>
      <c r="H694">
        <f t="shared" si="69"/>
        <v>0</v>
      </c>
      <c r="I694" t="str">
        <f t="shared" si="67"/>
        <v>On Time</v>
      </c>
      <c r="J694" cm="1">
        <f t="array" ref="J694">_xlfn.IFS(H694&lt;30,0,H694&lt;60,1,H694&lt;90,2,H694&lt;120,3)</f>
        <v>0</v>
      </c>
      <c r="M694" t="str">
        <f t="shared" si="68"/>
        <v>Low</v>
      </c>
      <c r="N694" t="str">
        <f t="shared" si="65"/>
        <v>Feb</v>
      </c>
      <c r="O694">
        <f t="shared" si="66"/>
        <v>2026</v>
      </c>
    </row>
    <row r="695" spans="1:15" x14ac:dyDescent="0.3">
      <c r="A695">
        <v>203855</v>
      </c>
      <c r="B695" t="s">
        <v>117</v>
      </c>
      <c r="C695" s="2">
        <v>46069</v>
      </c>
      <c r="D695" s="2">
        <f t="shared" si="64"/>
        <v>46099</v>
      </c>
      <c r="E695" s="1">
        <f>D695</f>
        <v>46099</v>
      </c>
      <c r="F695">
        <v>2956</v>
      </c>
      <c r="G695">
        <v>30</v>
      </c>
      <c r="H695">
        <f t="shared" si="69"/>
        <v>0</v>
      </c>
      <c r="I695" t="str">
        <f t="shared" si="67"/>
        <v>On Time</v>
      </c>
      <c r="J695" cm="1">
        <f t="array" ref="J695">_xlfn.IFS(H695&lt;30,0,H695&lt;60,1,H695&lt;90,2,H695&lt;120,3)</f>
        <v>0</v>
      </c>
      <c r="M695" t="str">
        <f t="shared" si="68"/>
        <v>Low</v>
      </c>
      <c r="N695" t="str">
        <f t="shared" si="65"/>
        <v>Feb</v>
      </c>
      <c r="O695">
        <f t="shared" si="66"/>
        <v>2026</v>
      </c>
    </row>
    <row r="696" spans="1:15" x14ac:dyDescent="0.3">
      <c r="A696">
        <v>203856</v>
      </c>
      <c r="B696" t="s">
        <v>118</v>
      </c>
      <c r="C696" s="2">
        <v>46069</v>
      </c>
      <c r="D696" s="2">
        <f t="shared" si="64"/>
        <v>46099</v>
      </c>
      <c r="E696" s="1">
        <f>D696</f>
        <v>46099</v>
      </c>
      <c r="F696">
        <v>2538</v>
      </c>
      <c r="G696">
        <v>30</v>
      </c>
      <c r="H696">
        <f t="shared" si="69"/>
        <v>0</v>
      </c>
      <c r="I696" t="str">
        <f t="shared" si="67"/>
        <v>On Time</v>
      </c>
      <c r="J696" cm="1">
        <f t="array" ref="J696">_xlfn.IFS(H696&lt;30,0,H696&lt;60,1,H696&lt;90,2,H696&lt;120,3)</f>
        <v>0</v>
      </c>
      <c r="M696" t="str">
        <f t="shared" si="68"/>
        <v>Low</v>
      </c>
      <c r="N696" t="str">
        <f t="shared" si="65"/>
        <v>Feb</v>
      </c>
      <c r="O696">
        <f t="shared" si="66"/>
        <v>2026</v>
      </c>
    </row>
    <row r="697" spans="1:15" x14ac:dyDescent="0.3">
      <c r="A697">
        <v>203857</v>
      </c>
      <c r="B697" t="s">
        <v>119</v>
      </c>
      <c r="C697" s="2">
        <v>46069</v>
      </c>
      <c r="D697" s="2">
        <f t="shared" si="64"/>
        <v>46099</v>
      </c>
      <c r="E697" s="1">
        <f>D697+60</f>
        <v>46159</v>
      </c>
      <c r="F697">
        <v>4907</v>
      </c>
      <c r="G697">
        <v>30</v>
      </c>
      <c r="H697">
        <f t="shared" si="69"/>
        <v>0</v>
      </c>
      <c r="I697" t="str">
        <f t="shared" si="67"/>
        <v>On Time</v>
      </c>
      <c r="J697" cm="1">
        <f t="array" ref="J697">_xlfn.IFS(H697&lt;30,0,H697&lt;60,1,H697&lt;90,2,H697&lt;120,3)</f>
        <v>0</v>
      </c>
      <c r="M697" t="str">
        <f t="shared" si="68"/>
        <v>Low</v>
      </c>
      <c r="N697" t="str">
        <f t="shared" si="65"/>
        <v>Feb</v>
      </c>
      <c r="O697">
        <f t="shared" si="66"/>
        <v>2026</v>
      </c>
    </row>
    <row r="698" spans="1:15" x14ac:dyDescent="0.3">
      <c r="A698">
        <v>203858</v>
      </c>
      <c r="B698" t="s">
        <v>100</v>
      </c>
      <c r="C698" s="2">
        <v>46069</v>
      </c>
      <c r="D698" s="2">
        <f t="shared" si="64"/>
        <v>46099</v>
      </c>
      <c r="E698" s="1">
        <f>D698</f>
        <v>46099</v>
      </c>
      <c r="F698">
        <v>4185</v>
      </c>
      <c r="G698">
        <v>30</v>
      </c>
      <c r="H698">
        <f t="shared" si="69"/>
        <v>0</v>
      </c>
      <c r="I698" t="str">
        <f t="shared" si="67"/>
        <v>On Time</v>
      </c>
      <c r="J698" cm="1">
        <f t="array" ref="J698">_xlfn.IFS(H698&lt;30,0,H698&lt;60,1,H698&lt;90,2,H698&lt;120,3)</f>
        <v>0</v>
      </c>
      <c r="M698" t="str">
        <f t="shared" si="68"/>
        <v>Low</v>
      </c>
      <c r="N698" t="str">
        <f t="shared" si="65"/>
        <v>Feb</v>
      </c>
      <c r="O698">
        <f t="shared" si="66"/>
        <v>2026</v>
      </c>
    </row>
    <row r="699" spans="1:15" x14ac:dyDescent="0.3">
      <c r="A699">
        <v>203859</v>
      </c>
      <c r="B699" t="s">
        <v>101</v>
      </c>
      <c r="C699" s="2">
        <v>46069</v>
      </c>
      <c r="D699" s="2">
        <f t="shared" si="64"/>
        <v>46099</v>
      </c>
      <c r="F699">
        <v>1671</v>
      </c>
      <c r="G699">
        <v>30</v>
      </c>
      <c r="H699">
        <f t="shared" si="69"/>
        <v>0</v>
      </c>
      <c r="I699" t="str">
        <f t="shared" si="67"/>
        <v>On Time</v>
      </c>
      <c r="J699" cm="1">
        <f t="array" ref="J699">_xlfn.IFS(H699&lt;30,0,H699&lt;60,1,H699&lt;90,2,H699&lt;120,3)</f>
        <v>0</v>
      </c>
      <c r="M699" t="str">
        <f t="shared" si="68"/>
        <v>Low</v>
      </c>
      <c r="N699" t="str">
        <f t="shared" si="65"/>
        <v>Feb</v>
      </c>
      <c r="O699">
        <f t="shared" si="66"/>
        <v>2026</v>
      </c>
    </row>
    <row r="700" spans="1:15" x14ac:dyDescent="0.3">
      <c r="A700">
        <v>203860</v>
      </c>
      <c r="B700" t="s">
        <v>102</v>
      </c>
      <c r="C700" s="2">
        <v>46069</v>
      </c>
      <c r="D700" s="2">
        <f t="shared" si="64"/>
        <v>46099</v>
      </c>
      <c r="E700" s="1">
        <f>D700+3</f>
        <v>46102</v>
      </c>
      <c r="F700">
        <v>11624</v>
      </c>
      <c r="G700">
        <v>30</v>
      </c>
      <c r="H700">
        <f t="shared" si="69"/>
        <v>0</v>
      </c>
      <c r="I700" t="str">
        <f t="shared" si="67"/>
        <v>On Time</v>
      </c>
      <c r="J700" cm="1">
        <f t="array" ref="J700">_xlfn.IFS(H700&lt;30,0,H700&lt;60,1,H700&lt;90,2,H700&lt;120,3)</f>
        <v>0</v>
      </c>
      <c r="M700" t="str">
        <f t="shared" si="68"/>
        <v>Low</v>
      </c>
      <c r="N700" t="str">
        <f t="shared" si="65"/>
        <v>Feb</v>
      </c>
      <c r="O700">
        <f t="shared" si="66"/>
        <v>2026</v>
      </c>
    </row>
    <row r="701" spans="1:15" x14ac:dyDescent="0.3">
      <c r="A701">
        <v>203861</v>
      </c>
      <c r="B701" t="s">
        <v>103</v>
      </c>
      <c r="C701" s="2">
        <v>46069</v>
      </c>
      <c r="D701" s="2">
        <f t="shared" si="64"/>
        <v>46099</v>
      </c>
      <c r="E701" s="1">
        <f>D701+1</f>
        <v>46100</v>
      </c>
      <c r="F701">
        <v>561</v>
      </c>
      <c r="G701">
        <v>30</v>
      </c>
      <c r="H701">
        <f t="shared" si="69"/>
        <v>0</v>
      </c>
      <c r="I701" t="str">
        <f t="shared" si="67"/>
        <v>On Time</v>
      </c>
      <c r="J701" cm="1">
        <f t="array" ref="J701">_xlfn.IFS(H701&lt;30,0,H701&lt;60,1,H701&lt;90,2,H701&lt;120,3)</f>
        <v>0</v>
      </c>
      <c r="M701" t="str">
        <f t="shared" si="68"/>
        <v>Low</v>
      </c>
      <c r="N701" t="str">
        <f t="shared" si="65"/>
        <v>Feb</v>
      </c>
      <c r="O701">
        <f t="shared" si="66"/>
        <v>2026</v>
      </c>
    </row>
    <row r="702" spans="1:15" x14ac:dyDescent="0.3">
      <c r="A702">
        <v>203862</v>
      </c>
      <c r="B702" t="s">
        <v>104</v>
      </c>
      <c r="C702" s="2">
        <v>46069</v>
      </c>
      <c r="D702" s="2">
        <f t="shared" si="64"/>
        <v>46099</v>
      </c>
      <c r="E702" s="1">
        <f>D702-1</f>
        <v>46098</v>
      </c>
      <c r="F702">
        <v>3829</v>
      </c>
      <c r="G702">
        <v>30</v>
      </c>
      <c r="H702">
        <f t="shared" si="69"/>
        <v>0</v>
      </c>
      <c r="I702" t="str">
        <f t="shared" si="67"/>
        <v>On Time</v>
      </c>
      <c r="J702" cm="1">
        <f t="array" ref="J702">_xlfn.IFS(H702&lt;30,0,H702&lt;60,1,H702&lt;90,2,H702&lt;120,3)</f>
        <v>0</v>
      </c>
      <c r="M702" t="str">
        <f t="shared" si="68"/>
        <v>Low</v>
      </c>
      <c r="N702" t="str">
        <f t="shared" si="65"/>
        <v>Feb</v>
      </c>
      <c r="O702">
        <f t="shared" si="66"/>
        <v>2026</v>
      </c>
    </row>
    <row r="703" spans="1:15" x14ac:dyDescent="0.3">
      <c r="A703">
        <v>203863</v>
      </c>
      <c r="B703" t="s">
        <v>105</v>
      </c>
      <c r="C703" s="2">
        <v>46069</v>
      </c>
      <c r="D703" s="2">
        <f t="shared" si="64"/>
        <v>46099</v>
      </c>
      <c r="E703" s="1">
        <f>D703</f>
        <v>46099</v>
      </c>
      <c r="F703">
        <v>792</v>
      </c>
      <c r="G703">
        <v>30</v>
      </c>
      <c r="H703">
        <f t="shared" si="69"/>
        <v>0</v>
      </c>
      <c r="I703" t="str">
        <f t="shared" si="67"/>
        <v>On Time</v>
      </c>
      <c r="J703" cm="1">
        <f t="array" ref="J703">_xlfn.IFS(H703&lt;30,0,H703&lt;60,1,H703&lt;90,2,H703&lt;120,3)</f>
        <v>0</v>
      </c>
      <c r="M703" t="str">
        <f t="shared" si="68"/>
        <v>Low</v>
      </c>
      <c r="N703" t="str">
        <f t="shared" si="65"/>
        <v>Feb</v>
      </c>
      <c r="O703">
        <f t="shared" si="66"/>
        <v>2026</v>
      </c>
    </row>
    <row r="704" spans="1:15" x14ac:dyDescent="0.3">
      <c r="A704">
        <v>203864</v>
      </c>
      <c r="B704" t="s">
        <v>106</v>
      </c>
      <c r="C704" s="2">
        <v>46069</v>
      </c>
      <c r="D704" s="2">
        <f t="shared" si="64"/>
        <v>46099</v>
      </c>
      <c r="E704" s="1">
        <f>D704-5</f>
        <v>46094</v>
      </c>
      <c r="F704">
        <v>2193</v>
      </c>
      <c r="G704">
        <v>30</v>
      </c>
      <c r="H704">
        <f t="shared" si="69"/>
        <v>0</v>
      </c>
      <c r="I704" t="str">
        <f t="shared" si="67"/>
        <v>On Time</v>
      </c>
      <c r="J704" cm="1">
        <f t="array" ref="J704">_xlfn.IFS(H704&lt;30,0,H704&lt;60,1,H704&lt;90,2,H704&lt;120,3)</f>
        <v>0</v>
      </c>
      <c r="M704" t="str">
        <f t="shared" si="68"/>
        <v>Low</v>
      </c>
      <c r="N704" t="str">
        <f t="shared" si="65"/>
        <v>Feb</v>
      </c>
      <c r="O704">
        <f t="shared" si="66"/>
        <v>2026</v>
      </c>
    </row>
    <row r="705" spans="1:15" x14ac:dyDescent="0.3">
      <c r="A705">
        <v>203865</v>
      </c>
      <c r="B705" t="s">
        <v>107</v>
      </c>
      <c r="C705" s="2">
        <v>46069</v>
      </c>
      <c r="D705" s="2">
        <f t="shared" si="64"/>
        <v>46099</v>
      </c>
      <c r="E705" s="1">
        <f>D705+35</f>
        <v>46134</v>
      </c>
      <c r="F705">
        <v>2555</v>
      </c>
      <c r="G705">
        <v>30</v>
      </c>
      <c r="H705">
        <f t="shared" si="69"/>
        <v>0</v>
      </c>
      <c r="I705" t="str">
        <f t="shared" si="67"/>
        <v>On Time</v>
      </c>
      <c r="J705" cm="1">
        <f t="array" ref="J705">_xlfn.IFS(H705&lt;30,0,H705&lt;60,1,H705&lt;90,2,H705&lt;120,3)</f>
        <v>0</v>
      </c>
      <c r="M705" t="str">
        <f t="shared" si="68"/>
        <v>Low</v>
      </c>
      <c r="N705" t="str">
        <f t="shared" si="65"/>
        <v>Feb</v>
      </c>
      <c r="O705">
        <f t="shared" si="66"/>
        <v>2026</v>
      </c>
    </row>
    <row r="706" spans="1:15" x14ac:dyDescent="0.3">
      <c r="A706">
        <v>203866</v>
      </c>
      <c r="B706" t="s">
        <v>108</v>
      </c>
      <c r="C706" s="2">
        <v>46069</v>
      </c>
      <c r="D706" s="2">
        <f t="shared" ref="D706:D769" si="70">C706+G706</f>
        <v>46099</v>
      </c>
      <c r="E706" s="1">
        <f>D706+75</f>
        <v>46174</v>
      </c>
      <c r="F706">
        <v>1881</v>
      </c>
      <c r="G706">
        <v>30</v>
      </c>
      <c r="H706">
        <f t="shared" si="69"/>
        <v>0</v>
      </c>
      <c r="I706" t="str">
        <f t="shared" si="67"/>
        <v>On Time</v>
      </c>
      <c r="J706" cm="1">
        <f t="array" ref="J706">_xlfn.IFS(H706&lt;30,0,H706&lt;60,1,H706&lt;90,2,H706&lt;120,3)</f>
        <v>0</v>
      </c>
      <c r="M706" t="str">
        <f t="shared" si="68"/>
        <v>Low</v>
      </c>
      <c r="N706" t="str">
        <f t="shared" ref="N706:N769" si="71">TEXT(C706,"mmm")</f>
        <v>Feb</v>
      </c>
      <c r="O706">
        <f t="shared" ref="O706:O769" si="72">YEAR(C706)</f>
        <v>2026</v>
      </c>
    </row>
    <row r="707" spans="1:15" x14ac:dyDescent="0.3">
      <c r="A707">
        <v>203867</v>
      </c>
      <c r="B707" t="s">
        <v>85</v>
      </c>
      <c r="C707" s="2">
        <v>46069</v>
      </c>
      <c r="D707" s="2">
        <f t="shared" si="70"/>
        <v>46129</v>
      </c>
      <c r="E707" s="1">
        <f>D707+5</f>
        <v>46134</v>
      </c>
      <c r="F707">
        <v>638</v>
      </c>
      <c r="G707">
        <v>60</v>
      </c>
      <c r="H707">
        <f t="shared" si="69"/>
        <v>0</v>
      </c>
      <c r="I707" t="str">
        <f t="shared" si="67"/>
        <v>On Time</v>
      </c>
      <c r="J707" cm="1">
        <f t="array" ref="J707">_xlfn.IFS(H707&lt;30,0,H707&lt;60,1,H707&lt;90,2,H707&lt;120,3)</f>
        <v>0</v>
      </c>
      <c r="M707" t="str">
        <f t="shared" si="68"/>
        <v>Low</v>
      </c>
      <c r="N707" t="str">
        <f t="shared" si="71"/>
        <v>Feb</v>
      </c>
      <c r="O707">
        <f t="shared" si="72"/>
        <v>2026</v>
      </c>
    </row>
    <row r="708" spans="1:15" x14ac:dyDescent="0.3">
      <c r="A708">
        <v>203868</v>
      </c>
      <c r="B708" t="s">
        <v>86</v>
      </c>
      <c r="C708" s="2">
        <v>46069</v>
      </c>
      <c r="D708" s="2">
        <f t="shared" si="70"/>
        <v>46099</v>
      </c>
      <c r="E708" s="1">
        <f>D708</f>
        <v>46099</v>
      </c>
      <c r="F708">
        <v>3448</v>
      </c>
      <c r="G708">
        <v>30</v>
      </c>
      <c r="H708">
        <f t="shared" si="69"/>
        <v>0</v>
      </c>
      <c r="I708" t="str">
        <f t="shared" si="67"/>
        <v>On Time</v>
      </c>
      <c r="J708" cm="1">
        <f t="array" ref="J708">_xlfn.IFS(H708&lt;30,0,H708&lt;60,1,H708&lt;90,2,H708&lt;120,3)</f>
        <v>0</v>
      </c>
      <c r="M708" t="str">
        <f t="shared" si="68"/>
        <v>Low</v>
      </c>
      <c r="N708" t="str">
        <f t="shared" si="71"/>
        <v>Feb</v>
      </c>
      <c r="O708">
        <f t="shared" si="72"/>
        <v>2026</v>
      </c>
    </row>
    <row r="709" spans="1:15" x14ac:dyDescent="0.3">
      <c r="A709">
        <v>203828</v>
      </c>
      <c r="B709" t="s">
        <v>118</v>
      </c>
      <c r="C709" s="2">
        <v>46066</v>
      </c>
      <c r="D709" s="2">
        <f t="shared" si="70"/>
        <v>46096</v>
      </c>
      <c r="E709" s="1">
        <f>D709+1</f>
        <v>46097</v>
      </c>
      <c r="F709">
        <v>1791</v>
      </c>
      <c r="G709">
        <v>30</v>
      </c>
      <c r="H709">
        <f t="shared" si="69"/>
        <v>0</v>
      </c>
      <c r="I709" t="str">
        <f t="shared" si="67"/>
        <v>On Time</v>
      </c>
      <c r="J709" cm="1">
        <f t="array" ref="J709">_xlfn.IFS(H709&lt;30,0,H709&lt;60,1,H709&lt;90,2,H709&lt;120,3)</f>
        <v>0</v>
      </c>
      <c r="M709" t="str">
        <f t="shared" si="68"/>
        <v>Low</v>
      </c>
      <c r="N709" t="str">
        <f t="shared" si="71"/>
        <v>Feb</v>
      </c>
      <c r="O709">
        <f t="shared" si="72"/>
        <v>2026</v>
      </c>
    </row>
    <row r="710" spans="1:15" x14ac:dyDescent="0.3">
      <c r="A710">
        <v>203829</v>
      </c>
      <c r="B710" t="s">
        <v>119</v>
      </c>
      <c r="C710" s="2">
        <v>46066</v>
      </c>
      <c r="D710" s="2">
        <f t="shared" si="70"/>
        <v>46096</v>
      </c>
      <c r="E710" s="1">
        <f>D710-1</f>
        <v>46095</v>
      </c>
      <c r="F710">
        <v>4776</v>
      </c>
      <c r="G710">
        <v>30</v>
      </c>
      <c r="H710">
        <f t="shared" si="69"/>
        <v>0</v>
      </c>
      <c r="I710" t="str">
        <f t="shared" si="67"/>
        <v>On Time</v>
      </c>
      <c r="J710" cm="1">
        <f t="array" ref="J710">_xlfn.IFS(H710&lt;30,0,H710&lt;60,1,H710&lt;90,2,H710&lt;120,3)</f>
        <v>0</v>
      </c>
      <c r="M710" t="str">
        <f t="shared" si="68"/>
        <v>Low</v>
      </c>
      <c r="N710" t="str">
        <f t="shared" si="71"/>
        <v>Feb</v>
      </c>
      <c r="O710">
        <f t="shared" si="72"/>
        <v>2026</v>
      </c>
    </row>
    <row r="711" spans="1:15" x14ac:dyDescent="0.3">
      <c r="A711">
        <v>203830</v>
      </c>
      <c r="B711" t="s">
        <v>31</v>
      </c>
      <c r="C711" s="2">
        <v>46066</v>
      </c>
      <c r="D711" s="2">
        <f t="shared" si="70"/>
        <v>46111</v>
      </c>
      <c r="E711" s="1">
        <f>D711</f>
        <v>46111</v>
      </c>
      <c r="F711">
        <v>1802</v>
      </c>
      <c r="G711">
        <v>45</v>
      </c>
      <c r="H711">
        <f t="shared" si="69"/>
        <v>0</v>
      </c>
      <c r="I711" t="str">
        <f t="shared" si="67"/>
        <v>On Time</v>
      </c>
      <c r="J711" cm="1">
        <f t="array" ref="J711">_xlfn.IFS(H711&lt;30,0,H711&lt;60,1,H711&lt;90,2,H711&lt;120,3)</f>
        <v>0</v>
      </c>
      <c r="M711" t="str">
        <f t="shared" si="68"/>
        <v>Low</v>
      </c>
      <c r="N711" t="str">
        <f t="shared" si="71"/>
        <v>Feb</v>
      </c>
      <c r="O711">
        <f t="shared" si="72"/>
        <v>2026</v>
      </c>
    </row>
    <row r="712" spans="1:15" x14ac:dyDescent="0.3">
      <c r="A712">
        <v>203831</v>
      </c>
      <c r="B712" t="s">
        <v>32</v>
      </c>
      <c r="C712" s="2">
        <v>46066</v>
      </c>
      <c r="D712" s="2">
        <f t="shared" si="70"/>
        <v>46111</v>
      </c>
      <c r="E712" s="1">
        <f>D712+1</f>
        <v>46112</v>
      </c>
      <c r="F712">
        <v>2940</v>
      </c>
      <c r="G712">
        <v>45</v>
      </c>
      <c r="H712">
        <f t="shared" si="69"/>
        <v>0</v>
      </c>
      <c r="I712" t="str">
        <f t="shared" si="67"/>
        <v>On Time</v>
      </c>
      <c r="J712" cm="1">
        <f t="array" ref="J712">_xlfn.IFS(H712&lt;30,0,H712&lt;60,1,H712&lt;90,2,H712&lt;120,3)</f>
        <v>0</v>
      </c>
      <c r="M712" t="str">
        <f t="shared" si="68"/>
        <v>Low</v>
      </c>
      <c r="N712" t="str">
        <f t="shared" si="71"/>
        <v>Feb</v>
      </c>
      <c r="O712">
        <f t="shared" si="72"/>
        <v>2026</v>
      </c>
    </row>
    <row r="713" spans="1:15" x14ac:dyDescent="0.3">
      <c r="A713">
        <v>203832</v>
      </c>
      <c r="B713" t="s">
        <v>33</v>
      </c>
      <c r="C713" s="2">
        <v>46066</v>
      </c>
      <c r="D713" s="2">
        <f t="shared" si="70"/>
        <v>46096</v>
      </c>
      <c r="E713" s="1">
        <f>D713+35</f>
        <v>46131</v>
      </c>
      <c r="F713">
        <v>4039</v>
      </c>
      <c r="G713">
        <v>30</v>
      </c>
      <c r="H713">
        <f t="shared" si="69"/>
        <v>0</v>
      </c>
      <c r="I713" t="str">
        <f t="shared" si="67"/>
        <v>On Time</v>
      </c>
      <c r="J713" cm="1">
        <f t="array" ref="J713">_xlfn.IFS(H713&lt;30,0,H713&lt;60,1,H713&lt;90,2,H713&lt;120,3)</f>
        <v>0</v>
      </c>
      <c r="M713" t="str">
        <f t="shared" si="68"/>
        <v>Low</v>
      </c>
      <c r="N713" t="str">
        <f t="shared" si="71"/>
        <v>Feb</v>
      </c>
      <c r="O713">
        <f t="shared" si="72"/>
        <v>2026</v>
      </c>
    </row>
    <row r="714" spans="1:15" x14ac:dyDescent="0.3">
      <c r="A714">
        <v>203833</v>
      </c>
      <c r="B714" t="s">
        <v>34</v>
      </c>
      <c r="C714" s="2">
        <v>46066</v>
      </c>
      <c r="D714" s="2">
        <f t="shared" si="70"/>
        <v>46126</v>
      </c>
      <c r="E714" s="1">
        <f>D714+72</f>
        <v>46198</v>
      </c>
      <c r="F714">
        <v>355</v>
      </c>
      <c r="G714">
        <v>60</v>
      </c>
      <c r="H714">
        <f t="shared" si="69"/>
        <v>0</v>
      </c>
      <c r="I714" t="str">
        <f t="shared" si="67"/>
        <v>On Time</v>
      </c>
      <c r="J714" cm="1">
        <f t="array" ref="J714">_xlfn.IFS(H714&lt;30,0,H714&lt;60,1,H714&lt;90,2,H714&lt;120,3)</f>
        <v>0</v>
      </c>
      <c r="M714" t="str">
        <f t="shared" si="68"/>
        <v>Low</v>
      </c>
      <c r="N714" t="str">
        <f t="shared" si="71"/>
        <v>Feb</v>
      </c>
      <c r="O714">
        <f t="shared" si="72"/>
        <v>2026</v>
      </c>
    </row>
    <row r="715" spans="1:15" x14ac:dyDescent="0.3">
      <c r="A715">
        <v>203834</v>
      </c>
      <c r="B715" t="s">
        <v>35</v>
      </c>
      <c r="C715" s="2">
        <v>46066</v>
      </c>
      <c r="D715" s="2">
        <f t="shared" si="70"/>
        <v>46111</v>
      </c>
      <c r="E715" s="1">
        <f>D715+5</f>
        <v>46116</v>
      </c>
      <c r="F715">
        <v>3191</v>
      </c>
      <c r="G715">
        <v>45</v>
      </c>
      <c r="H715">
        <f t="shared" si="69"/>
        <v>0</v>
      </c>
      <c r="I715" t="str">
        <f t="shared" si="67"/>
        <v>On Time</v>
      </c>
      <c r="J715" cm="1">
        <f t="array" ref="J715">_xlfn.IFS(H715&lt;30,0,H715&lt;60,1,H715&lt;90,2,H715&lt;120,3)</f>
        <v>0</v>
      </c>
      <c r="M715" t="str">
        <f t="shared" si="68"/>
        <v>Low</v>
      </c>
      <c r="N715" t="str">
        <f t="shared" si="71"/>
        <v>Feb</v>
      </c>
      <c r="O715">
        <f t="shared" si="72"/>
        <v>2026</v>
      </c>
    </row>
    <row r="716" spans="1:15" x14ac:dyDescent="0.3">
      <c r="A716">
        <v>203835</v>
      </c>
      <c r="B716" t="s">
        <v>36</v>
      </c>
      <c r="C716" s="2">
        <v>46066</v>
      </c>
      <c r="D716" s="2">
        <f t="shared" si="70"/>
        <v>46096</v>
      </c>
      <c r="E716" s="1">
        <f>D716</f>
        <v>46096</v>
      </c>
      <c r="F716">
        <v>1985</v>
      </c>
      <c r="G716">
        <v>30</v>
      </c>
      <c r="H716">
        <f t="shared" si="69"/>
        <v>0</v>
      </c>
      <c r="I716" t="str">
        <f t="shared" si="67"/>
        <v>On Time</v>
      </c>
      <c r="J716" cm="1">
        <f t="array" ref="J716">_xlfn.IFS(H716&lt;30,0,H716&lt;60,1,H716&lt;90,2,H716&lt;120,3)</f>
        <v>0</v>
      </c>
      <c r="M716" t="str">
        <f t="shared" si="68"/>
        <v>Low</v>
      </c>
      <c r="N716" t="str">
        <f t="shared" si="71"/>
        <v>Feb</v>
      </c>
      <c r="O716">
        <f t="shared" si="72"/>
        <v>2026</v>
      </c>
    </row>
    <row r="717" spans="1:15" x14ac:dyDescent="0.3">
      <c r="A717">
        <v>203836</v>
      </c>
      <c r="B717" t="s">
        <v>64</v>
      </c>
      <c r="C717" s="2">
        <v>46066</v>
      </c>
      <c r="D717" s="2">
        <f t="shared" si="70"/>
        <v>46096</v>
      </c>
      <c r="E717" s="1">
        <f>D717-1</f>
        <v>46095</v>
      </c>
      <c r="F717">
        <v>1514</v>
      </c>
      <c r="G717">
        <v>30</v>
      </c>
      <c r="H717">
        <f t="shared" si="69"/>
        <v>0</v>
      </c>
      <c r="I717" t="str">
        <f t="shared" si="67"/>
        <v>On Time</v>
      </c>
      <c r="J717" cm="1">
        <f t="array" ref="J717">_xlfn.IFS(H717&lt;30,0,H717&lt;60,1,H717&lt;90,2,H717&lt;120,3)</f>
        <v>0</v>
      </c>
      <c r="M717" t="str">
        <f t="shared" si="68"/>
        <v>Low</v>
      </c>
      <c r="N717" t="str">
        <f t="shared" si="71"/>
        <v>Feb</v>
      </c>
      <c r="O717">
        <f t="shared" si="72"/>
        <v>2026</v>
      </c>
    </row>
    <row r="718" spans="1:15" x14ac:dyDescent="0.3">
      <c r="A718">
        <v>203837</v>
      </c>
      <c r="B718" t="s">
        <v>25</v>
      </c>
      <c r="C718" s="2">
        <v>46066</v>
      </c>
      <c r="D718" s="2">
        <f t="shared" si="70"/>
        <v>46126</v>
      </c>
      <c r="E718" s="1">
        <f>D718</f>
        <v>46126</v>
      </c>
      <c r="F718">
        <v>2568</v>
      </c>
      <c r="G718">
        <v>60</v>
      </c>
      <c r="H718">
        <f t="shared" si="69"/>
        <v>0</v>
      </c>
      <c r="I718" t="str">
        <f t="shared" si="67"/>
        <v>On Time</v>
      </c>
      <c r="J718" cm="1">
        <f t="array" ref="J718">_xlfn.IFS(H718&lt;30,0,H718&lt;60,1,H718&lt;90,2,H718&lt;120,3)</f>
        <v>0</v>
      </c>
      <c r="M718" t="str">
        <f t="shared" si="68"/>
        <v>Low</v>
      </c>
      <c r="N718" t="str">
        <f t="shared" si="71"/>
        <v>Feb</v>
      </c>
      <c r="O718">
        <f t="shared" si="72"/>
        <v>2026</v>
      </c>
    </row>
    <row r="719" spans="1:15" x14ac:dyDescent="0.3">
      <c r="A719">
        <v>203838</v>
      </c>
      <c r="B719" t="s">
        <v>26</v>
      </c>
      <c r="C719" s="2">
        <v>46066</v>
      </c>
      <c r="D719" s="2">
        <f t="shared" si="70"/>
        <v>46096</v>
      </c>
      <c r="E719" s="1">
        <f>D719+32</f>
        <v>46128</v>
      </c>
      <c r="F719">
        <v>216</v>
      </c>
      <c r="G719">
        <v>30</v>
      </c>
      <c r="H719">
        <f t="shared" si="69"/>
        <v>0</v>
      </c>
      <c r="I719" t="str">
        <f t="shared" si="67"/>
        <v>On Time</v>
      </c>
      <c r="J719" cm="1">
        <f t="array" ref="J719">_xlfn.IFS(H719&lt;30,0,H719&lt;60,1,H719&lt;90,2,H719&lt;120,3)</f>
        <v>0</v>
      </c>
      <c r="M719" t="str">
        <f t="shared" si="68"/>
        <v>Low</v>
      </c>
      <c r="N719" t="str">
        <f t="shared" si="71"/>
        <v>Feb</v>
      </c>
      <c r="O719">
        <f t="shared" si="72"/>
        <v>2026</v>
      </c>
    </row>
    <row r="720" spans="1:15" x14ac:dyDescent="0.3">
      <c r="A720">
        <v>203839</v>
      </c>
      <c r="B720" t="s">
        <v>27</v>
      </c>
      <c r="C720" s="2">
        <v>46066</v>
      </c>
      <c r="D720" s="2">
        <f t="shared" si="70"/>
        <v>46126</v>
      </c>
      <c r="E720" s="1">
        <f>D720+15</f>
        <v>46141</v>
      </c>
      <c r="F720">
        <v>4216</v>
      </c>
      <c r="G720">
        <v>60</v>
      </c>
      <c r="H720">
        <f t="shared" si="69"/>
        <v>0</v>
      </c>
      <c r="I720" t="str">
        <f t="shared" si="67"/>
        <v>On Time</v>
      </c>
      <c r="J720" cm="1">
        <f t="array" ref="J720">_xlfn.IFS(H720&lt;30,0,H720&lt;60,1,H720&lt;90,2,H720&lt;120,3)</f>
        <v>0</v>
      </c>
      <c r="M720" t="str">
        <f t="shared" si="68"/>
        <v>Low</v>
      </c>
      <c r="N720" t="str">
        <f t="shared" si="71"/>
        <v>Feb</v>
      </c>
      <c r="O720">
        <f t="shared" si="72"/>
        <v>2026</v>
      </c>
    </row>
    <row r="721" spans="1:15" x14ac:dyDescent="0.3">
      <c r="A721">
        <v>203840</v>
      </c>
      <c r="B721" t="s">
        <v>28</v>
      </c>
      <c r="C721" s="2">
        <v>46066</v>
      </c>
      <c r="D721" s="2">
        <f t="shared" si="70"/>
        <v>46096</v>
      </c>
      <c r="E721" s="1">
        <f>D721-2</f>
        <v>46094</v>
      </c>
      <c r="F721">
        <v>3049</v>
      </c>
      <c r="G721">
        <v>30</v>
      </c>
      <c r="H721">
        <f t="shared" si="69"/>
        <v>0</v>
      </c>
      <c r="I721" t="str">
        <f t="shared" si="67"/>
        <v>On Time</v>
      </c>
      <c r="J721" cm="1">
        <f t="array" ref="J721">_xlfn.IFS(H721&lt;30,0,H721&lt;60,1,H721&lt;90,2,H721&lt;120,3)</f>
        <v>0</v>
      </c>
      <c r="M721" t="str">
        <f t="shared" si="68"/>
        <v>Low</v>
      </c>
      <c r="N721" t="str">
        <f t="shared" si="71"/>
        <v>Feb</v>
      </c>
      <c r="O721">
        <f t="shared" si="72"/>
        <v>2026</v>
      </c>
    </row>
    <row r="722" spans="1:15" x14ac:dyDescent="0.3">
      <c r="A722">
        <v>203841</v>
      </c>
      <c r="B722" t="s">
        <v>29</v>
      </c>
      <c r="C722" s="2">
        <v>46066</v>
      </c>
      <c r="D722" s="2">
        <f t="shared" si="70"/>
        <v>46096</v>
      </c>
      <c r="E722" s="1">
        <f>D722-2</f>
        <v>46094</v>
      </c>
      <c r="F722">
        <v>3710</v>
      </c>
      <c r="G722">
        <v>30</v>
      </c>
      <c r="H722">
        <f t="shared" si="69"/>
        <v>0</v>
      </c>
      <c r="I722" t="str">
        <f t="shared" si="67"/>
        <v>On Time</v>
      </c>
      <c r="J722" cm="1">
        <f t="array" ref="J722">_xlfn.IFS(H722&lt;30,0,H722&lt;60,1,H722&lt;90,2,H722&lt;120,3)</f>
        <v>0</v>
      </c>
      <c r="M722" t="str">
        <f t="shared" si="68"/>
        <v>Low</v>
      </c>
      <c r="N722" t="str">
        <f t="shared" si="71"/>
        <v>Feb</v>
      </c>
      <c r="O722">
        <f t="shared" si="72"/>
        <v>2026</v>
      </c>
    </row>
    <row r="723" spans="1:15" x14ac:dyDescent="0.3">
      <c r="A723">
        <v>203842</v>
      </c>
      <c r="B723" t="s">
        <v>30</v>
      </c>
      <c r="C723" s="2">
        <v>46066</v>
      </c>
      <c r="D723" s="2">
        <f t="shared" si="70"/>
        <v>46096</v>
      </c>
      <c r="E723" s="1">
        <f>D723</f>
        <v>46096</v>
      </c>
      <c r="F723">
        <v>607</v>
      </c>
      <c r="G723">
        <v>30</v>
      </c>
      <c r="H723">
        <f t="shared" si="69"/>
        <v>0</v>
      </c>
      <c r="I723" t="str">
        <f t="shared" si="67"/>
        <v>On Time</v>
      </c>
      <c r="J723" cm="1">
        <f t="array" ref="J723">_xlfn.IFS(H723&lt;30,0,H723&lt;60,1,H723&lt;90,2,H723&lt;120,3)</f>
        <v>0</v>
      </c>
      <c r="M723" t="str">
        <f t="shared" si="68"/>
        <v>Low</v>
      </c>
      <c r="N723" t="str">
        <f t="shared" si="71"/>
        <v>Feb</v>
      </c>
      <c r="O723">
        <f t="shared" si="72"/>
        <v>2026</v>
      </c>
    </row>
    <row r="724" spans="1:15" x14ac:dyDescent="0.3">
      <c r="A724">
        <v>203843</v>
      </c>
      <c r="B724" t="s">
        <v>31</v>
      </c>
      <c r="C724" s="2">
        <v>46066</v>
      </c>
      <c r="D724" s="2">
        <f t="shared" si="70"/>
        <v>46111</v>
      </c>
      <c r="E724" s="1">
        <f>D724+2</f>
        <v>46113</v>
      </c>
      <c r="F724">
        <v>1031</v>
      </c>
      <c r="G724">
        <v>45</v>
      </c>
      <c r="H724">
        <f t="shared" si="69"/>
        <v>0</v>
      </c>
      <c r="I724" t="str">
        <f t="shared" si="67"/>
        <v>On Time</v>
      </c>
      <c r="J724" cm="1">
        <f t="array" ref="J724">_xlfn.IFS(H724&lt;30,0,H724&lt;60,1,H724&lt;90,2,H724&lt;120,3)</f>
        <v>0</v>
      </c>
      <c r="M724" t="str">
        <f t="shared" si="68"/>
        <v>Low</v>
      </c>
      <c r="N724" t="str">
        <f t="shared" si="71"/>
        <v>Feb</v>
      </c>
      <c r="O724">
        <f t="shared" si="72"/>
        <v>2026</v>
      </c>
    </row>
    <row r="725" spans="1:15" x14ac:dyDescent="0.3">
      <c r="A725">
        <v>203844</v>
      </c>
      <c r="B725" t="s">
        <v>39</v>
      </c>
      <c r="C725" s="2">
        <v>46066</v>
      </c>
      <c r="D725" s="2">
        <f t="shared" si="70"/>
        <v>46096</v>
      </c>
      <c r="E725" s="1">
        <f>D725+2</f>
        <v>46098</v>
      </c>
      <c r="F725">
        <v>15543</v>
      </c>
      <c r="G725">
        <v>30</v>
      </c>
      <c r="H725">
        <f t="shared" si="69"/>
        <v>0</v>
      </c>
      <c r="I725" t="str">
        <f t="shared" si="67"/>
        <v>On Time</v>
      </c>
      <c r="J725" cm="1">
        <f t="array" ref="J725">_xlfn.IFS(H725&lt;30,0,H725&lt;60,1,H725&lt;90,2,H725&lt;120,3)</f>
        <v>0</v>
      </c>
      <c r="M725" t="str">
        <f t="shared" si="68"/>
        <v>Low</v>
      </c>
      <c r="N725" t="str">
        <f t="shared" si="71"/>
        <v>Feb</v>
      </c>
      <c r="O725">
        <f t="shared" si="72"/>
        <v>2026</v>
      </c>
    </row>
    <row r="726" spans="1:15" x14ac:dyDescent="0.3">
      <c r="A726">
        <v>203845</v>
      </c>
      <c r="B726" t="s">
        <v>40</v>
      </c>
      <c r="C726" s="2">
        <v>46066</v>
      </c>
      <c r="D726" s="2">
        <f t="shared" si="70"/>
        <v>46096</v>
      </c>
      <c r="E726" s="1">
        <f>D726+2</f>
        <v>46098</v>
      </c>
      <c r="F726">
        <v>2818</v>
      </c>
      <c r="G726">
        <v>30</v>
      </c>
      <c r="H726">
        <f t="shared" si="69"/>
        <v>0</v>
      </c>
      <c r="I726" t="str">
        <f t="shared" ref="I726:I789" si="73">IF(H726=0,"On Time",IF(H726&lt;=15,"Paid Late","Seriously Late"))</f>
        <v>On Time</v>
      </c>
      <c r="J726" cm="1">
        <f t="array" ref="J726">_xlfn.IFS(H726&lt;30,0,H726&lt;60,1,H726&lt;90,2,H726&lt;120,3)</f>
        <v>0</v>
      </c>
      <c r="M726" t="str">
        <f t="shared" ref="M726:M789" si="74">IF(H726&gt;30,"High",IF(H726&gt;10,"Medium","Low"))</f>
        <v>Low</v>
      </c>
      <c r="N726" t="str">
        <f t="shared" si="71"/>
        <v>Feb</v>
      </c>
      <c r="O726">
        <f t="shared" si="72"/>
        <v>2026</v>
      </c>
    </row>
    <row r="727" spans="1:15" x14ac:dyDescent="0.3">
      <c r="A727">
        <v>203846</v>
      </c>
      <c r="B727" t="s">
        <v>41</v>
      </c>
      <c r="C727" s="2">
        <v>46066</v>
      </c>
      <c r="D727" s="2">
        <f t="shared" si="70"/>
        <v>46096</v>
      </c>
      <c r="E727" s="1">
        <f>D727</f>
        <v>46096</v>
      </c>
      <c r="F727">
        <v>2404</v>
      </c>
      <c r="G727">
        <v>30</v>
      </c>
      <c r="H727">
        <f t="shared" si="69"/>
        <v>0</v>
      </c>
      <c r="I727" t="str">
        <f t="shared" si="73"/>
        <v>On Time</v>
      </c>
      <c r="J727" cm="1">
        <f t="array" ref="J727">_xlfn.IFS(H727&lt;30,0,H727&lt;60,1,H727&lt;90,2,H727&lt;120,3)</f>
        <v>0</v>
      </c>
      <c r="M727" t="str">
        <f t="shared" si="74"/>
        <v>Low</v>
      </c>
      <c r="N727" t="str">
        <f t="shared" si="71"/>
        <v>Feb</v>
      </c>
      <c r="O727">
        <f t="shared" si="72"/>
        <v>2026</v>
      </c>
    </row>
    <row r="728" spans="1:15" x14ac:dyDescent="0.3">
      <c r="A728">
        <v>203847</v>
      </c>
      <c r="B728" t="s">
        <v>42</v>
      </c>
      <c r="C728" s="2">
        <v>46066</v>
      </c>
      <c r="D728" s="2">
        <f t="shared" si="70"/>
        <v>46096</v>
      </c>
      <c r="E728" s="1">
        <f>D728+20</f>
        <v>46116</v>
      </c>
      <c r="F728">
        <v>4203</v>
      </c>
      <c r="G728">
        <v>30</v>
      </c>
      <c r="H728">
        <f t="shared" si="69"/>
        <v>0</v>
      </c>
      <c r="I728" t="str">
        <f t="shared" si="73"/>
        <v>On Time</v>
      </c>
      <c r="J728" cm="1">
        <f t="array" ref="J728">_xlfn.IFS(H728&lt;30,0,H728&lt;60,1,H728&lt;90,2,H728&lt;120,3)</f>
        <v>0</v>
      </c>
      <c r="M728" t="str">
        <f t="shared" si="74"/>
        <v>Low</v>
      </c>
      <c r="N728" t="str">
        <f t="shared" si="71"/>
        <v>Feb</v>
      </c>
      <c r="O728">
        <f t="shared" si="72"/>
        <v>2026</v>
      </c>
    </row>
    <row r="729" spans="1:15" x14ac:dyDescent="0.3">
      <c r="A729">
        <v>203848</v>
      </c>
      <c r="B729" t="s">
        <v>43</v>
      </c>
      <c r="C729" s="2">
        <v>46066</v>
      </c>
      <c r="D729" s="2">
        <f t="shared" si="70"/>
        <v>46096</v>
      </c>
      <c r="E729" s="1">
        <f>D729</f>
        <v>46096</v>
      </c>
      <c r="F729">
        <v>542</v>
      </c>
      <c r="G729">
        <v>30</v>
      </c>
      <c r="H729">
        <f t="shared" si="69"/>
        <v>0</v>
      </c>
      <c r="I729" t="str">
        <f t="shared" si="73"/>
        <v>On Time</v>
      </c>
      <c r="J729" cm="1">
        <f t="array" ref="J729">_xlfn.IFS(H729&lt;30,0,H729&lt;60,1,H729&lt;90,2,H729&lt;120,3)</f>
        <v>0</v>
      </c>
      <c r="M729" t="str">
        <f t="shared" si="74"/>
        <v>Low</v>
      </c>
      <c r="N729" t="str">
        <f t="shared" si="71"/>
        <v>Feb</v>
      </c>
      <c r="O729">
        <f t="shared" si="72"/>
        <v>2026</v>
      </c>
    </row>
    <row r="730" spans="1:15" x14ac:dyDescent="0.3">
      <c r="A730">
        <v>203808</v>
      </c>
      <c r="B730" t="s">
        <v>50</v>
      </c>
      <c r="C730" s="2">
        <v>46065</v>
      </c>
      <c r="D730" s="2">
        <f t="shared" si="70"/>
        <v>46095</v>
      </c>
      <c r="E730" s="1">
        <f>D730-2</f>
        <v>46093</v>
      </c>
      <c r="F730">
        <v>2277</v>
      </c>
      <c r="G730">
        <v>30</v>
      </c>
      <c r="H730">
        <f t="shared" si="69"/>
        <v>0</v>
      </c>
      <c r="I730" t="str">
        <f t="shared" si="73"/>
        <v>On Time</v>
      </c>
      <c r="J730" cm="1">
        <f t="array" ref="J730">_xlfn.IFS(H730&lt;30,0,H730&lt;60,1,H730&lt;90,2,H730&lt;120,3)</f>
        <v>0</v>
      </c>
      <c r="M730" t="str">
        <f t="shared" si="74"/>
        <v>Low</v>
      </c>
      <c r="N730" t="str">
        <f t="shared" si="71"/>
        <v>Feb</v>
      </c>
      <c r="O730">
        <f t="shared" si="72"/>
        <v>2026</v>
      </c>
    </row>
    <row r="731" spans="1:15" x14ac:dyDescent="0.3">
      <c r="A731">
        <v>203809</v>
      </c>
      <c r="B731" t="s">
        <v>51</v>
      </c>
      <c r="C731" s="2">
        <v>46065</v>
      </c>
      <c r="D731" s="2">
        <f t="shared" si="70"/>
        <v>46095</v>
      </c>
      <c r="E731" s="1">
        <f>D731</f>
        <v>46095</v>
      </c>
      <c r="F731">
        <v>3951</v>
      </c>
      <c r="G731">
        <v>30</v>
      </c>
      <c r="H731">
        <f t="shared" si="69"/>
        <v>0</v>
      </c>
      <c r="I731" t="str">
        <f t="shared" si="73"/>
        <v>On Time</v>
      </c>
      <c r="J731" cm="1">
        <f t="array" ref="J731">_xlfn.IFS(H731&lt;30,0,H731&lt;60,1,H731&lt;90,2,H731&lt;120,3)</f>
        <v>0</v>
      </c>
      <c r="M731" t="str">
        <f t="shared" si="74"/>
        <v>Low</v>
      </c>
      <c r="N731" t="str">
        <f t="shared" si="71"/>
        <v>Feb</v>
      </c>
      <c r="O731">
        <f t="shared" si="72"/>
        <v>2026</v>
      </c>
    </row>
    <row r="732" spans="1:15" x14ac:dyDescent="0.3">
      <c r="A732">
        <v>203810</v>
      </c>
      <c r="B732" t="s">
        <v>52</v>
      </c>
      <c r="C732" s="2">
        <v>46065</v>
      </c>
      <c r="D732" s="2">
        <f t="shared" si="70"/>
        <v>46095</v>
      </c>
      <c r="E732" s="1">
        <f>D732+2</f>
        <v>46097</v>
      </c>
      <c r="F732">
        <v>1767</v>
      </c>
      <c r="G732">
        <v>30</v>
      </c>
      <c r="H732">
        <f t="shared" si="69"/>
        <v>0</v>
      </c>
      <c r="I732" t="str">
        <f t="shared" si="73"/>
        <v>On Time</v>
      </c>
      <c r="J732" cm="1">
        <f t="array" ref="J732">_xlfn.IFS(H732&lt;30,0,H732&lt;60,1,H732&lt;90,2,H732&lt;120,3)</f>
        <v>0</v>
      </c>
      <c r="M732" t="str">
        <f t="shared" si="74"/>
        <v>Low</v>
      </c>
      <c r="N732" t="str">
        <f t="shared" si="71"/>
        <v>Feb</v>
      </c>
      <c r="O732">
        <f t="shared" si="72"/>
        <v>2026</v>
      </c>
    </row>
    <row r="733" spans="1:15" x14ac:dyDescent="0.3">
      <c r="A733">
        <v>203811</v>
      </c>
      <c r="B733" t="s">
        <v>53</v>
      </c>
      <c r="C733" s="2">
        <v>46065</v>
      </c>
      <c r="D733" s="2">
        <f t="shared" si="70"/>
        <v>46095</v>
      </c>
      <c r="E733" s="1">
        <f>D733+2</f>
        <v>46097</v>
      </c>
      <c r="F733">
        <v>13952</v>
      </c>
      <c r="G733">
        <v>30</v>
      </c>
      <c r="H733">
        <f t="shared" si="69"/>
        <v>0</v>
      </c>
      <c r="I733" t="str">
        <f t="shared" si="73"/>
        <v>On Time</v>
      </c>
      <c r="J733" cm="1">
        <f t="array" ref="J733">_xlfn.IFS(H733&lt;30,0,H733&lt;60,1,H733&lt;90,2,H733&lt;120,3)</f>
        <v>0</v>
      </c>
      <c r="M733" t="str">
        <f t="shared" si="74"/>
        <v>Low</v>
      </c>
      <c r="N733" t="str">
        <f t="shared" si="71"/>
        <v>Feb</v>
      </c>
      <c r="O733">
        <f t="shared" si="72"/>
        <v>2026</v>
      </c>
    </row>
    <row r="734" spans="1:15" x14ac:dyDescent="0.3">
      <c r="A734">
        <v>203812</v>
      </c>
      <c r="B734" t="s">
        <v>54</v>
      </c>
      <c r="C734" s="2">
        <v>46065</v>
      </c>
      <c r="D734" s="2">
        <f t="shared" si="70"/>
        <v>46095</v>
      </c>
      <c r="E734" s="1">
        <f>D734+2</f>
        <v>46097</v>
      </c>
      <c r="F734">
        <v>3195</v>
      </c>
      <c r="G734">
        <v>30</v>
      </c>
      <c r="H734">
        <f t="shared" si="69"/>
        <v>0</v>
      </c>
      <c r="I734" t="str">
        <f t="shared" si="73"/>
        <v>On Time</v>
      </c>
      <c r="J734" cm="1">
        <f t="array" ref="J734">_xlfn.IFS(H734&lt;30,0,H734&lt;60,1,H734&lt;90,2,H734&lt;120,3)</f>
        <v>0</v>
      </c>
      <c r="M734" t="str">
        <f t="shared" si="74"/>
        <v>Low</v>
      </c>
      <c r="N734" t="str">
        <f t="shared" si="71"/>
        <v>Feb</v>
      </c>
      <c r="O734">
        <f t="shared" si="72"/>
        <v>2026</v>
      </c>
    </row>
    <row r="735" spans="1:15" x14ac:dyDescent="0.3">
      <c r="A735">
        <v>203813</v>
      </c>
      <c r="B735" t="s">
        <v>36</v>
      </c>
      <c r="C735" s="2">
        <v>46065</v>
      </c>
      <c r="D735" s="2">
        <f t="shared" si="70"/>
        <v>46095</v>
      </c>
      <c r="E735" s="1">
        <f>D735</f>
        <v>46095</v>
      </c>
      <c r="F735">
        <v>666</v>
      </c>
      <c r="G735">
        <v>30</v>
      </c>
      <c r="H735">
        <f t="shared" si="69"/>
        <v>0</v>
      </c>
      <c r="I735" t="str">
        <f t="shared" si="73"/>
        <v>On Time</v>
      </c>
      <c r="J735" cm="1">
        <f t="array" ref="J735">_xlfn.IFS(H735&lt;30,0,H735&lt;60,1,H735&lt;90,2,H735&lt;120,3)</f>
        <v>0</v>
      </c>
      <c r="M735" t="str">
        <f t="shared" si="74"/>
        <v>Low</v>
      </c>
      <c r="N735" t="str">
        <f t="shared" si="71"/>
        <v>Feb</v>
      </c>
      <c r="O735">
        <f t="shared" si="72"/>
        <v>2026</v>
      </c>
    </row>
    <row r="736" spans="1:15" x14ac:dyDescent="0.3">
      <c r="A736">
        <v>203814</v>
      </c>
      <c r="B736" t="s">
        <v>37</v>
      </c>
      <c r="C736" s="2">
        <v>46065</v>
      </c>
      <c r="D736" s="2">
        <f t="shared" si="70"/>
        <v>46095</v>
      </c>
      <c r="E736" s="1">
        <f>D736+20</f>
        <v>46115</v>
      </c>
      <c r="F736">
        <v>1321</v>
      </c>
      <c r="G736">
        <v>30</v>
      </c>
      <c r="H736">
        <f t="shared" si="69"/>
        <v>0</v>
      </c>
      <c r="I736" t="str">
        <f t="shared" si="73"/>
        <v>On Time</v>
      </c>
      <c r="J736" cm="1">
        <f t="array" ref="J736">_xlfn.IFS(H736&lt;30,0,H736&lt;60,1,H736&lt;90,2,H736&lt;120,3)</f>
        <v>0</v>
      </c>
      <c r="M736" t="str">
        <f t="shared" si="74"/>
        <v>Low</v>
      </c>
      <c r="N736" t="str">
        <f t="shared" si="71"/>
        <v>Feb</v>
      </c>
      <c r="O736">
        <f t="shared" si="72"/>
        <v>2026</v>
      </c>
    </row>
    <row r="737" spans="1:15" x14ac:dyDescent="0.3">
      <c r="A737">
        <v>203815</v>
      </c>
      <c r="B737" t="s">
        <v>38</v>
      </c>
      <c r="C737" s="2">
        <v>46065</v>
      </c>
      <c r="D737" s="2">
        <f t="shared" si="70"/>
        <v>46095</v>
      </c>
      <c r="E737" s="1">
        <f>D737</f>
        <v>46095</v>
      </c>
      <c r="F737">
        <v>8242</v>
      </c>
      <c r="G737">
        <v>30</v>
      </c>
      <c r="H737">
        <f t="shared" si="69"/>
        <v>0</v>
      </c>
      <c r="I737" t="str">
        <f t="shared" si="73"/>
        <v>On Time</v>
      </c>
      <c r="J737" cm="1">
        <f t="array" ref="J737">_xlfn.IFS(H737&lt;30,0,H737&lt;60,1,H737&lt;90,2,H737&lt;120,3)</f>
        <v>0</v>
      </c>
      <c r="M737" t="str">
        <f t="shared" si="74"/>
        <v>Low</v>
      </c>
      <c r="N737" t="str">
        <f t="shared" si="71"/>
        <v>Feb</v>
      </c>
      <c r="O737">
        <f t="shared" si="72"/>
        <v>2026</v>
      </c>
    </row>
    <row r="738" spans="1:15" x14ac:dyDescent="0.3">
      <c r="A738">
        <v>203816</v>
      </c>
      <c r="B738" t="s">
        <v>39</v>
      </c>
      <c r="C738" s="2">
        <v>46065</v>
      </c>
      <c r="D738" s="2">
        <f t="shared" si="70"/>
        <v>46095</v>
      </c>
      <c r="E738" s="1">
        <f>D738+1</f>
        <v>46096</v>
      </c>
      <c r="F738">
        <v>4620</v>
      </c>
      <c r="G738">
        <v>30</v>
      </c>
      <c r="H738">
        <f t="shared" si="69"/>
        <v>0</v>
      </c>
      <c r="I738" t="str">
        <f t="shared" si="73"/>
        <v>On Time</v>
      </c>
      <c r="J738" cm="1">
        <f t="array" ref="J738">_xlfn.IFS(H738&lt;30,0,H738&lt;60,1,H738&lt;90,2,H738&lt;120,3)</f>
        <v>0</v>
      </c>
      <c r="M738" t="str">
        <f t="shared" si="74"/>
        <v>Low</v>
      </c>
      <c r="N738" t="str">
        <f t="shared" si="71"/>
        <v>Feb</v>
      </c>
      <c r="O738">
        <f t="shared" si="72"/>
        <v>2026</v>
      </c>
    </row>
    <row r="739" spans="1:15" x14ac:dyDescent="0.3">
      <c r="A739">
        <v>203817</v>
      </c>
      <c r="B739" t="s">
        <v>40</v>
      </c>
      <c r="C739" s="2">
        <v>46065</v>
      </c>
      <c r="D739" s="2">
        <f t="shared" si="70"/>
        <v>46095</v>
      </c>
      <c r="E739" s="1">
        <f>D739</f>
        <v>46095</v>
      </c>
      <c r="F739">
        <v>851</v>
      </c>
      <c r="G739">
        <v>30</v>
      </c>
      <c r="H739">
        <f t="shared" si="69"/>
        <v>0</v>
      </c>
      <c r="I739" t="str">
        <f t="shared" si="73"/>
        <v>On Time</v>
      </c>
      <c r="J739" cm="1">
        <f t="array" ref="J739">_xlfn.IFS(H739&lt;30,0,H739&lt;60,1,H739&lt;90,2,H739&lt;120,3)</f>
        <v>0</v>
      </c>
      <c r="M739" t="str">
        <f t="shared" si="74"/>
        <v>Low</v>
      </c>
      <c r="N739" t="str">
        <f t="shared" si="71"/>
        <v>Feb</v>
      </c>
      <c r="O739">
        <f t="shared" si="72"/>
        <v>2026</v>
      </c>
    </row>
    <row r="740" spans="1:15" x14ac:dyDescent="0.3">
      <c r="A740">
        <v>203818</v>
      </c>
      <c r="B740" t="s">
        <v>41</v>
      </c>
      <c r="C740" s="2">
        <v>46065</v>
      </c>
      <c r="D740" s="2">
        <f t="shared" si="70"/>
        <v>46095</v>
      </c>
      <c r="E740" s="1">
        <f>D740</f>
        <v>46095</v>
      </c>
      <c r="F740">
        <v>4580</v>
      </c>
      <c r="G740">
        <v>30</v>
      </c>
      <c r="H740">
        <f t="shared" si="69"/>
        <v>0</v>
      </c>
      <c r="I740" t="str">
        <f t="shared" si="73"/>
        <v>On Time</v>
      </c>
      <c r="J740" cm="1">
        <f t="array" ref="J740">_xlfn.IFS(H740&lt;30,0,H740&lt;60,1,H740&lt;90,2,H740&lt;120,3)</f>
        <v>0</v>
      </c>
      <c r="M740" t="str">
        <f t="shared" si="74"/>
        <v>Low</v>
      </c>
      <c r="N740" t="str">
        <f t="shared" si="71"/>
        <v>Feb</v>
      </c>
      <c r="O740">
        <f t="shared" si="72"/>
        <v>2026</v>
      </c>
    </row>
    <row r="741" spans="1:15" x14ac:dyDescent="0.3">
      <c r="A741">
        <v>203819</v>
      </c>
      <c r="B741" t="s">
        <v>42</v>
      </c>
      <c r="C741" s="2">
        <v>46065</v>
      </c>
      <c r="D741" s="2">
        <f t="shared" si="70"/>
        <v>46095</v>
      </c>
      <c r="E741" s="1">
        <f>D741+5</f>
        <v>46100</v>
      </c>
      <c r="F741">
        <v>3366</v>
      </c>
      <c r="G741">
        <v>30</v>
      </c>
      <c r="H741">
        <f t="shared" si="69"/>
        <v>0</v>
      </c>
      <c r="I741" t="str">
        <f t="shared" si="73"/>
        <v>On Time</v>
      </c>
      <c r="J741" cm="1">
        <f t="array" ref="J741">_xlfn.IFS(H741&lt;30,0,H741&lt;60,1,H741&lt;90,2,H741&lt;120,3)</f>
        <v>0</v>
      </c>
      <c r="M741" t="str">
        <f t="shared" si="74"/>
        <v>Low</v>
      </c>
      <c r="N741" t="str">
        <f t="shared" si="71"/>
        <v>Feb</v>
      </c>
      <c r="O741">
        <f t="shared" si="72"/>
        <v>2026</v>
      </c>
    </row>
    <row r="742" spans="1:15" x14ac:dyDescent="0.3">
      <c r="A742">
        <v>203820</v>
      </c>
      <c r="B742" t="s">
        <v>43</v>
      </c>
      <c r="C742" s="2">
        <v>46065</v>
      </c>
      <c r="D742" s="2">
        <f t="shared" si="70"/>
        <v>46095</v>
      </c>
      <c r="E742" s="1">
        <f>D742+2</f>
        <v>46097</v>
      </c>
      <c r="F742">
        <v>1257</v>
      </c>
      <c r="G742">
        <v>30</v>
      </c>
      <c r="H742">
        <f t="shared" ref="H742:H805" si="75">MAX(0,P707-D742)</f>
        <v>0</v>
      </c>
      <c r="I742" t="str">
        <f t="shared" si="73"/>
        <v>On Time</v>
      </c>
      <c r="J742" cm="1">
        <f t="array" ref="J742">_xlfn.IFS(H742&lt;30,0,H742&lt;60,1,H742&lt;90,2,H742&lt;120,3)</f>
        <v>0</v>
      </c>
      <c r="M742" t="str">
        <f t="shared" si="74"/>
        <v>Low</v>
      </c>
      <c r="N742" t="str">
        <f t="shared" si="71"/>
        <v>Feb</v>
      </c>
      <c r="O742">
        <f t="shared" si="72"/>
        <v>2026</v>
      </c>
    </row>
    <row r="743" spans="1:15" x14ac:dyDescent="0.3">
      <c r="A743">
        <v>203821</v>
      </c>
      <c r="B743" t="s">
        <v>103</v>
      </c>
      <c r="C743" s="2">
        <v>46065</v>
      </c>
      <c r="D743" s="2">
        <f t="shared" si="70"/>
        <v>46095</v>
      </c>
      <c r="E743" s="1">
        <f>D743</f>
        <v>46095</v>
      </c>
      <c r="F743">
        <v>2943</v>
      </c>
      <c r="G743">
        <v>30</v>
      </c>
      <c r="H743">
        <f t="shared" si="75"/>
        <v>0</v>
      </c>
      <c r="I743" t="str">
        <f t="shared" si="73"/>
        <v>On Time</v>
      </c>
      <c r="J743" cm="1">
        <f t="array" ref="J743">_xlfn.IFS(H743&lt;30,0,H743&lt;60,1,H743&lt;90,2,H743&lt;120,3)</f>
        <v>0</v>
      </c>
      <c r="M743" t="str">
        <f t="shared" si="74"/>
        <v>Low</v>
      </c>
      <c r="N743" t="str">
        <f t="shared" si="71"/>
        <v>Feb</v>
      </c>
      <c r="O743">
        <f t="shared" si="72"/>
        <v>2026</v>
      </c>
    </row>
    <row r="744" spans="1:15" x14ac:dyDescent="0.3">
      <c r="A744">
        <v>203822</v>
      </c>
      <c r="B744" t="s">
        <v>104</v>
      </c>
      <c r="C744" s="2">
        <v>46065</v>
      </c>
      <c r="D744" s="2">
        <f t="shared" si="70"/>
        <v>46095</v>
      </c>
      <c r="E744" s="1">
        <f>D744</f>
        <v>46095</v>
      </c>
      <c r="F744">
        <v>1298</v>
      </c>
      <c r="G744">
        <v>30</v>
      </c>
      <c r="H744">
        <f t="shared" si="75"/>
        <v>0</v>
      </c>
      <c r="I744" t="str">
        <f t="shared" si="73"/>
        <v>On Time</v>
      </c>
      <c r="J744" cm="1">
        <f t="array" ref="J744">_xlfn.IFS(H744&lt;30,0,H744&lt;60,1,H744&lt;90,2,H744&lt;120,3)</f>
        <v>0</v>
      </c>
      <c r="M744" t="str">
        <f t="shared" si="74"/>
        <v>Low</v>
      </c>
      <c r="N744" t="str">
        <f t="shared" si="71"/>
        <v>Feb</v>
      </c>
      <c r="O744">
        <f t="shared" si="72"/>
        <v>2026</v>
      </c>
    </row>
    <row r="745" spans="1:15" x14ac:dyDescent="0.3">
      <c r="A745">
        <v>203823</v>
      </c>
      <c r="B745" t="s">
        <v>105</v>
      </c>
      <c r="C745" s="2">
        <v>46065</v>
      </c>
      <c r="D745" s="2">
        <f t="shared" si="70"/>
        <v>46095</v>
      </c>
      <c r="E745" s="1">
        <f>D745</f>
        <v>46095</v>
      </c>
      <c r="F745">
        <v>524</v>
      </c>
      <c r="G745">
        <v>30</v>
      </c>
      <c r="H745">
        <f t="shared" si="75"/>
        <v>0</v>
      </c>
      <c r="I745" t="str">
        <f t="shared" si="73"/>
        <v>On Time</v>
      </c>
      <c r="J745" cm="1">
        <f t="array" ref="J745">_xlfn.IFS(H745&lt;30,0,H745&lt;60,1,H745&lt;90,2,H745&lt;120,3)</f>
        <v>0</v>
      </c>
      <c r="M745" t="str">
        <f t="shared" si="74"/>
        <v>Low</v>
      </c>
      <c r="N745" t="str">
        <f t="shared" si="71"/>
        <v>Feb</v>
      </c>
      <c r="O745">
        <f t="shared" si="72"/>
        <v>2026</v>
      </c>
    </row>
    <row r="746" spans="1:15" x14ac:dyDescent="0.3">
      <c r="A746">
        <v>203824</v>
      </c>
      <c r="B746" t="s">
        <v>114</v>
      </c>
      <c r="C746" s="2">
        <v>46065</v>
      </c>
      <c r="D746" s="2">
        <f t="shared" si="70"/>
        <v>46095</v>
      </c>
      <c r="E746" s="1">
        <f>D746+60</f>
        <v>46155</v>
      </c>
      <c r="F746">
        <v>4696</v>
      </c>
      <c r="G746">
        <v>30</v>
      </c>
      <c r="H746">
        <f t="shared" si="75"/>
        <v>0</v>
      </c>
      <c r="I746" t="str">
        <f t="shared" si="73"/>
        <v>On Time</v>
      </c>
      <c r="J746" cm="1">
        <f t="array" ref="J746">_xlfn.IFS(H746&lt;30,0,H746&lt;60,1,H746&lt;90,2,H746&lt;120,3)</f>
        <v>0</v>
      </c>
      <c r="M746" t="str">
        <f t="shared" si="74"/>
        <v>Low</v>
      </c>
      <c r="N746" t="str">
        <f t="shared" si="71"/>
        <v>Feb</v>
      </c>
      <c r="O746">
        <f t="shared" si="72"/>
        <v>2026</v>
      </c>
    </row>
    <row r="747" spans="1:15" x14ac:dyDescent="0.3">
      <c r="A747">
        <v>203825</v>
      </c>
      <c r="B747" t="s">
        <v>115</v>
      </c>
      <c r="C747" s="2">
        <v>46065</v>
      </c>
      <c r="D747" s="2">
        <f t="shared" si="70"/>
        <v>46095</v>
      </c>
      <c r="E747" s="1">
        <f>D747</f>
        <v>46095</v>
      </c>
      <c r="F747">
        <v>4000</v>
      </c>
      <c r="G747">
        <v>30</v>
      </c>
      <c r="H747">
        <f t="shared" si="75"/>
        <v>0</v>
      </c>
      <c r="I747" t="str">
        <f t="shared" si="73"/>
        <v>On Time</v>
      </c>
      <c r="J747" cm="1">
        <f t="array" ref="J747">_xlfn.IFS(H747&lt;30,0,H747&lt;60,1,H747&lt;90,2,H747&lt;120,3)</f>
        <v>0</v>
      </c>
      <c r="M747" t="str">
        <f t="shared" si="74"/>
        <v>Low</v>
      </c>
      <c r="N747" t="str">
        <f t="shared" si="71"/>
        <v>Feb</v>
      </c>
      <c r="O747">
        <f t="shared" si="72"/>
        <v>2026</v>
      </c>
    </row>
    <row r="748" spans="1:15" x14ac:dyDescent="0.3">
      <c r="A748">
        <v>203826</v>
      </c>
      <c r="B748" t="s">
        <v>116</v>
      </c>
      <c r="C748" s="2">
        <v>46065</v>
      </c>
      <c r="D748" s="2">
        <f t="shared" si="70"/>
        <v>46095</v>
      </c>
      <c r="E748" s="1">
        <f>D748</f>
        <v>46095</v>
      </c>
      <c r="F748">
        <v>779</v>
      </c>
      <c r="G748">
        <v>30</v>
      </c>
      <c r="H748">
        <f t="shared" si="75"/>
        <v>0</v>
      </c>
      <c r="I748" t="str">
        <f t="shared" si="73"/>
        <v>On Time</v>
      </c>
      <c r="J748" cm="1">
        <f t="array" ref="J748">_xlfn.IFS(H748&lt;30,0,H748&lt;60,1,H748&lt;90,2,H748&lt;120,3)</f>
        <v>0</v>
      </c>
      <c r="M748" t="str">
        <f t="shared" si="74"/>
        <v>Low</v>
      </c>
      <c r="N748" t="str">
        <f t="shared" si="71"/>
        <v>Feb</v>
      </c>
      <c r="O748">
        <f t="shared" si="72"/>
        <v>2026</v>
      </c>
    </row>
    <row r="749" spans="1:15" x14ac:dyDescent="0.3">
      <c r="A749">
        <v>203827</v>
      </c>
      <c r="B749" t="s">
        <v>117</v>
      </c>
      <c r="C749" s="2">
        <v>46065</v>
      </c>
      <c r="D749" s="2">
        <f t="shared" si="70"/>
        <v>46095</v>
      </c>
      <c r="E749" s="1">
        <f>D749+3</f>
        <v>46098</v>
      </c>
      <c r="F749">
        <v>2457</v>
      </c>
      <c r="G749">
        <v>30</v>
      </c>
      <c r="H749">
        <f t="shared" si="75"/>
        <v>0</v>
      </c>
      <c r="I749" t="str">
        <f t="shared" si="73"/>
        <v>On Time</v>
      </c>
      <c r="J749" cm="1">
        <f t="array" ref="J749">_xlfn.IFS(H749&lt;30,0,H749&lt;60,1,H749&lt;90,2,H749&lt;120,3)</f>
        <v>0</v>
      </c>
      <c r="M749" t="str">
        <f t="shared" si="74"/>
        <v>Low</v>
      </c>
      <c r="N749" t="str">
        <f t="shared" si="71"/>
        <v>Feb</v>
      </c>
      <c r="O749">
        <f t="shared" si="72"/>
        <v>2026</v>
      </c>
    </row>
    <row r="750" spans="1:15" x14ac:dyDescent="0.3">
      <c r="A750">
        <v>203789</v>
      </c>
      <c r="B750" t="s">
        <v>89</v>
      </c>
      <c r="C750" s="2">
        <v>46064</v>
      </c>
      <c r="D750" s="2">
        <f t="shared" si="70"/>
        <v>46094</v>
      </c>
      <c r="E750" s="1">
        <f>D750</f>
        <v>46094</v>
      </c>
      <c r="F750">
        <v>1919</v>
      </c>
      <c r="G750">
        <v>30</v>
      </c>
      <c r="H750">
        <f t="shared" si="75"/>
        <v>0</v>
      </c>
      <c r="I750" t="str">
        <f t="shared" si="73"/>
        <v>On Time</v>
      </c>
      <c r="J750" cm="1">
        <f t="array" ref="J750">_xlfn.IFS(H750&lt;30,0,H750&lt;60,1,H750&lt;90,2,H750&lt;120,3)</f>
        <v>0</v>
      </c>
      <c r="M750" t="str">
        <f t="shared" si="74"/>
        <v>Low</v>
      </c>
      <c r="N750" t="str">
        <f t="shared" si="71"/>
        <v>Feb</v>
      </c>
      <c r="O750">
        <f t="shared" si="72"/>
        <v>2026</v>
      </c>
    </row>
    <row r="751" spans="1:15" x14ac:dyDescent="0.3">
      <c r="A751">
        <v>203790</v>
      </c>
      <c r="B751" t="s">
        <v>90</v>
      </c>
      <c r="C751" s="2">
        <v>46064</v>
      </c>
      <c r="D751" s="2">
        <f t="shared" si="70"/>
        <v>46094</v>
      </c>
      <c r="E751" s="1">
        <f>D751</f>
        <v>46094</v>
      </c>
      <c r="F751">
        <v>2938</v>
      </c>
      <c r="G751">
        <v>30</v>
      </c>
      <c r="H751">
        <f t="shared" si="75"/>
        <v>0</v>
      </c>
      <c r="I751" t="str">
        <f t="shared" si="73"/>
        <v>On Time</v>
      </c>
      <c r="J751" cm="1">
        <f t="array" ref="J751">_xlfn.IFS(H751&lt;30,0,H751&lt;60,1,H751&lt;90,2,H751&lt;120,3)</f>
        <v>0</v>
      </c>
      <c r="M751" t="str">
        <f t="shared" si="74"/>
        <v>Low</v>
      </c>
      <c r="N751" t="str">
        <f t="shared" si="71"/>
        <v>Feb</v>
      </c>
      <c r="O751">
        <f t="shared" si="72"/>
        <v>2026</v>
      </c>
    </row>
    <row r="752" spans="1:15" x14ac:dyDescent="0.3">
      <c r="A752">
        <v>203791</v>
      </c>
      <c r="B752" t="s">
        <v>91</v>
      </c>
      <c r="C752" s="2">
        <v>46064</v>
      </c>
      <c r="D752" s="2">
        <f t="shared" si="70"/>
        <v>46094</v>
      </c>
      <c r="E752" s="1">
        <f>D752+60</f>
        <v>46154</v>
      </c>
      <c r="F752">
        <v>4893</v>
      </c>
      <c r="G752">
        <v>30</v>
      </c>
      <c r="H752">
        <f t="shared" si="75"/>
        <v>0</v>
      </c>
      <c r="I752" t="str">
        <f t="shared" si="73"/>
        <v>On Time</v>
      </c>
      <c r="J752" cm="1">
        <f t="array" ref="J752">_xlfn.IFS(H752&lt;30,0,H752&lt;60,1,H752&lt;90,2,H752&lt;120,3)</f>
        <v>0</v>
      </c>
      <c r="M752" t="str">
        <f t="shared" si="74"/>
        <v>Low</v>
      </c>
      <c r="N752" t="str">
        <f t="shared" si="71"/>
        <v>Feb</v>
      </c>
      <c r="O752">
        <f t="shared" si="72"/>
        <v>2026</v>
      </c>
    </row>
    <row r="753" spans="1:15" x14ac:dyDescent="0.3">
      <c r="A753">
        <v>203792</v>
      </c>
      <c r="B753" t="s">
        <v>92</v>
      </c>
      <c r="C753" s="2">
        <v>46064</v>
      </c>
      <c r="D753" s="2">
        <f t="shared" si="70"/>
        <v>46094</v>
      </c>
      <c r="E753" s="1">
        <f>D753</f>
        <v>46094</v>
      </c>
      <c r="F753">
        <v>12039</v>
      </c>
      <c r="G753">
        <v>30</v>
      </c>
      <c r="H753">
        <f t="shared" si="75"/>
        <v>0</v>
      </c>
      <c r="I753" t="str">
        <f t="shared" si="73"/>
        <v>On Time</v>
      </c>
      <c r="J753" cm="1">
        <f t="array" ref="J753">_xlfn.IFS(H753&lt;30,0,H753&lt;60,1,H753&lt;90,2,H753&lt;120,3)</f>
        <v>0</v>
      </c>
      <c r="M753" t="str">
        <f t="shared" si="74"/>
        <v>Low</v>
      </c>
      <c r="N753" t="str">
        <f t="shared" si="71"/>
        <v>Feb</v>
      </c>
      <c r="O753">
        <f t="shared" si="72"/>
        <v>2026</v>
      </c>
    </row>
    <row r="754" spans="1:15" x14ac:dyDescent="0.3">
      <c r="A754">
        <v>203793</v>
      </c>
      <c r="B754" t="s">
        <v>93</v>
      </c>
      <c r="C754" s="2">
        <v>46064</v>
      </c>
      <c r="D754" s="2">
        <f t="shared" si="70"/>
        <v>46094</v>
      </c>
      <c r="F754">
        <v>4453</v>
      </c>
      <c r="G754">
        <v>30</v>
      </c>
      <c r="H754">
        <f t="shared" si="75"/>
        <v>0</v>
      </c>
      <c r="I754" t="str">
        <f t="shared" si="73"/>
        <v>On Time</v>
      </c>
      <c r="J754" cm="1">
        <f t="array" ref="J754">_xlfn.IFS(H754&lt;30,0,H754&lt;60,1,H754&lt;90,2,H754&lt;120,3)</f>
        <v>0</v>
      </c>
      <c r="M754" t="str">
        <f t="shared" si="74"/>
        <v>Low</v>
      </c>
      <c r="N754" t="str">
        <f t="shared" si="71"/>
        <v>Feb</v>
      </c>
      <c r="O754">
        <f t="shared" si="72"/>
        <v>2026</v>
      </c>
    </row>
    <row r="755" spans="1:15" x14ac:dyDescent="0.3">
      <c r="A755">
        <v>203794</v>
      </c>
      <c r="B755" t="s">
        <v>94</v>
      </c>
      <c r="C755" s="2">
        <v>46064</v>
      </c>
      <c r="D755" s="2">
        <f t="shared" si="70"/>
        <v>46094</v>
      </c>
      <c r="E755" s="1">
        <f>D755+3</f>
        <v>46097</v>
      </c>
      <c r="F755">
        <v>17986</v>
      </c>
      <c r="G755">
        <v>30</v>
      </c>
      <c r="H755">
        <f t="shared" si="75"/>
        <v>0</v>
      </c>
      <c r="I755" t="str">
        <f t="shared" si="73"/>
        <v>On Time</v>
      </c>
      <c r="J755" cm="1">
        <f t="array" ref="J755">_xlfn.IFS(H755&lt;30,0,H755&lt;60,1,H755&lt;90,2,H755&lt;120,3)</f>
        <v>0</v>
      </c>
      <c r="M755" t="str">
        <f t="shared" si="74"/>
        <v>Low</v>
      </c>
      <c r="N755" t="str">
        <f t="shared" si="71"/>
        <v>Feb</v>
      </c>
      <c r="O755">
        <f t="shared" si="72"/>
        <v>2026</v>
      </c>
    </row>
    <row r="756" spans="1:15" x14ac:dyDescent="0.3">
      <c r="A756">
        <v>203795</v>
      </c>
      <c r="B756" t="s">
        <v>95</v>
      </c>
      <c r="C756" s="2">
        <v>46064</v>
      </c>
      <c r="D756" s="2">
        <f t="shared" si="70"/>
        <v>46109</v>
      </c>
      <c r="E756" s="1">
        <f>D756+1</f>
        <v>46110</v>
      </c>
      <c r="F756">
        <v>3907</v>
      </c>
      <c r="G756">
        <v>45</v>
      </c>
      <c r="H756">
        <f t="shared" si="75"/>
        <v>0</v>
      </c>
      <c r="I756" t="str">
        <f t="shared" si="73"/>
        <v>On Time</v>
      </c>
      <c r="J756" cm="1">
        <f t="array" ref="J756">_xlfn.IFS(H756&lt;30,0,H756&lt;60,1,H756&lt;90,2,H756&lt;120,3)</f>
        <v>0</v>
      </c>
      <c r="M756" t="str">
        <f t="shared" si="74"/>
        <v>Low</v>
      </c>
      <c r="N756" t="str">
        <f t="shared" si="71"/>
        <v>Feb</v>
      </c>
      <c r="O756">
        <f t="shared" si="72"/>
        <v>2026</v>
      </c>
    </row>
    <row r="757" spans="1:15" x14ac:dyDescent="0.3">
      <c r="A757">
        <v>203796</v>
      </c>
      <c r="B757" t="s">
        <v>68</v>
      </c>
      <c r="C757" s="2">
        <v>46064</v>
      </c>
      <c r="D757" s="2">
        <f t="shared" si="70"/>
        <v>46094</v>
      </c>
      <c r="E757" s="1">
        <f>D757-1</f>
        <v>46093</v>
      </c>
      <c r="F757">
        <v>2872</v>
      </c>
      <c r="G757">
        <v>30</v>
      </c>
      <c r="H757">
        <f t="shared" si="75"/>
        <v>0</v>
      </c>
      <c r="I757" t="str">
        <f t="shared" si="73"/>
        <v>On Time</v>
      </c>
      <c r="J757" cm="1">
        <f t="array" ref="J757">_xlfn.IFS(H757&lt;30,0,H757&lt;60,1,H757&lt;90,2,H757&lt;120,3)</f>
        <v>0</v>
      </c>
      <c r="M757" t="str">
        <f t="shared" si="74"/>
        <v>Low</v>
      </c>
      <c r="N757" t="str">
        <f t="shared" si="71"/>
        <v>Feb</v>
      </c>
      <c r="O757">
        <f t="shared" si="72"/>
        <v>2026</v>
      </c>
    </row>
    <row r="758" spans="1:15" x14ac:dyDescent="0.3">
      <c r="A758">
        <v>203797</v>
      </c>
      <c r="B758" t="s">
        <v>69</v>
      </c>
      <c r="C758" s="2">
        <v>46064</v>
      </c>
      <c r="D758" s="2">
        <f t="shared" si="70"/>
        <v>46094</v>
      </c>
      <c r="E758" s="1">
        <f>D758</f>
        <v>46094</v>
      </c>
      <c r="F758">
        <v>3284</v>
      </c>
      <c r="G758">
        <v>30</v>
      </c>
      <c r="H758">
        <f t="shared" si="75"/>
        <v>0</v>
      </c>
      <c r="I758" t="str">
        <f t="shared" si="73"/>
        <v>On Time</v>
      </c>
      <c r="J758" cm="1">
        <f t="array" ref="J758">_xlfn.IFS(H758&lt;30,0,H758&lt;60,1,H758&lt;90,2,H758&lt;120,3)</f>
        <v>0</v>
      </c>
      <c r="M758" t="str">
        <f t="shared" si="74"/>
        <v>Low</v>
      </c>
      <c r="N758" t="str">
        <f t="shared" si="71"/>
        <v>Feb</v>
      </c>
      <c r="O758">
        <f t="shared" si="72"/>
        <v>2026</v>
      </c>
    </row>
    <row r="759" spans="1:15" x14ac:dyDescent="0.3">
      <c r="A759">
        <v>203798</v>
      </c>
      <c r="B759" t="s">
        <v>70</v>
      </c>
      <c r="C759" s="2">
        <v>46064</v>
      </c>
      <c r="D759" s="2">
        <f t="shared" si="70"/>
        <v>46094</v>
      </c>
      <c r="E759" s="1">
        <f>D759-5</f>
        <v>46089</v>
      </c>
      <c r="F759">
        <v>601</v>
      </c>
      <c r="G759">
        <v>30</v>
      </c>
      <c r="H759">
        <f t="shared" si="75"/>
        <v>0</v>
      </c>
      <c r="I759" t="str">
        <f t="shared" si="73"/>
        <v>On Time</v>
      </c>
      <c r="J759" cm="1">
        <f t="array" ref="J759">_xlfn.IFS(H759&lt;30,0,H759&lt;60,1,H759&lt;90,2,H759&lt;120,3)</f>
        <v>0</v>
      </c>
      <c r="M759" t="str">
        <f t="shared" si="74"/>
        <v>Low</v>
      </c>
      <c r="N759" t="str">
        <f t="shared" si="71"/>
        <v>Feb</v>
      </c>
      <c r="O759">
        <f t="shared" si="72"/>
        <v>2026</v>
      </c>
    </row>
    <row r="760" spans="1:15" x14ac:dyDescent="0.3">
      <c r="A760">
        <v>203799</v>
      </c>
      <c r="B760" t="s">
        <v>71</v>
      </c>
      <c r="C760" s="2">
        <v>46064</v>
      </c>
      <c r="D760" s="2">
        <f t="shared" si="70"/>
        <v>46094</v>
      </c>
      <c r="E760" s="1">
        <f>D760+35</f>
        <v>46129</v>
      </c>
      <c r="F760">
        <v>2152</v>
      </c>
      <c r="G760">
        <v>30</v>
      </c>
      <c r="H760">
        <f t="shared" si="75"/>
        <v>0</v>
      </c>
      <c r="I760" t="str">
        <f t="shared" si="73"/>
        <v>On Time</v>
      </c>
      <c r="J760" cm="1">
        <f t="array" ref="J760">_xlfn.IFS(H760&lt;30,0,H760&lt;60,1,H760&lt;90,2,H760&lt;120,3)</f>
        <v>0</v>
      </c>
      <c r="M760" t="str">
        <f t="shared" si="74"/>
        <v>Low</v>
      </c>
      <c r="N760" t="str">
        <f t="shared" si="71"/>
        <v>Feb</v>
      </c>
      <c r="O760">
        <f t="shared" si="72"/>
        <v>2026</v>
      </c>
    </row>
    <row r="761" spans="1:15" x14ac:dyDescent="0.3">
      <c r="A761">
        <v>203800</v>
      </c>
      <c r="B761" t="s">
        <v>72</v>
      </c>
      <c r="C761" s="2">
        <v>46064</v>
      </c>
      <c r="D761" s="2">
        <f t="shared" si="70"/>
        <v>46094</v>
      </c>
      <c r="E761" s="1">
        <f>D761+75</f>
        <v>46169</v>
      </c>
      <c r="F761">
        <v>2688</v>
      </c>
      <c r="G761">
        <v>30</v>
      </c>
      <c r="H761">
        <f t="shared" si="75"/>
        <v>0</v>
      </c>
      <c r="I761" t="str">
        <f t="shared" si="73"/>
        <v>On Time</v>
      </c>
      <c r="J761" cm="1">
        <f t="array" ref="J761">_xlfn.IFS(H761&lt;30,0,H761&lt;60,1,H761&lt;90,2,H761&lt;120,3)</f>
        <v>0</v>
      </c>
      <c r="M761" t="str">
        <f t="shared" si="74"/>
        <v>Low</v>
      </c>
      <c r="N761" t="str">
        <f t="shared" si="71"/>
        <v>Feb</v>
      </c>
      <c r="O761">
        <f t="shared" si="72"/>
        <v>2026</v>
      </c>
    </row>
    <row r="762" spans="1:15" x14ac:dyDescent="0.3">
      <c r="A762">
        <v>203801</v>
      </c>
      <c r="B762" t="s">
        <v>73</v>
      </c>
      <c r="C762" s="2">
        <v>46064</v>
      </c>
      <c r="D762" s="2">
        <f t="shared" si="70"/>
        <v>46109</v>
      </c>
      <c r="E762" s="1">
        <f>D762+5</f>
        <v>46114</v>
      </c>
      <c r="F762">
        <v>12415</v>
      </c>
      <c r="G762">
        <v>45</v>
      </c>
      <c r="H762">
        <f t="shared" si="75"/>
        <v>0</v>
      </c>
      <c r="I762" t="str">
        <f t="shared" si="73"/>
        <v>On Time</v>
      </c>
      <c r="J762" cm="1">
        <f t="array" ref="J762">_xlfn.IFS(H762&lt;30,0,H762&lt;60,1,H762&lt;90,2,H762&lt;120,3)</f>
        <v>0</v>
      </c>
      <c r="M762" t="str">
        <f t="shared" si="74"/>
        <v>Low</v>
      </c>
      <c r="N762" t="str">
        <f t="shared" si="71"/>
        <v>Feb</v>
      </c>
      <c r="O762">
        <f t="shared" si="72"/>
        <v>2026</v>
      </c>
    </row>
    <row r="763" spans="1:15" x14ac:dyDescent="0.3">
      <c r="A763">
        <v>203802</v>
      </c>
      <c r="B763" t="s">
        <v>74</v>
      </c>
      <c r="C763" s="2">
        <v>46064</v>
      </c>
      <c r="D763" s="2">
        <f t="shared" si="70"/>
        <v>46109</v>
      </c>
      <c r="E763" s="1">
        <f>D763</f>
        <v>46109</v>
      </c>
      <c r="F763">
        <v>3714</v>
      </c>
      <c r="G763">
        <v>45</v>
      </c>
      <c r="H763">
        <f t="shared" si="75"/>
        <v>0</v>
      </c>
      <c r="I763" t="str">
        <f t="shared" si="73"/>
        <v>On Time</v>
      </c>
      <c r="J763" cm="1">
        <f t="array" ref="J763">_xlfn.IFS(H763&lt;30,0,H763&lt;60,1,H763&lt;90,2,H763&lt;120,3)</f>
        <v>0</v>
      </c>
      <c r="M763" t="str">
        <f t="shared" si="74"/>
        <v>Low</v>
      </c>
      <c r="N763" t="str">
        <f t="shared" si="71"/>
        <v>Feb</v>
      </c>
      <c r="O763">
        <f t="shared" si="72"/>
        <v>2026</v>
      </c>
    </row>
    <row r="764" spans="1:15" x14ac:dyDescent="0.3">
      <c r="A764">
        <v>203803</v>
      </c>
      <c r="B764" t="s">
        <v>45</v>
      </c>
      <c r="C764" s="2">
        <v>46064</v>
      </c>
      <c r="D764" s="2">
        <f t="shared" si="70"/>
        <v>46109</v>
      </c>
      <c r="E764" s="1">
        <f>D764-1</f>
        <v>46108</v>
      </c>
      <c r="F764">
        <v>4284</v>
      </c>
      <c r="G764">
        <v>45</v>
      </c>
      <c r="H764">
        <f t="shared" si="75"/>
        <v>0</v>
      </c>
      <c r="I764" t="str">
        <f t="shared" si="73"/>
        <v>On Time</v>
      </c>
      <c r="J764" cm="1">
        <f t="array" ref="J764">_xlfn.IFS(H764&lt;30,0,H764&lt;60,1,H764&lt;90,2,H764&lt;120,3)</f>
        <v>0</v>
      </c>
      <c r="M764" t="str">
        <f t="shared" si="74"/>
        <v>Low</v>
      </c>
      <c r="N764" t="str">
        <f t="shared" si="71"/>
        <v>Feb</v>
      </c>
      <c r="O764">
        <f t="shared" si="72"/>
        <v>2026</v>
      </c>
    </row>
    <row r="765" spans="1:15" x14ac:dyDescent="0.3">
      <c r="A765">
        <v>203804</v>
      </c>
      <c r="B765" t="s">
        <v>46</v>
      </c>
      <c r="C765" s="2">
        <v>46064</v>
      </c>
      <c r="D765" s="2">
        <f t="shared" si="70"/>
        <v>46124</v>
      </c>
      <c r="E765" s="1">
        <f>D765</f>
        <v>46124</v>
      </c>
      <c r="F765">
        <v>3557</v>
      </c>
      <c r="G765">
        <v>60</v>
      </c>
      <c r="H765">
        <f t="shared" si="75"/>
        <v>0</v>
      </c>
      <c r="I765" t="str">
        <f t="shared" si="73"/>
        <v>On Time</v>
      </c>
      <c r="J765" cm="1">
        <f t="array" ref="J765">_xlfn.IFS(H765&lt;30,0,H765&lt;60,1,H765&lt;90,2,H765&lt;120,3)</f>
        <v>0</v>
      </c>
      <c r="M765" t="str">
        <f t="shared" si="74"/>
        <v>Low</v>
      </c>
      <c r="N765" t="str">
        <f t="shared" si="71"/>
        <v>Feb</v>
      </c>
      <c r="O765">
        <f t="shared" si="72"/>
        <v>2026</v>
      </c>
    </row>
    <row r="766" spans="1:15" x14ac:dyDescent="0.3">
      <c r="A766">
        <v>203805</v>
      </c>
      <c r="B766" t="s">
        <v>47</v>
      </c>
      <c r="C766" s="2">
        <v>46064</v>
      </c>
      <c r="D766" s="2">
        <f t="shared" si="70"/>
        <v>46124</v>
      </c>
      <c r="E766" s="1">
        <f>D766+32</f>
        <v>46156</v>
      </c>
      <c r="F766">
        <v>1456</v>
      </c>
      <c r="G766">
        <v>60</v>
      </c>
      <c r="H766">
        <f t="shared" si="75"/>
        <v>0</v>
      </c>
      <c r="I766" t="str">
        <f t="shared" si="73"/>
        <v>On Time</v>
      </c>
      <c r="J766" cm="1">
        <f t="array" ref="J766">_xlfn.IFS(H766&lt;30,0,H766&lt;60,1,H766&lt;90,2,H766&lt;120,3)</f>
        <v>0</v>
      </c>
      <c r="M766" t="str">
        <f t="shared" si="74"/>
        <v>Low</v>
      </c>
      <c r="N766" t="str">
        <f t="shared" si="71"/>
        <v>Feb</v>
      </c>
      <c r="O766">
        <f t="shared" si="72"/>
        <v>2026</v>
      </c>
    </row>
    <row r="767" spans="1:15" x14ac:dyDescent="0.3">
      <c r="A767">
        <v>203806</v>
      </c>
      <c r="B767" t="s">
        <v>48</v>
      </c>
      <c r="C767" s="2">
        <v>46064</v>
      </c>
      <c r="D767" s="2">
        <f t="shared" si="70"/>
        <v>46109</v>
      </c>
      <c r="E767" s="1">
        <f>D767+15</f>
        <v>46124</v>
      </c>
      <c r="F767">
        <v>3152</v>
      </c>
      <c r="G767">
        <v>45</v>
      </c>
      <c r="H767">
        <f t="shared" si="75"/>
        <v>0</v>
      </c>
      <c r="I767" t="str">
        <f t="shared" si="73"/>
        <v>On Time</v>
      </c>
      <c r="J767" cm="1">
        <f t="array" ref="J767">_xlfn.IFS(H767&lt;30,0,H767&lt;60,1,H767&lt;90,2,H767&lt;120,3)</f>
        <v>0</v>
      </c>
      <c r="M767" t="str">
        <f t="shared" si="74"/>
        <v>Low</v>
      </c>
      <c r="N767" t="str">
        <f t="shared" si="71"/>
        <v>Feb</v>
      </c>
      <c r="O767">
        <f t="shared" si="72"/>
        <v>2026</v>
      </c>
    </row>
    <row r="768" spans="1:15" x14ac:dyDescent="0.3">
      <c r="A768">
        <v>203807</v>
      </c>
      <c r="B768" t="s">
        <v>49</v>
      </c>
      <c r="C768" s="2">
        <v>46064</v>
      </c>
      <c r="D768" s="2">
        <f t="shared" si="70"/>
        <v>46094</v>
      </c>
      <c r="E768" s="1">
        <f>D768</f>
        <v>46094</v>
      </c>
      <c r="F768">
        <v>4609</v>
      </c>
      <c r="G768">
        <v>30</v>
      </c>
      <c r="H768">
        <f t="shared" si="75"/>
        <v>0</v>
      </c>
      <c r="I768" t="str">
        <f t="shared" si="73"/>
        <v>On Time</v>
      </c>
      <c r="J768" cm="1">
        <f t="array" ref="J768">_xlfn.IFS(H768&lt;30,0,H768&lt;60,1,H768&lt;90,2,H768&lt;120,3)</f>
        <v>0</v>
      </c>
      <c r="M768" t="str">
        <f t="shared" si="74"/>
        <v>Low</v>
      </c>
      <c r="N768" t="str">
        <f t="shared" si="71"/>
        <v>Feb</v>
      </c>
      <c r="O768">
        <f t="shared" si="72"/>
        <v>2026</v>
      </c>
    </row>
    <row r="769" spans="1:15" x14ac:dyDescent="0.3">
      <c r="A769">
        <v>203774</v>
      </c>
      <c r="B769" t="s">
        <v>114</v>
      </c>
      <c r="C769" s="2">
        <v>46063</v>
      </c>
      <c r="D769" s="2">
        <f t="shared" si="70"/>
        <v>46093</v>
      </c>
      <c r="E769" s="1">
        <f>D769-2</f>
        <v>46091</v>
      </c>
      <c r="F769">
        <v>3367</v>
      </c>
      <c r="G769">
        <v>30</v>
      </c>
      <c r="H769">
        <f t="shared" si="75"/>
        <v>0</v>
      </c>
      <c r="I769" t="str">
        <f t="shared" si="73"/>
        <v>On Time</v>
      </c>
      <c r="J769" cm="1">
        <f t="array" ref="J769">_xlfn.IFS(H769&lt;30,0,H769&lt;60,1,H769&lt;90,2,H769&lt;120,3)</f>
        <v>0</v>
      </c>
      <c r="M769" t="str">
        <f t="shared" si="74"/>
        <v>Low</v>
      </c>
      <c r="N769" t="str">
        <f t="shared" si="71"/>
        <v>Feb</v>
      </c>
      <c r="O769">
        <f t="shared" si="72"/>
        <v>2026</v>
      </c>
    </row>
    <row r="770" spans="1:15" x14ac:dyDescent="0.3">
      <c r="A770">
        <v>203775</v>
      </c>
      <c r="B770" t="s">
        <v>115</v>
      </c>
      <c r="C770" s="2">
        <v>46063</v>
      </c>
      <c r="D770" s="2">
        <f t="shared" ref="D770:D833" si="76">C770+G770</f>
        <v>46093</v>
      </c>
      <c r="E770" s="1">
        <f>D770-2</f>
        <v>46091</v>
      </c>
      <c r="F770">
        <v>4130</v>
      </c>
      <c r="G770">
        <v>30</v>
      </c>
      <c r="H770">
        <f t="shared" si="75"/>
        <v>0</v>
      </c>
      <c r="I770" t="str">
        <f t="shared" si="73"/>
        <v>On Time</v>
      </c>
      <c r="J770" cm="1">
        <f t="array" ref="J770">_xlfn.IFS(H770&lt;30,0,H770&lt;60,1,H770&lt;90,2,H770&lt;120,3)</f>
        <v>0</v>
      </c>
      <c r="M770" t="str">
        <f t="shared" si="74"/>
        <v>Low</v>
      </c>
      <c r="N770" t="str">
        <f t="shared" ref="N770:N833" si="77">TEXT(C770,"mmm")</f>
        <v>Feb</v>
      </c>
      <c r="O770">
        <f t="shared" ref="O770:O833" si="78">YEAR(C770)</f>
        <v>2026</v>
      </c>
    </row>
    <row r="771" spans="1:15" x14ac:dyDescent="0.3">
      <c r="A771">
        <v>203776</v>
      </c>
      <c r="B771" t="s">
        <v>116</v>
      </c>
      <c r="C771" s="2">
        <v>46063</v>
      </c>
      <c r="D771" s="2">
        <f t="shared" si="76"/>
        <v>46093</v>
      </c>
      <c r="E771" s="1">
        <f>D771</f>
        <v>46093</v>
      </c>
      <c r="F771">
        <v>297</v>
      </c>
      <c r="G771">
        <v>30</v>
      </c>
      <c r="H771">
        <f t="shared" si="75"/>
        <v>0</v>
      </c>
      <c r="I771" t="str">
        <f t="shared" si="73"/>
        <v>On Time</v>
      </c>
      <c r="J771" cm="1">
        <f t="array" ref="J771">_xlfn.IFS(H771&lt;30,0,H771&lt;60,1,H771&lt;90,2,H771&lt;120,3)</f>
        <v>0</v>
      </c>
      <c r="M771" t="str">
        <f t="shared" si="74"/>
        <v>Low</v>
      </c>
      <c r="N771" t="str">
        <f t="shared" si="77"/>
        <v>Feb</v>
      </c>
      <c r="O771">
        <f t="shared" si="78"/>
        <v>2026</v>
      </c>
    </row>
    <row r="772" spans="1:15" x14ac:dyDescent="0.3">
      <c r="A772">
        <v>203777</v>
      </c>
      <c r="B772" t="s">
        <v>117</v>
      </c>
      <c r="C772" s="2">
        <v>46063</v>
      </c>
      <c r="D772" s="2">
        <f t="shared" si="76"/>
        <v>46093</v>
      </c>
      <c r="E772" s="1">
        <f>D772+2</f>
        <v>46095</v>
      </c>
      <c r="F772">
        <v>147</v>
      </c>
      <c r="G772">
        <v>30</v>
      </c>
      <c r="H772">
        <f t="shared" si="75"/>
        <v>0</v>
      </c>
      <c r="I772" t="str">
        <f t="shared" si="73"/>
        <v>On Time</v>
      </c>
      <c r="J772" cm="1">
        <f t="array" ref="J772">_xlfn.IFS(H772&lt;30,0,H772&lt;60,1,H772&lt;90,2,H772&lt;120,3)</f>
        <v>0</v>
      </c>
      <c r="M772" t="str">
        <f t="shared" si="74"/>
        <v>Low</v>
      </c>
      <c r="N772" t="str">
        <f t="shared" si="77"/>
        <v>Feb</v>
      </c>
      <c r="O772">
        <f t="shared" si="78"/>
        <v>2026</v>
      </c>
    </row>
    <row r="773" spans="1:15" x14ac:dyDescent="0.3">
      <c r="A773">
        <v>203778</v>
      </c>
      <c r="B773" t="s">
        <v>118</v>
      </c>
      <c r="C773" s="2">
        <v>46063</v>
      </c>
      <c r="D773" s="2">
        <f t="shared" si="76"/>
        <v>46093</v>
      </c>
      <c r="E773" s="1">
        <f>D773+2</f>
        <v>46095</v>
      </c>
      <c r="F773">
        <v>1700</v>
      </c>
      <c r="G773">
        <v>30</v>
      </c>
      <c r="H773">
        <f t="shared" si="75"/>
        <v>0</v>
      </c>
      <c r="I773" t="str">
        <f t="shared" si="73"/>
        <v>On Time</v>
      </c>
      <c r="J773" cm="1">
        <f t="array" ref="J773">_xlfn.IFS(H773&lt;30,0,H773&lt;60,1,H773&lt;90,2,H773&lt;120,3)</f>
        <v>0</v>
      </c>
      <c r="M773" t="str">
        <f t="shared" si="74"/>
        <v>Low</v>
      </c>
      <c r="N773" t="str">
        <f t="shared" si="77"/>
        <v>Feb</v>
      </c>
      <c r="O773">
        <f t="shared" si="78"/>
        <v>2026</v>
      </c>
    </row>
    <row r="774" spans="1:15" x14ac:dyDescent="0.3">
      <c r="A774">
        <v>203779</v>
      </c>
      <c r="B774" t="s">
        <v>119</v>
      </c>
      <c r="C774" s="2">
        <v>46063</v>
      </c>
      <c r="D774" s="2">
        <f t="shared" si="76"/>
        <v>46093</v>
      </c>
      <c r="E774" s="1">
        <f>D774+2</f>
        <v>46095</v>
      </c>
      <c r="F774">
        <v>1196</v>
      </c>
      <c r="G774">
        <v>30</v>
      </c>
      <c r="H774">
        <f t="shared" si="75"/>
        <v>0</v>
      </c>
      <c r="I774" t="str">
        <f t="shared" si="73"/>
        <v>On Time</v>
      </c>
      <c r="J774" cm="1">
        <f t="array" ref="J774">_xlfn.IFS(H774&lt;30,0,H774&lt;60,1,H774&lt;90,2,H774&lt;120,3)</f>
        <v>0</v>
      </c>
      <c r="M774" t="str">
        <f t="shared" si="74"/>
        <v>Low</v>
      </c>
      <c r="N774" t="str">
        <f t="shared" si="77"/>
        <v>Feb</v>
      </c>
      <c r="O774">
        <f t="shared" si="78"/>
        <v>2026</v>
      </c>
    </row>
    <row r="775" spans="1:15" x14ac:dyDescent="0.3">
      <c r="A775">
        <v>203780</v>
      </c>
      <c r="B775" t="s">
        <v>100</v>
      </c>
      <c r="C775" s="2">
        <v>46063</v>
      </c>
      <c r="D775" s="2">
        <f t="shared" si="76"/>
        <v>46093</v>
      </c>
      <c r="E775" s="1">
        <f>D775</f>
        <v>46093</v>
      </c>
      <c r="F775">
        <v>2228</v>
      </c>
      <c r="G775">
        <v>30</v>
      </c>
      <c r="H775">
        <f t="shared" si="75"/>
        <v>0</v>
      </c>
      <c r="I775" t="str">
        <f t="shared" si="73"/>
        <v>On Time</v>
      </c>
      <c r="J775" cm="1">
        <f t="array" ref="J775">_xlfn.IFS(H775&lt;30,0,H775&lt;60,1,H775&lt;90,2,H775&lt;120,3)</f>
        <v>0</v>
      </c>
      <c r="M775" t="str">
        <f t="shared" si="74"/>
        <v>Low</v>
      </c>
      <c r="N775" t="str">
        <f t="shared" si="77"/>
        <v>Feb</v>
      </c>
      <c r="O775">
        <f t="shared" si="78"/>
        <v>2026</v>
      </c>
    </row>
    <row r="776" spans="1:15" x14ac:dyDescent="0.3">
      <c r="A776">
        <v>203781</v>
      </c>
      <c r="B776" t="s">
        <v>101</v>
      </c>
      <c r="C776" s="2">
        <v>46063</v>
      </c>
      <c r="D776" s="2">
        <f t="shared" si="76"/>
        <v>46093</v>
      </c>
      <c r="E776" s="1">
        <f>D776+20</f>
        <v>46113</v>
      </c>
      <c r="F776">
        <v>19651</v>
      </c>
      <c r="G776">
        <v>30</v>
      </c>
      <c r="H776">
        <f t="shared" si="75"/>
        <v>0</v>
      </c>
      <c r="I776" t="str">
        <f t="shared" si="73"/>
        <v>On Time</v>
      </c>
      <c r="J776" cm="1">
        <f t="array" ref="J776">_xlfn.IFS(H776&lt;30,0,H776&lt;60,1,H776&lt;90,2,H776&lt;120,3)</f>
        <v>0</v>
      </c>
      <c r="M776" t="str">
        <f t="shared" si="74"/>
        <v>Low</v>
      </c>
      <c r="N776" t="str">
        <f t="shared" si="77"/>
        <v>Feb</v>
      </c>
      <c r="O776">
        <f t="shared" si="78"/>
        <v>2026</v>
      </c>
    </row>
    <row r="777" spans="1:15" x14ac:dyDescent="0.3">
      <c r="A777">
        <v>203782</v>
      </c>
      <c r="B777" t="s">
        <v>102</v>
      </c>
      <c r="C777" s="2">
        <v>46063</v>
      </c>
      <c r="D777" s="2">
        <f t="shared" si="76"/>
        <v>46093</v>
      </c>
      <c r="E777" s="1">
        <f>D777</f>
        <v>46093</v>
      </c>
      <c r="F777">
        <v>6779</v>
      </c>
      <c r="G777">
        <v>30</v>
      </c>
      <c r="H777">
        <f t="shared" si="75"/>
        <v>0</v>
      </c>
      <c r="I777" t="str">
        <f t="shared" si="73"/>
        <v>On Time</v>
      </c>
      <c r="J777" cm="1">
        <f t="array" ref="J777">_xlfn.IFS(H777&lt;30,0,H777&lt;60,1,H777&lt;90,2,H777&lt;120,3)</f>
        <v>0</v>
      </c>
      <c r="M777" t="str">
        <f t="shared" si="74"/>
        <v>Low</v>
      </c>
      <c r="N777" t="str">
        <f t="shared" si="77"/>
        <v>Feb</v>
      </c>
      <c r="O777">
        <f t="shared" si="78"/>
        <v>2026</v>
      </c>
    </row>
    <row r="778" spans="1:15" x14ac:dyDescent="0.3">
      <c r="A778">
        <v>203783</v>
      </c>
      <c r="B778" t="s">
        <v>103</v>
      </c>
      <c r="C778" s="2">
        <v>46063</v>
      </c>
      <c r="D778" s="2">
        <f t="shared" si="76"/>
        <v>46093</v>
      </c>
      <c r="E778" s="1">
        <f>D778+1</f>
        <v>46094</v>
      </c>
      <c r="F778">
        <v>3119</v>
      </c>
      <c r="G778">
        <v>30</v>
      </c>
      <c r="H778">
        <f t="shared" si="75"/>
        <v>0</v>
      </c>
      <c r="I778" t="str">
        <f t="shared" si="73"/>
        <v>On Time</v>
      </c>
      <c r="J778" cm="1">
        <f t="array" ref="J778">_xlfn.IFS(H778&lt;30,0,H778&lt;60,1,H778&lt;90,2,H778&lt;120,3)</f>
        <v>0</v>
      </c>
      <c r="M778" t="str">
        <f t="shared" si="74"/>
        <v>Low</v>
      </c>
      <c r="N778" t="str">
        <f t="shared" si="77"/>
        <v>Feb</v>
      </c>
      <c r="O778">
        <f t="shared" si="78"/>
        <v>2026</v>
      </c>
    </row>
    <row r="779" spans="1:15" x14ac:dyDescent="0.3">
      <c r="A779">
        <v>203784</v>
      </c>
      <c r="B779" t="s">
        <v>104</v>
      </c>
      <c r="C779" s="2">
        <v>46063</v>
      </c>
      <c r="D779" s="2">
        <f t="shared" si="76"/>
        <v>46093</v>
      </c>
      <c r="E779" s="1">
        <f>D779</f>
        <v>46093</v>
      </c>
      <c r="F779">
        <v>2089</v>
      </c>
      <c r="G779">
        <v>30</v>
      </c>
      <c r="H779">
        <f t="shared" si="75"/>
        <v>0</v>
      </c>
      <c r="I779" t="str">
        <f t="shared" si="73"/>
        <v>On Time</v>
      </c>
      <c r="J779" cm="1">
        <f t="array" ref="J779">_xlfn.IFS(H779&lt;30,0,H779&lt;60,1,H779&lt;90,2,H779&lt;120,3)</f>
        <v>0</v>
      </c>
      <c r="M779" t="str">
        <f t="shared" si="74"/>
        <v>Low</v>
      </c>
      <c r="N779" t="str">
        <f t="shared" si="77"/>
        <v>Feb</v>
      </c>
      <c r="O779">
        <f t="shared" si="78"/>
        <v>2026</v>
      </c>
    </row>
    <row r="780" spans="1:15" x14ac:dyDescent="0.3">
      <c r="A780">
        <v>203785</v>
      </c>
      <c r="B780" t="s">
        <v>105</v>
      </c>
      <c r="C780" s="2">
        <v>46063</v>
      </c>
      <c r="D780" s="2">
        <f t="shared" si="76"/>
        <v>46093</v>
      </c>
      <c r="E780" s="1">
        <f>D780</f>
        <v>46093</v>
      </c>
      <c r="F780">
        <v>1235</v>
      </c>
      <c r="G780">
        <v>30</v>
      </c>
      <c r="H780">
        <f t="shared" si="75"/>
        <v>0</v>
      </c>
      <c r="I780" t="str">
        <f t="shared" si="73"/>
        <v>On Time</v>
      </c>
      <c r="J780" cm="1">
        <f t="array" ref="J780">_xlfn.IFS(H780&lt;30,0,H780&lt;60,1,H780&lt;90,2,H780&lt;120,3)</f>
        <v>0</v>
      </c>
      <c r="M780" t="str">
        <f t="shared" si="74"/>
        <v>Low</v>
      </c>
      <c r="N780" t="str">
        <f t="shared" si="77"/>
        <v>Feb</v>
      </c>
      <c r="O780">
        <f t="shared" si="78"/>
        <v>2026</v>
      </c>
    </row>
    <row r="781" spans="1:15" x14ac:dyDescent="0.3">
      <c r="A781">
        <v>203786</v>
      </c>
      <c r="B781" t="s">
        <v>86</v>
      </c>
      <c r="C781" s="2">
        <v>46063</v>
      </c>
      <c r="D781" s="2">
        <f t="shared" si="76"/>
        <v>46093</v>
      </c>
      <c r="E781" s="1">
        <f>D781+5</f>
        <v>46098</v>
      </c>
      <c r="F781">
        <v>651</v>
      </c>
      <c r="G781">
        <v>30</v>
      </c>
      <c r="H781">
        <f t="shared" si="75"/>
        <v>0</v>
      </c>
      <c r="I781" t="str">
        <f t="shared" si="73"/>
        <v>On Time</v>
      </c>
      <c r="J781" cm="1">
        <f t="array" ref="J781">_xlfn.IFS(H781&lt;30,0,H781&lt;60,1,H781&lt;90,2,H781&lt;120,3)</f>
        <v>0</v>
      </c>
      <c r="M781" t="str">
        <f t="shared" si="74"/>
        <v>Low</v>
      </c>
      <c r="N781" t="str">
        <f t="shared" si="77"/>
        <v>Feb</v>
      </c>
      <c r="O781">
        <f t="shared" si="78"/>
        <v>2026</v>
      </c>
    </row>
    <row r="782" spans="1:15" x14ac:dyDescent="0.3">
      <c r="A782">
        <v>203787</v>
      </c>
      <c r="B782" t="s">
        <v>87</v>
      </c>
      <c r="C782" s="2">
        <v>46063</v>
      </c>
      <c r="D782" s="2">
        <f t="shared" si="76"/>
        <v>46093</v>
      </c>
      <c r="E782" s="1">
        <f>D782+2</f>
        <v>46095</v>
      </c>
      <c r="F782">
        <v>1282</v>
      </c>
      <c r="G782">
        <v>30</v>
      </c>
      <c r="H782">
        <f t="shared" si="75"/>
        <v>0</v>
      </c>
      <c r="I782" t="str">
        <f t="shared" si="73"/>
        <v>On Time</v>
      </c>
      <c r="J782" cm="1">
        <f t="array" ref="J782">_xlfn.IFS(H782&lt;30,0,H782&lt;60,1,H782&lt;90,2,H782&lt;120,3)</f>
        <v>0</v>
      </c>
      <c r="M782" t="str">
        <f t="shared" si="74"/>
        <v>Low</v>
      </c>
      <c r="N782" t="str">
        <f t="shared" si="77"/>
        <v>Feb</v>
      </c>
      <c r="O782">
        <f t="shared" si="78"/>
        <v>2026</v>
      </c>
    </row>
    <row r="783" spans="1:15" x14ac:dyDescent="0.3">
      <c r="A783">
        <v>203788</v>
      </c>
      <c r="B783" t="s">
        <v>88</v>
      </c>
      <c r="C783" s="2">
        <v>46063</v>
      </c>
      <c r="D783" s="2">
        <f t="shared" si="76"/>
        <v>46093</v>
      </c>
      <c r="E783" s="1">
        <f>D783+5</f>
        <v>46098</v>
      </c>
      <c r="F783">
        <v>3111</v>
      </c>
      <c r="G783">
        <v>30</v>
      </c>
      <c r="H783">
        <f t="shared" si="75"/>
        <v>0</v>
      </c>
      <c r="I783" t="str">
        <f t="shared" si="73"/>
        <v>On Time</v>
      </c>
      <c r="J783" cm="1">
        <f t="array" ref="J783">_xlfn.IFS(H783&lt;30,0,H783&lt;60,1,H783&lt;90,2,H783&lt;120,3)</f>
        <v>0</v>
      </c>
      <c r="M783" t="str">
        <f t="shared" si="74"/>
        <v>Low</v>
      </c>
      <c r="N783" t="str">
        <f t="shared" si="77"/>
        <v>Feb</v>
      </c>
      <c r="O783">
        <f t="shared" si="78"/>
        <v>2026</v>
      </c>
    </row>
    <row r="784" spans="1:15" x14ac:dyDescent="0.3">
      <c r="A784">
        <v>203756</v>
      </c>
      <c r="B784" t="s">
        <v>103</v>
      </c>
      <c r="C784" s="2">
        <v>46062</v>
      </c>
      <c r="D784" s="2">
        <f t="shared" si="76"/>
        <v>46092</v>
      </c>
      <c r="E784" s="1">
        <f>D784</f>
        <v>46092</v>
      </c>
      <c r="F784">
        <v>4802</v>
      </c>
      <c r="G784">
        <v>30</v>
      </c>
      <c r="H784">
        <f t="shared" si="75"/>
        <v>0</v>
      </c>
      <c r="I784" t="str">
        <f t="shared" si="73"/>
        <v>On Time</v>
      </c>
      <c r="J784" cm="1">
        <f t="array" ref="J784">_xlfn.IFS(H784&lt;30,0,H784&lt;60,1,H784&lt;90,2,H784&lt;120,3)</f>
        <v>0</v>
      </c>
      <c r="M784" t="str">
        <f t="shared" si="74"/>
        <v>Low</v>
      </c>
      <c r="N784" t="str">
        <f t="shared" si="77"/>
        <v>Feb</v>
      </c>
      <c r="O784">
        <f t="shared" si="78"/>
        <v>2026</v>
      </c>
    </row>
    <row r="785" spans="1:15" x14ac:dyDescent="0.3">
      <c r="A785">
        <v>203757</v>
      </c>
      <c r="B785" t="s">
        <v>104</v>
      </c>
      <c r="C785" s="2">
        <v>46062</v>
      </c>
      <c r="D785" s="2">
        <f t="shared" si="76"/>
        <v>46092</v>
      </c>
      <c r="E785" s="1">
        <f>D785</f>
        <v>46092</v>
      </c>
      <c r="F785">
        <v>4050</v>
      </c>
      <c r="G785">
        <v>30</v>
      </c>
      <c r="H785">
        <f t="shared" si="75"/>
        <v>0</v>
      </c>
      <c r="I785" t="str">
        <f t="shared" si="73"/>
        <v>On Time</v>
      </c>
      <c r="J785" cm="1">
        <f t="array" ref="J785">_xlfn.IFS(H785&lt;30,0,H785&lt;60,1,H785&lt;90,2,H785&lt;120,3)</f>
        <v>0</v>
      </c>
      <c r="M785" t="str">
        <f t="shared" si="74"/>
        <v>Low</v>
      </c>
      <c r="N785" t="str">
        <f t="shared" si="77"/>
        <v>Feb</v>
      </c>
      <c r="O785">
        <f t="shared" si="78"/>
        <v>2026</v>
      </c>
    </row>
    <row r="786" spans="1:15" x14ac:dyDescent="0.3">
      <c r="A786">
        <v>203758</v>
      </c>
      <c r="B786" t="s">
        <v>105</v>
      </c>
      <c r="C786" s="2">
        <v>46062</v>
      </c>
      <c r="D786" s="2">
        <f t="shared" si="76"/>
        <v>46092</v>
      </c>
      <c r="E786" s="1">
        <f>D786+60</f>
        <v>46152</v>
      </c>
      <c r="F786">
        <v>2705</v>
      </c>
      <c r="G786">
        <v>30</v>
      </c>
      <c r="H786">
        <f t="shared" si="75"/>
        <v>0</v>
      </c>
      <c r="I786" t="str">
        <f t="shared" si="73"/>
        <v>On Time</v>
      </c>
      <c r="J786" cm="1">
        <f t="array" ref="J786">_xlfn.IFS(H786&lt;30,0,H786&lt;60,1,H786&lt;90,2,H786&lt;120,3)</f>
        <v>0</v>
      </c>
      <c r="M786" t="str">
        <f t="shared" si="74"/>
        <v>Low</v>
      </c>
      <c r="N786" t="str">
        <f t="shared" si="77"/>
        <v>Feb</v>
      </c>
      <c r="O786">
        <f t="shared" si="78"/>
        <v>2026</v>
      </c>
    </row>
    <row r="787" spans="1:15" x14ac:dyDescent="0.3">
      <c r="A787">
        <v>203759</v>
      </c>
      <c r="B787" t="s">
        <v>114</v>
      </c>
      <c r="C787" s="2">
        <v>46062</v>
      </c>
      <c r="D787" s="2">
        <f t="shared" si="76"/>
        <v>46092</v>
      </c>
      <c r="E787" s="1">
        <f>D787</f>
        <v>46092</v>
      </c>
      <c r="F787">
        <v>10701</v>
      </c>
      <c r="G787">
        <v>30</v>
      </c>
      <c r="H787">
        <f t="shared" si="75"/>
        <v>0</v>
      </c>
      <c r="I787" t="str">
        <f t="shared" si="73"/>
        <v>On Time</v>
      </c>
      <c r="J787" cm="1">
        <f t="array" ref="J787">_xlfn.IFS(H787&lt;30,0,H787&lt;60,1,H787&lt;90,2,H787&lt;120,3)</f>
        <v>0</v>
      </c>
      <c r="M787" t="str">
        <f t="shared" si="74"/>
        <v>Low</v>
      </c>
      <c r="N787" t="str">
        <f t="shared" si="77"/>
        <v>Feb</v>
      </c>
      <c r="O787">
        <f t="shared" si="78"/>
        <v>2026</v>
      </c>
    </row>
    <row r="788" spans="1:15" x14ac:dyDescent="0.3">
      <c r="A788">
        <v>203760</v>
      </c>
      <c r="B788" t="s">
        <v>115</v>
      </c>
      <c r="C788" s="2">
        <v>46062</v>
      </c>
      <c r="D788" s="2">
        <f t="shared" si="76"/>
        <v>46092</v>
      </c>
      <c r="E788" s="1">
        <f>D788</f>
        <v>46092</v>
      </c>
      <c r="F788">
        <v>4769</v>
      </c>
      <c r="G788">
        <v>30</v>
      </c>
      <c r="H788">
        <f t="shared" si="75"/>
        <v>0</v>
      </c>
      <c r="I788" t="str">
        <f t="shared" si="73"/>
        <v>On Time</v>
      </c>
      <c r="J788" cm="1">
        <f t="array" ref="J788">_xlfn.IFS(H788&lt;30,0,H788&lt;60,1,H788&lt;90,2,H788&lt;120,3)</f>
        <v>0</v>
      </c>
      <c r="M788" t="str">
        <f t="shared" si="74"/>
        <v>Low</v>
      </c>
      <c r="N788" t="str">
        <f t="shared" si="77"/>
        <v>Feb</v>
      </c>
      <c r="O788">
        <f t="shared" si="78"/>
        <v>2026</v>
      </c>
    </row>
    <row r="789" spans="1:15" x14ac:dyDescent="0.3">
      <c r="A789">
        <v>203761</v>
      </c>
      <c r="B789" t="s">
        <v>116</v>
      </c>
      <c r="C789" s="2">
        <v>46062</v>
      </c>
      <c r="D789" s="2">
        <f t="shared" si="76"/>
        <v>46092</v>
      </c>
      <c r="E789" s="1">
        <f>D789+3</f>
        <v>46095</v>
      </c>
      <c r="F789">
        <v>2385</v>
      </c>
      <c r="G789">
        <v>30</v>
      </c>
      <c r="H789">
        <f t="shared" si="75"/>
        <v>0</v>
      </c>
      <c r="I789" t="str">
        <f t="shared" si="73"/>
        <v>On Time</v>
      </c>
      <c r="J789" cm="1">
        <f t="array" ref="J789">_xlfn.IFS(H789&lt;30,0,H789&lt;60,1,H789&lt;90,2,H789&lt;120,3)</f>
        <v>0</v>
      </c>
      <c r="M789" t="str">
        <f t="shared" si="74"/>
        <v>Low</v>
      </c>
      <c r="N789" t="str">
        <f t="shared" si="77"/>
        <v>Feb</v>
      </c>
      <c r="O789">
        <f t="shared" si="78"/>
        <v>2026</v>
      </c>
    </row>
    <row r="790" spans="1:15" x14ac:dyDescent="0.3">
      <c r="A790">
        <v>203762</v>
      </c>
      <c r="B790" t="s">
        <v>117</v>
      </c>
      <c r="C790" s="2">
        <v>46062</v>
      </c>
      <c r="D790" s="2">
        <f t="shared" si="76"/>
        <v>46092</v>
      </c>
      <c r="E790" s="1">
        <f>D790+1</f>
        <v>46093</v>
      </c>
      <c r="F790">
        <v>18276</v>
      </c>
      <c r="G790">
        <v>30</v>
      </c>
      <c r="H790">
        <f t="shared" si="75"/>
        <v>0</v>
      </c>
      <c r="I790" t="str">
        <f t="shared" ref="I790:I853" si="79">IF(H790=0,"On Time",IF(H790&lt;=15,"Paid Late","Seriously Late"))</f>
        <v>On Time</v>
      </c>
      <c r="J790" cm="1">
        <f t="array" ref="J790">_xlfn.IFS(H790&lt;30,0,H790&lt;60,1,H790&lt;90,2,H790&lt;120,3)</f>
        <v>0</v>
      </c>
      <c r="M790" t="str">
        <f t="shared" ref="M790:M853" si="80">IF(H790&gt;30,"High",IF(H790&gt;10,"Medium","Low"))</f>
        <v>Low</v>
      </c>
      <c r="N790" t="str">
        <f t="shared" si="77"/>
        <v>Feb</v>
      </c>
      <c r="O790">
        <f t="shared" si="78"/>
        <v>2026</v>
      </c>
    </row>
    <row r="791" spans="1:15" x14ac:dyDescent="0.3">
      <c r="A791">
        <v>203763</v>
      </c>
      <c r="B791" t="s">
        <v>118</v>
      </c>
      <c r="C791" s="2">
        <v>46062</v>
      </c>
      <c r="D791" s="2">
        <f t="shared" si="76"/>
        <v>46092</v>
      </c>
      <c r="E791" s="1">
        <f>D791-1</f>
        <v>46091</v>
      </c>
      <c r="F791">
        <v>107</v>
      </c>
      <c r="G791">
        <v>30</v>
      </c>
      <c r="H791">
        <f t="shared" si="75"/>
        <v>0</v>
      </c>
      <c r="I791" t="str">
        <f t="shared" si="79"/>
        <v>On Time</v>
      </c>
      <c r="J791" cm="1">
        <f t="array" ref="J791">_xlfn.IFS(H791&lt;30,0,H791&lt;60,1,H791&lt;90,2,H791&lt;120,3)</f>
        <v>0</v>
      </c>
      <c r="M791" t="str">
        <f t="shared" si="80"/>
        <v>Low</v>
      </c>
      <c r="N791" t="str">
        <f t="shared" si="77"/>
        <v>Feb</v>
      </c>
      <c r="O791">
        <f t="shared" si="78"/>
        <v>2026</v>
      </c>
    </row>
    <row r="792" spans="1:15" x14ac:dyDescent="0.3">
      <c r="A792">
        <v>203764</v>
      </c>
      <c r="B792" t="s">
        <v>119</v>
      </c>
      <c r="C792" s="2">
        <v>46062</v>
      </c>
      <c r="D792" s="2">
        <f t="shared" si="76"/>
        <v>46092</v>
      </c>
      <c r="E792" s="1">
        <f>D792</f>
        <v>46092</v>
      </c>
      <c r="F792">
        <v>7249</v>
      </c>
      <c r="G792">
        <v>30</v>
      </c>
      <c r="H792">
        <f t="shared" si="75"/>
        <v>0</v>
      </c>
      <c r="I792" t="str">
        <f t="shared" si="79"/>
        <v>On Time</v>
      </c>
      <c r="J792" cm="1">
        <f t="array" ref="J792">_xlfn.IFS(H792&lt;30,0,H792&lt;60,1,H792&lt;90,2,H792&lt;120,3)</f>
        <v>0</v>
      </c>
      <c r="M792" t="str">
        <f t="shared" si="80"/>
        <v>Low</v>
      </c>
      <c r="N792" t="str">
        <f t="shared" si="77"/>
        <v>Feb</v>
      </c>
      <c r="O792">
        <f t="shared" si="78"/>
        <v>2026</v>
      </c>
    </row>
    <row r="793" spans="1:15" x14ac:dyDescent="0.3">
      <c r="A793">
        <v>203765</v>
      </c>
      <c r="B793" t="s">
        <v>31</v>
      </c>
      <c r="C793" s="2">
        <v>46062</v>
      </c>
      <c r="D793" s="2">
        <f t="shared" si="76"/>
        <v>46107</v>
      </c>
      <c r="E793" s="1">
        <f>D793+1</f>
        <v>46108</v>
      </c>
      <c r="F793">
        <v>650</v>
      </c>
      <c r="G793">
        <v>45</v>
      </c>
      <c r="H793">
        <f t="shared" si="75"/>
        <v>0</v>
      </c>
      <c r="I793" t="str">
        <f t="shared" si="79"/>
        <v>On Time</v>
      </c>
      <c r="J793" cm="1">
        <f t="array" ref="J793">_xlfn.IFS(H793&lt;30,0,H793&lt;60,1,H793&lt;90,2,H793&lt;120,3)</f>
        <v>0</v>
      </c>
      <c r="M793" t="str">
        <f t="shared" si="80"/>
        <v>Low</v>
      </c>
      <c r="N793" t="str">
        <f t="shared" si="77"/>
        <v>Feb</v>
      </c>
      <c r="O793">
        <f t="shared" si="78"/>
        <v>2026</v>
      </c>
    </row>
    <row r="794" spans="1:15" x14ac:dyDescent="0.3">
      <c r="A794">
        <v>203766</v>
      </c>
      <c r="B794" t="s">
        <v>32</v>
      </c>
      <c r="C794" s="2">
        <v>46062</v>
      </c>
      <c r="D794" s="2">
        <f t="shared" si="76"/>
        <v>46107</v>
      </c>
      <c r="E794" s="1">
        <f>D794+35</f>
        <v>46142</v>
      </c>
      <c r="F794">
        <v>548</v>
      </c>
      <c r="G794">
        <v>45</v>
      </c>
      <c r="H794">
        <f t="shared" si="75"/>
        <v>0</v>
      </c>
      <c r="I794" t="str">
        <f t="shared" si="79"/>
        <v>On Time</v>
      </c>
      <c r="J794" cm="1">
        <f t="array" ref="J794">_xlfn.IFS(H794&lt;30,0,H794&lt;60,1,H794&lt;90,2,H794&lt;120,3)</f>
        <v>0</v>
      </c>
      <c r="M794" t="str">
        <f t="shared" si="80"/>
        <v>Low</v>
      </c>
      <c r="N794" t="str">
        <f t="shared" si="77"/>
        <v>Feb</v>
      </c>
      <c r="O794">
        <f t="shared" si="78"/>
        <v>2026</v>
      </c>
    </row>
    <row r="795" spans="1:15" x14ac:dyDescent="0.3">
      <c r="A795">
        <v>203767</v>
      </c>
      <c r="B795" t="s">
        <v>33</v>
      </c>
      <c r="C795" s="2">
        <v>46062</v>
      </c>
      <c r="D795" s="2">
        <f t="shared" si="76"/>
        <v>46092</v>
      </c>
      <c r="E795" s="1">
        <f>D795+75</f>
        <v>46167</v>
      </c>
      <c r="F795">
        <v>2215</v>
      </c>
      <c r="G795">
        <v>30</v>
      </c>
      <c r="H795">
        <f t="shared" si="75"/>
        <v>0</v>
      </c>
      <c r="I795" t="str">
        <f t="shared" si="79"/>
        <v>On Time</v>
      </c>
      <c r="J795" cm="1">
        <f t="array" ref="J795">_xlfn.IFS(H795&lt;30,0,H795&lt;60,1,H795&lt;90,2,H795&lt;120,3)</f>
        <v>0</v>
      </c>
      <c r="M795" t="str">
        <f t="shared" si="80"/>
        <v>Low</v>
      </c>
      <c r="N795" t="str">
        <f t="shared" si="77"/>
        <v>Feb</v>
      </c>
      <c r="O795">
        <f t="shared" si="78"/>
        <v>2026</v>
      </c>
    </row>
    <row r="796" spans="1:15" x14ac:dyDescent="0.3">
      <c r="A796">
        <v>203768</v>
      </c>
      <c r="B796" t="s">
        <v>34</v>
      </c>
      <c r="C796" s="2">
        <v>46062</v>
      </c>
      <c r="D796" s="2">
        <f t="shared" si="76"/>
        <v>46122</v>
      </c>
      <c r="E796" s="1">
        <f>D796+5</f>
        <v>46127</v>
      </c>
      <c r="F796">
        <v>5528</v>
      </c>
      <c r="G796">
        <v>60</v>
      </c>
      <c r="H796">
        <f t="shared" si="75"/>
        <v>0</v>
      </c>
      <c r="I796" t="str">
        <f t="shared" si="79"/>
        <v>On Time</v>
      </c>
      <c r="J796" cm="1">
        <f t="array" ref="J796">_xlfn.IFS(H796&lt;30,0,H796&lt;60,1,H796&lt;90,2,H796&lt;120,3)</f>
        <v>0</v>
      </c>
      <c r="M796" t="str">
        <f t="shared" si="80"/>
        <v>Low</v>
      </c>
      <c r="N796" t="str">
        <f t="shared" si="77"/>
        <v>Feb</v>
      </c>
      <c r="O796">
        <f t="shared" si="78"/>
        <v>2026</v>
      </c>
    </row>
    <row r="797" spans="1:15" x14ac:dyDescent="0.3">
      <c r="A797">
        <v>203769</v>
      </c>
      <c r="B797" t="s">
        <v>35</v>
      </c>
      <c r="C797" s="2">
        <v>46062</v>
      </c>
      <c r="D797" s="2">
        <f t="shared" si="76"/>
        <v>46107</v>
      </c>
      <c r="E797" s="1">
        <f>D797</f>
        <v>46107</v>
      </c>
      <c r="F797">
        <v>4857</v>
      </c>
      <c r="G797">
        <v>45</v>
      </c>
      <c r="H797">
        <f t="shared" si="75"/>
        <v>0</v>
      </c>
      <c r="I797" t="str">
        <f t="shared" si="79"/>
        <v>On Time</v>
      </c>
      <c r="J797" cm="1">
        <f t="array" ref="J797">_xlfn.IFS(H797&lt;30,0,H797&lt;60,1,H797&lt;90,2,H797&lt;120,3)</f>
        <v>0</v>
      </c>
      <c r="M797" t="str">
        <f t="shared" si="80"/>
        <v>Low</v>
      </c>
      <c r="N797" t="str">
        <f t="shared" si="77"/>
        <v>Feb</v>
      </c>
      <c r="O797">
        <f t="shared" si="78"/>
        <v>2026</v>
      </c>
    </row>
    <row r="798" spans="1:15" x14ac:dyDescent="0.3">
      <c r="A798">
        <v>203770</v>
      </c>
      <c r="B798" t="s">
        <v>36</v>
      </c>
      <c r="C798" s="2">
        <v>46062</v>
      </c>
      <c r="D798" s="2">
        <f t="shared" si="76"/>
        <v>46092</v>
      </c>
      <c r="E798" s="1">
        <f>D798-1</f>
        <v>46091</v>
      </c>
      <c r="F798">
        <v>2917</v>
      </c>
      <c r="G798">
        <v>30</v>
      </c>
      <c r="H798">
        <f t="shared" si="75"/>
        <v>0</v>
      </c>
      <c r="I798" t="str">
        <f t="shared" si="79"/>
        <v>On Time</v>
      </c>
      <c r="J798" cm="1">
        <f t="array" ref="J798">_xlfn.IFS(H798&lt;30,0,H798&lt;60,1,H798&lt;90,2,H798&lt;120,3)</f>
        <v>0</v>
      </c>
      <c r="M798" t="str">
        <f t="shared" si="80"/>
        <v>Low</v>
      </c>
      <c r="N798" t="str">
        <f t="shared" si="77"/>
        <v>Feb</v>
      </c>
      <c r="O798">
        <f t="shared" si="78"/>
        <v>2026</v>
      </c>
    </row>
    <row r="799" spans="1:15" x14ac:dyDescent="0.3">
      <c r="A799">
        <v>203771</v>
      </c>
      <c r="B799" t="s">
        <v>64</v>
      </c>
      <c r="C799" s="2">
        <v>46062</v>
      </c>
      <c r="D799" s="2">
        <f t="shared" si="76"/>
        <v>46092</v>
      </c>
      <c r="E799" s="1">
        <f>D799</f>
        <v>46092</v>
      </c>
      <c r="F799">
        <v>3880</v>
      </c>
      <c r="G799">
        <v>30</v>
      </c>
      <c r="H799">
        <f t="shared" si="75"/>
        <v>0</v>
      </c>
      <c r="I799" t="str">
        <f t="shared" si="79"/>
        <v>On Time</v>
      </c>
      <c r="J799" cm="1">
        <f t="array" ref="J799">_xlfn.IFS(H799&lt;30,0,H799&lt;60,1,H799&lt;90,2,H799&lt;120,3)</f>
        <v>0</v>
      </c>
      <c r="M799" t="str">
        <f t="shared" si="80"/>
        <v>Low</v>
      </c>
      <c r="N799" t="str">
        <f t="shared" si="77"/>
        <v>Feb</v>
      </c>
      <c r="O799">
        <f t="shared" si="78"/>
        <v>2026</v>
      </c>
    </row>
    <row r="800" spans="1:15" x14ac:dyDescent="0.3">
      <c r="A800">
        <v>203772</v>
      </c>
      <c r="B800" t="s">
        <v>45</v>
      </c>
      <c r="C800" s="2">
        <v>46062</v>
      </c>
      <c r="D800" s="2">
        <f t="shared" si="76"/>
        <v>46107</v>
      </c>
      <c r="E800" s="1">
        <f>D800+32</f>
        <v>46139</v>
      </c>
      <c r="F800">
        <v>1850</v>
      </c>
      <c r="G800">
        <v>45</v>
      </c>
      <c r="H800">
        <f t="shared" si="75"/>
        <v>0</v>
      </c>
      <c r="I800" t="str">
        <f t="shared" si="79"/>
        <v>On Time</v>
      </c>
      <c r="J800" cm="1">
        <f t="array" ref="J800">_xlfn.IFS(H800&lt;30,0,H800&lt;60,1,H800&lt;90,2,H800&lt;120,3)</f>
        <v>0</v>
      </c>
      <c r="M800" t="str">
        <f t="shared" si="80"/>
        <v>Low</v>
      </c>
      <c r="N800" t="str">
        <f t="shared" si="77"/>
        <v>Feb</v>
      </c>
      <c r="O800">
        <f t="shared" si="78"/>
        <v>2026</v>
      </c>
    </row>
    <row r="801" spans="1:15" x14ac:dyDescent="0.3">
      <c r="A801">
        <v>203773</v>
      </c>
      <c r="B801" t="s">
        <v>46</v>
      </c>
      <c r="C801" s="2">
        <v>46062</v>
      </c>
      <c r="D801" s="2">
        <f t="shared" si="76"/>
        <v>46122</v>
      </c>
      <c r="E801" s="1">
        <f>D801+15</f>
        <v>46137</v>
      </c>
      <c r="F801">
        <v>2288</v>
      </c>
      <c r="G801">
        <v>60</v>
      </c>
      <c r="H801">
        <f t="shared" si="75"/>
        <v>0</v>
      </c>
      <c r="I801" t="str">
        <f t="shared" si="79"/>
        <v>On Time</v>
      </c>
      <c r="J801" cm="1">
        <f t="array" ref="J801">_xlfn.IFS(H801&lt;30,0,H801&lt;60,1,H801&lt;90,2,H801&lt;120,3)</f>
        <v>0</v>
      </c>
      <c r="M801" t="str">
        <f t="shared" si="80"/>
        <v>Low</v>
      </c>
      <c r="N801" t="str">
        <f t="shared" si="77"/>
        <v>Feb</v>
      </c>
      <c r="O801">
        <f t="shared" si="78"/>
        <v>2026</v>
      </c>
    </row>
    <row r="802" spans="1:15" x14ac:dyDescent="0.3">
      <c r="A802">
        <v>203738</v>
      </c>
      <c r="B802" t="s">
        <v>31</v>
      </c>
      <c r="C802" s="2">
        <v>46059</v>
      </c>
      <c r="D802" s="2">
        <f t="shared" si="76"/>
        <v>46104</v>
      </c>
      <c r="E802" s="1">
        <f>D802</f>
        <v>46104</v>
      </c>
      <c r="F802">
        <v>2021</v>
      </c>
      <c r="G802">
        <v>45</v>
      </c>
      <c r="H802">
        <f t="shared" si="75"/>
        <v>0</v>
      </c>
      <c r="I802" t="str">
        <f t="shared" si="79"/>
        <v>On Time</v>
      </c>
      <c r="J802" cm="1">
        <f t="array" ref="J802">_xlfn.IFS(H802&lt;30,0,H802&lt;60,1,H802&lt;90,2,H802&lt;120,3)</f>
        <v>0</v>
      </c>
      <c r="M802" t="str">
        <f t="shared" si="80"/>
        <v>Low</v>
      </c>
      <c r="N802" t="str">
        <f t="shared" si="77"/>
        <v>Feb</v>
      </c>
      <c r="O802">
        <f t="shared" si="78"/>
        <v>2026</v>
      </c>
    </row>
    <row r="803" spans="1:15" x14ac:dyDescent="0.3">
      <c r="A803">
        <v>203739</v>
      </c>
      <c r="B803" t="s">
        <v>32</v>
      </c>
      <c r="C803" s="2">
        <v>46059</v>
      </c>
      <c r="D803" s="2">
        <f t="shared" si="76"/>
        <v>46104</v>
      </c>
      <c r="E803" s="1">
        <f>D803+32</f>
        <v>46136</v>
      </c>
      <c r="F803">
        <v>4921</v>
      </c>
      <c r="G803">
        <v>45</v>
      </c>
      <c r="H803">
        <f t="shared" si="75"/>
        <v>0</v>
      </c>
      <c r="I803" t="str">
        <f t="shared" si="79"/>
        <v>On Time</v>
      </c>
      <c r="J803" cm="1">
        <f t="array" ref="J803">_xlfn.IFS(H803&lt;30,0,H803&lt;60,1,H803&lt;90,2,H803&lt;120,3)</f>
        <v>0</v>
      </c>
      <c r="M803" t="str">
        <f t="shared" si="80"/>
        <v>Low</v>
      </c>
      <c r="N803" t="str">
        <f t="shared" si="77"/>
        <v>Feb</v>
      </c>
      <c r="O803">
        <f t="shared" si="78"/>
        <v>2026</v>
      </c>
    </row>
    <row r="804" spans="1:15" x14ac:dyDescent="0.3">
      <c r="A804">
        <v>203740</v>
      </c>
      <c r="B804" t="s">
        <v>33</v>
      </c>
      <c r="C804" s="2">
        <v>46059</v>
      </c>
      <c r="D804" s="2">
        <f t="shared" si="76"/>
        <v>46089</v>
      </c>
      <c r="E804" s="1">
        <f>D804+15</f>
        <v>46104</v>
      </c>
      <c r="F804">
        <v>1063</v>
      </c>
      <c r="G804">
        <v>30</v>
      </c>
      <c r="H804">
        <f t="shared" si="75"/>
        <v>0</v>
      </c>
      <c r="I804" t="str">
        <f t="shared" si="79"/>
        <v>On Time</v>
      </c>
      <c r="J804" cm="1">
        <f t="array" ref="J804">_xlfn.IFS(H804&lt;30,0,H804&lt;60,1,H804&lt;90,2,H804&lt;120,3)</f>
        <v>0</v>
      </c>
      <c r="M804" t="str">
        <f t="shared" si="80"/>
        <v>Low</v>
      </c>
      <c r="N804" t="str">
        <f t="shared" si="77"/>
        <v>Feb</v>
      </c>
      <c r="O804">
        <f t="shared" si="78"/>
        <v>2026</v>
      </c>
    </row>
    <row r="805" spans="1:15" x14ac:dyDescent="0.3">
      <c r="A805">
        <v>203741</v>
      </c>
      <c r="B805" t="s">
        <v>34</v>
      </c>
      <c r="C805" s="2">
        <v>46059</v>
      </c>
      <c r="D805" s="2">
        <f t="shared" si="76"/>
        <v>46119</v>
      </c>
      <c r="E805" s="1">
        <f>D805</f>
        <v>46119</v>
      </c>
      <c r="F805">
        <v>11270</v>
      </c>
      <c r="G805">
        <v>60</v>
      </c>
      <c r="H805">
        <f t="shared" si="75"/>
        <v>0</v>
      </c>
      <c r="I805" t="str">
        <f t="shared" si="79"/>
        <v>On Time</v>
      </c>
      <c r="J805" cm="1">
        <f t="array" ref="J805">_xlfn.IFS(H805&lt;30,0,H805&lt;60,1,H805&lt;90,2,H805&lt;120,3)</f>
        <v>0</v>
      </c>
      <c r="M805" t="str">
        <f t="shared" si="80"/>
        <v>Low</v>
      </c>
      <c r="N805" t="str">
        <f t="shared" si="77"/>
        <v>Feb</v>
      </c>
      <c r="O805">
        <f t="shared" si="78"/>
        <v>2026</v>
      </c>
    </row>
    <row r="806" spans="1:15" x14ac:dyDescent="0.3">
      <c r="A806">
        <v>203742</v>
      </c>
      <c r="B806" t="s">
        <v>35</v>
      </c>
      <c r="C806" s="2">
        <v>46059</v>
      </c>
      <c r="D806" s="2">
        <f t="shared" si="76"/>
        <v>46104</v>
      </c>
      <c r="E806" s="1">
        <f>D806-2</f>
        <v>46102</v>
      </c>
      <c r="F806">
        <v>2818</v>
      </c>
      <c r="G806">
        <v>45</v>
      </c>
      <c r="H806">
        <f t="shared" ref="H806:H869" si="81">MAX(0,P771-D806)</f>
        <v>0</v>
      </c>
      <c r="I806" t="str">
        <f t="shared" si="79"/>
        <v>On Time</v>
      </c>
      <c r="J806" cm="1">
        <f t="array" ref="J806">_xlfn.IFS(H806&lt;30,0,H806&lt;60,1,H806&lt;90,2,H806&lt;120,3)</f>
        <v>0</v>
      </c>
      <c r="M806" t="str">
        <f t="shared" si="80"/>
        <v>Low</v>
      </c>
      <c r="N806" t="str">
        <f t="shared" si="77"/>
        <v>Feb</v>
      </c>
      <c r="O806">
        <f t="shared" si="78"/>
        <v>2026</v>
      </c>
    </row>
    <row r="807" spans="1:15" x14ac:dyDescent="0.3">
      <c r="A807">
        <v>203743</v>
      </c>
      <c r="B807" t="s">
        <v>36</v>
      </c>
      <c r="C807" s="2">
        <v>46059</v>
      </c>
      <c r="D807" s="2">
        <f t="shared" si="76"/>
        <v>46089</v>
      </c>
      <c r="E807" s="1">
        <f>D807</f>
        <v>46089</v>
      </c>
      <c r="F807">
        <v>2811</v>
      </c>
      <c r="G807">
        <v>30</v>
      </c>
      <c r="H807">
        <f t="shared" si="81"/>
        <v>0</v>
      </c>
      <c r="I807" t="str">
        <f t="shared" si="79"/>
        <v>On Time</v>
      </c>
      <c r="J807" cm="1">
        <f t="array" ref="J807">_xlfn.IFS(H807&lt;30,0,H807&lt;60,1,H807&lt;90,2,H807&lt;120,3)</f>
        <v>0</v>
      </c>
      <c r="M807" t="str">
        <f t="shared" si="80"/>
        <v>Low</v>
      </c>
      <c r="N807" t="str">
        <f t="shared" si="77"/>
        <v>Feb</v>
      </c>
      <c r="O807">
        <f t="shared" si="78"/>
        <v>2026</v>
      </c>
    </row>
    <row r="808" spans="1:15" x14ac:dyDescent="0.3">
      <c r="A808">
        <v>203744</v>
      </c>
      <c r="B808" t="s">
        <v>64</v>
      </c>
      <c r="C808" s="2">
        <v>46059</v>
      </c>
      <c r="D808" s="2">
        <f t="shared" si="76"/>
        <v>46089</v>
      </c>
      <c r="E808" s="1">
        <f>D808+2</f>
        <v>46091</v>
      </c>
      <c r="F808">
        <v>810</v>
      </c>
      <c r="G808">
        <v>30</v>
      </c>
      <c r="H808">
        <f t="shared" si="81"/>
        <v>0</v>
      </c>
      <c r="I808" t="str">
        <f t="shared" si="79"/>
        <v>On Time</v>
      </c>
      <c r="J808" cm="1">
        <f t="array" ref="J808">_xlfn.IFS(H808&lt;30,0,H808&lt;60,1,H808&lt;90,2,H808&lt;120,3)</f>
        <v>0</v>
      </c>
      <c r="M808" t="str">
        <f t="shared" si="80"/>
        <v>Low</v>
      </c>
      <c r="N808" t="str">
        <f t="shared" si="77"/>
        <v>Feb</v>
      </c>
      <c r="O808">
        <f t="shared" si="78"/>
        <v>2026</v>
      </c>
    </row>
    <row r="809" spans="1:15" x14ac:dyDescent="0.3">
      <c r="A809">
        <v>203745</v>
      </c>
      <c r="B809" t="s">
        <v>65</v>
      </c>
      <c r="C809" s="2">
        <v>46059</v>
      </c>
      <c r="D809" s="2">
        <f t="shared" si="76"/>
        <v>46104</v>
      </c>
      <c r="E809" s="1">
        <f>D809+2</f>
        <v>46106</v>
      </c>
      <c r="F809">
        <v>11077</v>
      </c>
      <c r="G809">
        <v>45</v>
      </c>
      <c r="H809">
        <f t="shared" si="81"/>
        <v>0</v>
      </c>
      <c r="I809" t="str">
        <f t="shared" si="79"/>
        <v>On Time</v>
      </c>
      <c r="J809" cm="1">
        <f t="array" ref="J809">_xlfn.IFS(H809&lt;30,0,H809&lt;60,1,H809&lt;90,2,H809&lt;120,3)</f>
        <v>0</v>
      </c>
      <c r="M809" t="str">
        <f t="shared" si="80"/>
        <v>Low</v>
      </c>
      <c r="N809" t="str">
        <f t="shared" si="77"/>
        <v>Feb</v>
      </c>
      <c r="O809">
        <f t="shared" si="78"/>
        <v>2026</v>
      </c>
    </row>
    <row r="810" spans="1:15" x14ac:dyDescent="0.3">
      <c r="A810">
        <v>203746</v>
      </c>
      <c r="B810" t="s">
        <v>66</v>
      </c>
      <c r="C810" s="2">
        <v>46059</v>
      </c>
      <c r="D810" s="2">
        <f t="shared" si="76"/>
        <v>46119</v>
      </c>
      <c r="E810" s="1">
        <f>D810+2</f>
        <v>46121</v>
      </c>
      <c r="F810">
        <v>2695</v>
      </c>
      <c r="G810">
        <v>60</v>
      </c>
      <c r="H810">
        <f t="shared" si="81"/>
        <v>0</v>
      </c>
      <c r="I810" t="str">
        <f t="shared" si="79"/>
        <v>On Time</v>
      </c>
      <c r="J810" cm="1">
        <f t="array" ref="J810">_xlfn.IFS(H810&lt;30,0,H810&lt;60,1,H810&lt;90,2,H810&lt;120,3)</f>
        <v>0</v>
      </c>
      <c r="M810" t="str">
        <f t="shared" si="80"/>
        <v>Low</v>
      </c>
      <c r="N810" t="str">
        <f t="shared" si="77"/>
        <v>Feb</v>
      </c>
      <c r="O810">
        <f t="shared" si="78"/>
        <v>2026</v>
      </c>
    </row>
    <row r="811" spans="1:15" x14ac:dyDescent="0.3">
      <c r="A811">
        <v>203747</v>
      </c>
      <c r="B811" t="s">
        <v>67</v>
      </c>
      <c r="C811" s="2">
        <v>46059</v>
      </c>
      <c r="D811" s="2">
        <f t="shared" si="76"/>
        <v>46089</v>
      </c>
      <c r="E811" s="1">
        <f>D811</f>
        <v>46089</v>
      </c>
      <c r="F811">
        <v>531</v>
      </c>
      <c r="G811">
        <v>30</v>
      </c>
      <c r="H811">
        <f t="shared" si="81"/>
        <v>0</v>
      </c>
      <c r="I811" t="str">
        <f t="shared" si="79"/>
        <v>On Time</v>
      </c>
      <c r="J811" cm="1">
        <f t="array" ref="J811">_xlfn.IFS(H811&lt;30,0,H811&lt;60,1,H811&lt;90,2,H811&lt;120,3)</f>
        <v>0</v>
      </c>
      <c r="M811" t="str">
        <f t="shared" si="80"/>
        <v>Low</v>
      </c>
      <c r="N811" t="str">
        <f t="shared" si="77"/>
        <v>Feb</v>
      </c>
      <c r="O811">
        <f t="shared" si="78"/>
        <v>2026</v>
      </c>
    </row>
    <row r="812" spans="1:15" x14ac:dyDescent="0.3">
      <c r="A812">
        <v>203748</v>
      </c>
      <c r="B812" t="s">
        <v>68</v>
      </c>
      <c r="C812" s="2">
        <v>46059</v>
      </c>
      <c r="D812" s="2">
        <f t="shared" si="76"/>
        <v>46089</v>
      </c>
      <c r="E812" s="1">
        <f>D812+20</f>
        <v>46109</v>
      </c>
      <c r="F812">
        <v>1914</v>
      </c>
      <c r="G812">
        <v>30</v>
      </c>
      <c r="H812">
        <f t="shared" si="81"/>
        <v>0</v>
      </c>
      <c r="I812" t="str">
        <f t="shared" si="79"/>
        <v>On Time</v>
      </c>
      <c r="J812" cm="1">
        <f t="array" ref="J812">_xlfn.IFS(H812&lt;30,0,H812&lt;60,1,H812&lt;90,2,H812&lt;120,3)</f>
        <v>0</v>
      </c>
      <c r="M812" t="str">
        <f t="shared" si="80"/>
        <v>Low</v>
      </c>
      <c r="N812" t="str">
        <f t="shared" si="77"/>
        <v>Feb</v>
      </c>
      <c r="O812">
        <f t="shared" si="78"/>
        <v>2026</v>
      </c>
    </row>
    <row r="813" spans="1:15" x14ac:dyDescent="0.3">
      <c r="A813">
        <v>203749</v>
      </c>
      <c r="B813" t="s">
        <v>69</v>
      </c>
      <c r="C813" s="2">
        <v>46059</v>
      </c>
      <c r="D813" s="2">
        <f t="shared" si="76"/>
        <v>46089</v>
      </c>
      <c r="E813" s="1">
        <f>D813</f>
        <v>46089</v>
      </c>
      <c r="F813">
        <v>3449</v>
      </c>
      <c r="G813">
        <v>30</v>
      </c>
      <c r="H813">
        <f t="shared" si="81"/>
        <v>0</v>
      </c>
      <c r="I813" t="str">
        <f t="shared" si="79"/>
        <v>On Time</v>
      </c>
      <c r="J813" cm="1">
        <f t="array" ref="J813">_xlfn.IFS(H813&lt;30,0,H813&lt;60,1,H813&lt;90,2,H813&lt;120,3)</f>
        <v>0</v>
      </c>
      <c r="M813" t="str">
        <f t="shared" si="80"/>
        <v>Low</v>
      </c>
      <c r="N813" t="str">
        <f t="shared" si="77"/>
        <v>Feb</v>
      </c>
      <c r="O813">
        <f t="shared" si="78"/>
        <v>2026</v>
      </c>
    </row>
    <row r="814" spans="1:15" x14ac:dyDescent="0.3">
      <c r="A814">
        <v>203750</v>
      </c>
      <c r="B814" t="s">
        <v>70</v>
      </c>
      <c r="C814" s="2">
        <v>46059</v>
      </c>
      <c r="D814" s="2">
        <f t="shared" si="76"/>
        <v>46089</v>
      </c>
      <c r="E814" s="1">
        <f>D814+1</f>
        <v>46090</v>
      </c>
      <c r="F814">
        <v>2329</v>
      </c>
      <c r="G814">
        <v>30</v>
      </c>
      <c r="H814">
        <f t="shared" si="81"/>
        <v>0</v>
      </c>
      <c r="I814" t="str">
        <f t="shared" si="79"/>
        <v>On Time</v>
      </c>
      <c r="J814" cm="1">
        <f t="array" ref="J814">_xlfn.IFS(H814&lt;30,0,H814&lt;60,1,H814&lt;90,2,H814&lt;120,3)</f>
        <v>0</v>
      </c>
      <c r="M814" t="str">
        <f t="shared" si="80"/>
        <v>Low</v>
      </c>
      <c r="N814" t="str">
        <f t="shared" si="77"/>
        <v>Feb</v>
      </c>
      <c r="O814">
        <f t="shared" si="78"/>
        <v>2026</v>
      </c>
    </row>
    <row r="815" spans="1:15" x14ac:dyDescent="0.3">
      <c r="A815">
        <v>203751</v>
      </c>
      <c r="B815" t="s">
        <v>71</v>
      </c>
      <c r="C815" s="2">
        <v>46059</v>
      </c>
      <c r="D815" s="2">
        <f t="shared" si="76"/>
        <v>46089</v>
      </c>
      <c r="E815" s="1">
        <f>D815</f>
        <v>46089</v>
      </c>
      <c r="F815">
        <v>1836</v>
      </c>
      <c r="G815">
        <v>30</v>
      </c>
      <c r="H815">
        <f t="shared" si="81"/>
        <v>0</v>
      </c>
      <c r="I815" t="str">
        <f t="shared" si="79"/>
        <v>On Time</v>
      </c>
      <c r="J815" cm="1">
        <f t="array" ref="J815">_xlfn.IFS(H815&lt;30,0,H815&lt;60,1,H815&lt;90,2,H815&lt;120,3)</f>
        <v>0</v>
      </c>
      <c r="M815" t="str">
        <f t="shared" si="80"/>
        <v>Low</v>
      </c>
      <c r="N815" t="str">
        <f t="shared" si="77"/>
        <v>Feb</v>
      </c>
      <c r="O815">
        <f t="shared" si="78"/>
        <v>2026</v>
      </c>
    </row>
    <row r="816" spans="1:15" x14ac:dyDescent="0.3">
      <c r="A816">
        <v>203752</v>
      </c>
      <c r="B816" t="s">
        <v>72</v>
      </c>
      <c r="C816" s="2">
        <v>46059</v>
      </c>
      <c r="D816" s="2">
        <f t="shared" si="76"/>
        <v>46089</v>
      </c>
      <c r="E816" s="1">
        <f>D816</f>
        <v>46089</v>
      </c>
      <c r="F816">
        <v>4245</v>
      </c>
      <c r="G816">
        <v>30</v>
      </c>
      <c r="H816">
        <f t="shared" si="81"/>
        <v>0</v>
      </c>
      <c r="I816" t="str">
        <f t="shared" si="79"/>
        <v>On Time</v>
      </c>
      <c r="J816" cm="1">
        <f t="array" ref="J816">_xlfn.IFS(H816&lt;30,0,H816&lt;60,1,H816&lt;90,2,H816&lt;120,3)</f>
        <v>0</v>
      </c>
      <c r="M816" t="str">
        <f t="shared" si="80"/>
        <v>Low</v>
      </c>
      <c r="N816" t="str">
        <f t="shared" si="77"/>
        <v>Feb</v>
      </c>
      <c r="O816">
        <f t="shared" si="78"/>
        <v>2026</v>
      </c>
    </row>
    <row r="817" spans="1:15" x14ac:dyDescent="0.3">
      <c r="A817">
        <v>203753</v>
      </c>
      <c r="B817" t="s">
        <v>73</v>
      </c>
      <c r="C817" s="2">
        <v>46059</v>
      </c>
      <c r="D817" s="2">
        <f t="shared" si="76"/>
        <v>46104</v>
      </c>
      <c r="E817" s="1">
        <f>D817+5</f>
        <v>46109</v>
      </c>
      <c r="F817">
        <v>4961</v>
      </c>
      <c r="G817">
        <v>45</v>
      </c>
      <c r="H817">
        <f t="shared" si="81"/>
        <v>0</v>
      </c>
      <c r="I817" t="str">
        <f t="shared" si="79"/>
        <v>On Time</v>
      </c>
      <c r="J817" cm="1">
        <f t="array" ref="J817">_xlfn.IFS(H817&lt;30,0,H817&lt;60,1,H817&lt;90,2,H817&lt;120,3)</f>
        <v>0</v>
      </c>
      <c r="M817" t="str">
        <f t="shared" si="80"/>
        <v>Low</v>
      </c>
      <c r="N817" t="str">
        <f t="shared" si="77"/>
        <v>Feb</v>
      </c>
      <c r="O817">
        <f t="shared" si="78"/>
        <v>2026</v>
      </c>
    </row>
    <row r="818" spans="1:15" x14ac:dyDescent="0.3">
      <c r="A818">
        <v>203754</v>
      </c>
      <c r="B818" t="s">
        <v>101</v>
      </c>
      <c r="C818" s="2">
        <v>46059</v>
      </c>
      <c r="D818" s="2">
        <f t="shared" si="76"/>
        <v>46089</v>
      </c>
      <c r="E818" s="1">
        <f>D818+2</f>
        <v>46091</v>
      </c>
      <c r="F818">
        <v>3668</v>
      </c>
      <c r="G818">
        <v>30</v>
      </c>
      <c r="H818">
        <f t="shared" si="81"/>
        <v>0</v>
      </c>
      <c r="I818" t="str">
        <f t="shared" si="79"/>
        <v>On Time</v>
      </c>
      <c r="J818" cm="1">
        <f t="array" ref="J818">_xlfn.IFS(H818&lt;30,0,H818&lt;60,1,H818&lt;90,2,H818&lt;120,3)</f>
        <v>0</v>
      </c>
      <c r="M818" t="str">
        <f t="shared" si="80"/>
        <v>Low</v>
      </c>
      <c r="N818" t="str">
        <f t="shared" si="77"/>
        <v>Feb</v>
      </c>
      <c r="O818">
        <f t="shared" si="78"/>
        <v>2026</v>
      </c>
    </row>
    <row r="819" spans="1:15" x14ac:dyDescent="0.3">
      <c r="A819">
        <v>203755</v>
      </c>
      <c r="B819" t="s">
        <v>102</v>
      </c>
      <c r="C819" s="2">
        <v>46059</v>
      </c>
      <c r="D819" s="2">
        <f t="shared" si="76"/>
        <v>46089</v>
      </c>
      <c r="E819" s="1">
        <f>D819</f>
        <v>46089</v>
      </c>
      <c r="F819">
        <v>2335</v>
      </c>
      <c r="G819">
        <v>30</v>
      </c>
      <c r="H819">
        <f t="shared" si="81"/>
        <v>0</v>
      </c>
      <c r="I819" t="str">
        <f t="shared" si="79"/>
        <v>On Time</v>
      </c>
      <c r="J819" cm="1">
        <f t="array" ref="J819">_xlfn.IFS(H819&lt;30,0,H819&lt;60,1,H819&lt;90,2,H819&lt;120,3)</f>
        <v>0</v>
      </c>
      <c r="M819" t="str">
        <f t="shared" si="80"/>
        <v>Low</v>
      </c>
      <c r="N819" t="str">
        <f t="shared" si="77"/>
        <v>Feb</v>
      </c>
      <c r="O819">
        <f t="shared" si="78"/>
        <v>2026</v>
      </c>
    </row>
    <row r="820" spans="1:15" x14ac:dyDescent="0.3">
      <c r="A820">
        <v>203716</v>
      </c>
      <c r="B820" t="s">
        <v>62</v>
      </c>
      <c r="C820" s="2">
        <v>46058</v>
      </c>
      <c r="D820" s="2">
        <f t="shared" si="76"/>
        <v>46088</v>
      </c>
      <c r="E820" s="1">
        <f>D820</f>
        <v>46088</v>
      </c>
      <c r="F820">
        <v>1822</v>
      </c>
      <c r="G820">
        <v>30</v>
      </c>
      <c r="H820">
        <f t="shared" si="81"/>
        <v>0</v>
      </c>
      <c r="I820" t="str">
        <f t="shared" si="79"/>
        <v>On Time</v>
      </c>
      <c r="J820" cm="1">
        <f t="array" ref="J820">_xlfn.IFS(H820&lt;30,0,H820&lt;60,1,H820&lt;90,2,H820&lt;120,3)</f>
        <v>0</v>
      </c>
      <c r="M820" t="str">
        <f t="shared" si="80"/>
        <v>Low</v>
      </c>
      <c r="N820" t="str">
        <f t="shared" si="77"/>
        <v>Feb</v>
      </c>
      <c r="O820">
        <f t="shared" si="78"/>
        <v>2026</v>
      </c>
    </row>
    <row r="821" spans="1:15" x14ac:dyDescent="0.3">
      <c r="A821">
        <v>203717</v>
      </c>
      <c r="B821" t="s">
        <v>63</v>
      </c>
      <c r="C821" s="2">
        <v>46058</v>
      </c>
      <c r="D821" s="2">
        <f t="shared" si="76"/>
        <v>46088</v>
      </c>
      <c r="E821" s="1">
        <f>D821+1</f>
        <v>46089</v>
      </c>
      <c r="F821">
        <v>3332</v>
      </c>
      <c r="G821">
        <v>30</v>
      </c>
      <c r="H821">
        <f t="shared" si="81"/>
        <v>0</v>
      </c>
      <c r="I821" t="str">
        <f t="shared" si="79"/>
        <v>On Time</v>
      </c>
      <c r="J821" cm="1">
        <f t="array" ref="J821">_xlfn.IFS(H821&lt;30,0,H821&lt;60,1,H821&lt;90,2,H821&lt;120,3)</f>
        <v>0</v>
      </c>
      <c r="M821" t="str">
        <f t="shared" si="80"/>
        <v>Low</v>
      </c>
      <c r="N821" t="str">
        <f t="shared" si="77"/>
        <v>Feb</v>
      </c>
      <c r="O821">
        <f t="shared" si="78"/>
        <v>2026</v>
      </c>
    </row>
    <row r="822" spans="1:15" x14ac:dyDescent="0.3">
      <c r="A822">
        <v>203718</v>
      </c>
      <c r="B822" t="s">
        <v>64</v>
      </c>
      <c r="C822" s="2">
        <v>46058</v>
      </c>
      <c r="D822" s="2">
        <f t="shared" si="76"/>
        <v>46088</v>
      </c>
      <c r="E822" s="1">
        <f>D822</f>
        <v>46088</v>
      </c>
      <c r="F822">
        <v>1768</v>
      </c>
      <c r="G822">
        <v>30</v>
      </c>
      <c r="H822">
        <f t="shared" si="81"/>
        <v>0</v>
      </c>
      <c r="I822" t="str">
        <f t="shared" si="79"/>
        <v>On Time</v>
      </c>
      <c r="J822" cm="1">
        <f t="array" ref="J822">_xlfn.IFS(H822&lt;30,0,H822&lt;60,1,H822&lt;90,2,H822&lt;120,3)</f>
        <v>0</v>
      </c>
      <c r="M822" t="str">
        <f t="shared" si="80"/>
        <v>Low</v>
      </c>
      <c r="N822" t="str">
        <f t="shared" si="77"/>
        <v>Feb</v>
      </c>
      <c r="O822">
        <f t="shared" si="78"/>
        <v>2026</v>
      </c>
    </row>
    <row r="823" spans="1:15" x14ac:dyDescent="0.3">
      <c r="A823">
        <v>203719</v>
      </c>
      <c r="B823" t="s">
        <v>65</v>
      </c>
      <c r="C823" s="2">
        <v>46058</v>
      </c>
      <c r="D823" s="2">
        <f t="shared" si="76"/>
        <v>46103</v>
      </c>
      <c r="E823" s="1">
        <f>D823</f>
        <v>46103</v>
      </c>
      <c r="F823">
        <v>4923</v>
      </c>
      <c r="G823">
        <v>45</v>
      </c>
      <c r="H823">
        <f t="shared" si="81"/>
        <v>0</v>
      </c>
      <c r="I823" t="str">
        <f t="shared" si="79"/>
        <v>On Time</v>
      </c>
      <c r="J823" cm="1">
        <f t="array" ref="J823">_xlfn.IFS(H823&lt;30,0,H823&lt;60,1,H823&lt;90,2,H823&lt;120,3)</f>
        <v>0</v>
      </c>
      <c r="M823" t="str">
        <f t="shared" si="80"/>
        <v>Low</v>
      </c>
      <c r="N823" t="str">
        <f t="shared" si="77"/>
        <v>Feb</v>
      </c>
      <c r="O823">
        <f t="shared" si="78"/>
        <v>2026</v>
      </c>
    </row>
    <row r="824" spans="1:15" x14ac:dyDescent="0.3">
      <c r="A824">
        <v>203720</v>
      </c>
      <c r="B824" t="s">
        <v>94</v>
      </c>
      <c r="C824" s="2">
        <v>46058</v>
      </c>
      <c r="D824" s="2">
        <f t="shared" si="76"/>
        <v>46088</v>
      </c>
      <c r="E824" s="1">
        <f>D824+5</f>
        <v>46093</v>
      </c>
      <c r="F824">
        <v>1275</v>
      </c>
      <c r="G824">
        <v>30</v>
      </c>
      <c r="H824">
        <f t="shared" si="81"/>
        <v>0</v>
      </c>
      <c r="I824" t="str">
        <f t="shared" si="79"/>
        <v>On Time</v>
      </c>
      <c r="J824" cm="1">
        <f t="array" ref="J824">_xlfn.IFS(H824&lt;30,0,H824&lt;60,1,H824&lt;90,2,H824&lt;120,3)</f>
        <v>0</v>
      </c>
      <c r="M824" t="str">
        <f t="shared" si="80"/>
        <v>Low</v>
      </c>
      <c r="N824" t="str">
        <f t="shared" si="77"/>
        <v>Feb</v>
      </c>
      <c r="O824">
        <f t="shared" si="78"/>
        <v>2026</v>
      </c>
    </row>
    <row r="825" spans="1:15" x14ac:dyDescent="0.3">
      <c r="A825">
        <v>203721</v>
      </c>
      <c r="B825" t="s">
        <v>95</v>
      </c>
      <c r="C825" s="2">
        <v>46058</v>
      </c>
      <c r="D825" s="2">
        <f t="shared" si="76"/>
        <v>46103</v>
      </c>
      <c r="E825" s="1">
        <f>D825+2</f>
        <v>46105</v>
      </c>
      <c r="F825">
        <v>1385</v>
      </c>
      <c r="G825">
        <v>45</v>
      </c>
      <c r="H825">
        <f t="shared" si="81"/>
        <v>0</v>
      </c>
      <c r="I825" t="str">
        <f t="shared" si="79"/>
        <v>On Time</v>
      </c>
      <c r="J825" cm="1">
        <f t="array" ref="J825">_xlfn.IFS(H825&lt;30,0,H825&lt;60,1,H825&lt;90,2,H825&lt;120,3)</f>
        <v>0</v>
      </c>
      <c r="M825" t="str">
        <f t="shared" si="80"/>
        <v>Low</v>
      </c>
      <c r="N825" t="str">
        <f t="shared" si="77"/>
        <v>Feb</v>
      </c>
      <c r="O825">
        <f t="shared" si="78"/>
        <v>2026</v>
      </c>
    </row>
    <row r="826" spans="1:15" x14ac:dyDescent="0.3">
      <c r="A826">
        <v>203722</v>
      </c>
      <c r="B826" t="s">
        <v>96</v>
      </c>
      <c r="C826" s="2">
        <v>46058</v>
      </c>
      <c r="D826" s="2">
        <f t="shared" si="76"/>
        <v>46118</v>
      </c>
      <c r="E826" s="1">
        <f>D826+5</f>
        <v>46123</v>
      </c>
      <c r="F826">
        <v>1588</v>
      </c>
      <c r="G826">
        <v>60</v>
      </c>
      <c r="H826">
        <f t="shared" si="81"/>
        <v>0</v>
      </c>
      <c r="I826" t="str">
        <f t="shared" si="79"/>
        <v>On Time</v>
      </c>
      <c r="J826" cm="1">
        <f t="array" ref="J826">_xlfn.IFS(H826&lt;30,0,H826&lt;60,1,H826&lt;90,2,H826&lt;120,3)</f>
        <v>0</v>
      </c>
      <c r="M826" t="str">
        <f t="shared" si="80"/>
        <v>Low</v>
      </c>
      <c r="N826" t="str">
        <f t="shared" si="77"/>
        <v>Feb</v>
      </c>
      <c r="O826">
        <f t="shared" si="78"/>
        <v>2026</v>
      </c>
    </row>
    <row r="827" spans="1:15" x14ac:dyDescent="0.3">
      <c r="A827">
        <v>203723</v>
      </c>
      <c r="B827" t="s">
        <v>97</v>
      </c>
      <c r="C827" s="2">
        <v>46058</v>
      </c>
      <c r="D827" s="2">
        <f t="shared" si="76"/>
        <v>46088</v>
      </c>
      <c r="E827" s="1">
        <f>D827</f>
        <v>46088</v>
      </c>
      <c r="F827">
        <v>3626</v>
      </c>
      <c r="G827">
        <v>30</v>
      </c>
      <c r="H827">
        <f t="shared" si="81"/>
        <v>0</v>
      </c>
      <c r="I827" t="str">
        <f t="shared" si="79"/>
        <v>On Time</v>
      </c>
      <c r="J827" cm="1">
        <f t="array" ref="J827">_xlfn.IFS(H827&lt;30,0,H827&lt;60,1,H827&lt;90,2,H827&lt;120,3)</f>
        <v>0</v>
      </c>
      <c r="M827" t="str">
        <f t="shared" si="80"/>
        <v>Low</v>
      </c>
      <c r="N827" t="str">
        <f t="shared" si="77"/>
        <v>Feb</v>
      </c>
      <c r="O827">
        <f t="shared" si="78"/>
        <v>2026</v>
      </c>
    </row>
    <row r="828" spans="1:15" x14ac:dyDescent="0.3">
      <c r="A828">
        <v>203724</v>
      </c>
      <c r="B828" t="s">
        <v>98</v>
      </c>
      <c r="C828" s="2">
        <v>46058</v>
      </c>
      <c r="D828" s="2">
        <f t="shared" si="76"/>
        <v>46088</v>
      </c>
      <c r="E828" s="1">
        <f>D828</f>
        <v>46088</v>
      </c>
      <c r="F828">
        <v>2924</v>
      </c>
      <c r="G828">
        <v>30</v>
      </c>
      <c r="H828">
        <f t="shared" si="81"/>
        <v>0</v>
      </c>
      <c r="I828" t="str">
        <f t="shared" si="79"/>
        <v>On Time</v>
      </c>
      <c r="J828" cm="1">
        <f t="array" ref="J828">_xlfn.IFS(H828&lt;30,0,H828&lt;60,1,H828&lt;90,2,H828&lt;120,3)</f>
        <v>0</v>
      </c>
      <c r="M828" t="str">
        <f t="shared" si="80"/>
        <v>Low</v>
      </c>
      <c r="N828" t="str">
        <f t="shared" si="77"/>
        <v>Feb</v>
      </c>
      <c r="O828">
        <f t="shared" si="78"/>
        <v>2026</v>
      </c>
    </row>
    <row r="829" spans="1:15" x14ac:dyDescent="0.3">
      <c r="A829">
        <v>203725</v>
      </c>
      <c r="B829" t="s">
        <v>99</v>
      </c>
      <c r="C829" s="2">
        <v>46058</v>
      </c>
      <c r="D829" s="2">
        <f t="shared" si="76"/>
        <v>46088</v>
      </c>
      <c r="E829" s="1">
        <f>D829+60</f>
        <v>46148</v>
      </c>
      <c r="F829">
        <v>4891</v>
      </c>
      <c r="G829">
        <v>30</v>
      </c>
      <c r="H829">
        <f t="shared" si="81"/>
        <v>0</v>
      </c>
      <c r="I829" t="str">
        <f t="shared" si="79"/>
        <v>On Time</v>
      </c>
      <c r="J829" cm="1">
        <f t="array" ref="J829">_xlfn.IFS(H829&lt;30,0,H829&lt;60,1,H829&lt;90,2,H829&lt;120,3)</f>
        <v>0</v>
      </c>
      <c r="M829" t="str">
        <f t="shared" si="80"/>
        <v>Low</v>
      </c>
      <c r="N829" t="str">
        <f t="shared" si="77"/>
        <v>Feb</v>
      </c>
      <c r="O829">
        <f t="shared" si="78"/>
        <v>2026</v>
      </c>
    </row>
    <row r="830" spans="1:15" x14ac:dyDescent="0.3">
      <c r="A830">
        <v>203726</v>
      </c>
      <c r="B830" t="s">
        <v>100</v>
      </c>
      <c r="C830" s="2">
        <v>46058</v>
      </c>
      <c r="D830" s="2">
        <f t="shared" si="76"/>
        <v>46088</v>
      </c>
      <c r="E830" s="1">
        <f>D830</f>
        <v>46088</v>
      </c>
      <c r="F830">
        <v>4582</v>
      </c>
      <c r="G830">
        <v>30</v>
      </c>
      <c r="H830">
        <f t="shared" si="81"/>
        <v>0</v>
      </c>
      <c r="I830" t="str">
        <f t="shared" si="79"/>
        <v>On Time</v>
      </c>
      <c r="J830" cm="1">
        <f t="array" ref="J830">_xlfn.IFS(H830&lt;30,0,H830&lt;60,1,H830&lt;90,2,H830&lt;120,3)</f>
        <v>0</v>
      </c>
      <c r="M830" t="str">
        <f t="shared" si="80"/>
        <v>Low</v>
      </c>
      <c r="N830" t="str">
        <f t="shared" si="77"/>
        <v>Feb</v>
      </c>
      <c r="O830">
        <f t="shared" si="78"/>
        <v>2026</v>
      </c>
    </row>
    <row r="831" spans="1:15" x14ac:dyDescent="0.3">
      <c r="A831">
        <v>203727</v>
      </c>
      <c r="B831" t="s">
        <v>101</v>
      </c>
      <c r="C831" s="2">
        <v>46058</v>
      </c>
      <c r="D831" s="2">
        <f t="shared" si="76"/>
        <v>46088</v>
      </c>
      <c r="F831">
        <v>481</v>
      </c>
      <c r="G831">
        <v>30</v>
      </c>
      <c r="H831">
        <f t="shared" si="81"/>
        <v>0</v>
      </c>
      <c r="I831" t="str">
        <f t="shared" si="79"/>
        <v>On Time</v>
      </c>
      <c r="J831" cm="1">
        <f t="array" ref="J831">_xlfn.IFS(H831&lt;30,0,H831&lt;60,1,H831&lt;90,2,H831&lt;120,3)</f>
        <v>0</v>
      </c>
      <c r="M831" t="str">
        <f t="shared" si="80"/>
        <v>Low</v>
      </c>
      <c r="N831" t="str">
        <f t="shared" si="77"/>
        <v>Feb</v>
      </c>
      <c r="O831">
        <f t="shared" si="78"/>
        <v>2026</v>
      </c>
    </row>
    <row r="832" spans="1:15" x14ac:dyDescent="0.3">
      <c r="A832">
        <v>203728</v>
      </c>
      <c r="B832" t="s">
        <v>102</v>
      </c>
      <c r="C832" s="2">
        <v>46058</v>
      </c>
      <c r="D832" s="2">
        <f t="shared" si="76"/>
        <v>46088</v>
      </c>
      <c r="E832" s="1">
        <f>D832+3</f>
        <v>46091</v>
      </c>
      <c r="F832">
        <v>858</v>
      </c>
      <c r="G832">
        <v>30</v>
      </c>
      <c r="H832">
        <f t="shared" si="81"/>
        <v>0</v>
      </c>
      <c r="I832" t="str">
        <f t="shared" si="79"/>
        <v>On Time</v>
      </c>
      <c r="J832" cm="1">
        <f t="array" ref="J832">_xlfn.IFS(H832&lt;30,0,H832&lt;60,1,H832&lt;90,2,H832&lt;120,3)</f>
        <v>0</v>
      </c>
      <c r="M832" t="str">
        <f t="shared" si="80"/>
        <v>Low</v>
      </c>
      <c r="N832" t="str">
        <f t="shared" si="77"/>
        <v>Feb</v>
      </c>
      <c r="O832">
        <f t="shared" si="78"/>
        <v>2026</v>
      </c>
    </row>
    <row r="833" spans="1:15" x14ac:dyDescent="0.3">
      <c r="A833">
        <v>203729</v>
      </c>
      <c r="B833" t="s">
        <v>103</v>
      </c>
      <c r="C833" s="2">
        <v>46058</v>
      </c>
      <c r="D833" s="2">
        <f t="shared" si="76"/>
        <v>46088</v>
      </c>
      <c r="E833" s="1">
        <f>D833+1</f>
        <v>46089</v>
      </c>
      <c r="F833">
        <v>197</v>
      </c>
      <c r="G833">
        <v>30</v>
      </c>
      <c r="H833">
        <f t="shared" si="81"/>
        <v>0</v>
      </c>
      <c r="I833" t="str">
        <f t="shared" si="79"/>
        <v>On Time</v>
      </c>
      <c r="J833" cm="1">
        <f t="array" ref="J833">_xlfn.IFS(H833&lt;30,0,H833&lt;60,1,H833&lt;90,2,H833&lt;120,3)</f>
        <v>0</v>
      </c>
      <c r="M833" t="str">
        <f t="shared" si="80"/>
        <v>Low</v>
      </c>
      <c r="N833" t="str">
        <f t="shared" si="77"/>
        <v>Feb</v>
      </c>
      <c r="O833">
        <f t="shared" si="78"/>
        <v>2026</v>
      </c>
    </row>
    <row r="834" spans="1:15" x14ac:dyDescent="0.3">
      <c r="A834">
        <v>203730</v>
      </c>
      <c r="B834" t="s">
        <v>104</v>
      </c>
      <c r="C834" s="2">
        <v>46058</v>
      </c>
      <c r="D834" s="2">
        <f t="shared" ref="D834:D897" si="82">C834+G834</f>
        <v>46088</v>
      </c>
      <c r="E834" s="1">
        <f>D834-1</f>
        <v>46087</v>
      </c>
      <c r="F834">
        <v>17767</v>
      </c>
      <c r="G834">
        <v>30</v>
      </c>
      <c r="H834">
        <f t="shared" si="81"/>
        <v>0</v>
      </c>
      <c r="I834" t="str">
        <f t="shared" si="79"/>
        <v>On Time</v>
      </c>
      <c r="J834" cm="1">
        <f t="array" ref="J834">_xlfn.IFS(H834&lt;30,0,H834&lt;60,1,H834&lt;90,2,H834&lt;120,3)</f>
        <v>0</v>
      </c>
      <c r="M834" t="str">
        <f t="shared" si="80"/>
        <v>Low</v>
      </c>
      <c r="N834" t="str">
        <f t="shared" ref="N834:N897" si="83">TEXT(C834,"mmm")</f>
        <v>Feb</v>
      </c>
      <c r="O834">
        <f t="shared" ref="O834:O897" si="84">YEAR(C834)</f>
        <v>2026</v>
      </c>
    </row>
    <row r="835" spans="1:15" x14ac:dyDescent="0.3">
      <c r="A835">
        <v>203731</v>
      </c>
      <c r="B835" t="s">
        <v>105</v>
      </c>
      <c r="C835" s="2">
        <v>46058</v>
      </c>
      <c r="D835" s="2">
        <f t="shared" si="82"/>
        <v>46088</v>
      </c>
      <c r="E835" s="1">
        <f>D835</f>
        <v>46088</v>
      </c>
      <c r="F835">
        <v>5016</v>
      </c>
      <c r="G835">
        <v>30</v>
      </c>
      <c r="H835">
        <f t="shared" si="81"/>
        <v>0</v>
      </c>
      <c r="I835" t="str">
        <f t="shared" si="79"/>
        <v>On Time</v>
      </c>
      <c r="J835" cm="1">
        <f t="array" ref="J835">_xlfn.IFS(H835&lt;30,0,H835&lt;60,1,H835&lt;90,2,H835&lt;120,3)</f>
        <v>0</v>
      </c>
      <c r="M835" t="str">
        <f t="shared" si="80"/>
        <v>Low</v>
      </c>
      <c r="N835" t="str">
        <f t="shared" si="83"/>
        <v>Feb</v>
      </c>
      <c r="O835">
        <f t="shared" si="84"/>
        <v>2026</v>
      </c>
    </row>
    <row r="836" spans="1:15" x14ac:dyDescent="0.3">
      <c r="A836">
        <v>203732</v>
      </c>
      <c r="B836" t="s">
        <v>114</v>
      </c>
      <c r="C836" s="2">
        <v>46058</v>
      </c>
      <c r="D836" s="2">
        <f t="shared" si="82"/>
        <v>46088</v>
      </c>
      <c r="E836" s="1">
        <f>D836-5</f>
        <v>46083</v>
      </c>
      <c r="F836">
        <v>3723</v>
      </c>
      <c r="G836">
        <v>30</v>
      </c>
      <c r="H836">
        <f t="shared" si="81"/>
        <v>0</v>
      </c>
      <c r="I836" t="str">
        <f t="shared" si="79"/>
        <v>On Time</v>
      </c>
      <c r="J836" cm="1">
        <f t="array" ref="J836">_xlfn.IFS(H836&lt;30,0,H836&lt;60,1,H836&lt;90,2,H836&lt;120,3)</f>
        <v>0</v>
      </c>
      <c r="M836" t="str">
        <f t="shared" si="80"/>
        <v>Low</v>
      </c>
      <c r="N836" t="str">
        <f t="shared" si="83"/>
        <v>Feb</v>
      </c>
      <c r="O836">
        <f t="shared" si="84"/>
        <v>2026</v>
      </c>
    </row>
    <row r="837" spans="1:15" x14ac:dyDescent="0.3">
      <c r="A837">
        <v>203733</v>
      </c>
      <c r="B837" t="s">
        <v>115</v>
      </c>
      <c r="C837" s="2">
        <v>46058</v>
      </c>
      <c r="D837" s="2">
        <f t="shared" si="82"/>
        <v>46088</v>
      </c>
      <c r="E837" s="1">
        <f>D837+35</f>
        <v>46123</v>
      </c>
      <c r="F837">
        <v>2806</v>
      </c>
      <c r="G837">
        <v>30</v>
      </c>
      <c r="H837">
        <f t="shared" si="81"/>
        <v>0</v>
      </c>
      <c r="I837" t="str">
        <f t="shared" si="79"/>
        <v>On Time</v>
      </c>
      <c r="J837" cm="1">
        <f t="array" ref="J837">_xlfn.IFS(H837&lt;30,0,H837&lt;60,1,H837&lt;90,2,H837&lt;120,3)</f>
        <v>0</v>
      </c>
      <c r="M837" t="str">
        <f t="shared" si="80"/>
        <v>Low</v>
      </c>
      <c r="N837" t="str">
        <f t="shared" si="83"/>
        <v>Feb</v>
      </c>
      <c r="O837">
        <f t="shared" si="84"/>
        <v>2026</v>
      </c>
    </row>
    <row r="838" spans="1:15" x14ac:dyDescent="0.3">
      <c r="A838">
        <v>203734</v>
      </c>
      <c r="B838" t="s">
        <v>116</v>
      </c>
      <c r="C838" s="2">
        <v>46058</v>
      </c>
      <c r="D838" s="2">
        <f t="shared" si="82"/>
        <v>46088</v>
      </c>
      <c r="E838" s="1">
        <f>D838+84</f>
        <v>46172</v>
      </c>
      <c r="F838">
        <v>152</v>
      </c>
      <c r="G838">
        <v>30</v>
      </c>
      <c r="H838">
        <f t="shared" si="81"/>
        <v>0</v>
      </c>
      <c r="I838" t="str">
        <f t="shared" si="79"/>
        <v>On Time</v>
      </c>
      <c r="J838" cm="1">
        <f t="array" ref="J838">_xlfn.IFS(H838&lt;30,0,H838&lt;60,1,H838&lt;90,2,H838&lt;120,3)</f>
        <v>0</v>
      </c>
      <c r="M838" t="str">
        <f t="shared" si="80"/>
        <v>Low</v>
      </c>
      <c r="N838" t="str">
        <f t="shared" si="83"/>
        <v>Feb</v>
      </c>
      <c r="O838">
        <f t="shared" si="84"/>
        <v>2026</v>
      </c>
    </row>
    <row r="839" spans="1:15" x14ac:dyDescent="0.3">
      <c r="A839">
        <v>203735</v>
      </c>
      <c r="B839" t="s">
        <v>117</v>
      </c>
      <c r="C839" s="2">
        <v>46058</v>
      </c>
      <c r="D839" s="2">
        <f t="shared" si="82"/>
        <v>46088</v>
      </c>
      <c r="E839" s="1">
        <f>D839+5</f>
        <v>46093</v>
      </c>
      <c r="F839">
        <v>4272</v>
      </c>
      <c r="G839">
        <v>30</v>
      </c>
      <c r="H839">
        <f t="shared" si="81"/>
        <v>0</v>
      </c>
      <c r="I839" t="str">
        <f t="shared" si="79"/>
        <v>On Time</v>
      </c>
      <c r="J839" cm="1">
        <f t="array" ref="J839">_xlfn.IFS(H839&lt;30,0,H839&lt;60,1,H839&lt;90,2,H839&lt;120,3)</f>
        <v>0</v>
      </c>
      <c r="M839" t="str">
        <f t="shared" si="80"/>
        <v>Low</v>
      </c>
      <c r="N839" t="str">
        <f t="shared" si="83"/>
        <v>Feb</v>
      </c>
      <c r="O839">
        <f t="shared" si="84"/>
        <v>2026</v>
      </c>
    </row>
    <row r="840" spans="1:15" x14ac:dyDescent="0.3">
      <c r="A840">
        <v>203736</v>
      </c>
      <c r="B840" t="s">
        <v>118</v>
      </c>
      <c r="C840" s="2">
        <v>46058</v>
      </c>
      <c r="D840" s="2">
        <f t="shared" si="82"/>
        <v>46088</v>
      </c>
      <c r="E840" s="1">
        <f>D840</f>
        <v>46088</v>
      </c>
      <c r="F840">
        <v>1938</v>
      </c>
      <c r="G840">
        <v>30</v>
      </c>
      <c r="H840">
        <f t="shared" si="81"/>
        <v>0</v>
      </c>
      <c r="I840" t="str">
        <f t="shared" si="79"/>
        <v>On Time</v>
      </c>
      <c r="J840" cm="1">
        <f t="array" ref="J840">_xlfn.IFS(H840&lt;30,0,H840&lt;60,1,H840&lt;90,2,H840&lt;120,3)</f>
        <v>0</v>
      </c>
      <c r="M840" t="str">
        <f t="shared" si="80"/>
        <v>Low</v>
      </c>
      <c r="N840" t="str">
        <f t="shared" si="83"/>
        <v>Feb</v>
      </c>
      <c r="O840">
        <f t="shared" si="84"/>
        <v>2026</v>
      </c>
    </row>
    <row r="841" spans="1:15" x14ac:dyDescent="0.3">
      <c r="A841">
        <v>203737</v>
      </c>
      <c r="B841" t="s">
        <v>119</v>
      </c>
      <c r="C841" s="2">
        <v>46058</v>
      </c>
      <c r="D841" s="2">
        <f t="shared" si="82"/>
        <v>46088</v>
      </c>
      <c r="E841" s="1">
        <f>D841-1</f>
        <v>46087</v>
      </c>
      <c r="F841">
        <v>3446</v>
      </c>
      <c r="G841">
        <v>30</v>
      </c>
      <c r="H841">
        <f t="shared" si="81"/>
        <v>0</v>
      </c>
      <c r="I841" t="str">
        <f t="shared" si="79"/>
        <v>On Time</v>
      </c>
      <c r="J841" cm="1">
        <f t="array" ref="J841">_xlfn.IFS(H841&lt;30,0,H841&lt;60,1,H841&lt;90,2,H841&lt;120,3)</f>
        <v>0</v>
      </c>
      <c r="M841" t="str">
        <f t="shared" si="80"/>
        <v>Low</v>
      </c>
      <c r="N841" t="str">
        <f t="shared" si="83"/>
        <v>Feb</v>
      </c>
      <c r="O841">
        <f t="shared" si="84"/>
        <v>2026</v>
      </c>
    </row>
    <row r="842" spans="1:15" x14ac:dyDescent="0.3">
      <c r="A842">
        <v>203697</v>
      </c>
      <c r="B842" t="s">
        <v>21</v>
      </c>
      <c r="C842" s="2">
        <v>46057</v>
      </c>
      <c r="D842" s="2">
        <f t="shared" si="82"/>
        <v>46087</v>
      </c>
      <c r="E842" s="1">
        <f>D842-1</f>
        <v>46086</v>
      </c>
      <c r="F842">
        <v>6040</v>
      </c>
      <c r="G842">
        <v>30</v>
      </c>
      <c r="H842">
        <f t="shared" si="81"/>
        <v>0</v>
      </c>
      <c r="I842" t="str">
        <f t="shared" si="79"/>
        <v>On Time</v>
      </c>
      <c r="J842" cm="1">
        <f t="array" ref="J842">_xlfn.IFS(H842&lt;30,0,H842&lt;60,1,H842&lt;90,2,H842&lt;120,3)</f>
        <v>0</v>
      </c>
      <c r="M842" t="str">
        <f t="shared" si="80"/>
        <v>Low</v>
      </c>
      <c r="N842" t="str">
        <f t="shared" si="83"/>
        <v>Feb</v>
      </c>
      <c r="O842">
        <f t="shared" si="84"/>
        <v>2026</v>
      </c>
    </row>
    <row r="843" spans="1:15" x14ac:dyDescent="0.3">
      <c r="A843">
        <v>203698</v>
      </c>
      <c r="B843" t="s">
        <v>22</v>
      </c>
      <c r="C843" s="2">
        <v>46057</v>
      </c>
      <c r="D843" s="2">
        <f t="shared" si="82"/>
        <v>46087</v>
      </c>
      <c r="E843" s="1">
        <f>D843</f>
        <v>46087</v>
      </c>
      <c r="F843">
        <v>1381</v>
      </c>
      <c r="G843">
        <v>30</v>
      </c>
      <c r="H843">
        <f t="shared" si="81"/>
        <v>0</v>
      </c>
      <c r="I843" t="str">
        <f t="shared" si="79"/>
        <v>On Time</v>
      </c>
      <c r="J843" cm="1">
        <f t="array" ref="J843">_xlfn.IFS(H843&lt;30,0,H843&lt;60,1,H843&lt;90,2,H843&lt;120,3)</f>
        <v>0</v>
      </c>
      <c r="M843" t="str">
        <f t="shared" si="80"/>
        <v>Low</v>
      </c>
      <c r="N843" t="str">
        <f t="shared" si="83"/>
        <v>Feb</v>
      </c>
      <c r="O843">
        <f t="shared" si="84"/>
        <v>2026</v>
      </c>
    </row>
    <row r="844" spans="1:15" x14ac:dyDescent="0.3">
      <c r="A844">
        <v>203699</v>
      </c>
      <c r="B844" t="s">
        <v>23</v>
      </c>
      <c r="C844" s="2">
        <v>46057</v>
      </c>
      <c r="D844" s="2">
        <f t="shared" si="82"/>
        <v>46102</v>
      </c>
      <c r="E844" s="1">
        <f>D844+1</f>
        <v>46103</v>
      </c>
      <c r="F844">
        <v>1389</v>
      </c>
      <c r="G844">
        <v>45</v>
      </c>
      <c r="H844">
        <f t="shared" si="81"/>
        <v>0</v>
      </c>
      <c r="I844" t="str">
        <f t="shared" si="79"/>
        <v>On Time</v>
      </c>
      <c r="J844" cm="1">
        <f t="array" ref="J844">_xlfn.IFS(H844&lt;30,0,H844&lt;60,1,H844&lt;90,2,H844&lt;120,3)</f>
        <v>0</v>
      </c>
      <c r="M844" t="str">
        <f t="shared" si="80"/>
        <v>Low</v>
      </c>
      <c r="N844" t="str">
        <f t="shared" si="83"/>
        <v>Feb</v>
      </c>
      <c r="O844">
        <f t="shared" si="84"/>
        <v>2026</v>
      </c>
    </row>
    <row r="845" spans="1:15" x14ac:dyDescent="0.3">
      <c r="A845">
        <v>203700</v>
      </c>
      <c r="B845" t="s">
        <v>24</v>
      </c>
      <c r="C845" s="2">
        <v>46057</v>
      </c>
      <c r="D845" s="2">
        <f t="shared" si="82"/>
        <v>46102</v>
      </c>
      <c r="E845" s="1">
        <f>D845+35</f>
        <v>46137</v>
      </c>
      <c r="F845">
        <v>3978</v>
      </c>
      <c r="G845">
        <v>45</v>
      </c>
      <c r="H845">
        <f t="shared" si="81"/>
        <v>0</v>
      </c>
      <c r="I845" t="str">
        <f t="shared" si="79"/>
        <v>On Time</v>
      </c>
      <c r="J845" cm="1">
        <f t="array" ref="J845">_xlfn.IFS(H845&lt;30,0,H845&lt;60,1,H845&lt;90,2,H845&lt;120,3)</f>
        <v>0</v>
      </c>
      <c r="M845" t="str">
        <f t="shared" si="80"/>
        <v>Low</v>
      </c>
      <c r="N845" t="str">
        <f t="shared" si="83"/>
        <v>Feb</v>
      </c>
      <c r="O845">
        <f t="shared" si="84"/>
        <v>2026</v>
      </c>
    </row>
    <row r="846" spans="1:15" x14ac:dyDescent="0.3">
      <c r="A846">
        <v>203701</v>
      </c>
      <c r="B846" t="s">
        <v>25</v>
      </c>
      <c r="C846" s="2">
        <v>46057</v>
      </c>
      <c r="D846" s="2">
        <f t="shared" si="82"/>
        <v>46117</v>
      </c>
      <c r="E846" s="1">
        <f>D846+75</f>
        <v>46192</v>
      </c>
      <c r="F846">
        <v>4612</v>
      </c>
      <c r="G846">
        <v>60</v>
      </c>
      <c r="H846">
        <f t="shared" si="81"/>
        <v>0</v>
      </c>
      <c r="I846" t="str">
        <f t="shared" si="79"/>
        <v>On Time</v>
      </c>
      <c r="J846" cm="1">
        <f t="array" ref="J846">_xlfn.IFS(H846&lt;30,0,H846&lt;60,1,H846&lt;90,2,H846&lt;120,3)</f>
        <v>0</v>
      </c>
      <c r="M846" t="str">
        <f t="shared" si="80"/>
        <v>Low</v>
      </c>
      <c r="N846" t="str">
        <f t="shared" si="83"/>
        <v>Feb</v>
      </c>
      <c r="O846">
        <f t="shared" si="84"/>
        <v>2026</v>
      </c>
    </row>
    <row r="847" spans="1:15" x14ac:dyDescent="0.3">
      <c r="A847">
        <v>203702</v>
      </c>
      <c r="B847" t="s">
        <v>26</v>
      </c>
      <c r="C847" s="2">
        <v>46057</v>
      </c>
      <c r="D847" s="2">
        <f t="shared" si="82"/>
        <v>46087</v>
      </c>
      <c r="E847" s="1">
        <f>D847+5</f>
        <v>46092</v>
      </c>
      <c r="F847">
        <v>831</v>
      </c>
      <c r="G847">
        <v>30</v>
      </c>
      <c r="H847">
        <f t="shared" si="81"/>
        <v>0</v>
      </c>
      <c r="I847" t="str">
        <f t="shared" si="79"/>
        <v>On Time</v>
      </c>
      <c r="J847" cm="1">
        <f t="array" ref="J847">_xlfn.IFS(H847&lt;30,0,H847&lt;60,1,H847&lt;90,2,H847&lt;120,3)</f>
        <v>0</v>
      </c>
      <c r="M847" t="str">
        <f t="shared" si="80"/>
        <v>Low</v>
      </c>
      <c r="N847" t="str">
        <f t="shared" si="83"/>
        <v>Feb</v>
      </c>
      <c r="O847">
        <f t="shared" si="84"/>
        <v>2026</v>
      </c>
    </row>
    <row r="848" spans="1:15" x14ac:dyDescent="0.3">
      <c r="A848">
        <v>203703</v>
      </c>
      <c r="B848" t="s">
        <v>27</v>
      </c>
      <c r="C848" s="2">
        <v>46057</v>
      </c>
      <c r="D848" s="2">
        <f t="shared" si="82"/>
        <v>46117</v>
      </c>
      <c r="E848" s="1">
        <f>D848</f>
        <v>46117</v>
      </c>
      <c r="F848">
        <v>4840</v>
      </c>
      <c r="G848">
        <v>60</v>
      </c>
      <c r="H848">
        <f t="shared" si="81"/>
        <v>0</v>
      </c>
      <c r="I848" t="str">
        <f t="shared" si="79"/>
        <v>On Time</v>
      </c>
      <c r="J848" cm="1">
        <f t="array" ref="J848">_xlfn.IFS(H848&lt;30,0,H848&lt;60,1,H848&lt;90,2,H848&lt;120,3)</f>
        <v>0</v>
      </c>
      <c r="M848" t="str">
        <f t="shared" si="80"/>
        <v>Low</v>
      </c>
      <c r="N848" t="str">
        <f t="shared" si="83"/>
        <v>Feb</v>
      </c>
      <c r="O848">
        <f t="shared" si="84"/>
        <v>2026</v>
      </c>
    </row>
    <row r="849" spans="1:15" x14ac:dyDescent="0.3">
      <c r="A849">
        <v>203704</v>
      </c>
      <c r="B849" t="s">
        <v>28</v>
      </c>
      <c r="C849" s="2">
        <v>46057</v>
      </c>
      <c r="D849" s="2">
        <f t="shared" si="82"/>
        <v>46087</v>
      </c>
      <c r="E849" s="1">
        <f>D849-1</f>
        <v>46086</v>
      </c>
      <c r="F849">
        <v>11857</v>
      </c>
      <c r="G849">
        <v>30</v>
      </c>
      <c r="H849">
        <f t="shared" si="81"/>
        <v>0</v>
      </c>
      <c r="I849" t="str">
        <f t="shared" si="79"/>
        <v>On Time</v>
      </c>
      <c r="J849" cm="1">
        <f t="array" ref="J849">_xlfn.IFS(H849&lt;30,0,H849&lt;60,1,H849&lt;90,2,H849&lt;120,3)</f>
        <v>0</v>
      </c>
      <c r="M849" t="str">
        <f t="shared" si="80"/>
        <v>Low</v>
      </c>
      <c r="N849" t="str">
        <f t="shared" si="83"/>
        <v>Feb</v>
      </c>
      <c r="O849">
        <f t="shared" si="84"/>
        <v>2026</v>
      </c>
    </row>
    <row r="850" spans="1:15" x14ac:dyDescent="0.3">
      <c r="A850">
        <v>203705</v>
      </c>
      <c r="B850" t="s">
        <v>29</v>
      </c>
      <c r="C850" s="2">
        <v>46057</v>
      </c>
      <c r="D850" s="2">
        <f t="shared" si="82"/>
        <v>46087</v>
      </c>
      <c r="E850" s="1">
        <f>D850</f>
        <v>46087</v>
      </c>
      <c r="F850">
        <v>3183</v>
      </c>
      <c r="G850">
        <v>30</v>
      </c>
      <c r="H850">
        <f t="shared" si="81"/>
        <v>0</v>
      </c>
      <c r="I850" t="str">
        <f t="shared" si="79"/>
        <v>On Time</v>
      </c>
      <c r="J850" cm="1">
        <f t="array" ref="J850">_xlfn.IFS(H850&lt;30,0,H850&lt;60,1,H850&lt;90,2,H850&lt;120,3)</f>
        <v>0</v>
      </c>
      <c r="M850" t="str">
        <f t="shared" si="80"/>
        <v>Low</v>
      </c>
      <c r="N850" t="str">
        <f t="shared" si="83"/>
        <v>Feb</v>
      </c>
      <c r="O850">
        <f t="shared" si="84"/>
        <v>2026</v>
      </c>
    </row>
    <row r="851" spans="1:15" x14ac:dyDescent="0.3">
      <c r="A851">
        <v>203706</v>
      </c>
      <c r="B851" t="s">
        <v>30</v>
      </c>
      <c r="C851" s="2">
        <v>46057</v>
      </c>
      <c r="D851" s="2">
        <f t="shared" si="82"/>
        <v>46087</v>
      </c>
      <c r="E851" s="1">
        <f>D851+32</f>
        <v>46119</v>
      </c>
      <c r="F851">
        <v>808</v>
      </c>
      <c r="G851">
        <v>30</v>
      </c>
      <c r="H851">
        <f t="shared" si="81"/>
        <v>0</v>
      </c>
      <c r="I851" t="str">
        <f t="shared" si="79"/>
        <v>On Time</v>
      </c>
      <c r="J851" cm="1">
        <f t="array" ref="J851">_xlfn.IFS(H851&lt;30,0,H851&lt;60,1,H851&lt;90,2,H851&lt;120,3)</f>
        <v>0</v>
      </c>
      <c r="M851" t="str">
        <f t="shared" si="80"/>
        <v>Low</v>
      </c>
      <c r="N851" t="str">
        <f t="shared" si="83"/>
        <v>Feb</v>
      </c>
      <c r="O851">
        <f t="shared" si="84"/>
        <v>2026</v>
      </c>
    </row>
    <row r="852" spans="1:15" x14ac:dyDescent="0.3">
      <c r="A852">
        <v>203707</v>
      </c>
      <c r="B852" t="s">
        <v>31</v>
      </c>
      <c r="C852" s="2">
        <v>46057</v>
      </c>
      <c r="D852" s="2">
        <f t="shared" si="82"/>
        <v>46102</v>
      </c>
      <c r="E852" s="1">
        <f>D852+15</f>
        <v>46117</v>
      </c>
      <c r="F852">
        <v>8315</v>
      </c>
      <c r="G852">
        <v>45</v>
      </c>
      <c r="H852">
        <f t="shared" si="81"/>
        <v>0</v>
      </c>
      <c r="I852" t="str">
        <f t="shared" si="79"/>
        <v>On Time</v>
      </c>
      <c r="J852" cm="1">
        <f t="array" ref="J852">_xlfn.IFS(H852&lt;30,0,H852&lt;60,1,H852&lt;90,2,H852&lt;120,3)</f>
        <v>0</v>
      </c>
      <c r="M852" t="str">
        <f t="shared" si="80"/>
        <v>Low</v>
      </c>
      <c r="N852" t="str">
        <f t="shared" si="83"/>
        <v>Feb</v>
      </c>
      <c r="O852">
        <f t="shared" si="84"/>
        <v>2026</v>
      </c>
    </row>
    <row r="853" spans="1:15" x14ac:dyDescent="0.3">
      <c r="A853">
        <v>203708</v>
      </c>
      <c r="B853" t="s">
        <v>54</v>
      </c>
      <c r="C853" s="2">
        <v>46057</v>
      </c>
      <c r="D853" s="2">
        <f t="shared" si="82"/>
        <v>46087</v>
      </c>
      <c r="E853" s="1">
        <f>D853-2</f>
        <v>46085</v>
      </c>
      <c r="F853">
        <v>709</v>
      </c>
      <c r="G853">
        <v>30</v>
      </c>
      <c r="H853">
        <f t="shared" si="81"/>
        <v>0</v>
      </c>
      <c r="I853" t="str">
        <f t="shared" si="79"/>
        <v>On Time</v>
      </c>
      <c r="J853" cm="1">
        <f t="array" ref="J853">_xlfn.IFS(H853&lt;30,0,H853&lt;60,1,H853&lt;90,2,H853&lt;120,3)</f>
        <v>0</v>
      </c>
      <c r="M853" t="str">
        <f t="shared" si="80"/>
        <v>Low</v>
      </c>
      <c r="N853" t="str">
        <f t="shared" si="83"/>
        <v>Feb</v>
      </c>
      <c r="O853">
        <f t="shared" si="84"/>
        <v>2026</v>
      </c>
    </row>
    <row r="854" spans="1:15" x14ac:dyDescent="0.3">
      <c r="A854">
        <v>203709</v>
      </c>
      <c r="B854" t="s">
        <v>55</v>
      </c>
      <c r="C854" s="2">
        <v>46057</v>
      </c>
      <c r="D854" s="2">
        <f t="shared" si="82"/>
        <v>46087</v>
      </c>
      <c r="E854" s="1">
        <f>D854-2</f>
        <v>46085</v>
      </c>
      <c r="F854">
        <v>767</v>
      </c>
      <c r="G854">
        <v>30</v>
      </c>
      <c r="H854">
        <f t="shared" si="81"/>
        <v>0</v>
      </c>
      <c r="I854" t="str">
        <f t="shared" ref="I854:I917" si="85">IF(H854=0,"On Time",IF(H854&lt;=15,"Paid Late","Seriously Late"))</f>
        <v>On Time</v>
      </c>
      <c r="J854" cm="1">
        <f t="array" ref="J854">_xlfn.IFS(H854&lt;30,0,H854&lt;60,1,H854&lt;90,2,H854&lt;120,3)</f>
        <v>0</v>
      </c>
      <c r="M854" t="str">
        <f t="shared" ref="M854:M917" si="86">IF(H854&gt;30,"High",IF(H854&gt;10,"Medium","Low"))</f>
        <v>Low</v>
      </c>
      <c r="N854" t="str">
        <f t="shared" si="83"/>
        <v>Feb</v>
      </c>
      <c r="O854">
        <f t="shared" si="84"/>
        <v>2026</v>
      </c>
    </row>
    <row r="855" spans="1:15" x14ac:dyDescent="0.3">
      <c r="A855">
        <v>203710</v>
      </c>
      <c r="B855" t="s">
        <v>56</v>
      </c>
      <c r="C855" s="2">
        <v>46057</v>
      </c>
      <c r="D855" s="2">
        <f t="shared" si="82"/>
        <v>46102</v>
      </c>
      <c r="E855" s="1">
        <f>D855</f>
        <v>46102</v>
      </c>
      <c r="F855">
        <v>537</v>
      </c>
      <c r="G855">
        <v>45</v>
      </c>
      <c r="H855">
        <f t="shared" si="81"/>
        <v>0</v>
      </c>
      <c r="I855" t="str">
        <f t="shared" si="85"/>
        <v>On Time</v>
      </c>
      <c r="J855" cm="1">
        <f t="array" ref="J855">_xlfn.IFS(H855&lt;30,0,H855&lt;60,1,H855&lt;90,2,H855&lt;120,3)</f>
        <v>0</v>
      </c>
      <c r="M855" t="str">
        <f t="shared" si="86"/>
        <v>Low</v>
      </c>
      <c r="N855" t="str">
        <f t="shared" si="83"/>
        <v>Feb</v>
      </c>
      <c r="O855">
        <f t="shared" si="84"/>
        <v>2026</v>
      </c>
    </row>
    <row r="856" spans="1:15" x14ac:dyDescent="0.3">
      <c r="A856">
        <v>203711</v>
      </c>
      <c r="B856" t="s">
        <v>57</v>
      </c>
      <c r="C856" s="2">
        <v>46057</v>
      </c>
      <c r="D856" s="2">
        <f t="shared" si="82"/>
        <v>46117</v>
      </c>
      <c r="E856" s="1">
        <f>D856+2</f>
        <v>46119</v>
      </c>
      <c r="F856">
        <v>1481</v>
      </c>
      <c r="G856">
        <v>60</v>
      </c>
      <c r="H856">
        <f t="shared" si="81"/>
        <v>0</v>
      </c>
      <c r="I856" t="str">
        <f t="shared" si="85"/>
        <v>On Time</v>
      </c>
      <c r="J856" cm="1">
        <f t="array" ref="J856">_xlfn.IFS(H856&lt;30,0,H856&lt;60,1,H856&lt;90,2,H856&lt;120,3)</f>
        <v>0</v>
      </c>
      <c r="M856" t="str">
        <f t="shared" si="86"/>
        <v>Low</v>
      </c>
      <c r="N856" t="str">
        <f t="shared" si="83"/>
        <v>Feb</v>
      </c>
      <c r="O856">
        <f t="shared" si="84"/>
        <v>2026</v>
      </c>
    </row>
    <row r="857" spans="1:15" x14ac:dyDescent="0.3">
      <c r="A857">
        <v>203712</v>
      </c>
      <c r="B857" t="s">
        <v>58</v>
      </c>
      <c r="C857" s="2">
        <v>46057</v>
      </c>
      <c r="D857" s="2">
        <f t="shared" si="82"/>
        <v>46087</v>
      </c>
      <c r="E857" s="1">
        <f>D857+2</f>
        <v>46089</v>
      </c>
      <c r="F857">
        <v>2278</v>
      </c>
      <c r="G857">
        <v>30</v>
      </c>
      <c r="H857">
        <f t="shared" si="81"/>
        <v>0</v>
      </c>
      <c r="I857" t="str">
        <f t="shared" si="85"/>
        <v>On Time</v>
      </c>
      <c r="J857" cm="1">
        <f t="array" ref="J857">_xlfn.IFS(H857&lt;30,0,H857&lt;60,1,H857&lt;90,2,H857&lt;120,3)</f>
        <v>0</v>
      </c>
      <c r="M857" t="str">
        <f t="shared" si="86"/>
        <v>Low</v>
      </c>
      <c r="N857" t="str">
        <f t="shared" si="83"/>
        <v>Feb</v>
      </c>
      <c r="O857">
        <f t="shared" si="84"/>
        <v>2026</v>
      </c>
    </row>
    <row r="858" spans="1:15" x14ac:dyDescent="0.3">
      <c r="A858">
        <v>203713</v>
      </c>
      <c r="B858" t="s">
        <v>59</v>
      </c>
      <c r="C858" s="2">
        <v>46057</v>
      </c>
      <c r="D858" s="2">
        <f t="shared" si="82"/>
        <v>46087</v>
      </c>
      <c r="E858" s="1">
        <f>D858+2</f>
        <v>46089</v>
      </c>
      <c r="F858">
        <v>2532</v>
      </c>
      <c r="G858">
        <v>30</v>
      </c>
      <c r="H858">
        <f t="shared" si="81"/>
        <v>0</v>
      </c>
      <c r="I858" t="str">
        <f t="shared" si="85"/>
        <v>On Time</v>
      </c>
      <c r="J858" cm="1">
        <f t="array" ref="J858">_xlfn.IFS(H858&lt;30,0,H858&lt;60,1,H858&lt;90,2,H858&lt;120,3)</f>
        <v>0</v>
      </c>
      <c r="M858" t="str">
        <f t="shared" si="86"/>
        <v>Low</v>
      </c>
      <c r="N858" t="str">
        <f t="shared" si="83"/>
        <v>Feb</v>
      </c>
      <c r="O858">
        <f t="shared" si="84"/>
        <v>2026</v>
      </c>
    </row>
    <row r="859" spans="1:15" x14ac:dyDescent="0.3">
      <c r="A859">
        <v>203714</v>
      </c>
      <c r="B859" t="s">
        <v>60</v>
      </c>
      <c r="C859" s="2">
        <v>46057</v>
      </c>
      <c r="D859" s="2">
        <f t="shared" si="82"/>
        <v>46087</v>
      </c>
      <c r="E859" s="1">
        <f>D859</f>
        <v>46087</v>
      </c>
      <c r="F859">
        <v>4401</v>
      </c>
      <c r="G859">
        <v>30</v>
      </c>
      <c r="H859">
        <f t="shared" si="81"/>
        <v>0</v>
      </c>
      <c r="I859" t="str">
        <f t="shared" si="85"/>
        <v>On Time</v>
      </c>
      <c r="J859" cm="1">
        <f t="array" ref="J859">_xlfn.IFS(H859&lt;30,0,H859&lt;60,1,H859&lt;90,2,H859&lt;120,3)</f>
        <v>0</v>
      </c>
      <c r="M859" t="str">
        <f t="shared" si="86"/>
        <v>Low</v>
      </c>
      <c r="N859" t="str">
        <f t="shared" si="83"/>
        <v>Feb</v>
      </c>
      <c r="O859">
        <f t="shared" si="84"/>
        <v>2026</v>
      </c>
    </row>
    <row r="860" spans="1:15" x14ac:dyDescent="0.3">
      <c r="A860">
        <v>203715</v>
      </c>
      <c r="B860" t="s">
        <v>61</v>
      </c>
      <c r="C860" s="2">
        <v>46057</v>
      </c>
      <c r="D860" s="2">
        <f t="shared" si="82"/>
        <v>46087</v>
      </c>
      <c r="E860" s="1">
        <f>D860+20</f>
        <v>46107</v>
      </c>
      <c r="F860">
        <v>2472</v>
      </c>
      <c r="G860">
        <v>30</v>
      </c>
      <c r="H860">
        <f t="shared" si="81"/>
        <v>0</v>
      </c>
      <c r="I860" t="str">
        <f t="shared" si="85"/>
        <v>On Time</v>
      </c>
      <c r="J860" cm="1">
        <f t="array" ref="J860">_xlfn.IFS(H860&lt;30,0,H860&lt;60,1,H860&lt;90,2,H860&lt;120,3)</f>
        <v>0</v>
      </c>
      <c r="M860" t="str">
        <f t="shared" si="86"/>
        <v>Low</v>
      </c>
      <c r="N860" t="str">
        <f t="shared" si="83"/>
        <v>Feb</v>
      </c>
      <c r="O860">
        <f t="shared" si="84"/>
        <v>2026</v>
      </c>
    </row>
    <row r="861" spans="1:15" x14ac:dyDescent="0.3">
      <c r="A861">
        <v>203679</v>
      </c>
      <c r="B861" t="s">
        <v>59</v>
      </c>
      <c r="C861" s="2">
        <v>46056</v>
      </c>
      <c r="D861" s="2">
        <f t="shared" si="82"/>
        <v>46086</v>
      </c>
      <c r="E861" s="1">
        <f>D861+2</f>
        <v>46088</v>
      </c>
      <c r="F861">
        <v>2133</v>
      </c>
      <c r="G861">
        <v>30</v>
      </c>
      <c r="H861">
        <f t="shared" si="81"/>
        <v>0</v>
      </c>
      <c r="I861" t="str">
        <f t="shared" si="85"/>
        <v>On Time</v>
      </c>
      <c r="J861" cm="1">
        <f t="array" ref="J861">_xlfn.IFS(H861&lt;30,0,H861&lt;60,1,H861&lt;90,2,H861&lt;120,3)</f>
        <v>0</v>
      </c>
      <c r="M861" t="str">
        <f t="shared" si="86"/>
        <v>Low</v>
      </c>
      <c r="N861" t="str">
        <f t="shared" si="83"/>
        <v>Feb</v>
      </c>
      <c r="O861">
        <f t="shared" si="84"/>
        <v>2026</v>
      </c>
    </row>
    <row r="862" spans="1:15" x14ac:dyDescent="0.3">
      <c r="A862">
        <v>203680</v>
      </c>
      <c r="B862" t="s">
        <v>60</v>
      </c>
      <c r="C862" s="2">
        <v>46056</v>
      </c>
      <c r="D862" s="2">
        <f t="shared" si="82"/>
        <v>46086</v>
      </c>
      <c r="E862" s="1">
        <f>D862+2</f>
        <v>46088</v>
      </c>
      <c r="F862">
        <v>4902</v>
      </c>
      <c r="G862">
        <v>30</v>
      </c>
      <c r="H862">
        <f t="shared" si="81"/>
        <v>0</v>
      </c>
      <c r="I862" t="str">
        <f t="shared" si="85"/>
        <v>On Time</v>
      </c>
      <c r="J862" cm="1">
        <f t="array" ref="J862">_xlfn.IFS(H862&lt;30,0,H862&lt;60,1,H862&lt;90,2,H862&lt;120,3)</f>
        <v>0</v>
      </c>
      <c r="M862" t="str">
        <f t="shared" si="86"/>
        <v>Low</v>
      </c>
      <c r="N862" t="str">
        <f t="shared" si="83"/>
        <v>Feb</v>
      </c>
      <c r="O862">
        <f t="shared" si="84"/>
        <v>2026</v>
      </c>
    </row>
    <row r="863" spans="1:15" x14ac:dyDescent="0.3">
      <c r="A863">
        <v>203681</v>
      </c>
      <c r="B863" t="s">
        <v>61</v>
      </c>
      <c r="C863" s="2">
        <v>46056</v>
      </c>
      <c r="D863" s="2">
        <f t="shared" si="82"/>
        <v>46086</v>
      </c>
      <c r="E863" s="1">
        <f>D863</f>
        <v>46086</v>
      </c>
      <c r="F863">
        <v>4455</v>
      </c>
      <c r="G863">
        <v>30</v>
      </c>
      <c r="H863">
        <f t="shared" si="81"/>
        <v>0</v>
      </c>
      <c r="I863" t="str">
        <f t="shared" si="85"/>
        <v>On Time</v>
      </c>
      <c r="J863" cm="1">
        <f t="array" ref="J863">_xlfn.IFS(H863&lt;30,0,H863&lt;60,1,H863&lt;90,2,H863&lt;120,3)</f>
        <v>0</v>
      </c>
      <c r="M863" t="str">
        <f t="shared" si="86"/>
        <v>Low</v>
      </c>
      <c r="N863" t="str">
        <f t="shared" si="83"/>
        <v>Feb</v>
      </c>
      <c r="O863">
        <f t="shared" si="84"/>
        <v>2026</v>
      </c>
    </row>
    <row r="864" spans="1:15" x14ac:dyDescent="0.3">
      <c r="A864">
        <v>203682</v>
      </c>
      <c r="B864" t="s">
        <v>62</v>
      </c>
      <c r="C864" s="2">
        <v>46056</v>
      </c>
      <c r="D864" s="2">
        <f t="shared" si="82"/>
        <v>46086</v>
      </c>
      <c r="E864" s="1">
        <f>D864+20</f>
        <v>46106</v>
      </c>
      <c r="F864">
        <v>5926</v>
      </c>
      <c r="G864">
        <v>30</v>
      </c>
      <c r="H864">
        <f t="shared" si="81"/>
        <v>0</v>
      </c>
      <c r="I864" t="str">
        <f t="shared" si="85"/>
        <v>On Time</v>
      </c>
      <c r="J864" cm="1">
        <f t="array" ref="J864">_xlfn.IFS(H864&lt;30,0,H864&lt;60,1,H864&lt;90,2,H864&lt;120,3)</f>
        <v>0</v>
      </c>
      <c r="M864" t="str">
        <f t="shared" si="86"/>
        <v>Low</v>
      </c>
      <c r="N864" t="str">
        <f t="shared" si="83"/>
        <v>Feb</v>
      </c>
      <c r="O864">
        <f t="shared" si="84"/>
        <v>2026</v>
      </c>
    </row>
    <row r="865" spans="1:15" x14ac:dyDescent="0.3">
      <c r="A865">
        <v>203683</v>
      </c>
      <c r="B865" t="s">
        <v>63</v>
      </c>
      <c r="C865" s="2">
        <v>46056</v>
      </c>
      <c r="D865" s="2">
        <f t="shared" si="82"/>
        <v>46086</v>
      </c>
      <c r="E865" s="1">
        <f>D865</f>
        <v>46086</v>
      </c>
      <c r="F865">
        <v>4733</v>
      </c>
      <c r="G865">
        <v>30</v>
      </c>
      <c r="H865">
        <f t="shared" si="81"/>
        <v>0</v>
      </c>
      <c r="I865" t="str">
        <f t="shared" si="85"/>
        <v>On Time</v>
      </c>
      <c r="J865" cm="1">
        <f t="array" ref="J865">_xlfn.IFS(H865&lt;30,0,H865&lt;60,1,H865&lt;90,2,H865&lt;120,3)</f>
        <v>0</v>
      </c>
      <c r="M865" t="str">
        <f t="shared" si="86"/>
        <v>Low</v>
      </c>
      <c r="N865" t="str">
        <f t="shared" si="83"/>
        <v>Feb</v>
      </c>
      <c r="O865">
        <f t="shared" si="84"/>
        <v>2026</v>
      </c>
    </row>
    <row r="866" spans="1:15" x14ac:dyDescent="0.3">
      <c r="A866">
        <v>203684</v>
      </c>
      <c r="B866" t="s">
        <v>64</v>
      </c>
      <c r="C866" s="2">
        <v>46056</v>
      </c>
      <c r="D866" s="2">
        <f t="shared" si="82"/>
        <v>46086</v>
      </c>
      <c r="E866" s="1">
        <f>D866+1</f>
        <v>46087</v>
      </c>
      <c r="F866">
        <v>2395</v>
      </c>
      <c r="G866">
        <v>30</v>
      </c>
      <c r="H866">
        <f t="shared" si="81"/>
        <v>0</v>
      </c>
      <c r="I866" t="str">
        <f t="shared" si="85"/>
        <v>On Time</v>
      </c>
      <c r="J866" cm="1">
        <f t="array" ref="J866">_xlfn.IFS(H866&lt;30,0,H866&lt;60,1,H866&lt;90,2,H866&lt;120,3)</f>
        <v>0</v>
      </c>
      <c r="M866" t="str">
        <f t="shared" si="86"/>
        <v>Low</v>
      </c>
      <c r="N866" t="str">
        <f t="shared" si="83"/>
        <v>Feb</v>
      </c>
      <c r="O866">
        <f t="shared" si="84"/>
        <v>2026</v>
      </c>
    </row>
    <row r="867" spans="1:15" x14ac:dyDescent="0.3">
      <c r="A867">
        <v>203685</v>
      </c>
      <c r="B867" t="s">
        <v>65</v>
      </c>
      <c r="C867" s="2">
        <v>46056</v>
      </c>
      <c r="D867" s="2">
        <f t="shared" si="82"/>
        <v>46101</v>
      </c>
      <c r="E867" s="1">
        <f>D867</f>
        <v>46101</v>
      </c>
      <c r="F867">
        <v>4761</v>
      </c>
      <c r="G867">
        <v>45</v>
      </c>
      <c r="H867">
        <f t="shared" si="81"/>
        <v>0</v>
      </c>
      <c r="I867" t="str">
        <f t="shared" si="85"/>
        <v>On Time</v>
      </c>
      <c r="J867" cm="1">
        <f t="array" ref="J867">_xlfn.IFS(H867&lt;30,0,H867&lt;60,1,H867&lt;90,2,H867&lt;120,3)</f>
        <v>0</v>
      </c>
      <c r="M867" t="str">
        <f t="shared" si="86"/>
        <v>Low</v>
      </c>
      <c r="N867" t="str">
        <f t="shared" si="83"/>
        <v>Feb</v>
      </c>
      <c r="O867">
        <f t="shared" si="84"/>
        <v>2026</v>
      </c>
    </row>
    <row r="868" spans="1:15" x14ac:dyDescent="0.3">
      <c r="A868">
        <v>203686</v>
      </c>
      <c r="B868" t="s">
        <v>66</v>
      </c>
      <c r="C868" s="2">
        <v>46056</v>
      </c>
      <c r="D868" s="2">
        <f t="shared" si="82"/>
        <v>46116</v>
      </c>
      <c r="E868" s="1">
        <f>D868</f>
        <v>46116</v>
      </c>
      <c r="F868">
        <v>3974</v>
      </c>
      <c r="G868">
        <v>60</v>
      </c>
      <c r="H868">
        <f t="shared" si="81"/>
        <v>0</v>
      </c>
      <c r="I868" t="str">
        <f t="shared" si="85"/>
        <v>On Time</v>
      </c>
      <c r="J868" cm="1">
        <f t="array" ref="J868">_xlfn.IFS(H868&lt;30,0,H868&lt;60,1,H868&lt;90,2,H868&lt;120,3)</f>
        <v>0</v>
      </c>
      <c r="M868" t="str">
        <f t="shared" si="86"/>
        <v>Low</v>
      </c>
      <c r="N868" t="str">
        <f t="shared" si="83"/>
        <v>Feb</v>
      </c>
      <c r="O868">
        <f t="shared" si="84"/>
        <v>2026</v>
      </c>
    </row>
    <row r="869" spans="1:15" x14ac:dyDescent="0.3">
      <c r="A869">
        <v>203687</v>
      </c>
      <c r="B869" t="s">
        <v>108</v>
      </c>
      <c r="C869" s="2">
        <v>46056</v>
      </c>
      <c r="D869" s="2">
        <f t="shared" si="82"/>
        <v>46086</v>
      </c>
      <c r="E869" s="1">
        <f>D869+5</f>
        <v>46091</v>
      </c>
      <c r="F869">
        <v>11007</v>
      </c>
      <c r="G869">
        <v>30</v>
      </c>
      <c r="H869">
        <f t="shared" si="81"/>
        <v>0</v>
      </c>
      <c r="I869" t="str">
        <f t="shared" si="85"/>
        <v>On Time</v>
      </c>
      <c r="J869" cm="1">
        <f t="array" ref="J869">_xlfn.IFS(H869&lt;30,0,H869&lt;60,1,H869&lt;90,2,H869&lt;120,3)</f>
        <v>0</v>
      </c>
      <c r="M869" t="str">
        <f t="shared" si="86"/>
        <v>Low</v>
      </c>
      <c r="N869" t="str">
        <f t="shared" si="83"/>
        <v>Feb</v>
      </c>
      <c r="O869">
        <f t="shared" si="84"/>
        <v>2026</v>
      </c>
    </row>
    <row r="870" spans="1:15" x14ac:dyDescent="0.3">
      <c r="A870">
        <v>203688</v>
      </c>
      <c r="B870" t="s">
        <v>109</v>
      </c>
      <c r="C870" s="2">
        <v>46056</v>
      </c>
      <c r="D870" s="2">
        <f t="shared" si="82"/>
        <v>46086</v>
      </c>
      <c r="E870" s="1">
        <f>D870+2</f>
        <v>46088</v>
      </c>
      <c r="F870">
        <v>3760</v>
      </c>
      <c r="G870">
        <v>30</v>
      </c>
      <c r="H870">
        <f t="shared" ref="H870:H933" si="87">MAX(0,P835-D870)</f>
        <v>0</v>
      </c>
      <c r="I870" t="str">
        <f t="shared" si="85"/>
        <v>On Time</v>
      </c>
      <c r="J870" cm="1">
        <f t="array" ref="J870">_xlfn.IFS(H870&lt;30,0,H870&lt;60,1,H870&lt;90,2,H870&lt;120,3)</f>
        <v>0</v>
      </c>
      <c r="M870" t="str">
        <f t="shared" si="86"/>
        <v>Low</v>
      </c>
      <c r="N870" t="str">
        <f t="shared" si="83"/>
        <v>Feb</v>
      </c>
      <c r="O870">
        <f t="shared" si="84"/>
        <v>2026</v>
      </c>
    </row>
    <row r="871" spans="1:15" x14ac:dyDescent="0.3">
      <c r="A871">
        <v>203689</v>
      </c>
      <c r="B871" t="s">
        <v>110</v>
      </c>
      <c r="C871" s="2">
        <v>46056</v>
      </c>
      <c r="D871" s="2">
        <f t="shared" si="82"/>
        <v>46101</v>
      </c>
      <c r="E871" s="1">
        <f>D871</f>
        <v>46101</v>
      </c>
      <c r="F871">
        <v>785</v>
      </c>
      <c r="G871">
        <v>45</v>
      </c>
      <c r="H871">
        <f t="shared" si="87"/>
        <v>0</v>
      </c>
      <c r="I871" t="str">
        <f t="shared" si="85"/>
        <v>On Time</v>
      </c>
      <c r="J871" cm="1">
        <f t="array" ref="J871">_xlfn.IFS(H871&lt;30,0,H871&lt;60,1,H871&lt;90,2,H871&lt;120,3)</f>
        <v>0</v>
      </c>
      <c r="M871" t="str">
        <f t="shared" si="86"/>
        <v>Low</v>
      </c>
      <c r="N871" t="str">
        <f t="shared" si="83"/>
        <v>Feb</v>
      </c>
      <c r="O871">
        <f t="shared" si="84"/>
        <v>2026</v>
      </c>
    </row>
    <row r="872" spans="1:15" x14ac:dyDescent="0.3">
      <c r="A872">
        <v>203690</v>
      </c>
      <c r="B872" t="s">
        <v>111</v>
      </c>
      <c r="C872" s="2">
        <v>46056</v>
      </c>
      <c r="D872" s="2">
        <f t="shared" si="82"/>
        <v>46116</v>
      </c>
      <c r="E872" s="1">
        <f>D872</f>
        <v>46116</v>
      </c>
      <c r="F872">
        <v>804</v>
      </c>
      <c r="G872">
        <v>60</v>
      </c>
      <c r="H872">
        <f t="shared" si="87"/>
        <v>0</v>
      </c>
      <c r="I872" t="str">
        <f t="shared" si="85"/>
        <v>On Time</v>
      </c>
      <c r="J872" cm="1">
        <f t="array" ref="J872">_xlfn.IFS(H872&lt;30,0,H872&lt;60,1,H872&lt;90,2,H872&lt;120,3)</f>
        <v>0</v>
      </c>
      <c r="M872" t="str">
        <f t="shared" si="86"/>
        <v>Low</v>
      </c>
      <c r="N872" t="str">
        <f t="shared" si="83"/>
        <v>Feb</v>
      </c>
      <c r="O872">
        <f t="shared" si="84"/>
        <v>2026</v>
      </c>
    </row>
    <row r="873" spans="1:15" x14ac:dyDescent="0.3">
      <c r="A873">
        <v>203691</v>
      </c>
      <c r="B873" t="s">
        <v>112</v>
      </c>
      <c r="C873" s="2">
        <v>46056</v>
      </c>
      <c r="D873" s="2">
        <f t="shared" si="82"/>
        <v>46101</v>
      </c>
      <c r="E873" s="1">
        <f>D873</f>
        <v>46101</v>
      </c>
      <c r="F873">
        <v>2938</v>
      </c>
      <c r="G873">
        <v>45</v>
      </c>
      <c r="H873">
        <f t="shared" si="87"/>
        <v>0</v>
      </c>
      <c r="I873" t="str">
        <f t="shared" si="85"/>
        <v>On Time</v>
      </c>
      <c r="J873" cm="1">
        <f t="array" ref="J873">_xlfn.IFS(H873&lt;30,0,H873&lt;60,1,H873&lt;90,2,H873&lt;120,3)</f>
        <v>0</v>
      </c>
      <c r="M873" t="str">
        <f t="shared" si="86"/>
        <v>Low</v>
      </c>
      <c r="N873" t="str">
        <f t="shared" si="83"/>
        <v>Feb</v>
      </c>
      <c r="O873">
        <f t="shared" si="84"/>
        <v>2026</v>
      </c>
    </row>
    <row r="874" spans="1:15" x14ac:dyDescent="0.3">
      <c r="A874">
        <v>203692</v>
      </c>
      <c r="B874" t="s">
        <v>113</v>
      </c>
      <c r="C874" s="2">
        <v>46056</v>
      </c>
      <c r="D874" s="2">
        <f t="shared" si="82"/>
        <v>46101</v>
      </c>
      <c r="E874" s="1">
        <f>D874+60</f>
        <v>46161</v>
      </c>
      <c r="F874">
        <v>2915</v>
      </c>
      <c r="G874">
        <v>45</v>
      </c>
      <c r="H874">
        <f t="shared" si="87"/>
        <v>0</v>
      </c>
      <c r="I874" t="str">
        <f t="shared" si="85"/>
        <v>On Time</v>
      </c>
      <c r="J874" cm="1">
        <f t="array" ref="J874">_xlfn.IFS(H874&lt;30,0,H874&lt;60,1,H874&lt;90,2,H874&lt;120,3)</f>
        <v>0</v>
      </c>
      <c r="M874" t="str">
        <f t="shared" si="86"/>
        <v>Low</v>
      </c>
      <c r="N874" t="str">
        <f t="shared" si="83"/>
        <v>Feb</v>
      </c>
      <c r="O874">
        <f t="shared" si="84"/>
        <v>2026</v>
      </c>
    </row>
    <row r="875" spans="1:15" x14ac:dyDescent="0.3">
      <c r="A875">
        <v>203693</v>
      </c>
      <c r="B875" t="s">
        <v>114</v>
      </c>
      <c r="C875" s="2">
        <v>46056</v>
      </c>
      <c r="D875" s="2">
        <f t="shared" si="82"/>
        <v>46086</v>
      </c>
      <c r="E875" s="1">
        <f>D875</f>
        <v>46086</v>
      </c>
      <c r="F875">
        <v>368</v>
      </c>
      <c r="G875">
        <v>30</v>
      </c>
      <c r="H875">
        <f t="shared" si="87"/>
        <v>0</v>
      </c>
      <c r="I875" t="str">
        <f t="shared" si="85"/>
        <v>On Time</v>
      </c>
      <c r="J875" cm="1">
        <f t="array" ref="J875">_xlfn.IFS(H875&lt;30,0,H875&lt;60,1,H875&lt;90,2,H875&lt;120,3)</f>
        <v>0</v>
      </c>
      <c r="M875" t="str">
        <f t="shared" si="86"/>
        <v>Low</v>
      </c>
      <c r="N875" t="str">
        <f t="shared" si="83"/>
        <v>Feb</v>
      </c>
      <c r="O875">
        <f t="shared" si="84"/>
        <v>2026</v>
      </c>
    </row>
    <row r="876" spans="1:15" x14ac:dyDescent="0.3">
      <c r="A876">
        <v>203694</v>
      </c>
      <c r="B876" t="s">
        <v>115</v>
      </c>
      <c r="C876" s="2">
        <v>46056</v>
      </c>
      <c r="D876" s="2">
        <f t="shared" si="82"/>
        <v>46086</v>
      </c>
      <c r="E876" s="1">
        <f>D876</f>
        <v>46086</v>
      </c>
      <c r="F876">
        <v>4540</v>
      </c>
      <c r="G876">
        <v>30</v>
      </c>
      <c r="H876">
        <f t="shared" si="87"/>
        <v>0</v>
      </c>
      <c r="I876" t="str">
        <f t="shared" si="85"/>
        <v>On Time</v>
      </c>
      <c r="J876" cm="1">
        <f t="array" ref="J876">_xlfn.IFS(H876&lt;30,0,H876&lt;60,1,H876&lt;90,2,H876&lt;120,3)</f>
        <v>0</v>
      </c>
      <c r="M876" t="str">
        <f t="shared" si="86"/>
        <v>Low</v>
      </c>
      <c r="N876" t="str">
        <f t="shared" si="83"/>
        <v>Feb</v>
      </c>
      <c r="O876">
        <f t="shared" si="84"/>
        <v>2026</v>
      </c>
    </row>
    <row r="877" spans="1:15" x14ac:dyDescent="0.3">
      <c r="A877">
        <v>203695</v>
      </c>
      <c r="B877" t="s">
        <v>116</v>
      </c>
      <c r="C877" s="2">
        <v>46056</v>
      </c>
      <c r="D877" s="2">
        <f t="shared" si="82"/>
        <v>46086</v>
      </c>
      <c r="E877" s="1">
        <f>D877+3</f>
        <v>46089</v>
      </c>
      <c r="F877">
        <v>3980</v>
      </c>
      <c r="G877">
        <v>30</v>
      </c>
      <c r="H877">
        <f t="shared" si="87"/>
        <v>0</v>
      </c>
      <c r="I877" t="str">
        <f t="shared" si="85"/>
        <v>On Time</v>
      </c>
      <c r="J877" cm="1">
        <f t="array" ref="J877">_xlfn.IFS(H877&lt;30,0,H877&lt;60,1,H877&lt;90,2,H877&lt;120,3)</f>
        <v>0</v>
      </c>
      <c r="M877" t="str">
        <f t="shared" si="86"/>
        <v>Low</v>
      </c>
      <c r="N877" t="str">
        <f t="shared" si="83"/>
        <v>Feb</v>
      </c>
      <c r="O877">
        <f t="shared" si="84"/>
        <v>2026</v>
      </c>
    </row>
    <row r="878" spans="1:15" x14ac:dyDescent="0.3">
      <c r="A878">
        <v>203696</v>
      </c>
      <c r="B878" t="s">
        <v>20</v>
      </c>
      <c r="C878" s="2">
        <v>46056</v>
      </c>
      <c r="D878" s="2">
        <f t="shared" si="82"/>
        <v>46086</v>
      </c>
      <c r="E878" s="1">
        <f>D878+1</f>
        <v>46087</v>
      </c>
      <c r="F878">
        <v>12491</v>
      </c>
      <c r="G878">
        <v>30</v>
      </c>
      <c r="H878">
        <f t="shared" si="87"/>
        <v>0</v>
      </c>
      <c r="I878" t="str">
        <f t="shared" si="85"/>
        <v>On Time</v>
      </c>
      <c r="J878" cm="1">
        <f t="array" ref="J878">_xlfn.IFS(H878&lt;30,0,H878&lt;60,1,H878&lt;90,2,H878&lt;120,3)</f>
        <v>0</v>
      </c>
      <c r="M878" t="str">
        <f t="shared" si="86"/>
        <v>Low</v>
      </c>
      <c r="N878" t="str">
        <f t="shared" si="83"/>
        <v>Feb</v>
      </c>
      <c r="O878">
        <f t="shared" si="84"/>
        <v>2026</v>
      </c>
    </row>
    <row r="879" spans="1:15" x14ac:dyDescent="0.3">
      <c r="A879">
        <v>203655</v>
      </c>
      <c r="B879" t="s">
        <v>101</v>
      </c>
      <c r="C879" s="2">
        <v>46055</v>
      </c>
      <c r="D879" s="2">
        <f t="shared" si="82"/>
        <v>46085</v>
      </c>
      <c r="E879" s="1">
        <f>D879+2</f>
        <v>46087</v>
      </c>
      <c r="F879">
        <v>371</v>
      </c>
      <c r="G879">
        <v>30</v>
      </c>
      <c r="H879">
        <f t="shared" si="87"/>
        <v>0</v>
      </c>
      <c r="I879" t="str">
        <f t="shared" si="85"/>
        <v>On Time</v>
      </c>
      <c r="J879" cm="1">
        <f t="array" ref="J879">_xlfn.IFS(H879&lt;30,0,H879&lt;60,1,H879&lt;90,2,H879&lt;120,3)</f>
        <v>0</v>
      </c>
      <c r="M879" t="str">
        <f t="shared" si="86"/>
        <v>Low</v>
      </c>
      <c r="N879" t="str">
        <f t="shared" si="83"/>
        <v>Feb</v>
      </c>
      <c r="O879">
        <f t="shared" si="84"/>
        <v>2026</v>
      </c>
    </row>
    <row r="880" spans="1:15" x14ac:dyDescent="0.3">
      <c r="A880">
        <v>203656</v>
      </c>
      <c r="B880" t="s">
        <v>102</v>
      </c>
      <c r="C880" s="2">
        <v>46055</v>
      </c>
      <c r="D880" s="2">
        <f t="shared" si="82"/>
        <v>46085</v>
      </c>
      <c r="E880" s="1">
        <f>D880+5</f>
        <v>46090</v>
      </c>
      <c r="F880">
        <v>3073</v>
      </c>
      <c r="G880">
        <v>30</v>
      </c>
      <c r="H880">
        <f t="shared" si="87"/>
        <v>0</v>
      </c>
      <c r="I880" t="str">
        <f t="shared" si="85"/>
        <v>On Time</v>
      </c>
      <c r="J880" cm="1">
        <f t="array" ref="J880">_xlfn.IFS(H880&lt;30,0,H880&lt;60,1,H880&lt;90,2,H880&lt;120,3)</f>
        <v>0</v>
      </c>
      <c r="M880" t="str">
        <f t="shared" si="86"/>
        <v>Low</v>
      </c>
      <c r="N880" t="str">
        <f t="shared" si="83"/>
        <v>Feb</v>
      </c>
      <c r="O880">
        <f t="shared" si="84"/>
        <v>2026</v>
      </c>
    </row>
    <row r="881" spans="1:15" x14ac:dyDescent="0.3">
      <c r="A881">
        <v>203657</v>
      </c>
      <c r="B881" t="s">
        <v>38</v>
      </c>
      <c r="C881" s="2">
        <v>46055</v>
      </c>
      <c r="D881" s="2">
        <f t="shared" si="82"/>
        <v>46085</v>
      </c>
      <c r="E881" s="1">
        <f>D881</f>
        <v>46085</v>
      </c>
      <c r="F881">
        <v>2785</v>
      </c>
      <c r="G881">
        <v>30</v>
      </c>
      <c r="H881">
        <f t="shared" si="87"/>
        <v>0</v>
      </c>
      <c r="I881" t="str">
        <f t="shared" si="85"/>
        <v>On Time</v>
      </c>
      <c r="J881" cm="1">
        <f t="array" ref="J881">_xlfn.IFS(H881&lt;30,0,H881&lt;60,1,H881&lt;90,2,H881&lt;120,3)</f>
        <v>0</v>
      </c>
      <c r="M881" t="str">
        <f t="shared" si="86"/>
        <v>Low</v>
      </c>
      <c r="N881" t="str">
        <f t="shared" si="83"/>
        <v>Feb</v>
      </c>
      <c r="O881">
        <f t="shared" si="84"/>
        <v>2026</v>
      </c>
    </row>
    <row r="882" spans="1:15" x14ac:dyDescent="0.3">
      <c r="A882">
        <v>203658</v>
      </c>
      <c r="B882" t="s">
        <v>39</v>
      </c>
      <c r="C882" s="2">
        <v>46055</v>
      </c>
      <c r="D882" s="2">
        <f t="shared" si="82"/>
        <v>46085</v>
      </c>
      <c r="E882" s="1">
        <f>D882</f>
        <v>46085</v>
      </c>
      <c r="F882">
        <v>2439</v>
      </c>
      <c r="G882">
        <v>30</v>
      </c>
      <c r="H882">
        <f t="shared" si="87"/>
        <v>0</v>
      </c>
      <c r="I882" t="str">
        <f t="shared" si="85"/>
        <v>On Time</v>
      </c>
      <c r="J882" cm="1">
        <f t="array" ref="J882">_xlfn.IFS(H882&lt;30,0,H882&lt;60,1,H882&lt;90,2,H882&lt;120,3)</f>
        <v>0</v>
      </c>
      <c r="M882" t="str">
        <f t="shared" si="86"/>
        <v>Low</v>
      </c>
      <c r="N882" t="str">
        <f t="shared" si="83"/>
        <v>Feb</v>
      </c>
      <c r="O882">
        <f t="shared" si="84"/>
        <v>2026</v>
      </c>
    </row>
    <row r="883" spans="1:15" x14ac:dyDescent="0.3">
      <c r="A883">
        <v>203659</v>
      </c>
      <c r="B883" t="s">
        <v>40</v>
      </c>
      <c r="C883" s="2">
        <v>46055</v>
      </c>
      <c r="D883" s="2">
        <f t="shared" si="82"/>
        <v>46085</v>
      </c>
      <c r="E883" s="1">
        <f>D883+60</f>
        <v>46145</v>
      </c>
      <c r="F883">
        <v>2141</v>
      </c>
      <c r="G883">
        <v>30</v>
      </c>
      <c r="H883">
        <f t="shared" si="87"/>
        <v>0</v>
      </c>
      <c r="I883" t="str">
        <f t="shared" si="85"/>
        <v>On Time</v>
      </c>
      <c r="J883" cm="1">
        <f t="array" ref="J883">_xlfn.IFS(H883&lt;30,0,H883&lt;60,1,H883&lt;90,2,H883&lt;120,3)</f>
        <v>0</v>
      </c>
      <c r="M883" t="str">
        <f t="shared" si="86"/>
        <v>Low</v>
      </c>
      <c r="N883" t="str">
        <f t="shared" si="83"/>
        <v>Feb</v>
      </c>
      <c r="O883">
        <f t="shared" si="84"/>
        <v>2026</v>
      </c>
    </row>
    <row r="884" spans="1:15" x14ac:dyDescent="0.3">
      <c r="A884">
        <v>203660</v>
      </c>
      <c r="B884" t="s">
        <v>41</v>
      </c>
      <c r="C884" s="2">
        <v>46055</v>
      </c>
      <c r="D884" s="2">
        <f t="shared" si="82"/>
        <v>46085</v>
      </c>
      <c r="E884" s="1">
        <f>D884</f>
        <v>46085</v>
      </c>
      <c r="F884">
        <v>3181</v>
      </c>
      <c r="G884">
        <v>30</v>
      </c>
      <c r="H884">
        <f t="shared" si="87"/>
        <v>0</v>
      </c>
      <c r="I884" t="str">
        <f t="shared" si="85"/>
        <v>On Time</v>
      </c>
      <c r="J884" cm="1">
        <f t="array" ref="J884">_xlfn.IFS(H884&lt;30,0,H884&lt;60,1,H884&lt;90,2,H884&lt;120,3)</f>
        <v>0</v>
      </c>
      <c r="M884" t="str">
        <f t="shared" si="86"/>
        <v>Low</v>
      </c>
      <c r="N884" t="str">
        <f t="shared" si="83"/>
        <v>Feb</v>
      </c>
      <c r="O884">
        <f t="shared" si="84"/>
        <v>2026</v>
      </c>
    </row>
    <row r="885" spans="1:15" x14ac:dyDescent="0.3">
      <c r="A885">
        <v>203661</v>
      </c>
      <c r="B885" t="s">
        <v>42</v>
      </c>
      <c r="C885" s="2">
        <v>46055</v>
      </c>
      <c r="D885" s="2">
        <f t="shared" si="82"/>
        <v>46085</v>
      </c>
      <c r="F885">
        <v>3679</v>
      </c>
      <c r="G885">
        <v>30</v>
      </c>
      <c r="H885">
        <f t="shared" si="87"/>
        <v>0</v>
      </c>
      <c r="I885" t="str">
        <f t="shared" si="85"/>
        <v>On Time</v>
      </c>
      <c r="J885" cm="1">
        <f t="array" ref="J885">_xlfn.IFS(H885&lt;30,0,H885&lt;60,1,H885&lt;90,2,H885&lt;120,3)</f>
        <v>0</v>
      </c>
      <c r="M885" t="str">
        <f t="shared" si="86"/>
        <v>Low</v>
      </c>
      <c r="N885" t="str">
        <f t="shared" si="83"/>
        <v>Feb</v>
      </c>
      <c r="O885">
        <f t="shared" si="84"/>
        <v>2026</v>
      </c>
    </row>
    <row r="886" spans="1:15" x14ac:dyDescent="0.3">
      <c r="A886">
        <v>203662</v>
      </c>
      <c r="B886" t="s">
        <v>43</v>
      </c>
      <c r="C886" s="2">
        <v>46055</v>
      </c>
      <c r="D886" s="2">
        <f t="shared" si="82"/>
        <v>46085</v>
      </c>
      <c r="E886" s="1">
        <f>D886+3</f>
        <v>46088</v>
      </c>
      <c r="F886">
        <v>450</v>
      </c>
      <c r="G886">
        <v>30</v>
      </c>
      <c r="H886">
        <f t="shared" si="87"/>
        <v>0</v>
      </c>
      <c r="I886" t="str">
        <f t="shared" si="85"/>
        <v>On Time</v>
      </c>
      <c r="J886" cm="1">
        <f t="array" ref="J886">_xlfn.IFS(H886&lt;30,0,H886&lt;60,1,H886&lt;90,2,H886&lt;120,3)</f>
        <v>0</v>
      </c>
      <c r="M886" t="str">
        <f t="shared" si="86"/>
        <v>Low</v>
      </c>
      <c r="N886" t="str">
        <f t="shared" si="83"/>
        <v>Feb</v>
      </c>
      <c r="O886">
        <f t="shared" si="84"/>
        <v>2026</v>
      </c>
    </row>
    <row r="887" spans="1:15" x14ac:dyDescent="0.3">
      <c r="A887">
        <v>203663</v>
      </c>
      <c r="B887" t="s">
        <v>44</v>
      </c>
      <c r="C887" s="2">
        <v>46055</v>
      </c>
      <c r="D887" s="2">
        <f t="shared" si="82"/>
        <v>46100</v>
      </c>
      <c r="E887" s="1">
        <f>D887+1</f>
        <v>46101</v>
      </c>
      <c r="F887">
        <v>957</v>
      </c>
      <c r="G887">
        <v>45</v>
      </c>
      <c r="H887">
        <f t="shared" si="87"/>
        <v>0</v>
      </c>
      <c r="I887" t="str">
        <f t="shared" si="85"/>
        <v>On Time</v>
      </c>
      <c r="J887" cm="1">
        <f t="array" ref="J887">_xlfn.IFS(H887&lt;30,0,H887&lt;60,1,H887&lt;90,2,H887&lt;120,3)</f>
        <v>0</v>
      </c>
      <c r="M887" t="str">
        <f t="shared" si="86"/>
        <v>Low</v>
      </c>
      <c r="N887" t="str">
        <f t="shared" si="83"/>
        <v>Feb</v>
      </c>
      <c r="O887">
        <f t="shared" si="84"/>
        <v>2026</v>
      </c>
    </row>
    <row r="888" spans="1:15" x14ac:dyDescent="0.3">
      <c r="A888">
        <v>203664</v>
      </c>
      <c r="B888" t="s">
        <v>96</v>
      </c>
      <c r="C888" s="2">
        <v>46055</v>
      </c>
      <c r="D888" s="2">
        <f t="shared" si="82"/>
        <v>46115</v>
      </c>
      <c r="E888" s="1">
        <f>D888-1</f>
        <v>46114</v>
      </c>
      <c r="F888">
        <v>1552</v>
      </c>
      <c r="G888">
        <v>60</v>
      </c>
      <c r="H888">
        <f t="shared" si="87"/>
        <v>0</v>
      </c>
      <c r="I888" t="str">
        <f t="shared" si="85"/>
        <v>On Time</v>
      </c>
      <c r="J888" cm="1">
        <f t="array" ref="J888">_xlfn.IFS(H888&lt;30,0,H888&lt;60,1,H888&lt;90,2,H888&lt;120,3)</f>
        <v>0</v>
      </c>
      <c r="M888" t="str">
        <f t="shared" si="86"/>
        <v>Low</v>
      </c>
      <c r="N888" t="str">
        <f t="shared" si="83"/>
        <v>Feb</v>
      </c>
      <c r="O888">
        <f t="shared" si="84"/>
        <v>2026</v>
      </c>
    </row>
    <row r="889" spans="1:15" x14ac:dyDescent="0.3">
      <c r="A889">
        <v>203665</v>
      </c>
      <c r="B889" t="s">
        <v>97</v>
      </c>
      <c r="C889" s="2">
        <v>46055</v>
      </c>
      <c r="D889" s="2">
        <f t="shared" si="82"/>
        <v>46085</v>
      </c>
      <c r="E889" s="1">
        <f>D889</f>
        <v>46085</v>
      </c>
      <c r="F889">
        <v>2667</v>
      </c>
      <c r="G889">
        <v>30</v>
      </c>
      <c r="H889">
        <f t="shared" si="87"/>
        <v>0</v>
      </c>
      <c r="I889" t="str">
        <f t="shared" si="85"/>
        <v>On Time</v>
      </c>
      <c r="J889" cm="1">
        <f t="array" ref="J889">_xlfn.IFS(H889&lt;30,0,H889&lt;60,1,H889&lt;90,2,H889&lt;120,3)</f>
        <v>0</v>
      </c>
      <c r="M889" t="str">
        <f t="shared" si="86"/>
        <v>Low</v>
      </c>
      <c r="N889" t="str">
        <f t="shared" si="83"/>
        <v>Feb</v>
      </c>
      <c r="O889">
        <f t="shared" si="84"/>
        <v>2026</v>
      </c>
    </row>
    <row r="890" spans="1:15" x14ac:dyDescent="0.3">
      <c r="A890">
        <v>203666</v>
      </c>
      <c r="B890" t="s">
        <v>98</v>
      </c>
      <c r="C890" s="2">
        <v>46055</v>
      </c>
      <c r="D890" s="2">
        <f t="shared" si="82"/>
        <v>46085</v>
      </c>
      <c r="E890" s="1">
        <f>D890-5</f>
        <v>46080</v>
      </c>
      <c r="F890">
        <v>3808</v>
      </c>
      <c r="G890">
        <v>30</v>
      </c>
      <c r="H890">
        <f t="shared" si="87"/>
        <v>0</v>
      </c>
      <c r="I890" t="str">
        <f t="shared" si="85"/>
        <v>On Time</v>
      </c>
      <c r="J890" cm="1">
        <f t="array" ref="J890">_xlfn.IFS(H890&lt;30,0,H890&lt;60,1,H890&lt;90,2,H890&lt;120,3)</f>
        <v>0</v>
      </c>
      <c r="M890" t="str">
        <f t="shared" si="86"/>
        <v>Low</v>
      </c>
      <c r="N890" t="str">
        <f t="shared" si="83"/>
        <v>Feb</v>
      </c>
      <c r="O890">
        <f t="shared" si="84"/>
        <v>2026</v>
      </c>
    </row>
    <row r="891" spans="1:15" x14ac:dyDescent="0.3">
      <c r="A891">
        <v>203667</v>
      </c>
      <c r="B891" t="s">
        <v>99</v>
      </c>
      <c r="C891" s="2">
        <v>46055</v>
      </c>
      <c r="D891" s="2">
        <f t="shared" si="82"/>
        <v>46085</v>
      </c>
      <c r="E891" s="1">
        <f>D891+35</f>
        <v>46120</v>
      </c>
      <c r="F891">
        <v>2808</v>
      </c>
      <c r="G891">
        <v>30</v>
      </c>
      <c r="H891">
        <f t="shared" si="87"/>
        <v>0</v>
      </c>
      <c r="I891" t="str">
        <f t="shared" si="85"/>
        <v>On Time</v>
      </c>
      <c r="J891" cm="1">
        <f t="array" ref="J891">_xlfn.IFS(H891&lt;30,0,H891&lt;60,1,H891&lt;90,2,H891&lt;120,3)</f>
        <v>0</v>
      </c>
      <c r="M891" t="str">
        <f t="shared" si="86"/>
        <v>Low</v>
      </c>
      <c r="N891" t="str">
        <f t="shared" si="83"/>
        <v>Feb</v>
      </c>
      <c r="O891">
        <f t="shared" si="84"/>
        <v>2026</v>
      </c>
    </row>
    <row r="892" spans="1:15" x14ac:dyDescent="0.3">
      <c r="A892">
        <v>203668</v>
      </c>
      <c r="B892" t="s">
        <v>100</v>
      </c>
      <c r="C892" s="2">
        <v>46055</v>
      </c>
      <c r="D892" s="2">
        <f t="shared" si="82"/>
        <v>46085</v>
      </c>
      <c r="E892" s="1">
        <f>D892+75</f>
        <v>46160</v>
      </c>
      <c r="F892">
        <v>14573</v>
      </c>
      <c r="G892">
        <v>30</v>
      </c>
      <c r="H892">
        <f t="shared" si="87"/>
        <v>0</v>
      </c>
      <c r="I892" t="str">
        <f t="shared" si="85"/>
        <v>On Time</v>
      </c>
      <c r="J892" cm="1">
        <f t="array" ref="J892">_xlfn.IFS(H892&lt;30,0,H892&lt;60,1,H892&lt;90,2,H892&lt;120,3)</f>
        <v>0</v>
      </c>
      <c r="M892" t="str">
        <f t="shared" si="86"/>
        <v>Low</v>
      </c>
      <c r="N892" t="str">
        <f t="shared" si="83"/>
        <v>Feb</v>
      </c>
      <c r="O892">
        <f t="shared" si="84"/>
        <v>2026</v>
      </c>
    </row>
    <row r="893" spans="1:15" x14ac:dyDescent="0.3">
      <c r="A893">
        <v>203669</v>
      </c>
      <c r="B893" t="s">
        <v>101</v>
      </c>
      <c r="C893" s="2">
        <v>46055</v>
      </c>
      <c r="D893" s="2">
        <f t="shared" si="82"/>
        <v>46085</v>
      </c>
      <c r="E893" s="1">
        <f>D893+5</f>
        <v>46090</v>
      </c>
      <c r="F893">
        <v>757</v>
      </c>
      <c r="G893">
        <v>30</v>
      </c>
      <c r="H893">
        <f t="shared" si="87"/>
        <v>0</v>
      </c>
      <c r="I893" t="str">
        <f t="shared" si="85"/>
        <v>On Time</v>
      </c>
      <c r="J893" cm="1">
        <f t="array" ref="J893">_xlfn.IFS(H893&lt;30,0,H893&lt;60,1,H893&lt;90,2,H893&lt;120,3)</f>
        <v>0</v>
      </c>
      <c r="M893" t="str">
        <f t="shared" si="86"/>
        <v>Low</v>
      </c>
      <c r="N893" t="str">
        <f t="shared" si="83"/>
        <v>Feb</v>
      </c>
      <c r="O893">
        <f t="shared" si="84"/>
        <v>2026</v>
      </c>
    </row>
    <row r="894" spans="1:15" x14ac:dyDescent="0.3">
      <c r="A894">
        <v>203670</v>
      </c>
      <c r="B894" t="s">
        <v>102</v>
      </c>
      <c r="C894" s="2">
        <v>46055</v>
      </c>
      <c r="D894" s="2">
        <f t="shared" si="82"/>
        <v>46085</v>
      </c>
      <c r="E894" s="1">
        <f>D894</f>
        <v>46085</v>
      </c>
      <c r="F894">
        <v>4458</v>
      </c>
      <c r="G894">
        <v>30</v>
      </c>
      <c r="H894">
        <f t="shared" si="87"/>
        <v>0</v>
      </c>
      <c r="I894" t="str">
        <f t="shared" si="85"/>
        <v>On Time</v>
      </c>
      <c r="J894" cm="1">
        <f t="array" ref="J894">_xlfn.IFS(H894&lt;30,0,H894&lt;60,1,H894&lt;90,2,H894&lt;120,3)</f>
        <v>0</v>
      </c>
      <c r="M894" t="str">
        <f t="shared" si="86"/>
        <v>Low</v>
      </c>
      <c r="N894" t="str">
        <f t="shared" si="83"/>
        <v>Feb</v>
      </c>
      <c r="O894">
        <f t="shared" si="84"/>
        <v>2026</v>
      </c>
    </row>
    <row r="895" spans="1:15" x14ac:dyDescent="0.3">
      <c r="A895">
        <v>203671</v>
      </c>
      <c r="B895" t="s">
        <v>103</v>
      </c>
      <c r="C895" s="2">
        <v>46055</v>
      </c>
      <c r="D895" s="2">
        <f t="shared" si="82"/>
        <v>46085</v>
      </c>
      <c r="E895" s="1">
        <f>D895-1</f>
        <v>46084</v>
      </c>
      <c r="F895">
        <v>2580</v>
      </c>
      <c r="G895">
        <v>30</v>
      </c>
      <c r="H895">
        <f t="shared" si="87"/>
        <v>0</v>
      </c>
      <c r="I895" t="str">
        <f t="shared" si="85"/>
        <v>On Time</v>
      </c>
      <c r="J895" cm="1">
        <f t="array" ref="J895">_xlfn.IFS(H895&lt;30,0,H895&lt;60,1,H895&lt;90,2,H895&lt;120,3)</f>
        <v>0</v>
      </c>
      <c r="M895" t="str">
        <f t="shared" si="86"/>
        <v>Low</v>
      </c>
      <c r="N895" t="str">
        <f t="shared" si="83"/>
        <v>Feb</v>
      </c>
      <c r="O895">
        <f t="shared" si="84"/>
        <v>2026</v>
      </c>
    </row>
    <row r="896" spans="1:15" x14ac:dyDescent="0.3">
      <c r="A896">
        <v>203672</v>
      </c>
      <c r="B896" t="s">
        <v>104</v>
      </c>
      <c r="C896" s="2">
        <v>46055</v>
      </c>
      <c r="D896" s="2">
        <f t="shared" si="82"/>
        <v>46085</v>
      </c>
      <c r="E896" s="1">
        <f>D896</f>
        <v>46085</v>
      </c>
      <c r="F896">
        <v>3479</v>
      </c>
      <c r="G896">
        <v>30</v>
      </c>
      <c r="H896">
        <f t="shared" si="87"/>
        <v>0</v>
      </c>
      <c r="I896" t="str">
        <f t="shared" si="85"/>
        <v>On Time</v>
      </c>
      <c r="J896" cm="1">
        <f t="array" ref="J896">_xlfn.IFS(H896&lt;30,0,H896&lt;60,1,H896&lt;90,2,H896&lt;120,3)</f>
        <v>0</v>
      </c>
      <c r="M896" t="str">
        <f t="shared" si="86"/>
        <v>Low</v>
      </c>
      <c r="N896" t="str">
        <f t="shared" si="83"/>
        <v>Feb</v>
      </c>
      <c r="O896">
        <f t="shared" si="84"/>
        <v>2026</v>
      </c>
    </row>
    <row r="897" spans="1:15" x14ac:dyDescent="0.3">
      <c r="A897">
        <v>203673</v>
      </c>
      <c r="B897" t="s">
        <v>105</v>
      </c>
      <c r="C897" s="2">
        <v>46055</v>
      </c>
      <c r="D897" s="2">
        <f t="shared" si="82"/>
        <v>46085</v>
      </c>
      <c r="E897" s="1">
        <f>D897+32</f>
        <v>46117</v>
      </c>
      <c r="F897">
        <v>18027</v>
      </c>
      <c r="G897">
        <v>30</v>
      </c>
      <c r="H897">
        <f t="shared" si="87"/>
        <v>0</v>
      </c>
      <c r="I897" t="str">
        <f t="shared" si="85"/>
        <v>On Time</v>
      </c>
      <c r="J897" cm="1">
        <f t="array" ref="J897">_xlfn.IFS(H897&lt;30,0,H897&lt;60,1,H897&lt;90,2,H897&lt;120,3)</f>
        <v>0</v>
      </c>
      <c r="M897" t="str">
        <f t="shared" si="86"/>
        <v>Low</v>
      </c>
      <c r="N897" t="str">
        <f t="shared" si="83"/>
        <v>Feb</v>
      </c>
      <c r="O897">
        <f t="shared" si="84"/>
        <v>2026</v>
      </c>
    </row>
    <row r="898" spans="1:15" x14ac:dyDescent="0.3">
      <c r="A898">
        <v>203674</v>
      </c>
      <c r="B898" t="s">
        <v>106</v>
      </c>
      <c r="C898" s="2">
        <v>46055</v>
      </c>
      <c r="D898" s="2">
        <f t="shared" ref="D898:D961" si="88">C898+G898</f>
        <v>46085</v>
      </c>
      <c r="E898" s="1">
        <f>D898+15</f>
        <v>46100</v>
      </c>
      <c r="F898">
        <v>4864</v>
      </c>
      <c r="G898">
        <v>30</v>
      </c>
      <c r="H898">
        <f t="shared" si="87"/>
        <v>0</v>
      </c>
      <c r="I898" t="str">
        <f t="shared" si="85"/>
        <v>On Time</v>
      </c>
      <c r="J898" cm="1">
        <f t="array" ref="J898">_xlfn.IFS(H898&lt;30,0,H898&lt;60,1,H898&lt;90,2,H898&lt;120,3)</f>
        <v>0</v>
      </c>
      <c r="M898" t="str">
        <f t="shared" si="86"/>
        <v>Low</v>
      </c>
      <c r="N898" t="str">
        <f t="shared" ref="N898:N961" si="89">TEXT(C898,"mmm")</f>
        <v>Feb</v>
      </c>
      <c r="O898">
        <f t="shared" ref="O898:O961" si="90">YEAR(C898)</f>
        <v>2026</v>
      </c>
    </row>
    <row r="899" spans="1:15" x14ac:dyDescent="0.3">
      <c r="A899">
        <v>203675</v>
      </c>
      <c r="B899" t="s">
        <v>107</v>
      </c>
      <c r="C899" s="2">
        <v>46055</v>
      </c>
      <c r="D899" s="2">
        <f t="shared" si="88"/>
        <v>46085</v>
      </c>
      <c r="E899" s="1">
        <f>D899</f>
        <v>46085</v>
      </c>
      <c r="F899">
        <v>4850</v>
      </c>
      <c r="G899">
        <v>30</v>
      </c>
      <c r="H899">
        <f t="shared" si="87"/>
        <v>0</v>
      </c>
      <c r="I899" t="str">
        <f t="shared" si="85"/>
        <v>On Time</v>
      </c>
      <c r="J899" cm="1">
        <f t="array" ref="J899">_xlfn.IFS(H899&lt;30,0,H899&lt;60,1,H899&lt;90,2,H899&lt;120,3)</f>
        <v>0</v>
      </c>
      <c r="M899" t="str">
        <f t="shared" si="86"/>
        <v>Low</v>
      </c>
      <c r="N899" t="str">
        <f t="shared" si="89"/>
        <v>Feb</v>
      </c>
      <c r="O899">
        <f t="shared" si="90"/>
        <v>2026</v>
      </c>
    </row>
    <row r="900" spans="1:15" x14ac:dyDescent="0.3">
      <c r="A900">
        <v>203676</v>
      </c>
      <c r="B900" t="s">
        <v>56</v>
      </c>
      <c r="C900" s="2">
        <v>46055</v>
      </c>
      <c r="D900" s="2">
        <f t="shared" si="88"/>
        <v>46100</v>
      </c>
      <c r="E900" s="1">
        <f>D900-2</f>
        <v>46098</v>
      </c>
      <c r="F900">
        <v>2068</v>
      </c>
      <c r="G900">
        <v>45</v>
      </c>
      <c r="H900">
        <f t="shared" si="87"/>
        <v>0</v>
      </c>
      <c r="I900" t="str">
        <f t="shared" si="85"/>
        <v>On Time</v>
      </c>
      <c r="J900" cm="1">
        <f t="array" ref="J900">_xlfn.IFS(H900&lt;30,0,H900&lt;60,1,H900&lt;90,2,H900&lt;120,3)</f>
        <v>0</v>
      </c>
      <c r="M900" t="str">
        <f t="shared" si="86"/>
        <v>Low</v>
      </c>
      <c r="N900" t="str">
        <f t="shared" si="89"/>
        <v>Feb</v>
      </c>
      <c r="O900">
        <f t="shared" si="90"/>
        <v>2026</v>
      </c>
    </row>
    <row r="901" spans="1:15" x14ac:dyDescent="0.3">
      <c r="A901">
        <v>203677</v>
      </c>
      <c r="B901" t="s">
        <v>57</v>
      </c>
      <c r="C901" s="2">
        <v>46055</v>
      </c>
      <c r="D901" s="2">
        <f t="shared" si="88"/>
        <v>46115</v>
      </c>
      <c r="E901" s="1">
        <f>D901</f>
        <v>46115</v>
      </c>
      <c r="F901">
        <v>2946</v>
      </c>
      <c r="G901">
        <v>60</v>
      </c>
      <c r="H901">
        <f t="shared" si="87"/>
        <v>0</v>
      </c>
      <c r="I901" t="str">
        <f t="shared" si="85"/>
        <v>On Time</v>
      </c>
      <c r="J901" cm="1">
        <f t="array" ref="J901">_xlfn.IFS(H901&lt;30,0,H901&lt;60,1,H901&lt;90,2,H901&lt;120,3)</f>
        <v>0</v>
      </c>
      <c r="M901" t="str">
        <f t="shared" si="86"/>
        <v>Low</v>
      </c>
      <c r="N901" t="str">
        <f t="shared" si="89"/>
        <v>Feb</v>
      </c>
      <c r="O901">
        <f t="shared" si="90"/>
        <v>2026</v>
      </c>
    </row>
    <row r="902" spans="1:15" x14ac:dyDescent="0.3">
      <c r="A902">
        <v>203678</v>
      </c>
      <c r="B902" t="s">
        <v>58</v>
      </c>
      <c r="C902" s="2">
        <v>46055</v>
      </c>
      <c r="D902" s="2">
        <f t="shared" si="88"/>
        <v>46085</v>
      </c>
      <c r="E902" s="1">
        <f>D902+2</f>
        <v>46087</v>
      </c>
      <c r="F902">
        <v>405</v>
      </c>
      <c r="G902">
        <v>30</v>
      </c>
      <c r="H902">
        <f t="shared" si="87"/>
        <v>0</v>
      </c>
      <c r="I902" t="str">
        <f t="shared" si="85"/>
        <v>On Time</v>
      </c>
      <c r="J902" cm="1">
        <f t="array" ref="J902">_xlfn.IFS(H902&lt;30,0,H902&lt;60,1,H902&lt;90,2,H902&lt;120,3)</f>
        <v>0</v>
      </c>
      <c r="M902" t="str">
        <f t="shared" si="86"/>
        <v>Low</v>
      </c>
      <c r="N902" t="str">
        <f t="shared" si="89"/>
        <v>Feb</v>
      </c>
      <c r="O902">
        <f t="shared" si="90"/>
        <v>2026</v>
      </c>
    </row>
    <row r="903" spans="1:15" x14ac:dyDescent="0.3">
      <c r="A903">
        <v>203631</v>
      </c>
      <c r="B903" t="s">
        <v>25</v>
      </c>
      <c r="C903" s="2">
        <v>46052</v>
      </c>
      <c r="D903" s="2">
        <f t="shared" si="88"/>
        <v>46112</v>
      </c>
      <c r="E903" s="1">
        <f>D903-1</f>
        <v>46111</v>
      </c>
      <c r="F903">
        <v>1671</v>
      </c>
      <c r="G903">
        <v>60</v>
      </c>
      <c r="H903">
        <f t="shared" si="87"/>
        <v>0</v>
      </c>
      <c r="I903" t="str">
        <f t="shared" si="85"/>
        <v>On Time</v>
      </c>
      <c r="J903" cm="1">
        <f t="array" ref="J903">_xlfn.IFS(H903&lt;30,0,H903&lt;60,1,H903&lt;90,2,H903&lt;120,3)</f>
        <v>0</v>
      </c>
      <c r="M903" t="str">
        <f t="shared" si="86"/>
        <v>Low</v>
      </c>
      <c r="N903" t="str">
        <f t="shared" si="89"/>
        <v>Jan</v>
      </c>
      <c r="O903">
        <f t="shared" si="90"/>
        <v>2026</v>
      </c>
    </row>
    <row r="904" spans="1:15" x14ac:dyDescent="0.3">
      <c r="A904">
        <v>203632</v>
      </c>
      <c r="B904" t="s">
        <v>26</v>
      </c>
      <c r="C904" s="2">
        <v>46052</v>
      </c>
      <c r="D904" s="2">
        <f t="shared" si="88"/>
        <v>46082</v>
      </c>
      <c r="E904" s="1">
        <f>D904</f>
        <v>46082</v>
      </c>
      <c r="F904">
        <v>2534</v>
      </c>
      <c r="G904">
        <v>30</v>
      </c>
      <c r="H904">
        <f t="shared" si="87"/>
        <v>0</v>
      </c>
      <c r="I904" t="str">
        <f t="shared" si="85"/>
        <v>On Time</v>
      </c>
      <c r="J904" cm="1">
        <f t="array" ref="J904">_xlfn.IFS(H904&lt;30,0,H904&lt;60,1,H904&lt;90,2,H904&lt;120,3)</f>
        <v>0</v>
      </c>
      <c r="M904" t="str">
        <f t="shared" si="86"/>
        <v>Low</v>
      </c>
      <c r="N904" t="str">
        <f t="shared" si="89"/>
        <v>Jan</v>
      </c>
      <c r="O904">
        <f t="shared" si="90"/>
        <v>2026</v>
      </c>
    </row>
    <row r="905" spans="1:15" x14ac:dyDescent="0.3">
      <c r="A905">
        <v>203633</v>
      </c>
      <c r="B905" t="s">
        <v>27</v>
      </c>
      <c r="C905" s="2">
        <v>46052</v>
      </c>
      <c r="D905" s="2">
        <f t="shared" si="88"/>
        <v>46112</v>
      </c>
      <c r="E905" s="1">
        <f>D905+1</f>
        <v>46113</v>
      </c>
      <c r="F905">
        <v>2351</v>
      </c>
      <c r="G905">
        <v>60</v>
      </c>
      <c r="H905">
        <f t="shared" si="87"/>
        <v>0</v>
      </c>
      <c r="I905" t="str">
        <f t="shared" si="85"/>
        <v>On Time</v>
      </c>
      <c r="J905" cm="1">
        <f t="array" ref="J905">_xlfn.IFS(H905&lt;30,0,H905&lt;60,1,H905&lt;90,2,H905&lt;120,3)</f>
        <v>0</v>
      </c>
      <c r="M905" t="str">
        <f t="shared" si="86"/>
        <v>Low</v>
      </c>
      <c r="N905" t="str">
        <f t="shared" si="89"/>
        <v>Jan</v>
      </c>
      <c r="O905">
        <f t="shared" si="90"/>
        <v>2026</v>
      </c>
    </row>
    <row r="906" spans="1:15" x14ac:dyDescent="0.3">
      <c r="A906">
        <v>203634</v>
      </c>
      <c r="B906" t="s">
        <v>28</v>
      </c>
      <c r="C906" s="2">
        <v>46052</v>
      </c>
      <c r="D906" s="2">
        <f t="shared" si="88"/>
        <v>46082</v>
      </c>
      <c r="E906" s="1">
        <f>D906+35</f>
        <v>46117</v>
      </c>
      <c r="F906">
        <v>1994</v>
      </c>
      <c r="G906">
        <v>30</v>
      </c>
      <c r="H906">
        <f t="shared" si="87"/>
        <v>0</v>
      </c>
      <c r="I906" t="str">
        <f t="shared" si="85"/>
        <v>On Time</v>
      </c>
      <c r="J906" cm="1">
        <f t="array" ref="J906">_xlfn.IFS(H906&lt;30,0,H906&lt;60,1,H906&lt;90,2,H906&lt;120,3)</f>
        <v>0</v>
      </c>
      <c r="M906" t="str">
        <f t="shared" si="86"/>
        <v>Low</v>
      </c>
      <c r="N906" t="str">
        <f t="shared" si="89"/>
        <v>Jan</v>
      </c>
      <c r="O906">
        <f t="shared" si="90"/>
        <v>2026</v>
      </c>
    </row>
    <row r="907" spans="1:15" x14ac:dyDescent="0.3">
      <c r="A907">
        <v>203635</v>
      </c>
      <c r="B907" t="s">
        <v>29</v>
      </c>
      <c r="C907" s="2">
        <v>46052</v>
      </c>
      <c r="D907" s="2">
        <f t="shared" si="88"/>
        <v>46082</v>
      </c>
      <c r="E907" s="1">
        <f>D907+75</f>
        <v>46157</v>
      </c>
      <c r="F907">
        <v>3808</v>
      </c>
      <c r="G907">
        <v>30</v>
      </c>
      <c r="H907">
        <f t="shared" si="87"/>
        <v>0</v>
      </c>
      <c r="I907" t="str">
        <f t="shared" si="85"/>
        <v>On Time</v>
      </c>
      <c r="J907" cm="1">
        <f t="array" ref="J907">_xlfn.IFS(H907&lt;30,0,H907&lt;60,1,H907&lt;90,2,H907&lt;120,3)</f>
        <v>0</v>
      </c>
      <c r="M907" t="str">
        <f t="shared" si="86"/>
        <v>Low</v>
      </c>
      <c r="N907" t="str">
        <f t="shared" si="89"/>
        <v>Jan</v>
      </c>
      <c r="O907">
        <f t="shared" si="90"/>
        <v>2026</v>
      </c>
    </row>
    <row r="908" spans="1:15" x14ac:dyDescent="0.3">
      <c r="A908">
        <v>203636</v>
      </c>
      <c r="B908" t="s">
        <v>75</v>
      </c>
      <c r="C908" s="2">
        <v>46052</v>
      </c>
      <c r="D908" s="2">
        <f t="shared" si="88"/>
        <v>46112</v>
      </c>
      <c r="E908" s="1">
        <f>D908+5</f>
        <v>46117</v>
      </c>
      <c r="F908">
        <v>883</v>
      </c>
      <c r="G908">
        <v>60</v>
      </c>
      <c r="H908">
        <f t="shared" si="87"/>
        <v>0</v>
      </c>
      <c r="I908" t="str">
        <f t="shared" si="85"/>
        <v>On Time</v>
      </c>
      <c r="J908" cm="1">
        <f t="array" ref="J908">_xlfn.IFS(H908&lt;30,0,H908&lt;60,1,H908&lt;90,2,H908&lt;120,3)</f>
        <v>0</v>
      </c>
      <c r="M908" t="str">
        <f t="shared" si="86"/>
        <v>Low</v>
      </c>
      <c r="N908" t="str">
        <f t="shared" si="89"/>
        <v>Jan</v>
      </c>
      <c r="O908">
        <f t="shared" si="90"/>
        <v>2026</v>
      </c>
    </row>
    <row r="909" spans="1:15" x14ac:dyDescent="0.3">
      <c r="A909">
        <v>203637</v>
      </c>
      <c r="B909" t="s">
        <v>76</v>
      </c>
      <c r="C909" s="2">
        <v>46052</v>
      </c>
      <c r="D909" s="2">
        <f t="shared" si="88"/>
        <v>46082</v>
      </c>
      <c r="E909" s="1">
        <f>D909</f>
        <v>46082</v>
      </c>
      <c r="F909">
        <v>2682</v>
      </c>
      <c r="G909">
        <v>30</v>
      </c>
      <c r="H909">
        <f t="shared" si="87"/>
        <v>0</v>
      </c>
      <c r="I909" t="str">
        <f t="shared" si="85"/>
        <v>On Time</v>
      </c>
      <c r="J909" cm="1">
        <f t="array" ref="J909">_xlfn.IFS(H909&lt;30,0,H909&lt;60,1,H909&lt;90,2,H909&lt;120,3)</f>
        <v>0</v>
      </c>
      <c r="M909" t="str">
        <f t="shared" si="86"/>
        <v>Low</v>
      </c>
      <c r="N909" t="str">
        <f t="shared" si="89"/>
        <v>Jan</v>
      </c>
      <c r="O909">
        <f t="shared" si="90"/>
        <v>2026</v>
      </c>
    </row>
    <row r="910" spans="1:15" x14ac:dyDescent="0.3">
      <c r="A910">
        <v>203638</v>
      </c>
      <c r="B910" t="s">
        <v>77</v>
      </c>
      <c r="C910" s="2">
        <v>46052</v>
      </c>
      <c r="D910" s="2">
        <f t="shared" si="88"/>
        <v>46082</v>
      </c>
      <c r="E910" s="1">
        <f>D910-1</f>
        <v>46081</v>
      </c>
      <c r="F910">
        <v>3213</v>
      </c>
      <c r="G910">
        <v>30</v>
      </c>
      <c r="H910">
        <f t="shared" si="87"/>
        <v>0</v>
      </c>
      <c r="I910" t="str">
        <f t="shared" si="85"/>
        <v>On Time</v>
      </c>
      <c r="J910" cm="1">
        <f t="array" ref="J910">_xlfn.IFS(H910&lt;30,0,H910&lt;60,1,H910&lt;90,2,H910&lt;120,3)</f>
        <v>0</v>
      </c>
      <c r="M910" t="str">
        <f t="shared" si="86"/>
        <v>Low</v>
      </c>
      <c r="N910" t="str">
        <f t="shared" si="89"/>
        <v>Jan</v>
      </c>
      <c r="O910">
        <f t="shared" si="90"/>
        <v>2026</v>
      </c>
    </row>
    <row r="911" spans="1:15" x14ac:dyDescent="0.3">
      <c r="A911">
        <v>203639</v>
      </c>
      <c r="B911" t="s">
        <v>78</v>
      </c>
      <c r="C911" s="2">
        <v>46052</v>
      </c>
      <c r="D911" s="2">
        <f t="shared" si="88"/>
        <v>46082</v>
      </c>
      <c r="E911" s="1">
        <f>D911</f>
        <v>46082</v>
      </c>
      <c r="F911">
        <v>612</v>
      </c>
      <c r="G911">
        <v>30</v>
      </c>
      <c r="H911">
        <f t="shared" si="87"/>
        <v>0</v>
      </c>
      <c r="I911" t="str">
        <f t="shared" si="85"/>
        <v>On Time</v>
      </c>
      <c r="J911" cm="1">
        <f t="array" ref="J911">_xlfn.IFS(H911&lt;30,0,H911&lt;60,1,H911&lt;90,2,H911&lt;120,3)</f>
        <v>0</v>
      </c>
      <c r="M911" t="str">
        <f t="shared" si="86"/>
        <v>Low</v>
      </c>
      <c r="N911" t="str">
        <f t="shared" si="89"/>
        <v>Jan</v>
      </c>
      <c r="O911">
        <f t="shared" si="90"/>
        <v>2026</v>
      </c>
    </row>
    <row r="912" spans="1:15" x14ac:dyDescent="0.3">
      <c r="A912">
        <v>203640</v>
      </c>
      <c r="B912" t="s">
        <v>79</v>
      </c>
      <c r="C912" s="2">
        <v>46052</v>
      </c>
      <c r="D912" s="2">
        <f t="shared" si="88"/>
        <v>46082</v>
      </c>
      <c r="E912" s="1">
        <f>D912+32</f>
        <v>46114</v>
      </c>
      <c r="F912">
        <v>4376</v>
      </c>
      <c r="G912">
        <v>30</v>
      </c>
      <c r="H912">
        <f t="shared" si="87"/>
        <v>0</v>
      </c>
      <c r="I912" t="str">
        <f t="shared" si="85"/>
        <v>On Time</v>
      </c>
      <c r="J912" cm="1">
        <f t="array" ref="J912">_xlfn.IFS(H912&lt;30,0,H912&lt;60,1,H912&lt;90,2,H912&lt;120,3)</f>
        <v>0</v>
      </c>
      <c r="M912" t="str">
        <f t="shared" si="86"/>
        <v>Low</v>
      </c>
      <c r="N912" t="str">
        <f t="shared" si="89"/>
        <v>Jan</v>
      </c>
      <c r="O912">
        <f t="shared" si="90"/>
        <v>2026</v>
      </c>
    </row>
    <row r="913" spans="1:15" x14ac:dyDescent="0.3">
      <c r="A913">
        <v>203641</v>
      </c>
      <c r="B913" t="s">
        <v>80</v>
      </c>
      <c r="C913" s="2">
        <v>46052</v>
      </c>
      <c r="D913" s="2">
        <f t="shared" si="88"/>
        <v>46082</v>
      </c>
      <c r="E913" s="1">
        <f>D913+15</f>
        <v>46097</v>
      </c>
      <c r="F913">
        <v>4990</v>
      </c>
      <c r="G913">
        <v>30</v>
      </c>
      <c r="H913">
        <f t="shared" si="87"/>
        <v>0</v>
      </c>
      <c r="I913" t="str">
        <f t="shared" si="85"/>
        <v>On Time</v>
      </c>
      <c r="J913" cm="1">
        <f t="array" ref="J913">_xlfn.IFS(H913&lt;30,0,H913&lt;60,1,H913&lt;90,2,H913&lt;120,3)</f>
        <v>0</v>
      </c>
      <c r="M913" t="str">
        <f t="shared" si="86"/>
        <v>Low</v>
      </c>
      <c r="N913" t="str">
        <f t="shared" si="89"/>
        <v>Jan</v>
      </c>
      <c r="O913">
        <f t="shared" si="90"/>
        <v>2026</v>
      </c>
    </row>
    <row r="914" spans="1:15" x14ac:dyDescent="0.3">
      <c r="A914">
        <v>203642</v>
      </c>
      <c r="B914" t="s">
        <v>81</v>
      </c>
      <c r="C914" s="2">
        <v>46052</v>
      </c>
      <c r="D914" s="2">
        <f t="shared" si="88"/>
        <v>46082</v>
      </c>
      <c r="E914" s="1">
        <f>D914-2</f>
        <v>46080</v>
      </c>
      <c r="F914">
        <v>3815</v>
      </c>
      <c r="G914">
        <v>30</v>
      </c>
      <c r="H914">
        <f t="shared" si="87"/>
        <v>0</v>
      </c>
      <c r="I914" t="str">
        <f t="shared" si="85"/>
        <v>On Time</v>
      </c>
      <c r="J914" cm="1">
        <f t="array" ref="J914">_xlfn.IFS(H914&lt;30,0,H914&lt;60,1,H914&lt;90,2,H914&lt;120,3)</f>
        <v>0</v>
      </c>
      <c r="M914" t="str">
        <f t="shared" si="86"/>
        <v>Low</v>
      </c>
      <c r="N914" t="str">
        <f t="shared" si="89"/>
        <v>Jan</v>
      </c>
      <c r="O914">
        <f t="shared" si="90"/>
        <v>2026</v>
      </c>
    </row>
    <row r="915" spans="1:15" x14ac:dyDescent="0.3">
      <c r="A915">
        <v>203643</v>
      </c>
      <c r="B915" t="s">
        <v>82</v>
      </c>
      <c r="C915" s="2">
        <v>46052</v>
      </c>
      <c r="D915" s="2">
        <f t="shared" si="88"/>
        <v>46097</v>
      </c>
      <c r="E915" s="1">
        <f>D915-2</f>
        <v>46095</v>
      </c>
      <c r="F915">
        <v>2841</v>
      </c>
      <c r="G915">
        <v>45</v>
      </c>
      <c r="H915">
        <f t="shared" si="87"/>
        <v>0</v>
      </c>
      <c r="I915" t="str">
        <f t="shared" si="85"/>
        <v>On Time</v>
      </c>
      <c r="J915" cm="1">
        <f t="array" ref="J915">_xlfn.IFS(H915&lt;30,0,H915&lt;60,1,H915&lt;90,2,H915&lt;120,3)</f>
        <v>0</v>
      </c>
      <c r="M915" t="str">
        <f t="shared" si="86"/>
        <v>Low</v>
      </c>
      <c r="N915" t="str">
        <f t="shared" si="89"/>
        <v>Jan</v>
      </c>
      <c r="O915">
        <f t="shared" si="90"/>
        <v>2026</v>
      </c>
    </row>
    <row r="916" spans="1:15" x14ac:dyDescent="0.3">
      <c r="A916">
        <v>203644</v>
      </c>
      <c r="B916" t="s">
        <v>83</v>
      </c>
      <c r="C916" s="2">
        <v>46052</v>
      </c>
      <c r="D916" s="2">
        <f t="shared" si="88"/>
        <v>46097</v>
      </c>
      <c r="E916" s="1">
        <f>D916</f>
        <v>46097</v>
      </c>
      <c r="F916">
        <v>3391</v>
      </c>
      <c r="G916">
        <v>45</v>
      </c>
      <c r="H916">
        <f t="shared" si="87"/>
        <v>0</v>
      </c>
      <c r="I916" t="str">
        <f t="shared" si="85"/>
        <v>On Time</v>
      </c>
      <c r="J916" cm="1">
        <f t="array" ref="J916">_xlfn.IFS(H916&lt;30,0,H916&lt;60,1,H916&lt;90,2,H916&lt;120,3)</f>
        <v>0</v>
      </c>
      <c r="M916" t="str">
        <f t="shared" si="86"/>
        <v>Low</v>
      </c>
      <c r="N916" t="str">
        <f t="shared" si="89"/>
        <v>Jan</v>
      </c>
      <c r="O916">
        <f t="shared" si="90"/>
        <v>2026</v>
      </c>
    </row>
    <row r="917" spans="1:15" x14ac:dyDescent="0.3">
      <c r="A917">
        <v>203645</v>
      </c>
      <c r="B917" t="s">
        <v>84</v>
      </c>
      <c r="C917" s="2">
        <v>46052</v>
      </c>
      <c r="D917" s="2">
        <f t="shared" si="88"/>
        <v>46112</v>
      </c>
      <c r="E917" s="1">
        <f>D917+2</f>
        <v>46114</v>
      </c>
      <c r="F917">
        <v>1810</v>
      </c>
      <c r="G917">
        <v>60</v>
      </c>
      <c r="H917">
        <f t="shared" si="87"/>
        <v>0</v>
      </c>
      <c r="I917" t="str">
        <f t="shared" si="85"/>
        <v>On Time</v>
      </c>
      <c r="J917" cm="1">
        <f t="array" ref="J917">_xlfn.IFS(H917&lt;30,0,H917&lt;60,1,H917&lt;90,2,H917&lt;120,3)</f>
        <v>0</v>
      </c>
      <c r="M917" t="str">
        <f t="shared" si="86"/>
        <v>Low</v>
      </c>
      <c r="N917" t="str">
        <f t="shared" si="89"/>
        <v>Jan</v>
      </c>
      <c r="O917">
        <f t="shared" si="90"/>
        <v>2026</v>
      </c>
    </row>
    <row r="918" spans="1:15" x14ac:dyDescent="0.3">
      <c r="A918">
        <v>203646</v>
      </c>
      <c r="B918" t="s">
        <v>92</v>
      </c>
      <c r="C918" s="2">
        <v>46052</v>
      </c>
      <c r="D918" s="2">
        <f t="shared" si="88"/>
        <v>46082</v>
      </c>
      <c r="E918" s="1">
        <f>D918+2</f>
        <v>46084</v>
      </c>
      <c r="F918">
        <v>4896</v>
      </c>
      <c r="G918">
        <v>30</v>
      </c>
      <c r="H918">
        <f t="shared" si="87"/>
        <v>0</v>
      </c>
      <c r="I918" t="str">
        <f t="shared" ref="I918:I981" si="91">IF(H918=0,"On Time",IF(H918&lt;=15,"Paid Late","Seriously Late"))</f>
        <v>On Time</v>
      </c>
      <c r="J918" cm="1">
        <f t="array" ref="J918">_xlfn.IFS(H918&lt;30,0,H918&lt;60,1,H918&lt;90,2,H918&lt;120,3)</f>
        <v>0</v>
      </c>
      <c r="M918" t="str">
        <f t="shared" ref="M918:M981" si="92">IF(H918&gt;30,"High",IF(H918&gt;10,"Medium","Low"))</f>
        <v>Low</v>
      </c>
      <c r="N918" t="str">
        <f t="shared" si="89"/>
        <v>Jan</v>
      </c>
      <c r="O918">
        <f t="shared" si="90"/>
        <v>2026</v>
      </c>
    </row>
    <row r="919" spans="1:15" x14ac:dyDescent="0.3">
      <c r="A919">
        <v>203647</v>
      </c>
      <c r="B919" t="s">
        <v>93</v>
      </c>
      <c r="C919" s="2">
        <v>46052</v>
      </c>
      <c r="D919" s="2">
        <f t="shared" si="88"/>
        <v>46082</v>
      </c>
      <c r="E919" s="1">
        <f>D919+2</f>
        <v>46084</v>
      </c>
      <c r="F919">
        <v>10090</v>
      </c>
      <c r="G919">
        <v>30</v>
      </c>
      <c r="H919">
        <f t="shared" si="87"/>
        <v>0</v>
      </c>
      <c r="I919" t="str">
        <f t="shared" si="91"/>
        <v>On Time</v>
      </c>
      <c r="J919" cm="1">
        <f t="array" ref="J919">_xlfn.IFS(H919&lt;30,0,H919&lt;60,1,H919&lt;90,2,H919&lt;120,3)</f>
        <v>0</v>
      </c>
      <c r="M919" t="str">
        <f t="shared" si="92"/>
        <v>Low</v>
      </c>
      <c r="N919" t="str">
        <f t="shared" si="89"/>
        <v>Jan</v>
      </c>
      <c r="O919">
        <f t="shared" si="90"/>
        <v>2026</v>
      </c>
    </row>
    <row r="920" spans="1:15" x14ac:dyDescent="0.3">
      <c r="A920">
        <v>203648</v>
      </c>
      <c r="B920" t="s">
        <v>94</v>
      </c>
      <c r="C920" s="2">
        <v>46052</v>
      </c>
      <c r="D920" s="2">
        <f t="shared" si="88"/>
        <v>46082</v>
      </c>
      <c r="E920" s="1">
        <f>D920</f>
        <v>46082</v>
      </c>
      <c r="F920">
        <v>4920</v>
      </c>
      <c r="G920">
        <v>30</v>
      </c>
      <c r="H920">
        <f t="shared" si="87"/>
        <v>0</v>
      </c>
      <c r="I920" t="str">
        <f t="shared" si="91"/>
        <v>On Time</v>
      </c>
      <c r="J920" cm="1">
        <f t="array" ref="J920">_xlfn.IFS(H920&lt;30,0,H920&lt;60,1,H920&lt;90,2,H920&lt;120,3)</f>
        <v>0</v>
      </c>
      <c r="M920" t="str">
        <f t="shared" si="92"/>
        <v>Low</v>
      </c>
      <c r="N920" t="str">
        <f t="shared" si="89"/>
        <v>Jan</v>
      </c>
      <c r="O920">
        <f t="shared" si="90"/>
        <v>2026</v>
      </c>
    </row>
    <row r="921" spans="1:15" x14ac:dyDescent="0.3">
      <c r="A921">
        <v>203649</v>
      </c>
      <c r="B921" t="s">
        <v>95</v>
      </c>
      <c r="C921" s="2">
        <v>46052</v>
      </c>
      <c r="D921" s="2">
        <f t="shared" si="88"/>
        <v>46097</v>
      </c>
      <c r="E921" s="1">
        <f>D921+20</f>
        <v>46117</v>
      </c>
      <c r="F921">
        <v>3056</v>
      </c>
      <c r="G921">
        <v>45</v>
      </c>
      <c r="H921">
        <f t="shared" si="87"/>
        <v>0</v>
      </c>
      <c r="I921" t="str">
        <f t="shared" si="91"/>
        <v>On Time</v>
      </c>
      <c r="J921" cm="1">
        <f t="array" ref="J921">_xlfn.IFS(H921&lt;30,0,H921&lt;60,1,H921&lt;90,2,H921&lt;120,3)</f>
        <v>0</v>
      </c>
      <c r="M921" t="str">
        <f t="shared" si="92"/>
        <v>Low</v>
      </c>
      <c r="N921" t="str">
        <f t="shared" si="89"/>
        <v>Jan</v>
      </c>
      <c r="O921">
        <f t="shared" si="90"/>
        <v>2026</v>
      </c>
    </row>
    <row r="922" spans="1:15" x14ac:dyDescent="0.3">
      <c r="A922">
        <v>203650</v>
      </c>
      <c r="B922" t="s">
        <v>96</v>
      </c>
      <c r="C922" s="2">
        <v>46052</v>
      </c>
      <c r="D922" s="2">
        <f t="shared" si="88"/>
        <v>46112</v>
      </c>
      <c r="E922" s="1">
        <f>D922</f>
        <v>46112</v>
      </c>
      <c r="F922">
        <v>428</v>
      </c>
      <c r="G922">
        <v>60</v>
      </c>
      <c r="H922">
        <f t="shared" si="87"/>
        <v>0</v>
      </c>
      <c r="I922" t="str">
        <f t="shared" si="91"/>
        <v>On Time</v>
      </c>
      <c r="J922" cm="1">
        <f t="array" ref="J922">_xlfn.IFS(H922&lt;30,0,H922&lt;60,1,H922&lt;90,2,H922&lt;120,3)</f>
        <v>0</v>
      </c>
      <c r="M922" t="str">
        <f t="shared" si="92"/>
        <v>Low</v>
      </c>
      <c r="N922" t="str">
        <f t="shared" si="89"/>
        <v>Jan</v>
      </c>
      <c r="O922">
        <f t="shared" si="90"/>
        <v>2026</v>
      </c>
    </row>
    <row r="923" spans="1:15" x14ac:dyDescent="0.3">
      <c r="A923">
        <v>203651</v>
      </c>
      <c r="B923" t="s">
        <v>97</v>
      </c>
      <c r="C923" s="2">
        <v>46052</v>
      </c>
      <c r="D923" s="2">
        <f t="shared" si="88"/>
        <v>46082</v>
      </c>
      <c r="E923" s="1">
        <f>D923+1</f>
        <v>46083</v>
      </c>
      <c r="F923">
        <v>4509</v>
      </c>
      <c r="G923">
        <v>30</v>
      </c>
      <c r="H923">
        <f t="shared" si="87"/>
        <v>0</v>
      </c>
      <c r="I923" t="str">
        <f t="shared" si="91"/>
        <v>On Time</v>
      </c>
      <c r="J923" cm="1">
        <f t="array" ref="J923">_xlfn.IFS(H923&lt;30,0,H923&lt;60,1,H923&lt;90,2,H923&lt;120,3)</f>
        <v>0</v>
      </c>
      <c r="M923" t="str">
        <f t="shared" si="92"/>
        <v>Low</v>
      </c>
      <c r="N923" t="str">
        <f t="shared" si="89"/>
        <v>Jan</v>
      </c>
      <c r="O923">
        <f t="shared" si="90"/>
        <v>2026</v>
      </c>
    </row>
    <row r="924" spans="1:15" x14ac:dyDescent="0.3">
      <c r="A924">
        <v>203652</v>
      </c>
      <c r="B924" t="s">
        <v>98</v>
      </c>
      <c r="C924" s="2">
        <v>46052</v>
      </c>
      <c r="D924" s="2">
        <f t="shared" si="88"/>
        <v>46082</v>
      </c>
      <c r="E924" s="1">
        <f>D924</f>
        <v>46082</v>
      </c>
      <c r="F924">
        <v>3250</v>
      </c>
      <c r="G924">
        <v>30</v>
      </c>
      <c r="H924">
        <f t="shared" si="87"/>
        <v>0</v>
      </c>
      <c r="I924" t="str">
        <f t="shared" si="91"/>
        <v>On Time</v>
      </c>
      <c r="J924" cm="1">
        <f t="array" ref="J924">_xlfn.IFS(H924&lt;30,0,H924&lt;60,1,H924&lt;90,2,H924&lt;120,3)</f>
        <v>0</v>
      </c>
      <c r="M924" t="str">
        <f t="shared" si="92"/>
        <v>Low</v>
      </c>
      <c r="N924" t="str">
        <f t="shared" si="89"/>
        <v>Jan</v>
      </c>
      <c r="O924">
        <f t="shared" si="90"/>
        <v>2026</v>
      </c>
    </row>
    <row r="925" spans="1:15" x14ac:dyDescent="0.3">
      <c r="A925">
        <v>203653</v>
      </c>
      <c r="B925" t="s">
        <v>99</v>
      </c>
      <c r="C925" s="2">
        <v>46052</v>
      </c>
      <c r="D925" s="2">
        <f t="shared" si="88"/>
        <v>46082</v>
      </c>
      <c r="E925" s="1">
        <f>D925</f>
        <v>46082</v>
      </c>
      <c r="F925">
        <v>2782</v>
      </c>
      <c r="G925">
        <v>30</v>
      </c>
      <c r="H925">
        <f t="shared" si="87"/>
        <v>0</v>
      </c>
      <c r="I925" t="str">
        <f t="shared" si="91"/>
        <v>On Time</v>
      </c>
      <c r="J925" cm="1">
        <f t="array" ref="J925">_xlfn.IFS(H925&lt;30,0,H925&lt;60,1,H925&lt;90,2,H925&lt;120,3)</f>
        <v>0</v>
      </c>
      <c r="M925" t="str">
        <f t="shared" si="92"/>
        <v>Low</v>
      </c>
      <c r="N925" t="str">
        <f t="shared" si="89"/>
        <v>Jan</v>
      </c>
      <c r="O925">
        <f t="shared" si="90"/>
        <v>2026</v>
      </c>
    </row>
    <row r="926" spans="1:15" x14ac:dyDescent="0.3">
      <c r="A926">
        <v>203654</v>
      </c>
      <c r="B926" t="s">
        <v>100</v>
      </c>
      <c r="C926" s="2">
        <v>46052</v>
      </c>
      <c r="D926" s="2">
        <f t="shared" si="88"/>
        <v>46082</v>
      </c>
      <c r="E926" s="1">
        <f>D926+5</f>
        <v>46087</v>
      </c>
      <c r="F926">
        <v>2736</v>
      </c>
      <c r="G926">
        <v>30</v>
      </c>
      <c r="H926">
        <f t="shared" si="87"/>
        <v>0</v>
      </c>
      <c r="I926" t="str">
        <f t="shared" si="91"/>
        <v>On Time</v>
      </c>
      <c r="J926" cm="1">
        <f t="array" ref="J926">_xlfn.IFS(H926&lt;30,0,H926&lt;60,1,H926&lt;90,2,H926&lt;120,3)</f>
        <v>0</v>
      </c>
      <c r="M926" t="str">
        <f t="shared" si="92"/>
        <v>Low</v>
      </c>
      <c r="N926" t="str">
        <f t="shared" si="89"/>
        <v>Jan</v>
      </c>
      <c r="O926">
        <f t="shared" si="90"/>
        <v>2026</v>
      </c>
    </row>
    <row r="927" spans="1:15" x14ac:dyDescent="0.3">
      <c r="A927">
        <v>203611</v>
      </c>
      <c r="B927" t="s">
        <v>49</v>
      </c>
      <c r="C927" s="2">
        <v>46051</v>
      </c>
      <c r="D927" s="2">
        <f t="shared" si="88"/>
        <v>46081</v>
      </c>
      <c r="E927" s="1">
        <f>D927</f>
        <v>46081</v>
      </c>
      <c r="F927">
        <v>3938</v>
      </c>
      <c r="G927">
        <v>30</v>
      </c>
      <c r="H927">
        <f t="shared" si="87"/>
        <v>0</v>
      </c>
      <c r="I927" t="str">
        <f t="shared" si="91"/>
        <v>On Time</v>
      </c>
      <c r="J927" cm="1">
        <f t="array" ref="J927">_xlfn.IFS(H927&lt;30,0,H927&lt;60,1,H927&lt;90,2,H927&lt;120,3)</f>
        <v>0</v>
      </c>
      <c r="M927" t="str">
        <f t="shared" si="92"/>
        <v>Low</v>
      </c>
      <c r="N927" t="str">
        <f t="shared" si="89"/>
        <v>Jan</v>
      </c>
      <c r="O927">
        <f t="shared" si="90"/>
        <v>2026</v>
      </c>
    </row>
    <row r="928" spans="1:15" x14ac:dyDescent="0.3">
      <c r="A928">
        <v>203612</v>
      </c>
      <c r="B928" t="s">
        <v>50</v>
      </c>
      <c r="C928" s="2">
        <v>46051</v>
      </c>
      <c r="D928" s="2">
        <f t="shared" si="88"/>
        <v>46081</v>
      </c>
      <c r="E928" s="1">
        <f>D928+2</f>
        <v>46083</v>
      </c>
      <c r="F928">
        <v>2542</v>
      </c>
      <c r="G928">
        <v>30</v>
      </c>
      <c r="H928">
        <f t="shared" si="87"/>
        <v>0</v>
      </c>
      <c r="I928" t="str">
        <f t="shared" si="91"/>
        <v>On Time</v>
      </c>
      <c r="J928" cm="1">
        <f t="array" ref="J928">_xlfn.IFS(H928&lt;30,0,H928&lt;60,1,H928&lt;90,2,H928&lt;120,3)</f>
        <v>0</v>
      </c>
      <c r="M928" t="str">
        <f t="shared" si="92"/>
        <v>Low</v>
      </c>
      <c r="N928" t="str">
        <f t="shared" si="89"/>
        <v>Jan</v>
      </c>
      <c r="O928">
        <f t="shared" si="90"/>
        <v>2026</v>
      </c>
    </row>
    <row r="929" spans="1:15" x14ac:dyDescent="0.3">
      <c r="A929">
        <v>203613</v>
      </c>
      <c r="B929" t="s">
        <v>51</v>
      </c>
      <c r="C929" s="2">
        <v>46051</v>
      </c>
      <c r="D929" s="2">
        <f t="shared" si="88"/>
        <v>46081</v>
      </c>
      <c r="E929" s="1">
        <f>D929+2</f>
        <v>46083</v>
      </c>
      <c r="F929">
        <v>1267</v>
      </c>
      <c r="G929">
        <v>30</v>
      </c>
      <c r="H929">
        <f t="shared" si="87"/>
        <v>0</v>
      </c>
      <c r="I929" t="str">
        <f t="shared" si="91"/>
        <v>On Time</v>
      </c>
      <c r="J929" cm="1">
        <f t="array" ref="J929">_xlfn.IFS(H929&lt;30,0,H929&lt;60,1,H929&lt;90,2,H929&lt;120,3)</f>
        <v>0</v>
      </c>
      <c r="M929" t="str">
        <f t="shared" si="92"/>
        <v>Low</v>
      </c>
      <c r="N929" t="str">
        <f t="shared" si="89"/>
        <v>Jan</v>
      </c>
      <c r="O929">
        <f t="shared" si="90"/>
        <v>2026</v>
      </c>
    </row>
    <row r="930" spans="1:15" x14ac:dyDescent="0.3">
      <c r="A930">
        <v>203614</v>
      </c>
      <c r="B930" t="s">
        <v>52</v>
      </c>
      <c r="C930" s="2">
        <v>46051</v>
      </c>
      <c r="D930" s="2">
        <f t="shared" si="88"/>
        <v>46081</v>
      </c>
      <c r="E930" s="1">
        <f>D930+2</f>
        <v>46083</v>
      </c>
      <c r="F930">
        <v>4383</v>
      </c>
      <c r="G930">
        <v>30</v>
      </c>
      <c r="H930">
        <f t="shared" si="87"/>
        <v>0</v>
      </c>
      <c r="I930" t="str">
        <f t="shared" si="91"/>
        <v>On Time</v>
      </c>
      <c r="J930" cm="1">
        <f t="array" ref="J930">_xlfn.IFS(H930&lt;30,0,H930&lt;60,1,H930&lt;90,2,H930&lt;120,3)</f>
        <v>0</v>
      </c>
      <c r="M930" t="str">
        <f t="shared" si="92"/>
        <v>Low</v>
      </c>
      <c r="N930" t="str">
        <f t="shared" si="89"/>
        <v>Jan</v>
      </c>
      <c r="O930">
        <f t="shared" si="90"/>
        <v>2026</v>
      </c>
    </row>
    <row r="931" spans="1:15" x14ac:dyDescent="0.3">
      <c r="A931">
        <v>203615</v>
      </c>
      <c r="B931" t="s">
        <v>53</v>
      </c>
      <c r="C931" s="2">
        <v>46051</v>
      </c>
      <c r="D931" s="2">
        <f t="shared" si="88"/>
        <v>46081</v>
      </c>
      <c r="E931" s="1">
        <f>D931</f>
        <v>46081</v>
      </c>
      <c r="F931">
        <v>5007</v>
      </c>
      <c r="G931">
        <v>30</v>
      </c>
      <c r="H931">
        <f t="shared" si="87"/>
        <v>0</v>
      </c>
      <c r="I931" t="str">
        <f t="shared" si="91"/>
        <v>On Time</v>
      </c>
      <c r="J931" cm="1">
        <f t="array" ref="J931">_xlfn.IFS(H931&lt;30,0,H931&lt;60,1,H931&lt;90,2,H931&lt;120,3)</f>
        <v>0</v>
      </c>
      <c r="M931" t="str">
        <f t="shared" si="92"/>
        <v>Low</v>
      </c>
      <c r="N931" t="str">
        <f t="shared" si="89"/>
        <v>Jan</v>
      </c>
      <c r="O931">
        <f t="shared" si="90"/>
        <v>2026</v>
      </c>
    </row>
    <row r="932" spans="1:15" x14ac:dyDescent="0.3">
      <c r="A932">
        <v>203616</v>
      </c>
      <c r="B932" t="s">
        <v>54</v>
      </c>
      <c r="C932" s="2">
        <v>46051</v>
      </c>
      <c r="D932" s="2">
        <f t="shared" si="88"/>
        <v>46081</v>
      </c>
      <c r="E932" s="1">
        <f>D932+20</f>
        <v>46101</v>
      </c>
      <c r="F932">
        <v>3561</v>
      </c>
      <c r="G932">
        <v>30</v>
      </c>
      <c r="H932">
        <f t="shared" si="87"/>
        <v>0</v>
      </c>
      <c r="I932" t="str">
        <f t="shared" si="91"/>
        <v>On Time</v>
      </c>
      <c r="J932" cm="1">
        <f t="array" ref="J932">_xlfn.IFS(H932&lt;30,0,H932&lt;60,1,H932&lt;90,2,H932&lt;120,3)</f>
        <v>0</v>
      </c>
      <c r="M932" t="str">
        <f t="shared" si="92"/>
        <v>Low</v>
      </c>
      <c r="N932" t="str">
        <f t="shared" si="89"/>
        <v>Jan</v>
      </c>
      <c r="O932">
        <f t="shared" si="90"/>
        <v>2026</v>
      </c>
    </row>
    <row r="933" spans="1:15" x14ac:dyDescent="0.3">
      <c r="A933">
        <v>203617</v>
      </c>
      <c r="B933" t="s">
        <v>36</v>
      </c>
      <c r="C933" s="2">
        <v>46051</v>
      </c>
      <c r="D933" s="2">
        <f t="shared" si="88"/>
        <v>46081</v>
      </c>
      <c r="E933" s="1">
        <f>D933</f>
        <v>46081</v>
      </c>
      <c r="F933">
        <v>3302</v>
      </c>
      <c r="G933">
        <v>30</v>
      </c>
      <c r="H933">
        <f t="shared" si="87"/>
        <v>0</v>
      </c>
      <c r="I933" t="str">
        <f t="shared" si="91"/>
        <v>On Time</v>
      </c>
      <c r="J933" cm="1">
        <f t="array" ref="J933">_xlfn.IFS(H933&lt;30,0,H933&lt;60,1,H933&lt;90,2,H933&lt;120,3)</f>
        <v>0</v>
      </c>
      <c r="M933" t="str">
        <f t="shared" si="92"/>
        <v>Low</v>
      </c>
      <c r="N933" t="str">
        <f t="shared" si="89"/>
        <v>Jan</v>
      </c>
      <c r="O933">
        <f t="shared" si="90"/>
        <v>2026</v>
      </c>
    </row>
    <row r="934" spans="1:15" x14ac:dyDescent="0.3">
      <c r="A934">
        <v>203618</v>
      </c>
      <c r="B934" t="s">
        <v>37</v>
      </c>
      <c r="C934" s="2">
        <v>46051</v>
      </c>
      <c r="D934" s="2">
        <f t="shared" si="88"/>
        <v>46081</v>
      </c>
      <c r="E934" s="1">
        <f>D934+1</f>
        <v>46082</v>
      </c>
      <c r="F934">
        <v>3461</v>
      </c>
      <c r="G934">
        <v>30</v>
      </c>
      <c r="H934">
        <f t="shared" ref="H934:H997" si="93">MAX(0,P899-D934)</f>
        <v>0</v>
      </c>
      <c r="I934" t="str">
        <f t="shared" si="91"/>
        <v>On Time</v>
      </c>
      <c r="J934" cm="1">
        <f t="array" ref="J934">_xlfn.IFS(H934&lt;30,0,H934&lt;60,1,H934&lt;90,2,H934&lt;120,3)</f>
        <v>0</v>
      </c>
      <c r="M934" t="str">
        <f t="shared" si="92"/>
        <v>Low</v>
      </c>
      <c r="N934" t="str">
        <f t="shared" si="89"/>
        <v>Jan</v>
      </c>
      <c r="O934">
        <f t="shared" si="90"/>
        <v>2026</v>
      </c>
    </row>
    <row r="935" spans="1:15" x14ac:dyDescent="0.3">
      <c r="A935">
        <v>203619</v>
      </c>
      <c r="B935" t="s">
        <v>38</v>
      </c>
      <c r="C935" s="2">
        <v>46051</v>
      </c>
      <c r="D935" s="2">
        <f t="shared" si="88"/>
        <v>46081</v>
      </c>
      <c r="E935" s="1">
        <f>D935</f>
        <v>46081</v>
      </c>
      <c r="F935">
        <v>3413</v>
      </c>
      <c r="G935">
        <v>30</v>
      </c>
      <c r="H935">
        <f t="shared" si="93"/>
        <v>0</v>
      </c>
      <c r="I935" t="str">
        <f t="shared" si="91"/>
        <v>On Time</v>
      </c>
      <c r="J935" cm="1">
        <f t="array" ref="J935">_xlfn.IFS(H935&lt;30,0,H935&lt;60,1,H935&lt;90,2,H935&lt;120,3)</f>
        <v>0</v>
      </c>
      <c r="M935" t="str">
        <f t="shared" si="92"/>
        <v>Low</v>
      </c>
      <c r="N935" t="str">
        <f t="shared" si="89"/>
        <v>Jan</v>
      </c>
      <c r="O935">
        <f t="shared" si="90"/>
        <v>2026</v>
      </c>
    </row>
    <row r="936" spans="1:15" x14ac:dyDescent="0.3">
      <c r="A936">
        <v>203620</v>
      </c>
      <c r="B936" t="s">
        <v>39</v>
      </c>
      <c r="C936" s="2">
        <v>46051</v>
      </c>
      <c r="D936" s="2">
        <f t="shared" si="88"/>
        <v>46081</v>
      </c>
      <c r="E936" s="1">
        <f>D936</f>
        <v>46081</v>
      </c>
      <c r="F936">
        <v>3698</v>
      </c>
      <c r="G936">
        <v>30</v>
      </c>
      <c r="H936">
        <f t="shared" si="93"/>
        <v>0</v>
      </c>
      <c r="I936" t="str">
        <f t="shared" si="91"/>
        <v>On Time</v>
      </c>
      <c r="J936" cm="1">
        <f t="array" ref="J936">_xlfn.IFS(H936&lt;30,0,H936&lt;60,1,H936&lt;90,2,H936&lt;120,3)</f>
        <v>0</v>
      </c>
      <c r="M936" t="str">
        <f t="shared" si="92"/>
        <v>Low</v>
      </c>
      <c r="N936" t="str">
        <f t="shared" si="89"/>
        <v>Jan</v>
      </c>
      <c r="O936">
        <f t="shared" si="90"/>
        <v>2026</v>
      </c>
    </row>
    <row r="937" spans="1:15" x14ac:dyDescent="0.3">
      <c r="A937">
        <v>203621</v>
      </c>
      <c r="B937" t="s">
        <v>40</v>
      </c>
      <c r="C937" s="2">
        <v>46051</v>
      </c>
      <c r="D937" s="2">
        <f t="shared" si="88"/>
        <v>46081</v>
      </c>
      <c r="E937" s="1">
        <f>D937+5</f>
        <v>46086</v>
      </c>
      <c r="F937">
        <v>3024</v>
      </c>
      <c r="G937">
        <v>30</v>
      </c>
      <c r="H937">
        <f t="shared" si="93"/>
        <v>0</v>
      </c>
      <c r="I937" t="str">
        <f t="shared" si="91"/>
        <v>On Time</v>
      </c>
      <c r="J937" cm="1">
        <f t="array" ref="J937">_xlfn.IFS(H937&lt;30,0,H937&lt;60,1,H937&lt;90,2,H937&lt;120,3)</f>
        <v>0</v>
      </c>
      <c r="M937" t="str">
        <f t="shared" si="92"/>
        <v>Low</v>
      </c>
      <c r="N937" t="str">
        <f t="shared" si="89"/>
        <v>Jan</v>
      </c>
      <c r="O937">
        <f t="shared" si="90"/>
        <v>2026</v>
      </c>
    </row>
    <row r="938" spans="1:15" x14ac:dyDescent="0.3">
      <c r="A938">
        <v>203622</v>
      </c>
      <c r="B938" t="s">
        <v>41</v>
      </c>
      <c r="C938" s="2">
        <v>46051</v>
      </c>
      <c r="D938" s="2">
        <f t="shared" si="88"/>
        <v>46081</v>
      </c>
      <c r="E938" s="1">
        <f>D938+2</f>
        <v>46083</v>
      </c>
      <c r="F938">
        <v>1046</v>
      </c>
      <c r="G938">
        <v>30</v>
      </c>
      <c r="H938">
        <f t="shared" si="93"/>
        <v>0</v>
      </c>
      <c r="I938" t="str">
        <f t="shared" si="91"/>
        <v>On Time</v>
      </c>
      <c r="J938" cm="1">
        <f t="array" ref="J938">_xlfn.IFS(H938&lt;30,0,H938&lt;60,1,H938&lt;90,2,H938&lt;120,3)</f>
        <v>0</v>
      </c>
      <c r="M938" t="str">
        <f t="shared" si="92"/>
        <v>Low</v>
      </c>
      <c r="N938" t="str">
        <f t="shared" si="89"/>
        <v>Jan</v>
      </c>
      <c r="O938">
        <f t="shared" si="90"/>
        <v>2026</v>
      </c>
    </row>
    <row r="939" spans="1:15" x14ac:dyDescent="0.3">
      <c r="A939">
        <v>203623</v>
      </c>
      <c r="B939" t="s">
        <v>42</v>
      </c>
      <c r="C939" s="2">
        <v>46051</v>
      </c>
      <c r="D939" s="2">
        <f t="shared" si="88"/>
        <v>46081</v>
      </c>
      <c r="E939" s="1">
        <f>D939</f>
        <v>46081</v>
      </c>
      <c r="F939">
        <v>1257</v>
      </c>
      <c r="G939">
        <v>30</v>
      </c>
      <c r="H939">
        <f t="shared" si="93"/>
        <v>0</v>
      </c>
      <c r="I939" t="str">
        <f t="shared" si="91"/>
        <v>On Time</v>
      </c>
      <c r="J939" cm="1">
        <f t="array" ref="J939">_xlfn.IFS(H939&lt;30,0,H939&lt;60,1,H939&lt;90,2,H939&lt;120,3)</f>
        <v>0</v>
      </c>
      <c r="M939" t="str">
        <f t="shared" si="92"/>
        <v>Low</v>
      </c>
      <c r="N939" t="str">
        <f t="shared" si="89"/>
        <v>Jan</v>
      </c>
      <c r="O939">
        <f t="shared" si="90"/>
        <v>2026</v>
      </c>
    </row>
    <row r="940" spans="1:15" x14ac:dyDescent="0.3">
      <c r="A940">
        <v>203624</v>
      </c>
      <c r="B940" t="s">
        <v>43</v>
      </c>
      <c r="C940" s="2">
        <v>46051</v>
      </c>
      <c r="D940" s="2">
        <f t="shared" si="88"/>
        <v>46081</v>
      </c>
      <c r="E940" s="1">
        <f>D940</f>
        <v>46081</v>
      </c>
      <c r="F940">
        <v>1340</v>
      </c>
      <c r="G940">
        <v>30</v>
      </c>
      <c r="H940">
        <f t="shared" si="93"/>
        <v>0</v>
      </c>
      <c r="I940" t="str">
        <f t="shared" si="91"/>
        <v>On Time</v>
      </c>
      <c r="J940" cm="1">
        <f t="array" ref="J940">_xlfn.IFS(H940&lt;30,0,H940&lt;60,1,H940&lt;90,2,H940&lt;120,3)</f>
        <v>0</v>
      </c>
      <c r="M940" t="str">
        <f t="shared" si="92"/>
        <v>Low</v>
      </c>
      <c r="N940" t="str">
        <f t="shared" si="89"/>
        <v>Jan</v>
      </c>
      <c r="O940">
        <f t="shared" si="90"/>
        <v>2026</v>
      </c>
    </row>
    <row r="941" spans="1:15" x14ac:dyDescent="0.3">
      <c r="A941">
        <v>203625</v>
      </c>
      <c r="B941" t="s">
        <v>44</v>
      </c>
      <c r="C941" s="2">
        <v>46051</v>
      </c>
      <c r="D941" s="2">
        <f t="shared" si="88"/>
        <v>46096</v>
      </c>
      <c r="E941" s="1">
        <f>D941</f>
        <v>46096</v>
      </c>
      <c r="F941">
        <v>281</v>
      </c>
      <c r="G941">
        <v>45</v>
      </c>
      <c r="H941">
        <f t="shared" si="93"/>
        <v>0</v>
      </c>
      <c r="I941" t="str">
        <f t="shared" si="91"/>
        <v>On Time</v>
      </c>
      <c r="J941" cm="1">
        <f t="array" ref="J941">_xlfn.IFS(H941&lt;30,0,H941&lt;60,1,H941&lt;90,2,H941&lt;120,3)</f>
        <v>0</v>
      </c>
      <c r="M941" t="str">
        <f t="shared" si="92"/>
        <v>Low</v>
      </c>
      <c r="N941" t="str">
        <f t="shared" si="89"/>
        <v>Jan</v>
      </c>
      <c r="O941">
        <f t="shared" si="90"/>
        <v>2026</v>
      </c>
    </row>
    <row r="942" spans="1:15" x14ac:dyDescent="0.3">
      <c r="A942">
        <v>203626</v>
      </c>
      <c r="B942" t="s">
        <v>20</v>
      </c>
      <c r="C942" s="2">
        <v>46051</v>
      </c>
      <c r="D942" s="2">
        <f t="shared" si="88"/>
        <v>46081</v>
      </c>
      <c r="E942" s="1">
        <f>D942+60</f>
        <v>46141</v>
      </c>
      <c r="F942">
        <v>4182</v>
      </c>
      <c r="G942">
        <v>30</v>
      </c>
      <c r="H942">
        <f t="shared" si="93"/>
        <v>0</v>
      </c>
      <c r="I942" t="str">
        <f t="shared" si="91"/>
        <v>On Time</v>
      </c>
      <c r="J942" cm="1">
        <f t="array" ref="J942">_xlfn.IFS(H942&lt;30,0,H942&lt;60,1,H942&lt;90,2,H942&lt;120,3)</f>
        <v>0</v>
      </c>
      <c r="M942" t="str">
        <f t="shared" si="92"/>
        <v>Low</v>
      </c>
      <c r="N942" t="str">
        <f t="shared" si="89"/>
        <v>Jan</v>
      </c>
      <c r="O942">
        <f t="shared" si="90"/>
        <v>2026</v>
      </c>
    </row>
    <row r="943" spans="1:15" x14ac:dyDescent="0.3">
      <c r="A943">
        <v>203627</v>
      </c>
      <c r="B943" t="s">
        <v>21</v>
      </c>
      <c r="C943" s="2">
        <v>46051</v>
      </c>
      <c r="D943" s="2">
        <f t="shared" si="88"/>
        <v>46081</v>
      </c>
      <c r="E943" s="1">
        <f>D943</f>
        <v>46081</v>
      </c>
      <c r="F943">
        <v>233</v>
      </c>
      <c r="G943">
        <v>30</v>
      </c>
      <c r="H943">
        <f t="shared" si="93"/>
        <v>0</v>
      </c>
      <c r="I943" t="str">
        <f t="shared" si="91"/>
        <v>On Time</v>
      </c>
      <c r="J943" cm="1">
        <f t="array" ref="J943">_xlfn.IFS(H943&lt;30,0,H943&lt;60,1,H943&lt;90,2,H943&lt;120,3)</f>
        <v>0</v>
      </c>
      <c r="M943" t="str">
        <f t="shared" si="92"/>
        <v>Low</v>
      </c>
      <c r="N943" t="str">
        <f t="shared" si="89"/>
        <v>Jan</v>
      </c>
      <c r="O943">
        <f t="shared" si="90"/>
        <v>2026</v>
      </c>
    </row>
    <row r="944" spans="1:15" x14ac:dyDescent="0.3">
      <c r="A944">
        <v>203628</v>
      </c>
      <c r="B944" t="s">
        <v>22</v>
      </c>
      <c r="C944" s="2">
        <v>46051</v>
      </c>
      <c r="D944" s="2">
        <f t="shared" si="88"/>
        <v>46081</v>
      </c>
      <c r="E944" s="1">
        <f>D944</f>
        <v>46081</v>
      </c>
      <c r="F944">
        <v>983</v>
      </c>
      <c r="G944">
        <v>30</v>
      </c>
      <c r="H944">
        <f t="shared" si="93"/>
        <v>0</v>
      </c>
      <c r="I944" t="str">
        <f t="shared" si="91"/>
        <v>On Time</v>
      </c>
      <c r="J944" cm="1">
        <f t="array" ref="J944">_xlfn.IFS(H944&lt;30,0,H944&lt;60,1,H944&lt;90,2,H944&lt;120,3)</f>
        <v>0</v>
      </c>
      <c r="M944" t="str">
        <f t="shared" si="92"/>
        <v>Low</v>
      </c>
      <c r="N944" t="str">
        <f t="shared" si="89"/>
        <v>Jan</v>
      </c>
      <c r="O944">
        <f t="shared" si="90"/>
        <v>2026</v>
      </c>
    </row>
    <row r="945" spans="1:15" x14ac:dyDescent="0.3">
      <c r="A945">
        <v>203629</v>
      </c>
      <c r="B945" t="s">
        <v>23</v>
      </c>
      <c r="C945" s="2">
        <v>46051</v>
      </c>
      <c r="D945" s="2">
        <f t="shared" si="88"/>
        <v>46096</v>
      </c>
      <c r="E945" s="1">
        <f>D945+3</f>
        <v>46099</v>
      </c>
      <c r="F945">
        <v>2049</v>
      </c>
      <c r="G945">
        <v>45</v>
      </c>
      <c r="H945">
        <f t="shared" si="93"/>
        <v>0</v>
      </c>
      <c r="I945" t="str">
        <f t="shared" si="91"/>
        <v>On Time</v>
      </c>
      <c r="J945" cm="1">
        <f t="array" ref="J945">_xlfn.IFS(H945&lt;30,0,H945&lt;60,1,H945&lt;90,2,H945&lt;120,3)</f>
        <v>0</v>
      </c>
      <c r="M945" t="str">
        <f t="shared" si="92"/>
        <v>Low</v>
      </c>
      <c r="N945" t="str">
        <f t="shared" si="89"/>
        <v>Jan</v>
      </c>
      <c r="O945">
        <f t="shared" si="90"/>
        <v>2026</v>
      </c>
    </row>
    <row r="946" spans="1:15" x14ac:dyDescent="0.3">
      <c r="A946">
        <v>203630</v>
      </c>
      <c r="B946" t="s">
        <v>24</v>
      </c>
      <c r="C946" s="2">
        <v>46051</v>
      </c>
      <c r="D946" s="2">
        <f t="shared" si="88"/>
        <v>46096</v>
      </c>
      <c r="E946" s="1">
        <f>D946+1</f>
        <v>46097</v>
      </c>
      <c r="F946">
        <v>3768</v>
      </c>
      <c r="G946">
        <v>45</v>
      </c>
      <c r="H946">
        <f t="shared" si="93"/>
        <v>0</v>
      </c>
      <c r="I946" t="str">
        <f t="shared" si="91"/>
        <v>On Time</v>
      </c>
      <c r="J946" cm="1">
        <f t="array" ref="J946">_xlfn.IFS(H946&lt;30,0,H946&lt;60,1,H946&lt;90,2,H946&lt;120,3)</f>
        <v>0</v>
      </c>
      <c r="M946" t="str">
        <f t="shared" si="92"/>
        <v>Low</v>
      </c>
      <c r="N946" t="str">
        <f t="shared" si="89"/>
        <v>Jan</v>
      </c>
      <c r="O946">
        <f t="shared" si="90"/>
        <v>2026</v>
      </c>
    </row>
    <row r="947" spans="1:15" x14ac:dyDescent="0.3">
      <c r="A947">
        <v>203591</v>
      </c>
      <c r="B947" t="s">
        <v>90</v>
      </c>
      <c r="C947" s="2">
        <v>46050</v>
      </c>
      <c r="D947" s="2">
        <f t="shared" si="88"/>
        <v>46080</v>
      </c>
      <c r="E947" s="1">
        <f>D947</f>
        <v>46080</v>
      </c>
      <c r="F947">
        <v>4221</v>
      </c>
      <c r="G947">
        <v>30</v>
      </c>
      <c r="H947">
        <f t="shared" si="93"/>
        <v>0</v>
      </c>
      <c r="I947" t="str">
        <f t="shared" si="91"/>
        <v>On Time</v>
      </c>
      <c r="J947" cm="1">
        <f t="array" ref="J947">_xlfn.IFS(H947&lt;30,0,H947&lt;60,1,H947&lt;90,2,H947&lt;120,3)</f>
        <v>0</v>
      </c>
      <c r="M947" t="str">
        <f t="shared" si="92"/>
        <v>Low</v>
      </c>
      <c r="N947" t="str">
        <f t="shared" si="89"/>
        <v>Jan</v>
      </c>
      <c r="O947">
        <f t="shared" si="90"/>
        <v>2026</v>
      </c>
    </row>
    <row r="948" spans="1:15" x14ac:dyDescent="0.3">
      <c r="A948">
        <v>203592</v>
      </c>
      <c r="B948" t="s">
        <v>91</v>
      </c>
      <c r="C948" s="2">
        <v>46050</v>
      </c>
      <c r="D948" s="2">
        <f t="shared" si="88"/>
        <v>46080</v>
      </c>
      <c r="E948" s="1">
        <f>D948</f>
        <v>46080</v>
      </c>
      <c r="F948">
        <v>1473</v>
      </c>
      <c r="G948">
        <v>30</v>
      </c>
      <c r="H948">
        <f t="shared" si="93"/>
        <v>0</v>
      </c>
      <c r="I948" t="str">
        <f t="shared" si="91"/>
        <v>On Time</v>
      </c>
      <c r="J948" cm="1">
        <f t="array" ref="J948">_xlfn.IFS(H948&lt;30,0,H948&lt;60,1,H948&lt;90,2,H948&lt;120,3)</f>
        <v>0</v>
      </c>
      <c r="M948" t="str">
        <f t="shared" si="92"/>
        <v>Low</v>
      </c>
      <c r="N948" t="str">
        <f t="shared" si="89"/>
        <v>Jan</v>
      </c>
      <c r="O948">
        <f t="shared" si="90"/>
        <v>2026</v>
      </c>
    </row>
    <row r="949" spans="1:15" x14ac:dyDescent="0.3">
      <c r="A949">
        <v>203593</v>
      </c>
      <c r="B949" t="s">
        <v>92</v>
      </c>
      <c r="C949" s="2">
        <v>46050</v>
      </c>
      <c r="D949" s="2">
        <f t="shared" si="88"/>
        <v>46080</v>
      </c>
      <c r="E949" s="1">
        <f>D949+60</f>
        <v>46140</v>
      </c>
      <c r="F949">
        <v>275</v>
      </c>
      <c r="G949">
        <v>30</v>
      </c>
      <c r="H949">
        <f t="shared" si="93"/>
        <v>0</v>
      </c>
      <c r="I949" t="str">
        <f t="shared" si="91"/>
        <v>On Time</v>
      </c>
      <c r="J949" cm="1">
        <f t="array" ref="J949">_xlfn.IFS(H949&lt;30,0,H949&lt;60,1,H949&lt;90,2,H949&lt;120,3)</f>
        <v>0</v>
      </c>
      <c r="M949" t="str">
        <f t="shared" si="92"/>
        <v>Low</v>
      </c>
      <c r="N949" t="str">
        <f t="shared" si="89"/>
        <v>Jan</v>
      </c>
      <c r="O949">
        <f t="shared" si="90"/>
        <v>2026</v>
      </c>
    </row>
    <row r="950" spans="1:15" x14ac:dyDescent="0.3">
      <c r="A950">
        <v>203594</v>
      </c>
      <c r="B950" t="s">
        <v>93</v>
      </c>
      <c r="C950" s="2">
        <v>46050</v>
      </c>
      <c r="D950" s="2">
        <f t="shared" si="88"/>
        <v>46080</v>
      </c>
      <c r="E950" s="1">
        <f>D950</f>
        <v>46080</v>
      </c>
      <c r="F950">
        <v>197</v>
      </c>
      <c r="G950">
        <v>30</v>
      </c>
      <c r="H950">
        <f t="shared" si="93"/>
        <v>0</v>
      </c>
      <c r="I950" t="str">
        <f t="shared" si="91"/>
        <v>On Time</v>
      </c>
      <c r="J950" cm="1">
        <f t="array" ref="J950">_xlfn.IFS(H950&lt;30,0,H950&lt;60,1,H950&lt;90,2,H950&lt;120,3)</f>
        <v>0</v>
      </c>
      <c r="M950" t="str">
        <f t="shared" si="92"/>
        <v>Low</v>
      </c>
      <c r="N950" t="str">
        <f t="shared" si="89"/>
        <v>Jan</v>
      </c>
      <c r="O950">
        <f t="shared" si="90"/>
        <v>2026</v>
      </c>
    </row>
    <row r="951" spans="1:15" x14ac:dyDescent="0.3">
      <c r="A951">
        <v>203595</v>
      </c>
      <c r="B951" t="s">
        <v>94</v>
      </c>
      <c r="C951" s="2">
        <v>46050</v>
      </c>
      <c r="D951" s="2">
        <f t="shared" si="88"/>
        <v>46080</v>
      </c>
      <c r="F951">
        <v>11760</v>
      </c>
      <c r="G951">
        <v>30</v>
      </c>
      <c r="H951">
        <f t="shared" si="93"/>
        <v>0</v>
      </c>
      <c r="I951" t="str">
        <f t="shared" si="91"/>
        <v>On Time</v>
      </c>
      <c r="J951" cm="1">
        <f t="array" ref="J951">_xlfn.IFS(H951&lt;30,0,H951&lt;60,1,H951&lt;90,2,H951&lt;120,3)</f>
        <v>0</v>
      </c>
      <c r="M951" t="str">
        <f t="shared" si="92"/>
        <v>Low</v>
      </c>
      <c r="N951" t="str">
        <f t="shared" si="89"/>
        <v>Jan</v>
      </c>
      <c r="O951">
        <f t="shared" si="90"/>
        <v>2026</v>
      </c>
    </row>
    <row r="952" spans="1:15" x14ac:dyDescent="0.3">
      <c r="A952">
        <v>203596</v>
      </c>
      <c r="B952" t="s">
        <v>95</v>
      </c>
      <c r="C952" s="2">
        <v>46050</v>
      </c>
      <c r="D952" s="2">
        <f t="shared" si="88"/>
        <v>46095</v>
      </c>
      <c r="E952" s="1">
        <f>D952+3</f>
        <v>46098</v>
      </c>
      <c r="F952">
        <v>1416</v>
      </c>
      <c r="G952">
        <v>45</v>
      </c>
      <c r="H952">
        <f t="shared" si="93"/>
        <v>0</v>
      </c>
      <c r="I952" t="str">
        <f t="shared" si="91"/>
        <v>On Time</v>
      </c>
      <c r="J952" cm="1">
        <f t="array" ref="J952">_xlfn.IFS(H952&lt;30,0,H952&lt;60,1,H952&lt;90,2,H952&lt;120,3)</f>
        <v>0</v>
      </c>
      <c r="M952" t="str">
        <f t="shared" si="92"/>
        <v>Low</v>
      </c>
      <c r="N952" t="str">
        <f t="shared" si="89"/>
        <v>Jan</v>
      </c>
      <c r="O952">
        <f t="shared" si="90"/>
        <v>2026</v>
      </c>
    </row>
    <row r="953" spans="1:15" x14ac:dyDescent="0.3">
      <c r="A953">
        <v>203597</v>
      </c>
      <c r="B953" t="s">
        <v>68</v>
      </c>
      <c r="C953" s="2">
        <v>46050</v>
      </c>
      <c r="D953" s="2">
        <f t="shared" si="88"/>
        <v>46080</v>
      </c>
      <c r="E953" s="1">
        <f>D953+1</f>
        <v>46081</v>
      </c>
      <c r="F953">
        <v>4037</v>
      </c>
      <c r="G953">
        <v>30</v>
      </c>
      <c r="H953">
        <f t="shared" si="93"/>
        <v>0</v>
      </c>
      <c r="I953" t="str">
        <f t="shared" si="91"/>
        <v>On Time</v>
      </c>
      <c r="J953" cm="1">
        <f t="array" ref="J953">_xlfn.IFS(H953&lt;30,0,H953&lt;60,1,H953&lt;90,2,H953&lt;120,3)</f>
        <v>0</v>
      </c>
      <c r="M953" t="str">
        <f t="shared" si="92"/>
        <v>Low</v>
      </c>
      <c r="N953" t="str">
        <f t="shared" si="89"/>
        <v>Jan</v>
      </c>
      <c r="O953">
        <f t="shared" si="90"/>
        <v>2026</v>
      </c>
    </row>
    <row r="954" spans="1:15" x14ac:dyDescent="0.3">
      <c r="A954">
        <v>203598</v>
      </c>
      <c r="B954" t="s">
        <v>69</v>
      </c>
      <c r="C954" s="2">
        <v>46050</v>
      </c>
      <c r="D954" s="2">
        <f t="shared" si="88"/>
        <v>46080</v>
      </c>
      <c r="E954" s="1">
        <f>D954-1</f>
        <v>46079</v>
      </c>
      <c r="F954">
        <v>1168</v>
      </c>
      <c r="G954">
        <v>30</v>
      </c>
      <c r="H954">
        <f t="shared" si="93"/>
        <v>0</v>
      </c>
      <c r="I954" t="str">
        <f t="shared" si="91"/>
        <v>On Time</v>
      </c>
      <c r="J954" cm="1">
        <f t="array" ref="J954">_xlfn.IFS(H954&lt;30,0,H954&lt;60,1,H954&lt;90,2,H954&lt;120,3)</f>
        <v>0</v>
      </c>
      <c r="M954" t="str">
        <f t="shared" si="92"/>
        <v>Low</v>
      </c>
      <c r="N954" t="str">
        <f t="shared" si="89"/>
        <v>Jan</v>
      </c>
      <c r="O954">
        <f t="shared" si="90"/>
        <v>2026</v>
      </c>
    </row>
    <row r="955" spans="1:15" x14ac:dyDescent="0.3">
      <c r="A955">
        <v>203599</v>
      </c>
      <c r="B955" t="s">
        <v>70</v>
      </c>
      <c r="C955" s="2">
        <v>46050</v>
      </c>
      <c r="D955" s="2">
        <f t="shared" si="88"/>
        <v>46080</v>
      </c>
      <c r="E955" s="1">
        <f>D955</f>
        <v>46080</v>
      </c>
      <c r="F955">
        <v>17063</v>
      </c>
      <c r="G955">
        <v>30</v>
      </c>
      <c r="H955">
        <f t="shared" si="93"/>
        <v>0</v>
      </c>
      <c r="I955" t="str">
        <f t="shared" si="91"/>
        <v>On Time</v>
      </c>
      <c r="J955" cm="1">
        <f t="array" ref="J955">_xlfn.IFS(H955&lt;30,0,H955&lt;60,1,H955&lt;90,2,H955&lt;120,3)</f>
        <v>0</v>
      </c>
      <c r="M955" t="str">
        <f t="shared" si="92"/>
        <v>Low</v>
      </c>
      <c r="N955" t="str">
        <f t="shared" si="89"/>
        <v>Jan</v>
      </c>
      <c r="O955">
        <f t="shared" si="90"/>
        <v>2026</v>
      </c>
    </row>
    <row r="956" spans="1:15" x14ac:dyDescent="0.3">
      <c r="A956">
        <v>203600</v>
      </c>
      <c r="B956" t="s">
        <v>71</v>
      </c>
      <c r="C956" s="2">
        <v>46050</v>
      </c>
      <c r="D956" s="2">
        <f t="shared" si="88"/>
        <v>46080</v>
      </c>
      <c r="E956" s="1">
        <f>D956-5</f>
        <v>46075</v>
      </c>
      <c r="F956">
        <v>1913</v>
      </c>
      <c r="G956">
        <v>30</v>
      </c>
      <c r="H956">
        <f t="shared" si="93"/>
        <v>0</v>
      </c>
      <c r="I956" t="str">
        <f t="shared" si="91"/>
        <v>On Time</v>
      </c>
      <c r="J956" cm="1">
        <f t="array" ref="J956">_xlfn.IFS(H956&lt;30,0,H956&lt;60,1,H956&lt;90,2,H956&lt;120,3)</f>
        <v>0</v>
      </c>
      <c r="M956" t="str">
        <f t="shared" si="92"/>
        <v>Low</v>
      </c>
      <c r="N956" t="str">
        <f t="shared" si="89"/>
        <v>Jan</v>
      </c>
      <c r="O956">
        <f t="shared" si="90"/>
        <v>2026</v>
      </c>
    </row>
    <row r="957" spans="1:15" x14ac:dyDescent="0.3">
      <c r="A957">
        <v>203601</v>
      </c>
      <c r="B957" t="s">
        <v>72</v>
      </c>
      <c r="C957" s="2">
        <v>46050</v>
      </c>
      <c r="D957" s="2">
        <f t="shared" si="88"/>
        <v>46080</v>
      </c>
      <c r="E957" s="1">
        <f>D957+35</f>
        <v>46115</v>
      </c>
      <c r="F957">
        <v>3430</v>
      </c>
      <c r="G957">
        <v>30</v>
      </c>
      <c r="H957">
        <f t="shared" si="93"/>
        <v>0</v>
      </c>
      <c r="I957" t="str">
        <f t="shared" si="91"/>
        <v>On Time</v>
      </c>
      <c r="J957" cm="1">
        <f t="array" ref="J957">_xlfn.IFS(H957&lt;30,0,H957&lt;60,1,H957&lt;90,2,H957&lt;120,3)</f>
        <v>0</v>
      </c>
      <c r="M957" t="str">
        <f t="shared" si="92"/>
        <v>Low</v>
      </c>
      <c r="N957" t="str">
        <f t="shared" si="89"/>
        <v>Jan</v>
      </c>
      <c r="O957">
        <f t="shared" si="90"/>
        <v>2026</v>
      </c>
    </row>
    <row r="958" spans="1:15" x14ac:dyDescent="0.3">
      <c r="A958">
        <v>203602</v>
      </c>
      <c r="B958" t="s">
        <v>73</v>
      </c>
      <c r="C958" s="2">
        <v>46050</v>
      </c>
      <c r="D958" s="2">
        <f t="shared" si="88"/>
        <v>46095</v>
      </c>
      <c r="E958" s="1">
        <f>D958+55</f>
        <v>46150</v>
      </c>
      <c r="F958">
        <v>1726</v>
      </c>
      <c r="G958">
        <v>45</v>
      </c>
      <c r="H958">
        <f t="shared" si="93"/>
        <v>0</v>
      </c>
      <c r="I958" t="str">
        <f t="shared" si="91"/>
        <v>On Time</v>
      </c>
      <c r="J958" cm="1">
        <f t="array" ref="J958">_xlfn.IFS(H958&lt;30,0,H958&lt;60,1,H958&lt;90,2,H958&lt;120,3)</f>
        <v>0</v>
      </c>
      <c r="M958" t="str">
        <f t="shared" si="92"/>
        <v>Low</v>
      </c>
      <c r="N958" t="str">
        <f t="shared" si="89"/>
        <v>Jan</v>
      </c>
      <c r="O958">
        <f t="shared" si="90"/>
        <v>2026</v>
      </c>
    </row>
    <row r="959" spans="1:15" x14ac:dyDescent="0.3">
      <c r="A959">
        <v>203603</v>
      </c>
      <c r="B959" t="s">
        <v>74</v>
      </c>
      <c r="C959" s="2">
        <v>46050</v>
      </c>
      <c r="D959" s="2">
        <f t="shared" si="88"/>
        <v>46095</v>
      </c>
      <c r="E959" s="1">
        <f>D959+5</f>
        <v>46100</v>
      </c>
      <c r="F959">
        <v>165</v>
      </c>
      <c r="G959">
        <v>45</v>
      </c>
      <c r="H959">
        <f t="shared" si="93"/>
        <v>0</v>
      </c>
      <c r="I959" t="str">
        <f t="shared" si="91"/>
        <v>On Time</v>
      </c>
      <c r="J959" cm="1">
        <f t="array" ref="J959">_xlfn.IFS(H959&lt;30,0,H959&lt;60,1,H959&lt;90,2,H959&lt;120,3)</f>
        <v>0</v>
      </c>
      <c r="M959" t="str">
        <f t="shared" si="92"/>
        <v>Low</v>
      </c>
      <c r="N959" t="str">
        <f t="shared" si="89"/>
        <v>Jan</v>
      </c>
      <c r="O959">
        <f t="shared" si="90"/>
        <v>2026</v>
      </c>
    </row>
    <row r="960" spans="1:15" x14ac:dyDescent="0.3">
      <c r="A960">
        <v>203604</v>
      </c>
      <c r="B960" t="s">
        <v>75</v>
      </c>
      <c r="C960" s="2">
        <v>46050</v>
      </c>
      <c r="D960" s="2">
        <f t="shared" si="88"/>
        <v>46110</v>
      </c>
      <c r="E960" s="1">
        <f>D960</f>
        <v>46110</v>
      </c>
      <c r="F960">
        <v>1389</v>
      </c>
      <c r="G960">
        <v>60</v>
      </c>
      <c r="H960">
        <f t="shared" si="93"/>
        <v>0</v>
      </c>
      <c r="I960" t="str">
        <f t="shared" si="91"/>
        <v>On Time</v>
      </c>
      <c r="J960" cm="1">
        <f t="array" ref="J960">_xlfn.IFS(H960&lt;30,0,H960&lt;60,1,H960&lt;90,2,H960&lt;120,3)</f>
        <v>0</v>
      </c>
      <c r="M960" t="str">
        <f t="shared" si="92"/>
        <v>Low</v>
      </c>
      <c r="N960" t="str">
        <f t="shared" si="89"/>
        <v>Jan</v>
      </c>
      <c r="O960">
        <f t="shared" si="90"/>
        <v>2026</v>
      </c>
    </row>
    <row r="961" spans="1:15" x14ac:dyDescent="0.3">
      <c r="A961">
        <v>203605</v>
      </c>
      <c r="B961" t="s">
        <v>76</v>
      </c>
      <c r="C961" s="2">
        <v>46050</v>
      </c>
      <c r="D961" s="2">
        <f t="shared" si="88"/>
        <v>46080</v>
      </c>
      <c r="E961" s="1">
        <f>D961-1</f>
        <v>46079</v>
      </c>
      <c r="F961">
        <v>800</v>
      </c>
      <c r="G961">
        <v>30</v>
      </c>
      <c r="H961">
        <f t="shared" si="93"/>
        <v>0</v>
      </c>
      <c r="I961" t="str">
        <f t="shared" si="91"/>
        <v>On Time</v>
      </c>
      <c r="J961" cm="1">
        <f t="array" ref="J961">_xlfn.IFS(H961&lt;30,0,H961&lt;60,1,H961&lt;90,2,H961&lt;120,3)</f>
        <v>0</v>
      </c>
      <c r="M961" t="str">
        <f t="shared" si="92"/>
        <v>Low</v>
      </c>
      <c r="N961" t="str">
        <f t="shared" si="89"/>
        <v>Jan</v>
      </c>
      <c r="O961">
        <f t="shared" si="90"/>
        <v>2026</v>
      </c>
    </row>
    <row r="962" spans="1:15" x14ac:dyDescent="0.3">
      <c r="A962">
        <v>203606</v>
      </c>
      <c r="B962" t="s">
        <v>44</v>
      </c>
      <c r="C962" s="2">
        <v>46050</v>
      </c>
      <c r="D962" s="2">
        <f t="shared" ref="D962:D1025" si="94">C962+G962</f>
        <v>46095</v>
      </c>
      <c r="E962" s="1">
        <f>D962</f>
        <v>46095</v>
      </c>
      <c r="F962">
        <v>3185</v>
      </c>
      <c r="G962">
        <v>45</v>
      </c>
      <c r="H962">
        <f t="shared" si="93"/>
        <v>0</v>
      </c>
      <c r="I962" t="str">
        <f t="shared" si="91"/>
        <v>On Time</v>
      </c>
      <c r="J962" cm="1">
        <f t="array" ref="J962">_xlfn.IFS(H962&lt;30,0,H962&lt;60,1,H962&lt;90,2,H962&lt;120,3)</f>
        <v>0</v>
      </c>
      <c r="M962" t="str">
        <f t="shared" si="92"/>
        <v>Low</v>
      </c>
      <c r="N962" t="str">
        <f t="shared" ref="N962:N1025" si="95">TEXT(C962,"mmm")</f>
        <v>Jan</v>
      </c>
      <c r="O962">
        <f t="shared" ref="O962:O1025" si="96">YEAR(C962)</f>
        <v>2026</v>
      </c>
    </row>
    <row r="963" spans="1:15" x14ac:dyDescent="0.3">
      <c r="A963">
        <v>203607</v>
      </c>
      <c r="B963" t="s">
        <v>45</v>
      </c>
      <c r="C963" s="2">
        <v>46050</v>
      </c>
      <c r="D963" s="2">
        <f t="shared" si="94"/>
        <v>46095</v>
      </c>
      <c r="E963" s="1">
        <f>D963+32</f>
        <v>46127</v>
      </c>
      <c r="F963">
        <v>4644</v>
      </c>
      <c r="G963">
        <v>45</v>
      </c>
      <c r="H963">
        <f t="shared" si="93"/>
        <v>0</v>
      </c>
      <c r="I963" t="str">
        <f t="shared" si="91"/>
        <v>On Time</v>
      </c>
      <c r="J963" cm="1">
        <f t="array" ref="J963">_xlfn.IFS(H963&lt;30,0,H963&lt;60,1,H963&lt;90,2,H963&lt;120,3)</f>
        <v>0</v>
      </c>
      <c r="M963" t="str">
        <f t="shared" si="92"/>
        <v>Low</v>
      </c>
      <c r="N963" t="str">
        <f t="shared" si="95"/>
        <v>Jan</v>
      </c>
      <c r="O963">
        <f t="shared" si="96"/>
        <v>2026</v>
      </c>
    </row>
    <row r="964" spans="1:15" x14ac:dyDescent="0.3">
      <c r="A964">
        <v>203608</v>
      </c>
      <c r="B964" t="s">
        <v>46</v>
      </c>
      <c r="C964" s="2">
        <v>46050</v>
      </c>
      <c r="D964" s="2">
        <f t="shared" si="94"/>
        <v>46110</v>
      </c>
      <c r="E964" s="1">
        <f>D964+15</f>
        <v>46125</v>
      </c>
      <c r="F964">
        <v>4042</v>
      </c>
      <c r="G964">
        <v>60</v>
      </c>
      <c r="H964">
        <f t="shared" si="93"/>
        <v>0</v>
      </c>
      <c r="I964" t="str">
        <f t="shared" si="91"/>
        <v>On Time</v>
      </c>
      <c r="J964" cm="1">
        <f t="array" ref="J964">_xlfn.IFS(H964&lt;30,0,H964&lt;60,1,H964&lt;90,2,H964&lt;120,3)</f>
        <v>0</v>
      </c>
      <c r="M964" t="str">
        <f t="shared" si="92"/>
        <v>Low</v>
      </c>
      <c r="N964" t="str">
        <f t="shared" si="95"/>
        <v>Jan</v>
      </c>
      <c r="O964">
        <f t="shared" si="96"/>
        <v>2026</v>
      </c>
    </row>
    <row r="965" spans="1:15" x14ac:dyDescent="0.3">
      <c r="A965">
        <v>203609</v>
      </c>
      <c r="B965" t="s">
        <v>47</v>
      </c>
      <c r="C965" s="2">
        <v>46050</v>
      </c>
      <c r="D965" s="2">
        <f t="shared" si="94"/>
        <v>46110</v>
      </c>
      <c r="E965" s="1">
        <f>D965</f>
        <v>46110</v>
      </c>
      <c r="F965">
        <v>4971</v>
      </c>
      <c r="G965">
        <v>60</v>
      </c>
      <c r="H965">
        <f t="shared" si="93"/>
        <v>0</v>
      </c>
      <c r="I965" t="str">
        <f t="shared" si="91"/>
        <v>On Time</v>
      </c>
      <c r="J965" cm="1">
        <f t="array" ref="J965">_xlfn.IFS(H965&lt;30,0,H965&lt;60,1,H965&lt;90,2,H965&lt;120,3)</f>
        <v>0</v>
      </c>
      <c r="M965" t="str">
        <f t="shared" si="92"/>
        <v>Low</v>
      </c>
      <c r="N965" t="str">
        <f t="shared" si="95"/>
        <v>Jan</v>
      </c>
      <c r="O965">
        <f t="shared" si="96"/>
        <v>2026</v>
      </c>
    </row>
    <row r="966" spans="1:15" x14ac:dyDescent="0.3">
      <c r="A966">
        <v>203610</v>
      </c>
      <c r="B966" t="s">
        <v>48</v>
      </c>
      <c r="C966" s="2">
        <v>46050</v>
      </c>
      <c r="D966" s="2">
        <f t="shared" si="94"/>
        <v>46095</v>
      </c>
      <c r="E966" s="1">
        <f>D966-2</f>
        <v>46093</v>
      </c>
      <c r="F966">
        <v>818</v>
      </c>
      <c r="G966">
        <v>45</v>
      </c>
      <c r="H966">
        <f t="shared" si="93"/>
        <v>0</v>
      </c>
      <c r="I966" t="str">
        <f t="shared" si="91"/>
        <v>On Time</v>
      </c>
      <c r="J966" cm="1">
        <f t="array" ref="J966">_xlfn.IFS(H966&lt;30,0,H966&lt;60,1,H966&lt;90,2,H966&lt;120,3)</f>
        <v>0</v>
      </c>
      <c r="M966" t="str">
        <f t="shared" si="92"/>
        <v>Low</v>
      </c>
      <c r="N966" t="str">
        <f t="shared" si="95"/>
        <v>Jan</v>
      </c>
      <c r="O966">
        <f t="shared" si="96"/>
        <v>2026</v>
      </c>
    </row>
    <row r="967" spans="1:15" x14ac:dyDescent="0.3">
      <c r="A967">
        <v>203574</v>
      </c>
      <c r="B967" t="s">
        <v>117</v>
      </c>
      <c r="C967" s="2">
        <v>46049</v>
      </c>
      <c r="D967" s="2">
        <f t="shared" si="94"/>
        <v>46079</v>
      </c>
      <c r="E967" s="1">
        <f>D967+32</f>
        <v>46111</v>
      </c>
      <c r="F967">
        <v>625</v>
      </c>
      <c r="G967">
        <v>30</v>
      </c>
      <c r="H967">
        <f t="shared" si="93"/>
        <v>0</v>
      </c>
      <c r="I967" t="str">
        <f t="shared" si="91"/>
        <v>On Time</v>
      </c>
      <c r="J967" cm="1">
        <f t="array" ref="J967">_xlfn.IFS(H967&lt;30,0,H967&lt;60,1,H967&lt;90,2,H967&lt;120,3)</f>
        <v>0</v>
      </c>
      <c r="M967" t="str">
        <f t="shared" si="92"/>
        <v>Low</v>
      </c>
      <c r="N967" t="str">
        <f t="shared" si="95"/>
        <v>Jan</v>
      </c>
      <c r="O967">
        <f t="shared" si="96"/>
        <v>2026</v>
      </c>
    </row>
    <row r="968" spans="1:15" x14ac:dyDescent="0.3">
      <c r="A968">
        <v>203575</v>
      </c>
      <c r="B968" t="s">
        <v>118</v>
      </c>
      <c r="C968" s="2">
        <v>46049</v>
      </c>
      <c r="D968" s="2">
        <f t="shared" si="94"/>
        <v>46079</v>
      </c>
      <c r="E968" s="1">
        <f>D968+15</f>
        <v>46094</v>
      </c>
      <c r="F968">
        <v>2939</v>
      </c>
      <c r="G968">
        <v>30</v>
      </c>
      <c r="H968">
        <f t="shared" si="93"/>
        <v>0</v>
      </c>
      <c r="I968" t="str">
        <f t="shared" si="91"/>
        <v>On Time</v>
      </c>
      <c r="J968" cm="1">
        <f t="array" ref="J968">_xlfn.IFS(H968&lt;30,0,H968&lt;60,1,H968&lt;90,2,H968&lt;120,3)</f>
        <v>0</v>
      </c>
      <c r="M968" t="str">
        <f t="shared" si="92"/>
        <v>Low</v>
      </c>
      <c r="N968" t="str">
        <f t="shared" si="95"/>
        <v>Jan</v>
      </c>
      <c r="O968">
        <f t="shared" si="96"/>
        <v>2026</v>
      </c>
    </row>
    <row r="969" spans="1:15" x14ac:dyDescent="0.3">
      <c r="A969">
        <v>203576</v>
      </c>
      <c r="B969" t="s">
        <v>119</v>
      </c>
      <c r="C969" s="2">
        <v>46049</v>
      </c>
      <c r="D969" s="2">
        <f t="shared" si="94"/>
        <v>46079</v>
      </c>
      <c r="E969" s="1">
        <f>D969-2</f>
        <v>46077</v>
      </c>
      <c r="F969">
        <v>607</v>
      </c>
      <c r="G969">
        <v>30</v>
      </c>
      <c r="H969">
        <f t="shared" si="93"/>
        <v>0</v>
      </c>
      <c r="I969" t="str">
        <f t="shared" si="91"/>
        <v>On Time</v>
      </c>
      <c r="J969" cm="1">
        <f t="array" ref="J969">_xlfn.IFS(H969&lt;30,0,H969&lt;60,1,H969&lt;90,2,H969&lt;120,3)</f>
        <v>0</v>
      </c>
      <c r="M969" t="str">
        <f t="shared" si="92"/>
        <v>Low</v>
      </c>
      <c r="N969" t="str">
        <f t="shared" si="95"/>
        <v>Jan</v>
      </c>
      <c r="O969">
        <f t="shared" si="96"/>
        <v>2026</v>
      </c>
    </row>
    <row r="970" spans="1:15" x14ac:dyDescent="0.3">
      <c r="A970">
        <v>203577</v>
      </c>
      <c r="B970" t="s">
        <v>100</v>
      </c>
      <c r="C970" s="2">
        <v>46049</v>
      </c>
      <c r="D970" s="2">
        <f t="shared" si="94"/>
        <v>46079</v>
      </c>
      <c r="E970" s="1">
        <f>D970-2</f>
        <v>46077</v>
      </c>
      <c r="F970">
        <v>2655</v>
      </c>
      <c r="G970">
        <v>30</v>
      </c>
      <c r="H970">
        <f t="shared" si="93"/>
        <v>0</v>
      </c>
      <c r="I970" t="str">
        <f t="shared" si="91"/>
        <v>On Time</v>
      </c>
      <c r="J970" cm="1">
        <f t="array" ref="J970">_xlfn.IFS(H970&lt;30,0,H970&lt;60,1,H970&lt;90,2,H970&lt;120,3)</f>
        <v>0</v>
      </c>
      <c r="M970" t="str">
        <f t="shared" si="92"/>
        <v>Low</v>
      </c>
      <c r="N970" t="str">
        <f t="shared" si="95"/>
        <v>Jan</v>
      </c>
      <c r="O970">
        <f t="shared" si="96"/>
        <v>2026</v>
      </c>
    </row>
    <row r="971" spans="1:15" x14ac:dyDescent="0.3">
      <c r="A971">
        <v>203578</v>
      </c>
      <c r="B971" t="s">
        <v>101</v>
      </c>
      <c r="C971" s="2">
        <v>46049</v>
      </c>
      <c r="D971" s="2">
        <f t="shared" si="94"/>
        <v>46079</v>
      </c>
      <c r="E971" s="1">
        <f>D971</f>
        <v>46079</v>
      </c>
      <c r="F971">
        <v>1443</v>
      </c>
      <c r="G971">
        <v>30</v>
      </c>
      <c r="H971">
        <f t="shared" si="93"/>
        <v>0</v>
      </c>
      <c r="I971" t="str">
        <f t="shared" si="91"/>
        <v>On Time</v>
      </c>
      <c r="J971" cm="1">
        <f t="array" ref="J971">_xlfn.IFS(H971&lt;30,0,H971&lt;60,1,H971&lt;90,2,H971&lt;120,3)</f>
        <v>0</v>
      </c>
      <c r="M971" t="str">
        <f t="shared" si="92"/>
        <v>Low</v>
      </c>
      <c r="N971" t="str">
        <f t="shared" si="95"/>
        <v>Jan</v>
      </c>
      <c r="O971">
        <f t="shared" si="96"/>
        <v>2026</v>
      </c>
    </row>
    <row r="972" spans="1:15" x14ac:dyDescent="0.3">
      <c r="A972">
        <v>203579</v>
      </c>
      <c r="B972" t="s">
        <v>102</v>
      </c>
      <c r="C972" s="2">
        <v>46049</v>
      </c>
      <c r="D972" s="2">
        <f t="shared" si="94"/>
        <v>46079</v>
      </c>
      <c r="E972" s="1">
        <f>D972+2</f>
        <v>46081</v>
      </c>
      <c r="F972">
        <v>4561</v>
      </c>
      <c r="G972">
        <v>30</v>
      </c>
      <c r="H972">
        <f t="shared" si="93"/>
        <v>0</v>
      </c>
      <c r="I972" t="str">
        <f t="shared" si="91"/>
        <v>On Time</v>
      </c>
      <c r="J972" cm="1">
        <f t="array" ref="J972">_xlfn.IFS(H972&lt;30,0,H972&lt;60,1,H972&lt;90,2,H972&lt;120,3)</f>
        <v>0</v>
      </c>
      <c r="M972" t="str">
        <f t="shared" si="92"/>
        <v>Low</v>
      </c>
      <c r="N972" t="str">
        <f t="shared" si="95"/>
        <v>Jan</v>
      </c>
      <c r="O972">
        <f t="shared" si="96"/>
        <v>2026</v>
      </c>
    </row>
    <row r="973" spans="1:15" x14ac:dyDescent="0.3">
      <c r="A973">
        <v>203580</v>
      </c>
      <c r="B973" t="s">
        <v>103</v>
      </c>
      <c r="C973" s="2">
        <v>46049</v>
      </c>
      <c r="D973" s="2">
        <f t="shared" si="94"/>
        <v>46079</v>
      </c>
      <c r="E973" s="1">
        <f>D973+2</f>
        <v>46081</v>
      </c>
      <c r="F973">
        <v>2835</v>
      </c>
      <c r="G973">
        <v>30</v>
      </c>
      <c r="H973">
        <f t="shared" si="93"/>
        <v>0</v>
      </c>
      <c r="I973" t="str">
        <f t="shared" si="91"/>
        <v>On Time</v>
      </c>
      <c r="J973" cm="1">
        <f t="array" ref="J973">_xlfn.IFS(H973&lt;30,0,H973&lt;60,1,H973&lt;90,2,H973&lt;120,3)</f>
        <v>0</v>
      </c>
      <c r="M973" t="str">
        <f t="shared" si="92"/>
        <v>Low</v>
      </c>
      <c r="N973" t="str">
        <f t="shared" si="95"/>
        <v>Jan</v>
      </c>
      <c r="O973">
        <f t="shared" si="96"/>
        <v>2026</v>
      </c>
    </row>
    <row r="974" spans="1:15" x14ac:dyDescent="0.3">
      <c r="A974">
        <v>203581</v>
      </c>
      <c r="B974" t="s">
        <v>104</v>
      </c>
      <c r="C974" s="2">
        <v>46049</v>
      </c>
      <c r="D974" s="2">
        <f t="shared" si="94"/>
        <v>46079</v>
      </c>
      <c r="E974" s="1">
        <f>D974+2</f>
        <v>46081</v>
      </c>
      <c r="F974">
        <v>2019</v>
      </c>
      <c r="G974">
        <v>30</v>
      </c>
      <c r="H974">
        <f t="shared" si="93"/>
        <v>0</v>
      </c>
      <c r="I974" t="str">
        <f t="shared" si="91"/>
        <v>On Time</v>
      </c>
      <c r="J974" cm="1">
        <f t="array" ref="J974">_xlfn.IFS(H974&lt;30,0,H974&lt;60,1,H974&lt;90,2,H974&lt;120,3)</f>
        <v>0</v>
      </c>
      <c r="M974" t="str">
        <f t="shared" si="92"/>
        <v>Low</v>
      </c>
      <c r="N974" t="str">
        <f t="shared" si="95"/>
        <v>Jan</v>
      </c>
      <c r="O974">
        <f t="shared" si="96"/>
        <v>2026</v>
      </c>
    </row>
    <row r="975" spans="1:15" x14ac:dyDescent="0.3">
      <c r="A975">
        <v>203582</v>
      </c>
      <c r="B975" t="s">
        <v>105</v>
      </c>
      <c r="C975" s="2">
        <v>46049</v>
      </c>
      <c r="D975" s="2">
        <f t="shared" si="94"/>
        <v>46079</v>
      </c>
      <c r="E975" s="1">
        <f>D975</f>
        <v>46079</v>
      </c>
      <c r="F975">
        <v>10763</v>
      </c>
      <c r="G975">
        <v>30</v>
      </c>
      <c r="H975">
        <f t="shared" si="93"/>
        <v>0</v>
      </c>
      <c r="I975" t="str">
        <f t="shared" si="91"/>
        <v>On Time</v>
      </c>
      <c r="J975" cm="1">
        <f t="array" ref="J975">_xlfn.IFS(H975&lt;30,0,H975&lt;60,1,H975&lt;90,2,H975&lt;120,3)</f>
        <v>0</v>
      </c>
      <c r="M975" t="str">
        <f t="shared" si="92"/>
        <v>Low</v>
      </c>
      <c r="N975" t="str">
        <f t="shared" si="95"/>
        <v>Jan</v>
      </c>
      <c r="O975">
        <f t="shared" si="96"/>
        <v>2026</v>
      </c>
    </row>
    <row r="976" spans="1:15" x14ac:dyDescent="0.3">
      <c r="A976">
        <v>203583</v>
      </c>
      <c r="B976" t="s">
        <v>106</v>
      </c>
      <c r="C976" s="2">
        <v>46049</v>
      </c>
      <c r="D976" s="2">
        <f t="shared" si="94"/>
        <v>46079</v>
      </c>
      <c r="E976" s="1">
        <f>D976+20</f>
        <v>46099</v>
      </c>
      <c r="F976">
        <v>432</v>
      </c>
      <c r="G976">
        <v>30</v>
      </c>
      <c r="H976">
        <f t="shared" si="93"/>
        <v>0</v>
      </c>
      <c r="I976" t="str">
        <f t="shared" si="91"/>
        <v>On Time</v>
      </c>
      <c r="J976" cm="1">
        <f t="array" ref="J976">_xlfn.IFS(H976&lt;30,0,H976&lt;60,1,H976&lt;90,2,H976&lt;120,3)</f>
        <v>0</v>
      </c>
      <c r="M976" t="str">
        <f t="shared" si="92"/>
        <v>Low</v>
      </c>
      <c r="N976" t="str">
        <f t="shared" si="95"/>
        <v>Jan</v>
      </c>
      <c r="O976">
        <f t="shared" si="96"/>
        <v>2026</v>
      </c>
    </row>
    <row r="977" spans="1:15" x14ac:dyDescent="0.3">
      <c r="A977">
        <v>203584</v>
      </c>
      <c r="B977" t="s">
        <v>107</v>
      </c>
      <c r="C977" s="2">
        <v>46049</v>
      </c>
      <c r="D977" s="2">
        <f t="shared" si="94"/>
        <v>46079</v>
      </c>
      <c r="E977" s="1">
        <f>D977</f>
        <v>46079</v>
      </c>
      <c r="F977">
        <v>879</v>
      </c>
      <c r="G977">
        <v>30</v>
      </c>
      <c r="H977">
        <f t="shared" si="93"/>
        <v>0</v>
      </c>
      <c r="I977" t="str">
        <f t="shared" si="91"/>
        <v>On Time</v>
      </c>
      <c r="J977" cm="1">
        <f t="array" ref="J977">_xlfn.IFS(H977&lt;30,0,H977&lt;60,1,H977&lt;90,2,H977&lt;120,3)</f>
        <v>0</v>
      </c>
      <c r="M977" t="str">
        <f t="shared" si="92"/>
        <v>Low</v>
      </c>
      <c r="N977" t="str">
        <f t="shared" si="95"/>
        <v>Jan</v>
      </c>
      <c r="O977">
        <f t="shared" si="96"/>
        <v>2026</v>
      </c>
    </row>
    <row r="978" spans="1:15" x14ac:dyDescent="0.3">
      <c r="A978">
        <v>203585</v>
      </c>
      <c r="B978" t="s">
        <v>108</v>
      </c>
      <c r="C978" s="2">
        <v>46049</v>
      </c>
      <c r="D978" s="2">
        <f t="shared" si="94"/>
        <v>46079</v>
      </c>
      <c r="E978" s="1">
        <f>D978+1</f>
        <v>46080</v>
      </c>
      <c r="F978">
        <v>592</v>
      </c>
      <c r="G978">
        <v>30</v>
      </c>
      <c r="H978">
        <f t="shared" si="93"/>
        <v>0</v>
      </c>
      <c r="I978" t="str">
        <f t="shared" si="91"/>
        <v>On Time</v>
      </c>
      <c r="J978" cm="1">
        <f t="array" ref="J978">_xlfn.IFS(H978&lt;30,0,H978&lt;60,1,H978&lt;90,2,H978&lt;120,3)</f>
        <v>0</v>
      </c>
      <c r="M978" t="str">
        <f t="shared" si="92"/>
        <v>Low</v>
      </c>
      <c r="N978" t="str">
        <f t="shared" si="95"/>
        <v>Jan</v>
      </c>
      <c r="O978">
        <f t="shared" si="96"/>
        <v>2026</v>
      </c>
    </row>
    <row r="979" spans="1:15" x14ac:dyDescent="0.3">
      <c r="A979">
        <v>203586</v>
      </c>
      <c r="B979" t="s">
        <v>85</v>
      </c>
      <c r="C979" s="2">
        <v>46049</v>
      </c>
      <c r="D979" s="2">
        <f t="shared" si="94"/>
        <v>46109</v>
      </c>
      <c r="E979" s="1">
        <f>D979</f>
        <v>46109</v>
      </c>
      <c r="F979">
        <v>4984</v>
      </c>
      <c r="G979">
        <v>60</v>
      </c>
      <c r="H979">
        <f t="shared" si="93"/>
        <v>0</v>
      </c>
      <c r="I979" t="str">
        <f t="shared" si="91"/>
        <v>On Time</v>
      </c>
      <c r="J979" cm="1">
        <f t="array" ref="J979">_xlfn.IFS(H979&lt;30,0,H979&lt;60,1,H979&lt;90,2,H979&lt;120,3)</f>
        <v>0</v>
      </c>
      <c r="M979" t="str">
        <f t="shared" si="92"/>
        <v>Low</v>
      </c>
      <c r="N979" t="str">
        <f t="shared" si="95"/>
        <v>Jan</v>
      </c>
      <c r="O979">
        <f t="shared" si="96"/>
        <v>2026</v>
      </c>
    </row>
    <row r="980" spans="1:15" x14ac:dyDescent="0.3">
      <c r="A980">
        <v>203587</v>
      </c>
      <c r="B980" t="s">
        <v>86</v>
      </c>
      <c r="C980" s="2">
        <v>46049</v>
      </c>
      <c r="D980" s="2">
        <f t="shared" si="94"/>
        <v>46079</v>
      </c>
      <c r="E980" s="1">
        <f>D980</f>
        <v>46079</v>
      </c>
      <c r="F980">
        <v>1352</v>
      </c>
      <c r="G980">
        <v>30</v>
      </c>
      <c r="H980">
        <f t="shared" si="93"/>
        <v>0</v>
      </c>
      <c r="I980" t="str">
        <f t="shared" si="91"/>
        <v>On Time</v>
      </c>
      <c r="J980" cm="1">
        <f t="array" ref="J980">_xlfn.IFS(H980&lt;30,0,H980&lt;60,1,H980&lt;90,2,H980&lt;120,3)</f>
        <v>0</v>
      </c>
      <c r="M980" t="str">
        <f t="shared" si="92"/>
        <v>Low</v>
      </c>
      <c r="N980" t="str">
        <f t="shared" si="95"/>
        <v>Jan</v>
      </c>
      <c r="O980">
        <f t="shared" si="96"/>
        <v>2026</v>
      </c>
    </row>
    <row r="981" spans="1:15" x14ac:dyDescent="0.3">
      <c r="A981">
        <v>203588</v>
      </c>
      <c r="B981" t="s">
        <v>87</v>
      </c>
      <c r="C981" s="2">
        <v>46049</v>
      </c>
      <c r="D981" s="2">
        <f t="shared" si="94"/>
        <v>46079</v>
      </c>
      <c r="E981" s="1">
        <f>D981+5</f>
        <v>46084</v>
      </c>
      <c r="F981">
        <v>2727</v>
      </c>
      <c r="G981">
        <v>30</v>
      </c>
      <c r="H981">
        <f t="shared" si="93"/>
        <v>0</v>
      </c>
      <c r="I981" t="str">
        <f t="shared" si="91"/>
        <v>On Time</v>
      </c>
      <c r="J981" cm="1">
        <f t="array" ref="J981">_xlfn.IFS(H981&lt;30,0,H981&lt;60,1,H981&lt;90,2,H981&lt;120,3)</f>
        <v>0</v>
      </c>
      <c r="M981" t="str">
        <f t="shared" si="92"/>
        <v>Low</v>
      </c>
      <c r="N981" t="str">
        <f t="shared" si="95"/>
        <v>Jan</v>
      </c>
      <c r="O981">
        <f t="shared" si="96"/>
        <v>2026</v>
      </c>
    </row>
    <row r="982" spans="1:15" x14ac:dyDescent="0.3">
      <c r="A982">
        <v>203589</v>
      </c>
      <c r="B982" t="s">
        <v>88</v>
      </c>
      <c r="C982" s="2">
        <v>46049</v>
      </c>
      <c r="D982" s="2">
        <f t="shared" si="94"/>
        <v>46079</v>
      </c>
      <c r="E982" s="1">
        <f>D982+2</f>
        <v>46081</v>
      </c>
      <c r="F982">
        <v>4700</v>
      </c>
      <c r="G982">
        <v>30</v>
      </c>
      <c r="H982">
        <f t="shared" si="93"/>
        <v>0</v>
      </c>
      <c r="I982" t="str">
        <f t="shared" ref="I982:I1045" si="97">IF(H982=0,"On Time",IF(H982&lt;=15,"Paid Late","Seriously Late"))</f>
        <v>On Time</v>
      </c>
      <c r="J982" cm="1">
        <f t="array" ref="J982">_xlfn.IFS(H982&lt;30,0,H982&lt;60,1,H982&lt;90,2,H982&lt;120,3)</f>
        <v>0</v>
      </c>
      <c r="M982" t="str">
        <f t="shared" ref="M982:M1045" si="98">IF(H982&gt;30,"High",IF(H982&gt;10,"Medium","Low"))</f>
        <v>Low</v>
      </c>
      <c r="N982" t="str">
        <f t="shared" si="95"/>
        <v>Jan</v>
      </c>
      <c r="O982">
        <f t="shared" si="96"/>
        <v>2026</v>
      </c>
    </row>
    <row r="983" spans="1:15" x14ac:dyDescent="0.3">
      <c r="A983">
        <v>203590</v>
      </c>
      <c r="B983" t="s">
        <v>89</v>
      </c>
      <c r="C983" s="2">
        <v>46049</v>
      </c>
      <c r="D983" s="2">
        <f t="shared" si="94"/>
        <v>46079</v>
      </c>
      <c r="E983" s="1">
        <f>D983+5</f>
        <v>46084</v>
      </c>
      <c r="F983">
        <v>2450</v>
      </c>
      <c r="G983">
        <v>30</v>
      </c>
      <c r="H983">
        <f t="shared" si="93"/>
        <v>0</v>
      </c>
      <c r="I983" t="str">
        <f t="shared" si="97"/>
        <v>On Time</v>
      </c>
      <c r="J983" cm="1">
        <f t="array" ref="J983">_xlfn.IFS(H983&lt;30,0,H983&lt;60,1,H983&lt;90,2,H983&lt;120,3)</f>
        <v>0</v>
      </c>
      <c r="M983" t="str">
        <f t="shared" si="98"/>
        <v>Low</v>
      </c>
      <c r="N983" t="str">
        <f t="shared" si="95"/>
        <v>Jan</v>
      </c>
      <c r="O983">
        <f t="shared" si="96"/>
        <v>2026</v>
      </c>
    </row>
    <row r="984" spans="1:15" x14ac:dyDescent="0.3">
      <c r="A984">
        <v>203558</v>
      </c>
      <c r="B984" t="s">
        <v>27</v>
      </c>
      <c r="C984" s="2">
        <v>46048</v>
      </c>
      <c r="D984" s="2">
        <f t="shared" si="94"/>
        <v>46108</v>
      </c>
      <c r="E984" s="1">
        <f>D984</f>
        <v>46108</v>
      </c>
      <c r="F984">
        <v>10602</v>
      </c>
      <c r="G984">
        <v>60</v>
      </c>
      <c r="H984">
        <f t="shared" si="93"/>
        <v>0</v>
      </c>
      <c r="I984" t="str">
        <f t="shared" si="97"/>
        <v>On Time</v>
      </c>
      <c r="J984" cm="1">
        <f t="array" ref="J984">_xlfn.IFS(H984&lt;30,0,H984&lt;60,1,H984&lt;90,2,H984&lt;120,3)</f>
        <v>0</v>
      </c>
      <c r="M984" t="str">
        <f t="shared" si="98"/>
        <v>Low</v>
      </c>
      <c r="N984" t="str">
        <f t="shared" si="95"/>
        <v>Jan</v>
      </c>
      <c r="O984">
        <f t="shared" si="96"/>
        <v>2026</v>
      </c>
    </row>
    <row r="985" spans="1:15" x14ac:dyDescent="0.3">
      <c r="A985">
        <v>203559</v>
      </c>
      <c r="B985" t="s">
        <v>28</v>
      </c>
      <c r="C985" s="2">
        <v>46048</v>
      </c>
      <c r="D985" s="2">
        <f t="shared" si="94"/>
        <v>46078</v>
      </c>
      <c r="E985" s="1">
        <f>D985</f>
        <v>46078</v>
      </c>
      <c r="F985">
        <v>2464</v>
      </c>
      <c r="G985">
        <v>30</v>
      </c>
      <c r="H985">
        <f t="shared" si="93"/>
        <v>0</v>
      </c>
      <c r="I985" t="str">
        <f t="shared" si="97"/>
        <v>On Time</v>
      </c>
      <c r="J985" cm="1">
        <f t="array" ref="J985">_xlfn.IFS(H985&lt;30,0,H985&lt;60,1,H985&lt;90,2,H985&lt;120,3)</f>
        <v>0</v>
      </c>
      <c r="M985" t="str">
        <f t="shared" si="98"/>
        <v>Low</v>
      </c>
      <c r="N985" t="str">
        <f t="shared" si="95"/>
        <v>Jan</v>
      </c>
      <c r="O985">
        <f t="shared" si="96"/>
        <v>2026</v>
      </c>
    </row>
    <row r="986" spans="1:15" x14ac:dyDescent="0.3">
      <c r="A986">
        <v>203560</v>
      </c>
      <c r="B986" t="s">
        <v>29</v>
      </c>
      <c r="C986" s="2">
        <v>46048</v>
      </c>
      <c r="D986" s="2">
        <f t="shared" si="94"/>
        <v>46078</v>
      </c>
      <c r="E986" s="1">
        <f>D986+60</f>
        <v>46138</v>
      </c>
      <c r="F986">
        <v>3478</v>
      </c>
      <c r="G986">
        <v>30</v>
      </c>
      <c r="H986">
        <f t="shared" si="93"/>
        <v>0</v>
      </c>
      <c r="I986" t="str">
        <f t="shared" si="97"/>
        <v>On Time</v>
      </c>
      <c r="J986" cm="1">
        <f t="array" ref="J986">_xlfn.IFS(H986&lt;30,0,H986&lt;60,1,H986&lt;90,2,H986&lt;120,3)</f>
        <v>0</v>
      </c>
      <c r="M986" t="str">
        <f t="shared" si="98"/>
        <v>Low</v>
      </c>
      <c r="N986" t="str">
        <f t="shared" si="95"/>
        <v>Jan</v>
      </c>
      <c r="O986">
        <f t="shared" si="96"/>
        <v>2026</v>
      </c>
    </row>
    <row r="987" spans="1:15" x14ac:dyDescent="0.3">
      <c r="A987">
        <v>203561</v>
      </c>
      <c r="B987" t="s">
        <v>30</v>
      </c>
      <c r="C987" s="2">
        <v>46048</v>
      </c>
      <c r="D987" s="2">
        <f t="shared" si="94"/>
        <v>46078</v>
      </c>
      <c r="E987" s="1">
        <f>D987</f>
        <v>46078</v>
      </c>
      <c r="F987">
        <v>126</v>
      </c>
      <c r="G987">
        <v>30</v>
      </c>
      <c r="H987">
        <f t="shared" si="93"/>
        <v>0</v>
      </c>
      <c r="I987" t="str">
        <f t="shared" si="97"/>
        <v>On Time</v>
      </c>
      <c r="J987" cm="1">
        <f t="array" ref="J987">_xlfn.IFS(H987&lt;30,0,H987&lt;60,1,H987&lt;90,2,H987&lt;120,3)</f>
        <v>0</v>
      </c>
      <c r="M987" t="str">
        <f t="shared" si="98"/>
        <v>Low</v>
      </c>
      <c r="N987" t="str">
        <f t="shared" si="95"/>
        <v>Jan</v>
      </c>
      <c r="O987">
        <f t="shared" si="96"/>
        <v>2026</v>
      </c>
    </row>
    <row r="988" spans="1:15" x14ac:dyDescent="0.3">
      <c r="A988">
        <v>203562</v>
      </c>
      <c r="B988" t="s">
        <v>31</v>
      </c>
      <c r="C988" s="2">
        <v>46048</v>
      </c>
      <c r="D988" s="2">
        <f t="shared" si="94"/>
        <v>46093</v>
      </c>
      <c r="E988" s="1">
        <f>D988</f>
        <v>46093</v>
      </c>
      <c r="F988">
        <v>4537</v>
      </c>
      <c r="G988">
        <v>45</v>
      </c>
      <c r="H988">
        <f t="shared" si="93"/>
        <v>0</v>
      </c>
      <c r="I988" t="str">
        <f t="shared" si="97"/>
        <v>On Time</v>
      </c>
      <c r="J988" cm="1">
        <f t="array" ref="J988">_xlfn.IFS(H988&lt;30,0,H988&lt;60,1,H988&lt;90,2,H988&lt;120,3)</f>
        <v>0</v>
      </c>
      <c r="M988" t="str">
        <f t="shared" si="98"/>
        <v>Low</v>
      </c>
      <c r="N988" t="str">
        <f t="shared" si="95"/>
        <v>Jan</v>
      </c>
      <c r="O988">
        <f t="shared" si="96"/>
        <v>2026</v>
      </c>
    </row>
    <row r="989" spans="1:15" x14ac:dyDescent="0.3">
      <c r="A989">
        <v>203563</v>
      </c>
      <c r="B989" t="s">
        <v>39</v>
      </c>
      <c r="C989" s="2">
        <v>46048</v>
      </c>
      <c r="D989" s="2">
        <f t="shared" si="94"/>
        <v>46078</v>
      </c>
      <c r="E989" s="1">
        <f>D989+3</f>
        <v>46081</v>
      </c>
      <c r="F989">
        <v>2780</v>
      </c>
      <c r="G989">
        <v>30</v>
      </c>
      <c r="H989">
        <f t="shared" si="93"/>
        <v>0</v>
      </c>
      <c r="I989" t="str">
        <f t="shared" si="97"/>
        <v>On Time</v>
      </c>
      <c r="J989" cm="1">
        <f t="array" ref="J989">_xlfn.IFS(H989&lt;30,0,H989&lt;60,1,H989&lt;90,2,H989&lt;120,3)</f>
        <v>0</v>
      </c>
      <c r="M989" t="str">
        <f t="shared" si="98"/>
        <v>Low</v>
      </c>
      <c r="N989" t="str">
        <f t="shared" si="95"/>
        <v>Jan</v>
      </c>
      <c r="O989">
        <f t="shared" si="96"/>
        <v>2026</v>
      </c>
    </row>
    <row r="990" spans="1:15" x14ac:dyDescent="0.3">
      <c r="A990">
        <v>203564</v>
      </c>
      <c r="B990" t="s">
        <v>40</v>
      </c>
      <c r="C990" s="2">
        <v>46048</v>
      </c>
      <c r="D990" s="2">
        <f t="shared" si="94"/>
        <v>46078</v>
      </c>
      <c r="E990" s="1">
        <f>D990+1</f>
        <v>46079</v>
      </c>
      <c r="F990">
        <v>8905</v>
      </c>
      <c r="G990">
        <v>30</v>
      </c>
      <c r="H990">
        <f t="shared" si="93"/>
        <v>0</v>
      </c>
      <c r="I990" t="str">
        <f t="shared" si="97"/>
        <v>On Time</v>
      </c>
      <c r="J990" cm="1">
        <f t="array" ref="J990">_xlfn.IFS(H990&lt;30,0,H990&lt;60,1,H990&lt;90,2,H990&lt;120,3)</f>
        <v>0</v>
      </c>
      <c r="M990" t="str">
        <f t="shared" si="98"/>
        <v>Low</v>
      </c>
      <c r="N990" t="str">
        <f t="shared" si="95"/>
        <v>Jan</v>
      </c>
      <c r="O990">
        <f t="shared" si="96"/>
        <v>2026</v>
      </c>
    </row>
    <row r="991" spans="1:15" x14ac:dyDescent="0.3">
      <c r="A991">
        <v>203565</v>
      </c>
      <c r="B991" t="s">
        <v>41</v>
      </c>
      <c r="C991" s="2">
        <v>46048</v>
      </c>
      <c r="D991" s="2">
        <f t="shared" si="94"/>
        <v>46078</v>
      </c>
      <c r="E991" s="1">
        <f>D991-1</f>
        <v>46077</v>
      </c>
      <c r="F991">
        <v>4499</v>
      </c>
      <c r="G991">
        <v>30</v>
      </c>
      <c r="H991">
        <f t="shared" si="93"/>
        <v>0</v>
      </c>
      <c r="I991" t="str">
        <f t="shared" si="97"/>
        <v>On Time</v>
      </c>
      <c r="J991" cm="1">
        <f t="array" ref="J991">_xlfn.IFS(H991&lt;30,0,H991&lt;60,1,H991&lt;90,2,H991&lt;120,3)</f>
        <v>0</v>
      </c>
      <c r="M991" t="str">
        <f t="shared" si="98"/>
        <v>Low</v>
      </c>
      <c r="N991" t="str">
        <f t="shared" si="95"/>
        <v>Jan</v>
      </c>
      <c r="O991">
        <f t="shared" si="96"/>
        <v>2026</v>
      </c>
    </row>
    <row r="992" spans="1:15" x14ac:dyDescent="0.3">
      <c r="A992">
        <v>203566</v>
      </c>
      <c r="B992" t="s">
        <v>42</v>
      </c>
      <c r="C992" s="2">
        <v>46048</v>
      </c>
      <c r="D992" s="2">
        <f t="shared" si="94"/>
        <v>46078</v>
      </c>
      <c r="E992" s="1">
        <f>D992</f>
        <v>46078</v>
      </c>
      <c r="F992">
        <v>1355</v>
      </c>
      <c r="G992">
        <v>30</v>
      </c>
      <c r="H992">
        <f t="shared" si="93"/>
        <v>0</v>
      </c>
      <c r="I992" t="str">
        <f t="shared" si="97"/>
        <v>On Time</v>
      </c>
      <c r="J992" cm="1">
        <f t="array" ref="J992">_xlfn.IFS(H992&lt;30,0,H992&lt;60,1,H992&lt;90,2,H992&lt;120,3)</f>
        <v>0</v>
      </c>
      <c r="M992" t="str">
        <f t="shared" si="98"/>
        <v>Low</v>
      </c>
      <c r="N992" t="str">
        <f t="shared" si="95"/>
        <v>Jan</v>
      </c>
      <c r="O992">
        <f t="shared" si="96"/>
        <v>2026</v>
      </c>
    </row>
    <row r="993" spans="1:15" x14ac:dyDescent="0.3">
      <c r="A993">
        <v>203567</v>
      </c>
      <c r="B993" t="s">
        <v>43</v>
      </c>
      <c r="C993" s="2">
        <v>46048</v>
      </c>
      <c r="D993" s="2">
        <f t="shared" si="94"/>
        <v>46078</v>
      </c>
      <c r="E993" s="1">
        <f>D993+1</f>
        <v>46079</v>
      </c>
      <c r="F993">
        <v>2826</v>
      </c>
      <c r="G993">
        <v>30</v>
      </c>
      <c r="H993">
        <f t="shared" si="93"/>
        <v>0</v>
      </c>
      <c r="I993" t="str">
        <f t="shared" si="97"/>
        <v>On Time</v>
      </c>
      <c r="J993" cm="1">
        <f t="array" ref="J993">_xlfn.IFS(H993&lt;30,0,H993&lt;60,1,H993&lt;90,2,H993&lt;120,3)</f>
        <v>0</v>
      </c>
      <c r="M993" t="str">
        <f t="shared" si="98"/>
        <v>Low</v>
      </c>
      <c r="N993" t="str">
        <f t="shared" si="95"/>
        <v>Jan</v>
      </c>
      <c r="O993">
        <f t="shared" si="96"/>
        <v>2026</v>
      </c>
    </row>
    <row r="994" spans="1:15" x14ac:dyDescent="0.3">
      <c r="A994">
        <v>203568</v>
      </c>
      <c r="B994" t="s">
        <v>44</v>
      </c>
      <c r="C994" s="2">
        <v>46048</v>
      </c>
      <c r="D994" s="2">
        <f t="shared" si="94"/>
        <v>46093</v>
      </c>
      <c r="E994" s="1">
        <f>D994+35</f>
        <v>46128</v>
      </c>
      <c r="F994">
        <v>2077</v>
      </c>
      <c r="G994">
        <v>45</v>
      </c>
      <c r="H994">
        <f t="shared" si="93"/>
        <v>0</v>
      </c>
      <c r="I994" t="str">
        <f t="shared" si="97"/>
        <v>On Time</v>
      </c>
      <c r="J994" cm="1">
        <f t="array" ref="J994">_xlfn.IFS(H994&lt;30,0,H994&lt;60,1,H994&lt;90,2,H994&lt;120,3)</f>
        <v>0</v>
      </c>
      <c r="M994" t="str">
        <f t="shared" si="98"/>
        <v>Low</v>
      </c>
      <c r="N994" t="str">
        <f t="shared" si="95"/>
        <v>Jan</v>
      </c>
      <c r="O994">
        <f t="shared" si="96"/>
        <v>2026</v>
      </c>
    </row>
    <row r="995" spans="1:15" x14ac:dyDescent="0.3">
      <c r="A995">
        <v>203569</v>
      </c>
      <c r="B995" t="s">
        <v>45</v>
      </c>
      <c r="C995" s="2">
        <v>46048</v>
      </c>
      <c r="D995" s="2">
        <f t="shared" si="94"/>
        <v>46093</v>
      </c>
      <c r="E995" s="1">
        <f>D995+75</f>
        <v>46168</v>
      </c>
      <c r="F995">
        <v>3117</v>
      </c>
      <c r="G995">
        <v>45</v>
      </c>
      <c r="H995">
        <f t="shared" si="93"/>
        <v>0</v>
      </c>
      <c r="I995" t="str">
        <f t="shared" si="97"/>
        <v>On Time</v>
      </c>
      <c r="J995" cm="1">
        <f t="array" ref="J995">_xlfn.IFS(H995&lt;30,0,H995&lt;60,1,H995&lt;90,2,H995&lt;120,3)</f>
        <v>0</v>
      </c>
      <c r="M995" t="str">
        <f t="shared" si="98"/>
        <v>Low</v>
      </c>
      <c r="N995" t="str">
        <f t="shared" si="95"/>
        <v>Jan</v>
      </c>
      <c r="O995">
        <f t="shared" si="96"/>
        <v>2026</v>
      </c>
    </row>
    <row r="996" spans="1:15" x14ac:dyDescent="0.3">
      <c r="A996">
        <v>203570</v>
      </c>
      <c r="B996" t="s">
        <v>46</v>
      </c>
      <c r="C996" s="2">
        <v>46048</v>
      </c>
      <c r="D996" s="2">
        <f t="shared" si="94"/>
        <v>46108</v>
      </c>
      <c r="E996" s="1">
        <f>D996+5</f>
        <v>46113</v>
      </c>
      <c r="F996">
        <v>1622</v>
      </c>
      <c r="G996">
        <v>60</v>
      </c>
      <c r="H996">
        <f t="shared" si="93"/>
        <v>0</v>
      </c>
      <c r="I996" t="str">
        <f t="shared" si="97"/>
        <v>On Time</v>
      </c>
      <c r="J996" cm="1">
        <f t="array" ref="J996">_xlfn.IFS(H996&lt;30,0,H996&lt;60,1,H996&lt;90,2,H996&lt;120,3)</f>
        <v>0</v>
      </c>
      <c r="M996" t="str">
        <f t="shared" si="98"/>
        <v>Low</v>
      </c>
      <c r="N996" t="str">
        <f t="shared" si="95"/>
        <v>Jan</v>
      </c>
      <c r="O996">
        <f t="shared" si="96"/>
        <v>2026</v>
      </c>
    </row>
    <row r="997" spans="1:15" x14ac:dyDescent="0.3">
      <c r="A997">
        <v>203571</v>
      </c>
      <c r="B997" t="s">
        <v>114</v>
      </c>
      <c r="C997" s="2">
        <v>46048</v>
      </c>
      <c r="D997" s="2">
        <f t="shared" si="94"/>
        <v>46078</v>
      </c>
      <c r="E997" s="1">
        <f>D997</f>
        <v>46078</v>
      </c>
      <c r="F997">
        <v>2329</v>
      </c>
      <c r="G997">
        <v>30</v>
      </c>
      <c r="H997">
        <f t="shared" si="93"/>
        <v>0</v>
      </c>
      <c r="I997" t="str">
        <f t="shared" si="97"/>
        <v>On Time</v>
      </c>
      <c r="J997" cm="1">
        <f t="array" ref="J997">_xlfn.IFS(H997&lt;30,0,H997&lt;60,1,H997&lt;90,2,H997&lt;120,3)</f>
        <v>0</v>
      </c>
      <c r="M997" t="str">
        <f t="shared" si="98"/>
        <v>Low</v>
      </c>
      <c r="N997" t="str">
        <f t="shared" si="95"/>
        <v>Jan</v>
      </c>
      <c r="O997">
        <f t="shared" si="96"/>
        <v>2026</v>
      </c>
    </row>
    <row r="998" spans="1:15" x14ac:dyDescent="0.3">
      <c r="A998">
        <v>203572</v>
      </c>
      <c r="B998" t="s">
        <v>115</v>
      </c>
      <c r="C998" s="2">
        <v>46048</v>
      </c>
      <c r="D998" s="2">
        <f t="shared" si="94"/>
        <v>46078</v>
      </c>
      <c r="E998" s="1">
        <f>D998-1</f>
        <v>46077</v>
      </c>
      <c r="F998">
        <v>1612</v>
      </c>
      <c r="G998">
        <v>30</v>
      </c>
      <c r="H998">
        <f t="shared" ref="H998:H1061" si="99">MAX(0,P963-D998)</f>
        <v>0</v>
      </c>
      <c r="I998" t="str">
        <f t="shared" si="97"/>
        <v>On Time</v>
      </c>
      <c r="J998" cm="1">
        <f t="array" ref="J998">_xlfn.IFS(H998&lt;30,0,H998&lt;60,1,H998&lt;90,2,H998&lt;120,3)</f>
        <v>0</v>
      </c>
      <c r="M998" t="str">
        <f t="shared" si="98"/>
        <v>Low</v>
      </c>
      <c r="N998" t="str">
        <f t="shared" si="95"/>
        <v>Jan</v>
      </c>
      <c r="O998">
        <f t="shared" si="96"/>
        <v>2026</v>
      </c>
    </row>
    <row r="999" spans="1:15" x14ac:dyDescent="0.3">
      <c r="A999">
        <v>203573</v>
      </c>
      <c r="B999" t="s">
        <v>116</v>
      </c>
      <c r="C999" s="2">
        <v>46048</v>
      </c>
      <c r="D999" s="2">
        <f t="shared" si="94"/>
        <v>46078</v>
      </c>
      <c r="E999" s="1">
        <f>D999</f>
        <v>46078</v>
      </c>
      <c r="F999">
        <v>1710</v>
      </c>
      <c r="G999">
        <v>30</v>
      </c>
      <c r="H999">
        <f t="shared" si="99"/>
        <v>0</v>
      </c>
      <c r="I999" t="str">
        <f t="shared" si="97"/>
        <v>On Time</v>
      </c>
      <c r="J999" cm="1">
        <f t="array" ref="J999">_xlfn.IFS(H999&lt;30,0,H999&lt;60,1,H999&lt;90,2,H999&lt;120,3)</f>
        <v>0</v>
      </c>
      <c r="M999" t="str">
        <f t="shared" si="98"/>
        <v>Low</v>
      </c>
      <c r="N999" t="str">
        <f t="shared" si="95"/>
        <v>Jan</v>
      </c>
      <c r="O999">
        <f t="shared" si="96"/>
        <v>2026</v>
      </c>
    </row>
    <row r="1000" spans="1:15" x14ac:dyDescent="0.3">
      <c r="A1000">
        <v>203542</v>
      </c>
      <c r="B1000" t="s">
        <v>49</v>
      </c>
      <c r="C1000" s="2">
        <v>46045</v>
      </c>
      <c r="D1000" s="2">
        <f t="shared" si="94"/>
        <v>46075</v>
      </c>
      <c r="E1000" s="1">
        <f>D1000+15</f>
        <v>46090</v>
      </c>
      <c r="F1000">
        <v>1817</v>
      </c>
      <c r="G1000">
        <v>30</v>
      </c>
      <c r="H1000">
        <f t="shared" si="99"/>
        <v>0</v>
      </c>
      <c r="I1000" t="str">
        <f t="shared" si="97"/>
        <v>On Time</v>
      </c>
      <c r="J1000" cm="1">
        <f t="array" ref="J1000">_xlfn.IFS(H1000&lt;30,0,H1000&lt;60,1,H1000&lt;90,2,H1000&lt;120,3)</f>
        <v>0</v>
      </c>
      <c r="M1000" t="str">
        <f t="shared" si="98"/>
        <v>Low</v>
      </c>
      <c r="N1000" t="str">
        <f t="shared" si="95"/>
        <v>Jan</v>
      </c>
      <c r="O1000">
        <f t="shared" si="96"/>
        <v>2026</v>
      </c>
    </row>
    <row r="1001" spans="1:15" x14ac:dyDescent="0.3">
      <c r="A1001">
        <v>203543</v>
      </c>
      <c r="B1001" t="s">
        <v>50</v>
      </c>
      <c r="C1001" s="2">
        <v>46045</v>
      </c>
      <c r="D1001" s="2">
        <f t="shared" si="94"/>
        <v>46075</v>
      </c>
      <c r="E1001" s="1">
        <f>D1001</f>
        <v>46075</v>
      </c>
      <c r="F1001">
        <v>1118</v>
      </c>
      <c r="G1001">
        <v>30</v>
      </c>
      <c r="H1001">
        <f t="shared" si="99"/>
        <v>0</v>
      </c>
      <c r="I1001" t="str">
        <f t="shared" si="97"/>
        <v>On Time</v>
      </c>
      <c r="J1001" cm="1">
        <f t="array" ref="J1001">_xlfn.IFS(H1001&lt;30,0,H1001&lt;60,1,H1001&lt;90,2,H1001&lt;120,3)</f>
        <v>0</v>
      </c>
      <c r="M1001" t="str">
        <f t="shared" si="98"/>
        <v>Low</v>
      </c>
      <c r="N1001" t="str">
        <f t="shared" si="95"/>
        <v>Jan</v>
      </c>
      <c r="O1001">
        <f t="shared" si="96"/>
        <v>2026</v>
      </c>
    </row>
    <row r="1002" spans="1:15" x14ac:dyDescent="0.3">
      <c r="A1002">
        <v>203544</v>
      </c>
      <c r="B1002" t="s">
        <v>51</v>
      </c>
      <c r="C1002" s="2">
        <v>46045</v>
      </c>
      <c r="D1002" s="2">
        <f t="shared" si="94"/>
        <v>46075</v>
      </c>
      <c r="E1002" s="1">
        <f>D1002-2</f>
        <v>46073</v>
      </c>
      <c r="F1002">
        <v>2288</v>
      </c>
      <c r="G1002">
        <v>30</v>
      </c>
      <c r="H1002">
        <f t="shared" si="99"/>
        <v>0</v>
      </c>
      <c r="I1002" t="str">
        <f t="shared" si="97"/>
        <v>On Time</v>
      </c>
      <c r="J1002" cm="1">
        <f t="array" ref="J1002">_xlfn.IFS(H1002&lt;30,0,H1002&lt;60,1,H1002&lt;90,2,H1002&lt;120,3)</f>
        <v>0</v>
      </c>
      <c r="M1002" t="str">
        <f t="shared" si="98"/>
        <v>Low</v>
      </c>
      <c r="N1002" t="str">
        <f t="shared" si="95"/>
        <v>Jan</v>
      </c>
      <c r="O1002">
        <f t="shared" si="96"/>
        <v>2026</v>
      </c>
    </row>
    <row r="1003" spans="1:15" x14ac:dyDescent="0.3">
      <c r="A1003">
        <v>203545</v>
      </c>
      <c r="B1003" t="s">
        <v>52</v>
      </c>
      <c r="C1003" s="2">
        <v>46045</v>
      </c>
      <c r="D1003" s="2">
        <f t="shared" si="94"/>
        <v>46075</v>
      </c>
      <c r="E1003" s="1">
        <f>D1003</f>
        <v>46075</v>
      </c>
      <c r="F1003">
        <v>3861</v>
      </c>
      <c r="G1003">
        <v>30</v>
      </c>
      <c r="H1003">
        <f t="shared" si="99"/>
        <v>0</v>
      </c>
      <c r="I1003" t="str">
        <f t="shared" si="97"/>
        <v>On Time</v>
      </c>
      <c r="J1003" cm="1">
        <f t="array" ref="J1003">_xlfn.IFS(H1003&lt;30,0,H1003&lt;60,1,H1003&lt;90,2,H1003&lt;120,3)</f>
        <v>0</v>
      </c>
      <c r="M1003" t="str">
        <f t="shared" si="98"/>
        <v>Low</v>
      </c>
      <c r="N1003" t="str">
        <f t="shared" si="95"/>
        <v>Jan</v>
      </c>
      <c r="O1003">
        <f t="shared" si="96"/>
        <v>2026</v>
      </c>
    </row>
    <row r="1004" spans="1:15" x14ac:dyDescent="0.3">
      <c r="A1004">
        <v>203546</v>
      </c>
      <c r="B1004" t="s">
        <v>53</v>
      </c>
      <c r="C1004" s="2">
        <v>46045</v>
      </c>
      <c r="D1004" s="2">
        <f t="shared" si="94"/>
        <v>46075</v>
      </c>
      <c r="E1004" s="1">
        <f>D1004+2</f>
        <v>46077</v>
      </c>
      <c r="F1004">
        <v>1829</v>
      </c>
      <c r="G1004">
        <v>30</v>
      </c>
      <c r="H1004">
        <f t="shared" si="99"/>
        <v>0</v>
      </c>
      <c r="I1004" t="str">
        <f t="shared" si="97"/>
        <v>On Time</v>
      </c>
      <c r="J1004" cm="1">
        <f t="array" ref="J1004">_xlfn.IFS(H1004&lt;30,0,H1004&lt;60,1,H1004&lt;90,2,H1004&lt;120,3)</f>
        <v>0</v>
      </c>
      <c r="M1004" t="str">
        <f t="shared" si="98"/>
        <v>Low</v>
      </c>
      <c r="N1004" t="str">
        <f t="shared" si="95"/>
        <v>Jan</v>
      </c>
      <c r="O1004">
        <f t="shared" si="96"/>
        <v>2026</v>
      </c>
    </row>
    <row r="1005" spans="1:15" x14ac:dyDescent="0.3">
      <c r="A1005">
        <v>203547</v>
      </c>
      <c r="B1005" t="s">
        <v>54</v>
      </c>
      <c r="C1005" s="2">
        <v>46045</v>
      </c>
      <c r="D1005" s="2">
        <f t="shared" si="94"/>
        <v>46075</v>
      </c>
      <c r="E1005" s="1">
        <f>D1005+2</f>
        <v>46077</v>
      </c>
      <c r="F1005">
        <v>3242</v>
      </c>
      <c r="G1005">
        <v>30</v>
      </c>
      <c r="H1005">
        <f t="shared" si="99"/>
        <v>0</v>
      </c>
      <c r="I1005" t="str">
        <f t="shared" si="97"/>
        <v>On Time</v>
      </c>
      <c r="J1005" cm="1">
        <f t="array" ref="J1005">_xlfn.IFS(H1005&lt;30,0,H1005&lt;60,1,H1005&lt;90,2,H1005&lt;120,3)</f>
        <v>0</v>
      </c>
      <c r="M1005" t="str">
        <f t="shared" si="98"/>
        <v>Low</v>
      </c>
      <c r="N1005" t="str">
        <f t="shared" si="95"/>
        <v>Jan</v>
      </c>
      <c r="O1005">
        <f t="shared" si="96"/>
        <v>2026</v>
      </c>
    </row>
    <row r="1006" spans="1:15" x14ac:dyDescent="0.3">
      <c r="A1006">
        <v>203548</v>
      </c>
      <c r="B1006" t="s">
        <v>36</v>
      </c>
      <c r="C1006" s="2">
        <v>46045</v>
      </c>
      <c r="D1006" s="2">
        <f t="shared" si="94"/>
        <v>46075</v>
      </c>
      <c r="E1006" s="1">
        <f>D1006+2</f>
        <v>46077</v>
      </c>
      <c r="F1006">
        <v>2429</v>
      </c>
      <c r="G1006">
        <v>30</v>
      </c>
      <c r="H1006">
        <f t="shared" si="99"/>
        <v>0</v>
      </c>
      <c r="I1006" t="str">
        <f t="shared" si="97"/>
        <v>On Time</v>
      </c>
      <c r="J1006" cm="1">
        <f t="array" ref="J1006">_xlfn.IFS(H1006&lt;30,0,H1006&lt;60,1,H1006&lt;90,2,H1006&lt;120,3)</f>
        <v>0</v>
      </c>
      <c r="M1006" t="str">
        <f t="shared" si="98"/>
        <v>Low</v>
      </c>
      <c r="N1006" t="str">
        <f t="shared" si="95"/>
        <v>Jan</v>
      </c>
      <c r="O1006">
        <f t="shared" si="96"/>
        <v>2026</v>
      </c>
    </row>
    <row r="1007" spans="1:15" x14ac:dyDescent="0.3">
      <c r="A1007">
        <v>203549</v>
      </c>
      <c r="B1007" t="s">
        <v>37</v>
      </c>
      <c r="C1007" s="2">
        <v>46045</v>
      </c>
      <c r="D1007" s="2">
        <f t="shared" si="94"/>
        <v>46075</v>
      </c>
      <c r="E1007" s="1">
        <f>D1007</f>
        <v>46075</v>
      </c>
      <c r="F1007">
        <v>15558</v>
      </c>
      <c r="G1007">
        <v>30</v>
      </c>
      <c r="H1007">
        <f t="shared" si="99"/>
        <v>0</v>
      </c>
      <c r="I1007" t="str">
        <f t="shared" si="97"/>
        <v>On Time</v>
      </c>
      <c r="J1007" cm="1">
        <f t="array" ref="J1007">_xlfn.IFS(H1007&lt;30,0,H1007&lt;60,1,H1007&lt;90,2,H1007&lt;120,3)</f>
        <v>0</v>
      </c>
      <c r="M1007" t="str">
        <f t="shared" si="98"/>
        <v>Low</v>
      </c>
      <c r="N1007" t="str">
        <f t="shared" si="95"/>
        <v>Jan</v>
      </c>
      <c r="O1007">
        <f t="shared" si="96"/>
        <v>2026</v>
      </c>
    </row>
    <row r="1008" spans="1:15" x14ac:dyDescent="0.3">
      <c r="A1008">
        <v>203550</v>
      </c>
      <c r="B1008" t="s">
        <v>38</v>
      </c>
      <c r="C1008" s="2">
        <v>46045</v>
      </c>
      <c r="D1008" s="2">
        <f t="shared" si="94"/>
        <v>46075</v>
      </c>
      <c r="E1008" s="1">
        <f>D1008+20</f>
        <v>46095</v>
      </c>
      <c r="F1008">
        <v>2617</v>
      </c>
      <c r="G1008">
        <v>30</v>
      </c>
      <c r="H1008">
        <f t="shared" si="99"/>
        <v>0</v>
      </c>
      <c r="I1008" t="str">
        <f t="shared" si="97"/>
        <v>On Time</v>
      </c>
      <c r="J1008" cm="1">
        <f t="array" ref="J1008">_xlfn.IFS(H1008&lt;30,0,H1008&lt;60,1,H1008&lt;90,2,H1008&lt;120,3)</f>
        <v>0</v>
      </c>
      <c r="M1008" t="str">
        <f t="shared" si="98"/>
        <v>Low</v>
      </c>
      <c r="N1008" t="str">
        <f t="shared" si="95"/>
        <v>Jan</v>
      </c>
      <c r="O1008">
        <f t="shared" si="96"/>
        <v>2026</v>
      </c>
    </row>
    <row r="1009" spans="1:15" x14ac:dyDescent="0.3">
      <c r="A1009">
        <v>203551</v>
      </c>
      <c r="B1009" t="s">
        <v>39</v>
      </c>
      <c r="C1009" s="2">
        <v>46045</v>
      </c>
      <c r="D1009" s="2">
        <f t="shared" si="94"/>
        <v>46075</v>
      </c>
      <c r="E1009" s="1">
        <f>D1009</f>
        <v>46075</v>
      </c>
      <c r="F1009">
        <v>2616</v>
      </c>
      <c r="G1009">
        <v>30</v>
      </c>
      <c r="H1009">
        <f t="shared" si="99"/>
        <v>0</v>
      </c>
      <c r="I1009" t="str">
        <f t="shared" si="97"/>
        <v>On Time</v>
      </c>
      <c r="J1009" cm="1">
        <f t="array" ref="J1009">_xlfn.IFS(H1009&lt;30,0,H1009&lt;60,1,H1009&lt;90,2,H1009&lt;120,3)</f>
        <v>0</v>
      </c>
      <c r="M1009" t="str">
        <f t="shared" si="98"/>
        <v>Low</v>
      </c>
      <c r="N1009" t="str">
        <f t="shared" si="95"/>
        <v>Jan</v>
      </c>
      <c r="O1009">
        <f t="shared" si="96"/>
        <v>2026</v>
      </c>
    </row>
    <row r="1010" spans="1:15" x14ac:dyDescent="0.3">
      <c r="A1010">
        <v>203552</v>
      </c>
      <c r="B1010" t="s">
        <v>40</v>
      </c>
      <c r="C1010" s="2">
        <v>46045</v>
      </c>
      <c r="D1010" s="2">
        <f t="shared" si="94"/>
        <v>46075</v>
      </c>
      <c r="E1010" s="1">
        <f>D1010+1</f>
        <v>46076</v>
      </c>
      <c r="F1010">
        <v>4255</v>
      </c>
      <c r="G1010">
        <v>30</v>
      </c>
      <c r="H1010">
        <f t="shared" si="99"/>
        <v>0</v>
      </c>
      <c r="I1010" t="str">
        <f t="shared" si="97"/>
        <v>On Time</v>
      </c>
      <c r="J1010" cm="1">
        <f t="array" ref="J1010">_xlfn.IFS(H1010&lt;30,0,H1010&lt;60,1,H1010&lt;90,2,H1010&lt;120,3)</f>
        <v>0</v>
      </c>
      <c r="M1010" t="str">
        <f t="shared" si="98"/>
        <v>Low</v>
      </c>
      <c r="N1010" t="str">
        <f t="shared" si="95"/>
        <v>Jan</v>
      </c>
      <c r="O1010">
        <f t="shared" si="96"/>
        <v>2026</v>
      </c>
    </row>
    <row r="1011" spans="1:15" x14ac:dyDescent="0.3">
      <c r="A1011">
        <v>203553</v>
      </c>
      <c r="B1011" t="s">
        <v>41</v>
      </c>
      <c r="C1011" s="2">
        <v>46045</v>
      </c>
      <c r="D1011" s="2">
        <f t="shared" si="94"/>
        <v>46075</v>
      </c>
      <c r="E1011" s="1">
        <f>D1011</f>
        <v>46075</v>
      </c>
      <c r="F1011">
        <v>3915</v>
      </c>
      <c r="G1011">
        <v>30</v>
      </c>
      <c r="H1011">
        <f t="shared" si="99"/>
        <v>0</v>
      </c>
      <c r="I1011" t="str">
        <f t="shared" si="97"/>
        <v>On Time</v>
      </c>
      <c r="J1011" cm="1">
        <f t="array" ref="J1011">_xlfn.IFS(H1011&lt;30,0,H1011&lt;60,1,H1011&lt;90,2,H1011&lt;120,3)</f>
        <v>0</v>
      </c>
      <c r="M1011" t="str">
        <f t="shared" si="98"/>
        <v>Low</v>
      </c>
      <c r="N1011" t="str">
        <f t="shared" si="95"/>
        <v>Jan</v>
      </c>
      <c r="O1011">
        <f t="shared" si="96"/>
        <v>2026</v>
      </c>
    </row>
    <row r="1012" spans="1:15" x14ac:dyDescent="0.3">
      <c r="A1012">
        <v>203554</v>
      </c>
      <c r="B1012" t="s">
        <v>42</v>
      </c>
      <c r="C1012" s="2">
        <v>46045</v>
      </c>
      <c r="D1012" s="2">
        <f t="shared" si="94"/>
        <v>46075</v>
      </c>
      <c r="E1012" s="1">
        <f>D1012</f>
        <v>46075</v>
      </c>
      <c r="F1012">
        <v>4035</v>
      </c>
      <c r="G1012">
        <v>30</v>
      </c>
      <c r="H1012">
        <f t="shared" si="99"/>
        <v>0</v>
      </c>
      <c r="I1012" t="str">
        <f t="shared" si="97"/>
        <v>On Time</v>
      </c>
      <c r="J1012" cm="1">
        <f t="array" ref="J1012">_xlfn.IFS(H1012&lt;30,0,H1012&lt;60,1,H1012&lt;90,2,H1012&lt;120,3)</f>
        <v>0</v>
      </c>
      <c r="M1012" t="str">
        <f t="shared" si="98"/>
        <v>Low</v>
      </c>
      <c r="N1012" t="str">
        <f t="shared" si="95"/>
        <v>Jan</v>
      </c>
      <c r="O1012">
        <f t="shared" si="96"/>
        <v>2026</v>
      </c>
    </row>
    <row r="1013" spans="1:15" x14ac:dyDescent="0.3">
      <c r="A1013">
        <v>203555</v>
      </c>
      <c r="B1013" t="s">
        <v>43</v>
      </c>
      <c r="C1013" s="2">
        <v>46045</v>
      </c>
      <c r="D1013" s="2">
        <f t="shared" si="94"/>
        <v>46075</v>
      </c>
      <c r="E1013" s="1">
        <f>D1013+5</f>
        <v>46080</v>
      </c>
      <c r="F1013">
        <v>214</v>
      </c>
      <c r="G1013">
        <v>30</v>
      </c>
      <c r="H1013">
        <f t="shared" si="99"/>
        <v>0</v>
      </c>
      <c r="I1013" t="str">
        <f t="shared" si="97"/>
        <v>On Time</v>
      </c>
      <c r="J1013" cm="1">
        <f t="array" ref="J1013">_xlfn.IFS(H1013&lt;30,0,H1013&lt;60,1,H1013&lt;90,2,H1013&lt;120,3)</f>
        <v>0</v>
      </c>
      <c r="M1013" t="str">
        <f t="shared" si="98"/>
        <v>Low</v>
      </c>
      <c r="N1013" t="str">
        <f t="shared" si="95"/>
        <v>Jan</v>
      </c>
      <c r="O1013">
        <f t="shared" si="96"/>
        <v>2026</v>
      </c>
    </row>
    <row r="1014" spans="1:15" x14ac:dyDescent="0.3">
      <c r="A1014">
        <v>203556</v>
      </c>
      <c r="B1014" t="s">
        <v>25</v>
      </c>
      <c r="C1014" s="2">
        <v>46045</v>
      </c>
      <c r="D1014" s="2">
        <f t="shared" si="94"/>
        <v>46105</v>
      </c>
      <c r="E1014" s="1">
        <f>D1014+2</f>
        <v>46107</v>
      </c>
      <c r="F1014">
        <v>2912</v>
      </c>
      <c r="G1014">
        <v>60</v>
      </c>
      <c r="H1014">
        <f t="shared" si="99"/>
        <v>0</v>
      </c>
      <c r="I1014" t="str">
        <f t="shared" si="97"/>
        <v>On Time</v>
      </c>
      <c r="J1014" cm="1">
        <f t="array" ref="J1014">_xlfn.IFS(H1014&lt;30,0,H1014&lt;60,1,H1014&lt;90,2,H1014&lt;120,3)</f>
        <v>0</v>
      </c>
      <c r="M1014" t="str">
        <f t="shared" si="98"/>
        <v>Low</v>
      </c>
      <c r="N1014" t="str">
        <f t="shared" si="95"/>
        <v>Jan</v>
      </c>
      <c r="O1014">
        <f t="shared" si="96"/>
        <v>2026</v>
      </c>
    </row>
    <row r="1015" spans="1:15" x14ac:dyDescent="0.3">
      <c r="A1015">
        <v>203557</v>
      </c>
      <c r="B1015" t="s">
        <v>26</v>
      </c>
      <c r="C1015" s="2">
        <v>46045</v>
      </c>
      <c r="D1015" s="2">
        <f t="shared" si="94"/>
        <v>46075</v>
      </c>
      <c r="E1015" s="1">
        <f>D1015</f>
        <v>46075</v>
      </c>
      <c r="F1015">
        <v>3799</v>
      </c>
      <c r="G1015">
        <v>30</v>
      </c>
      <c r="H1015">
        <f t="shared" si="99"/>
        <v>0</v>
      </c>
      <c r="I1015" t="str">
        <f t="shared" si="97"/>
        <v>On Time</v>
      </c>
      <c r="J1015" cm="1">
        <f t="array" ref="J1015">_xlfn.IFS(H1015&lt;30,0,H1015&lt;60,1,H1015&lt;90,2,H1015&lt;120,3)</f>
        <v>0</v>
      </c>
      <c r="M1015" t="str">
        <f t="shared" si="98"/>
        <v>Low</v>
      </c>
      <c r="N1015" t="str">
        <f t="shared" si="95"/>
        <v>Jan</v>
      </c>
      <c r="O1015">
        <f t="shared" si="96"/>
        <v>2026</v>
      </c>
    </row>
    <row r="1016" spans="1:15" x14ac:dyDescent="0.3">
      <c r="A1016">
        <v>203527</v>
      </c>
      <c r="B1016" t="s">
        <v>92</v>
      </c>
      <c r="C1016" s="2">
        <v>46044</v>
      </c>
      <c r="D1016" s="2">
        <f t="shared" si="94"/>
        <v>46074</v>
      </c>
      <c r="E1016" s="1">
        <f>D1016+67</f>
        <v>46141</v>
      </c>
      <c r="F1016">
        <v>2182</v>
      </c>
      <c r="G1016">
        <v>30</v>
      </c>
      <c r="H1016">
        <f t="shared" si="99"/>
        <v>0</v>
      </c>
      <c r="I1016" t="str">
        <f t="shared" si="97"/>
        <v>On Time</v>
      </c>
      <c r="J1016" cm="1">
        <f t="array" ref="J1016">_xlfn.IFS(H1016&lt;30,0,H1016&lt;60,1,H1016&lt;90,2,H1016&lt;120,3)</f>
        <v>0</v>
      </c>
      <c r="M1016" t="str">
        <f t="shared" si="98"/>
        <v>Low</v>
      </c>
      <c r="N1016" t="str">
        <f t="shared" si="95"/>
        <v>Jan</v>
      </c>
      <c r="O1016">
        <f t="shared" si="96"/>
        <v>2026</v>
      </c>
    </row>
    <row r="1017" spans="1:15" x14ac:dyDescent="0.3">
      <c r="A1017">
        <v>203528</v>
      </c>
      <c r="B1017" t="s">
        <v>93</v>
      </c>
      <c r="C1017" s="2">
        <v>46044</v>
      </c>
      <c r="D1017" s="2">
        <f t="shared" si="94"/>
        <v>46074</v>
      </c>
      <c r="E1017" s="1">
        <f>D1017</f>
        <v>46074</v>
      </c>
      <c r="F1017">
        <v>2319</v>
      </c>
      <c r="G1017">
        <v>30</v>
      </c>
      <c r="H1017">
        <f t="shared" si="99"/>
        <v>0</v>
      </c>
      <c r="I1017" t="str">
        <f t="shared" si="97"/>
        <v>On Time</v>
      </c>
      <c r="J1017" cm="1">
        <f t="array" ref="J1017">_xlfn.IFS(H1017&lt;30,0,H1017&lt;60,1,H1017&lt;90,2,H1017&lt;120,3)</f>
        <v>0</v>
      </c>
      <c r="M1017" t="str">
        <f t="shared" si="98"/>
        <v>Low</v>
      </c>
      <c r="N1017" t="str">
        <f t="shared" si="95"/>
        <v>Jan</v>
      </c>
      <c r="O1017">
        <f t="shared" si="96"/>
        <v>2026</v>
      </c>
    </row>
    <row r="1018" spans="1:15" x14ac:dyDescent="0.3">
      <c r="A1018">
        <v>203529</v>
      </c>
      <c r="B1018" t="s">
        <v>94</v>
      </c>
      <c r="C1018" s="2">
        <v>46044</v>
      </c>
      <c r="D1018" s="2">
        <f t="shared" si="94"/>
        <v>46074</v>
      </c>
      <c r="F1018">
        <v>3711</v>
      </c>
      <c r="G1018">
        <v>30</v>
      </c>
      <c r="H1018">
        <f t="shared" si="99"/>
        <v>0</v>
      </c>
      <c r="I1018" t="str">
        <f t="shared" si="97"/>
        <v>On Time</v>
      </c>
      <c r="J1018" cm="1">
        <f t="array" ref="J1018">_xlfn.IFS(H1018&lt;30,0,H1018&lt;60,1,H1018&lt;90,2,H1018&lt;120,3)</f>
        <v>0</v>
      </c>
      <c r="M1018" t="str">
        <f t="shared" si="98"/>
        <v>Low</v>
      </c>
      <c r="N1018" t="str">
        <f t="shared" si="95"/>
        <v>Jan</v>
      </c>
      <c r="O1018">
        <f t="shared" si="96"/>
        <v>2026</v>
      </c>
    </row>
    <row r="1019" spans="1:15" x14ac:dyDescent="0.3">
      <c r="A1019">
        <v>203530</v>
      </c>
      <c r="B1019" t="s">
        <v>95</v>
      </c>
      <c r="C1019" s="2">
        <v>46044</v>
      </c>
      <c r="D1019" s="2">
        <f t="shared" si="94"/>
        <v>46089</v>
      </c>
      <c r="E1019" s="1">
        <f>D1019+3</f>
        <v>46092</v>
      </c>
      <c r="F1019">
        <v>2269</v>
      </c>
      <c r="G1019">
        <v>45</v>
      </c>
      <c r="H1019">
        <f t="shared" si="99"/>
        <v>0</v>
      </c>
      <c r="I1019" t="str">
        <f t="shared" si="97"/>
        <v>On Time</v>
      </c>
      <c r="J1019" cm="1">
        <f t="array" ref="J1019">_xlfn.IFS(H1019&lt;30,0,H1019&lt;60,1,H1019&lt;90,2,H1019&lt;120,3)</f>
        <v>0</v>
      </c>
      <c r="M1019" t="str">
        <f t="shared" si="98"/>
        <v>Low</v>
      </c>
      <c r="N1019" t="str">
        <f t="shared" si="95"/>
        <v>Jan</v>
      </c>
      <c r="O1019">
        <f t="shared" si="96"/>
        <v>2026</v>
      </c>
    </row>
    <row r="1020" spans="1:15" x14ac:dyDescent="0.3">
      <c r="A1020">
        <v>203531</v>
      </c>
      <c r="B1020" t="s">
        <v>68</v>
      </c>
      <c r="C1020" s="2">
        <v>46044</v>
      </c>
      <c r="D1020" s="2">
        <f t="shared" si="94"/>
        <v>46074</v>
      </c>
      <c r="E1020" s="1">
        <f>D1020+1</f>
        <v>46075</v>
      </c>
      <c r="F1020">
        <v>2068</v>
      </c>
      <c r="G1020">
        <v>30</v>
      </c>
      <c r="H1020">
        <f t="shared" si="99"/>
        <v>0</v>
      </c>
      <c r="I1020" t="str">
        <f t="shared" si="97"/>
        <v>On Time</v>
      </c>
      <c r="J1020" cm="1">
        <f t="array" ref="J1020">_xlfn.IFS(H1020&lt;30,0,H1020&lt;60,1,H1020&lt;90,2,H1020&lt;120,3)</f>
        <v>0</v>
      </c>
      <c r="M1020" t="str">
        <f t="shared" si="98"/>
        <v>Low</v>
      </c>
      <c r="N1020" t="str">
        <f t="shared" si="95"/>
        <v>Jan</v>
      </c>
      <c r="O1020">
        <f t="shared" si="96"/>
        <v>2026</v>
      </c>
    </row>
    <row r="1021" spans="1:15" x14ac:dyDescent="0.3">
      <c r="A1021">
        <v>203532</v>
      </c>
      <c r="B1021" t="s">
        <v>69</v>
      </c>
      <c r="C1021" s="2">
        <v>46044</v>
      </c>
      <c r="D1021" s="2">
        <f t="shared" si="94"/>
        <v>46074</v>
      </c>
      <c r="E1021" s="1">
        <f>D1021-1</f>
        <v>46073</v>
      </c>
      <c r="F1021">
        <v>2527</v>
      </c>
      <c r="G1021">
        <v>30</v>
      </c>
      <c r="H1021">
        <f t="shared" si="99"/>
        <v>0</v>
      </c>
      <c r="I1021" t="str">
        <f t="shared" si="97"/>
        <v>On Time</v>
      </c>
      <c r="J1021" cm="1">
        <f t="array" ref="J1021">_xlfn.IFS(H1021&lt;30,0,H1021&lt;60,1,H1021&lt;90,2,H1021&lt;120,3)</f>
        <v>0</v>
      </c>
      <c r="M1021" t="str">
        <f t="shared" si="98"/>
        <v>Low</v>
      </c>
      <c r="N1021" t="str">
        <f t="shared" si="95"/>
        <v>Jan</v>
      </c>
      <c r="O1021">
        <f t="shared" si="96"/>
        <v>2026</v>
      </c>
    </row>
    <row r="1022" spans="1:15" x14ac:dyDescent="0.3">
      <c r="A1022">
        <v>203533</v>
      </c>
      <c r="B1022" t="s">
        <v>70</v>
      </c>
      <c r="C1022" s="2">
        <v>46044</v>
      </c>
      <c r="D1022" s="2">
        <f t="shared" si="94"/>
        <v>46074</v>
      </c>
      <c r="E1022" s="1">
        <f>D1022</f>
        <v>46074</v>
      </c>
      <c r="F1022">
        <v>2698</v>
      </c>
      <c r="G1022">
        <v>30</v>
      </c>
      <c r="H1022">
        <f t="shared" si="99"/>
        <v>0</v>
      </c>
      <c r="I1022" t="str">
        <f t="shared" si="97"/>
        <v>On Time</v>
      </c>
      <c r="J1022" cm="1">
        <f t="array" ref="J1022">_xlfn.IFS(H1022&lt;30,0,H1022&lt;60,1,H1022&lt;90,2,H1022&lt;120,3)</f>
        <v>0</v>
      </c>
      <c r="M1022" t="str">
        <f t="shared" si="98"/>
        <v>Low</v>
      </c>
      <c r="N1022" t="str">
        <f t="shared" si="95"/>
        <v>Jan</v>
      </c>
      <c r="O1022">
        <f t="shared" si="96"/>
        <v>2026</v>
      </c>
    </row>
    <row r="1023" spans="1:15" x14ac:dyDescent="0.3">
      <c r="A1023">
        <v>203534</v>
      </c>
      <c r="B1023" t="s">
        <v>71</v>
      </c>
      <c r="C1023" s="2">
        <v>46044</v>
      </c>
      <c r="D1023" s="2">
        <f t="shared" si="94"/>
        <v>46074</v>
      </c>
      <c r="E1023" s="1">
        <f>D1023-5</f>
        <v>46069</v>
      </c>
      <c r="F1023">
        <v>3667</v>
      </c>
      <c r="G1023">
        <v>30</v>
      </c>
      <c r="H1023">
        <f t="shared" si="99"/>
        <v>0</v>
      </c>
      <c r="I1023" t="str">
        <f t="shared" si="97"/>
        <v>On Time</v>
      </c>
      <c r="J1023" cm="1">
        <f t="array" ref="J1023">_xlfn.IFS(H1023&lt;30,0,H1023&lt;60,1,H1023&lt;90,2,H1023&lt;120,3)</f>
        <v>0</v>
      </c>
      <c r="M1023" t="str">
        <f t="shared" si="98"/>
        <v>Low</v>
      </c>
      <c r="N1023" t="str">
        <f t="shared" si="95"/>
        <v>Jan</v>
      </c>
      <c r="O1023">
        <f t="shared" si="96"/>
        <v>2026</v>
      </c>
    </row>
    <row r="1024" spans="1:15" x14ac:dyDescent="0.3">
      <c r="A1024">
        <v>203535</v>
      </c>
      <c r="B1024" t="s">
        <v>72</v>
      </c>
      <c r="C1024" s="2">
        <v>46044</v>
      </c>
      <c r="D1024" s="2">
        <f t="shared" si="94"/>
        <v>46074</v>
      </c>
      <c r="E1024" s="1">
        <f>D1024+35</f>
        <v>46109</v>
      </c>
      <c r="F1024">
        <v>4454</v>
      </c>
      <c r="G1024">
        <v>30</v>
      </c>
      <c r="H1024">
        <f t="shared" si="99"/>
        <v>0</v>
      </c>
      <c r="I1024" t="str">
        <f t="shared" si="97"/>
        <v>On Time</v>
      </c>
      <c r="J1024" cm="1">
        <f t="array" ref="J1024">_xlfn.IFS(H1024&lt;30,0,H1024&lt;60,1,H1024&lt;90,2,H1024&lt;120,3)</f>
        <v>0</v>
      </c>
      <c r="M1024" t="str">
        <f t="shared" si="98"/>
        <v>Low</v>
      </c>
      <c r="N1024" t="str">
        <f t="shared" si="95"/>
        <v>Jan</v>
      </c>
      <c r="O1024">
        <f t="shared" si="96"/>
        <v>2026</v>
      </c>
    </row>
    <row r="1025" spans="1:15" x14ac:dyDescent="0.3">
      <c r="A1025">
        <v>203536</v>
      </c>
      <c r="B1025" t="s">
        <v>73</v>
      </c>
      <c r="C1025" s="2">
        <v>46044</v>
      </c>
      <c r="D1025" s="2">
        <f t="shared" si="94"/>
        <v>46089</v>
      </c>
      <c r="E1025" s="1">
        <f>D1025+75</f>
        <v>46164</v>
      </c>
      <c r="F1025">
        <v>9916</v>
      </c>
      <c r="G1025">
        <v>45</v>
      </c>
      <c r="H1025">
        <f t="shared" si="99"/>
        <v>0</v>
      </c>
      <c r="I1025" t="str">
        <f t="shared" si="97"/>
        <v>On Time</v>
      </c>
      <c r="J1025" cm="1">
        <f t="array" ref="J1025">_xlfn.IFS(H1025&lt;30,0,H1025&lt;60,1,H1025&lt;90,2,H1025&lt;120,3)</f>
        <v>0</v>
      </c>
      <c r="M1025" t="str">
        <f t="shared" si="98"/>
        <v>Low</v>
      </c>
      <c r="N1025" t="str">
        <f t="shared" si="95"/>
        <v>Jan</v>
      </c>
      <c r="O1025">
        <f t="shared" si="96"/>
        <v>2026</v>
      </c>
    </row>
    <row r="1026" spans="1:15" x14ac:dyDescent="0.3">
      <c r="A1026">
        <v>203537</v>
      </c>
      <c r="B1026" t="s">
        <v>74</v>
      </c>
      <c r="C1026" s="2">
        <v>46044</v>
      </c>
      <c r="D1026" s="2">
        <f t="shared" ref="D1026:D1089" si="100">C1026+G1026</f>
        <v>46089</v>
      </c>
      <c r="E1026" s="1">
        <f>D1026+5</f>
        <v>46094</v>
      </c>
      <c r="F1026">
        <v>4583</v>
      </c>
      <c r="G1026">
        <v>45</v>
      </c>
      <c r="H1026">
        <f t="shared" si="99"/>
        <v>0</v>
      </c>
      <c r="I1026" t="str">
        <f t="shared" si="97"/>
        <v>On Time</v>
      </c>
      <c r="J1026" cm="1">
        <f t="array" ref="J1026">_xlfn.IFS(H1026&lt;30,0,H1026&lt;60,1,H1026&lt;90,2,H1026&lt;120,3)</f>
        <v>0</v>
      </c>
      <c r="M1026" t="str">
        <f t="shared" si="98"/>
        <v>Low</v>
      </c>
      <c r="N1026" t="str">
        <f t="shared" ref="N1026:N1089" si="101">TEXT(C1026,"mmm")</f>
        <v>Jan</v>
      </c>
      <c r="O1026">
        <f t="shared" ref="O1026:O1089" si="102">YEAR(C1026)</f>
        <v>2026</v>
      </c>
    </row>
    <row r="1027" spans="1:15" x14ac:dyDescent="0.3">
      <c r="A1027">
        <v>203538</v>
      </c>
      <c r="B1027" t="s">
        <v>45</v>
      </c>
      <c r="C1027" s="2">
        <v>46044</v>
      </c>
      <c r="D1027" s="2">
        <f t="shared" si="100"/>
        <v>46089</v>
      </c>
      <c r="E1027" s="1">
        <f>D1027</f>
        <v>46089</v>
      </c>
      <c r="F1027">
        <v>2291</v>
      </c>
      <c r="G1027">
        <v>45</v>
      </c>
      <c r="H1027">
        <f t="shared" si="99"/>
        <v>0</v>
      </c>
      <c r="I1027" t="str">
        <f t="shared" si="97"/>
        <v>On Time</v>
      </c>
      <c r="J1027" cm="1">
        <f t="array" ref="J1027">_xlfn.IFS(H1027&lt;30,0,H1027&lt;60,1,H1027&lt;90,2,H1027&lt;120,3)</f>
        <v>0</v>
      </c>
      <c r="M1027" t="str">
        <f t="shared" si="98"/>
        <v>Low</v>
      </c>
      <c r="N1027" t="str">
        <f t="shared" si="101"/>
        <v>Jan</v>
      </c>
      <c r="O1027">
        <f t="shared" si="102"/>
        <v>2026</v>
      </c>
    </row>
    <row r="1028" spans="1:15" x14ac:dyDescent="0.3">
      <c r="A1028">
        <v>203539</v>
      </c>
      <c r="B1028" t="s">
        <v>46</v>
      </c>
      <c r="C1028" s="2">
        <v>46044</v>
      </c>
      <c r="D1028" s="2">
        <f t="shared" si="100"/>
        <v>46104</v>
      </c>
      <c r="E1028" s="1">
        <f>D1028-1</f>
        <v>46103</v>
      </c>
      <c r="F1028">
        <v>2609</v>
      </c>
      <c r="G1028">
        <v>60</v>
      </c>
      <c r="H1028">
        <f t="shared" si="99"/>
        <v>0</v>
      </c>
      <c r="I1028" t="str">
        <f t="shared" si="97"/>
        <v>On Time</v>
      </c>
      <c r="J1028" cm="1">
        <f t="array" ref="J1028">_xlfn.IFS(H1028&lt;30,0,H1028&lt;60,1,H1028&lt;90,2,H1028&lt;120,3)</f>
        <v>0</v>
      </c>
      <c r="M1028" t="str">
        <f t="shared" si="98"/>
        <v>Low</v>
      </c>
      <c r="N1028" t="str">
        <f t="shared" si="101"/>
        <v>Jan</v>
      </c>
      <c r="O1028">
        <f t="shared" si="102"/>
        <v>2026</v>
      </c>
    </row>
    <row r="1029" spans="1:15" x14ac:dyDescent="0.3">
      <c r="A1029">
        <v>203540</v>
      </c>
      <c r="B1029" t="s">
        <v>47</v>
      </c>
      <c r="C1029" s="2">
        <v>46044</v>
      </c>
      <c r="D1029" s="2">
        <f t="shared" si="100"/>
        <v>46104</v>
      </c>
      <c r="E1029" s="1">
        <f>D1029</f>
        <v>46104</v>
      </c>
      <c r="F1029">
        <v>4084</v>
      </c>
      <c r="G1029">
        <v>60</v>
      </c>
      <c r="H1029">
        <f t="shared" si="99"/>
        <v>0</v>
      </c>
      <c r="I1029" t="str">
        <f t="shared" si="97"/>
        <v>On Time</v>
      </c>
      <c r="J1029" cm="1">
        <f t="array" ref="J1029">_xlfn.IFS(H1029&lt;30,0,H1029&lt;60,1,H1029&lt;90,2,H1029&lt;120,3)</f>
        <v>0</v>
      </c>
      <c r="M1029" t="str">
        <f t="shared" si="98"/>
        <v>Low</v>
      </c>
      <c r="N1029" t="str">
        <f t="shared" si="101"/>
        <v>Jan</v>
      </c>
      <c r="O1029">
        <f t="shared" si="102"/>
        <v>2026</v>
      </c>
    </row>
    <row r="1030" spans="1:15" x14ac:dyDescent="0.3">
      <c r="A1030">
        <v>203541</v>
      </c>
      <c r="B1030" t="s">
        <v>48</v>
      </c>
      <c r="C1030" s="2">
        <v>46044</v>
      </c>
      <c r="D1030" s="2">
        <f t="shared" si="100"/>
        <v>46089</v>
      </c>
      <c r="E1030" s="1">
        <f>D1030+32</f>
        <v>46121</v>
      </c>
      <c r="F1030">
        <v>289</v>
      </c>
      <c r="G1030">
        <v>45</v>
      </c>
      <c r="H1030">
        <f t="shared" si="99"/>
        <v>0</v>
      </c>
      <c r="I1030" t="str">
        <f t="shared" si="97"/>
        <v>On Time</v>
      </c>
      <c r="J1030" cm="1">
        <f t="array" ref="J1030">_xlfn.IFS(H1030&lt;30,0,H1030&lt;60,1,H1030&lt;90,2,H1030&lt;120,3)</f>
        <v>0</v>
      </c>
      <c r="M1030" t="str">
        <f t="shared" si="98"/>
        <v>Low</v>
      </c>
      <c r="N1030" t="str">
        <f t="shared" si="101"/>
        <v>Jan</v>
      </c>
      <c r="O1030">
        <f t="shared" si="102"/>
        <v>2026</v>
      </c>
    </row>
    <row r="1031" spans="1:15" x14ac:dyDescent="0.3">
      <c r="A1031">
        <v>203514</v>
      </c>
      <c r="B1031" t="s">
        <v>119</v>
      </c>
      <c r="C1031" s="2">
        <v>46043</v>
      </c>
      <c r="D1031" s="2">
        <f t="shared" si="100"/>
        <v>46073</v>
      </c>
      <c r="E1031" s="1">
        <f>D1031+2</f>
        <v>46075</v>
      </c>
      <c r="F1031">
        <v>937</v>
      </c>
      <c r="G1031">
        <v>30</v>
      </c>
      <c r="H1031">
        <f t="shared" si="99"/>
        <v>0</v>
      </c>
      <c r="I1031" t="str">
        <f t="shared" si="97"/>
        <v>On Time</v>
      </c>
      <c r="J1031" cm="1">
        <f t="array" ref="J1031">_xlfn.IFS(H1031&lt;30,0,H1031&lt;60,1,H1031&lt;90,2,H1031&lt;120,3)</f>
        <v>0</v>
      </c>
      <c r="M1031" t="str">
        <f t="shared" si="98"/>
        <v>Low</v>
      </c>
      <c r="N1031" t="str">
        <f t="shared" si="101"/>
        <v>Jan</v>
      </c>
      <c r="O1031">
        <f t="shared" si="102"/>
        <v>2026</v>
      </c>
    </row>
    <row r="1032" spans="1:15" x14ac:dyDescent="0.3">
      <c r="A1032">
        <v>203515</v>
      </c>
      <c r="B1032" t="s">
        <v>100</v>
      </c>
      <c r="C1032" s="2">
        <v>46043</v>
      </c>
      <c r="D1032" s="2">
        <f t="shared" si="100"/>
        <v>46073</v>
      </c>
      <c r="E1032" s="1">
        <f>D1032+2</f>
        <v>46075</v>
      </c>
      <c r="F1032">
        <v>2572</v>
      </c>
      <c r="G1032">
        <v>30</v>
      </c>
      <c r="H1032">
        <f t="shared" si="99"/>
        <v>0</v>
      </c>
      <c r="I1032" t="str">
        <f t="shared" si="97"/>
        <v>On Time</v>
      </c>
      <c r="J1032" cm="1">
        <f t="array" ref="J1032">_xlfn.IFS(H1032&lt;30,0,H1032&lt;60,1,H1032&lt;90,2,H1032&lt;120,3)</f>
        <v>0</v>
      </c>
      <c r="M1032" t="str">
        <f t="shared" si="98"/>
        <v>Low</v>
      </c>
      <c r="N1032" t="str">
        <f t="shared" si="101"/>
        <v>Jan</v>
      </c>
      <c r="O1032">
        <f t="shared" si="102"/>
        <v>2026</v>
      </c>
    </row>
    <row r="1033" spans="1:15" x14ac:dyDescent="0.3">
      <c r="A1033">
        <v>203516</v>
      </c>
      <c r="B1033" t="s">
        <v>101</v>
      </c>
      <c r="C1033" s="2">
        <v>46043</v>
      </c>
      <c r="D1033" s="2">
        <f t="shared" si="100"/>
        <v>46073</v>
      </c>
      <c r="E1033" s="1">
        <f>D1033</f>
        <v>46073</v>
      </c>
      <c r="F1033">
        <v>4156</v>
      </c>
      <c r="G1033">
        <v>30</v>
      </c>
      <c r="H1033">
        <f t="shared" si="99"/>
        <v>0</v>
      </c>
      <c r="I1033" t="str">
        <f t="shared" si="97"/>
        <v>On Time</v>
      </c>
      <c r="J1033" cm="1">
        <f t="array" ref="J1033">_xlfn.IFS(H1033&lt;30,0,H1033&lt;60,1,H1033&lt;90,2,H1033&lt;120,3)</f>
        <v>0</v>
      </c>
      <c r="M1033" t="str">
        <f t="shared" si="98"/>
        <v>Low</v>
      </c>
      <c r="N1033" t="str">
        <f t="shared" si="101"/>
        <v>Jan</v>
      </c>
      <c r="O1033">
        <f t="shared" si="102"/>
        <v>2026</v>
      </c>
    </row>
    <row r="1034" spans="1:15" x14ac:dyDescent="0.3">
      <c r="A1034">
        <v>203517</v>
      </c>
      <c r="B1034" t="s">
        <v>102</v>
      </c>
      <c r="C1034" s="2">
        <v>46043</v>
      </c>
      <c r="D1034" s="2">
        <f t="shared" si="100"/>
        <v>46073</v>
      </c>
      <c r="E1034" s="1">
        <f>D1034+20</f>
        <v>46093</v>
      </c>
      <c r="F1034">
        <v>4179</v>
      </c>
      <c r="G1034">
        <v>30</v>
      </c>
      <c r="H1034">
        <f t="shared" si="99"/>
        <v>0</v>
      </c>
      <c r="I1034" t="str">
        <f t="shared" si="97"/>
        <v>On Time</v>
      </c>
      <c r="J1034" cm="1">
        <f t="array" ref="J1034">_xlfn.IFS(H1034&lt;30,0,H1034&lt;60,1,H1034&lt;90,2,H1034&lt;120,3)</f>
        <v>0</v>
      </c>
      <c r="M1034" t="str">
        <f t="shared" si="98"/>
        <v>Low</v>
      </c>
      <c r="N1034" t="str">
        <f t="shared" si="101"/>
        <v>Jan</v>
      </c>
      <c r="O1034">
        <f t="shared" si="102"/>
        <v>2026</v>
      </c>
    </row>
    <row r="1035" spans="1:15" x14ac:dyDescent="0.3">
      <c r="A1035">
        <v>203518</v>
      </c>
      <c r="B1035" t="s">
        <v>103</v>
      </c>
      <c r="C1035" s="2">
        <v>46043</v>
      </c>
      <c r="D1035" s="2">
        <f t="shared" si="100"/>
        <v>46073</v>
      </c>
      <c r="E1035" s="1">
        <f>D1035</f>
        <v>46073</v>
      </c>
      <c r="F1035">
        <v>4474</v>
      </c>
      <c r="G1035">
        <v>30</v>
      </c>
      <c r="H1035">
        <f t="shared" si="99"/>
        <v>0</v>
      </c>
      <c r="I1035" t="str">
        <f t="shared" si="97"/>
        <v>On Time</v>
      </c>
      <c r="J1035" cm="1">
        <f t="array" ref="J1035">_xlfn.IFS(H1035&lt;30,0,H1035&lt;60,1,H1035&lt;90,2,H1035&lt;120,3)</f>
        <v>0</v>
      </c>
      <c r="M1035" t="str">
        <f t="shared" si="98"/>
        <v>Low</v>
      </c>
      <c r="N1035" t="str">
        <f t="shared" si="101"/>
        <v>Jan</v>
      </c>
      <c r="O1035">
        <f t="shared" si="102"/>
        <v>2026</v>
      </c>
    </row>
    <row r="1036" spans="1:15" x14ac:dyDescent="0.3">
      <c r="A1036">
        <v>203519</v>
      </c>
      <c r="B1036" t="s">
        <v>104</v>
      </c>
      <c r="C1036" s="2">
        <v>46043</v>
      </c>
      <c r="D1036" s="2">
        <f t="shared" si="100"/>
        <v>46073</v>
      </c>
      <c r="E1036" s="1">
        <f>D1036+1</f>
        <v>46074</v>
      </c>
      <c r="F1036">
        <v>8834</v>
      </c>
      <c r="G1036">
        <v>30</v>
      </c>
      <c r="H1036">
        <f t="shared" si="99"/>
        <v>0</v>
      </c>
      <c r="I1036" t="str">
        <f t="shared" si="97"/>
        <v>On Time</v>
      </c>
      <c r="J1036" cm="1">
        <f t="array" ref="J1036">_xlfn.IFS(H1036&lt;30,0,H1036&lt;60,1,H1036&lt;90,2,H1036&lt;120,3)</f>
        <v>0</v>
      </c>
      <c r="M1036" t="str">
        <f t="shared" si="98"/>
        <v>Low</v>
      </c>
      <c r="N1036" t="str">
        <f t="shared" si="101"/>
        <v>Jan</v>
      </c>
      <c r="O1036">
        <f t="shared" si="102"/>
        <v>2026</v>
      </c>
    </row>
    <row r="1037" spans="1:15" x14ac:dyDescent="0.3">
      <c r="A1037">
        <v>203520</v>
      </c>
      <c r="B1037" t="s">
        <v>105</v>
      </c>
      <c r="C1037" s="2">
        <v>46043</v>
      </c>
      <c r="D1037" s="2">
        <f t="shared" si="100"/>
        <v>46073</v>
      </c>
      <c r="E1037" s="1">
        <f>D1037</f>
        <v>46073</v>
      </c>
      <c r="F1037">
        <v>2633</v>
      </c>
      <c r="G1037">
        <v>30</v>
      </c>
      <c r="H1037">
        <f t="shared" si="99"/>
        <v>0</v>
      </c>
      <c r="I1037" t="str">
        <f t="shared" si="97"/>
        <v>On Time</v>
      </c>
      <c r="J1037" cm="1">
        <f t="array" ref="J1037">_xlfn.IFS(H1037&lt;30,0,H1037&lt;60,1,H1037&lt;90,2,H1037&lt;120,3)</f>
        <v>0</v>
      </c>
      <c r="M1037" t="str">
        <f t="shared" si="98"/>
        <v>Low</v>
      </c>
      <c r="N1037" t="str">
        <f t="shared" si="101"/>
        <v>Jan</v>
      </c>
      <c r="O1037">
        <f t="shared" si="102"/>
        <v>2026</v>
      </c>
    </row>
    <row r="1038" spans="1:15" x14ac:dyDescent="0.3">
      <c r="A1038">
        <v>203521</v>
      </c>
      <c r="B1038" t="s">
        <v>86</v>
      </c>
      <c r="C1038" s="2">
        <v>46043</v>
      </c>
      <c r="D1038" s="2">
        <f t="shared" si="100"/>
        <v>46073</v>
      </c>
      <c r="E1038" s="1">
        <f>D1038</f>
        <v>46073</v>
      </c>
      <c r="F1038">
        <v>177</v>
      </c>
      <c r="G1038">
        <v>30</v>
      </c>
      <c r="H1038">
        <f t="shared" si="99"/>
        <v>0</v>
      </c>
      <c r="I1038" t="str">
        <f t="shared" si="97"/>
        <v>On Time</v>
      </c>
      <c r="J1038" cm="1">
        <f t="array" ref="J1038">_xlfn.IFS(H1038&lt;30,0,H1038&lt;60,1,H1038&lt;90,2,H1038&lt;120,3)</f>
        <v>0</v>
      </c>
      <c r="M1038" t="str">
        <f t="shared" si="98"/>
        <v>Low</v>
      </c>
      <c r="N1038" t="str">
        <f t="shared" si="101"/>
        <v>Jan</v>
      </c>
      <c r="O1038">
        <f t="shared" si="102"/>
        <v>2026</v>
      </c>
    </row>
    <row r="1039" spans="1:15" x14ac:dyDescent="0.3">
      <c r="A1039">
        <v>203522</v>
      </c>
      <c r="B1039" t="s">
        <v>87</v>
      </c>
      <c r="C1039" s="2">
        <v>46043</v>
      </c>
      <c r="D1039" s="2">
        <f t="shared" si="100"/>
        <v>46073</v>
      </c>
      <c r="E1039" s="1">
        <f>D1039+5</f>
        <v>46078</v>
      </c>
      <c r="F1039">
        <v>1554</v>
      </c>
      <c r="G1039">
        <v>30</v>
      </c>
      <c r="H1039">
        <f t="shared" si="99"/>
        <v>0</v>
      </c>
      <c r="I1039" t="str">
        <f t="shared" si="97"/>
        <v>On Time</v>
      </c>
      <c r="J1039" cm="1">
        <f t="array" ref="J1039">_xlfn.IFS(H1039&lt;30,0,H1039&lt;60,1,H1039&lt;90,2,H1039&lt;120,3)</f>
        <v>0</v>
      </c>
      <c r="M1039" t="str">
        <f t="shared" si="98"/>
        <v>Low</v>
      </c>
      <c r="N1039" t="str">
        <f t="shared" si="101"/>
        <v>Jan</v>
      </c>
      <c r="O1039">
        <f t="shared" si="102"/>
        <v>2026</v>
      </c>
    </row>
    <row r="1040" spans="1:15" x14ac:dyDescent="0.3">
      <c r="A1040">
        <v>203523</v>
      </c>
      <c r="B1040" t="s">
        <v>88</v>
      </c>
      <c r="C1040" s="2">
        <v>46043</v>
      </c>
      <c r="D1040" s="2">
        <f t="shared" si="100"/>
        <v>46073</v>
      </c>
      <c r="E1040" s="1">
        <f>D1040+2</f>
        <v>46075</v>
      </c>
      <c r="F1040">
        <v>2667</v>
      </c>
      <c r="G1040">
        <v>30</v>
      </c>
      <c r="H1040">
        <f t="shared" si="99"/>
        <v>0</v>
      </c>
      <c r="I1040" t="str">
        <f t="shared" si="97"/>
        <v>On Time</v>
      </c>
      <c r="J1040" cm="1">
        <f t="array" ref="J1040">_xlfn.IFS(H1040&lt;30,0,H1040&lt;60,1,H1040&lt;90,2,H1040&lt;120,3)</f>
        <v>0</v>
      </c>
      <c r="M1040" t="str">
        <f t="shared" si="98"/>
        <v>Low</v>
      </c>
      <c r="N1040" t="str">
        <f t="shared" si="101"/>
        <v>Jan</v>
      </c>
      <c r="O1040">
        <f t="shared" si="102"/>
        <v>2026</v>
      </c>
    </row>
    <row r="1041" spans="1:15" x14ac:dyDescent="0.3">
      <c r="A1041">
        <v>203524</v>
      </c>
      <c r="B1041" t="s">
        <v>89</v>
      </c>
      <c r="C1041" s="2">
        <v>46043</v>
      </c>
      <c r="D1041" s="2">
        <f t="shared" si="100"/>
        <v>46073</v>
      </c>
      <c r="E1041" s="1">
        <f>D1041+5</f>
        <v>46078</v>
      </c>
      <c r="F1041">
        <v>2751</v>
      </c>
      <c r="G1041">
        <v>30</v>
      </c>
      <c r="H1041">
        <f t="shared" si="99"/>
        <v>0</v>
      </c>
      <c r="I1041" t="str">
        <f t="shared" si="97"/>
        <v>On Time</v>
      </c>
      <c r="J1041" cm="1">
        <f t="array" ref="J1041">_xlfn.IFS(H1041&lt;30,0,H1041&lt;60,1,H1041&lt;90,2,H1041&lt;120,3)</f>
        <v>0</v>
      </c>
      <c r="M1041" t="str">
        <f t="shared" si="98"/>
        <v>Low</v>
      </c>
      <c r="N1041" t="str">
        <f t="shared" si="101"/>
        <v>Jan</v>
      </c>
      <c r="O1041">
        <f t="shared" si="102"/>
        <v>2026</v>
      </c>
    </row>
    <row r="1042" spans="1:15" x14ac:dyDescent="0.3">
      <c r="A1042">
        <v>203525</v>
      </c>
      <c r="B1042" t="s">
        <v>90</v>
      </c>
      <c r="C1042" s="2">
        <v>46043</v>
      </c>
      <c r="D1042" s="2">
        <f t="shared" si="100"/>
        <v>46073</v>
      </c>
      <c r="E1042" s="1">
        <f>D1042</f>
        <v>46073</v>
      </c>
      <c r="F1042">
        <v>3494</v>
      </c>
      <c r="G1042">
        <v>30</v>
      </c>
      <c r="H1042">
        <f t="shared" si="99"/>
        <v>0</v>
      </c>
      <c r="I1042" t="str">
        <f t="shared" si="97"/>
        <v>On Time</v>
      </c>
      <c r="J1042" cm="1">
        <f t="array" ref="J1042">_xlfn.IFS(H1042&lt;30,0,H1042&lt;60,1,H1042&lt;90,2,H1042&lt;120,3)</f>
        <v>0</v>
      </c>
      <c r="M1042" t="str">
        <f t="shared" si="98"/>
        <v>Low</v>
      </c>
      <c r="N1042" t="str">
        <f t="shared" si="101"/>
        <v>Jan</v>
      </c>
      <c r="O1042">
        <f t="shared" si="102"/>
        <v>2026</v>
      </c>
    </row>
    <row r="1043" spans="1:15" x14ac:dyDescent="0.3">
      <c r="A1043">
        <v>203526</v>
      </c>
      <c r="B1043" t="s">
        <v>91</v>
      </c>
      <c r="C1043" s="2">
        <v>46043</v>
      </c>
      <c r="D1043" s="2">
        <f t="shared" si="100"/>
        <v>46073</v>
      </c>
      <c r="E1043" s="1">
        <f>D1043</f>
        <v>46073</v>
      </c>
      <c r="F1043">
        <v>492</v>
      </c>
      <c r="G1043">
        <v>30</v>
      </c>
      <c r="H1043">
        <f t="shared" si="99"/>
        <v>0</v>
      </c>
      <c r="I1043" t="str">
        <f t="shared" si="97"/>
        <v>On Time</v>
      </c>
      <c r="J1043" cm="1">
        <f t="array" ref="J1043">_xlfn.IFS(H1043&lt;30,0,H1043&lt;60,1,H1043&lt;90,2,H1043&lt;120,3)</f>
        <v>0</v>
      </c>
      <c r="M1043" t="str">
        <f t="shared" si="98"/>
        <v>Low</v>
      </c>
      <c r="N1043" t="str">
        <f t="shared" si="101"/>
        <v>Jan</v>
      </c>
      <c r="O1043">
        <f t="shared" si="102"/>
        <v>2026</v>
      </c>
    </row>
    <row r="1044" spans="1:15" x14ac:dyDescent="0.3">
      <c r="A1044">
        <v>203504</v>
      </c>
      <c r="B1044" t="s">
        <v>35</v>
      </c>
      <c r="C1044" s="2">
        <v>46042</v>
      </c>
      <c r="D1044" s="2">
        <f t="shared" si="100"/>
        <v>46087</v>
      </c>
      <c r="E1044" s="1">
        <f>D1044+5</f>
        <v>46092</v>
      </c>
      <c r="F1044">
        <v>571</v>
      </c>
      <c r="G1044">
        <v>45</v>
      </c>
      <c r="H1044">
        <f t="shared" si="99"/>
        <v>0</v>
      </c>
      <c r="I1044" t="str">
        <f t="shared" si="97"/>
        <v>On Time</v>
      </c>
      <c r="J1044" cm="1">
        <f t="array" ref="J1044">_xlfn.IFS(H1044&lt;30,0,H1044&lt;60,1,H1044&lt;90,2,H1044&lt;120,3)</f>
        <v>0</v>
      </c>
      <c r="M1044" t="str">
        <f t="shared" si="98"/>
        <v>Low</v>
      </c>
      <c r="N1044" t="str">
        <f t="shared" si="101"/>
        <v>Jan</v>
      </c>
      <c r="O1044">
        <f t="shared" si="102"/>
        <v>2026</v>
      </c>
    </row>
    <row r="1045" spans="1:15" x14ac:dyDescent="0.3">
      <c r="A1045">
        <v>203505</v>
      </c>
      <c r="B1045" t="s">
        <v>36</v>
      </c>
      <c r="C1045" s="2">
        <v>46042</v>
      </c>
      <c r="D1045" s="2">
        <f t="shared" si="100"/>
        <v>46072</v>
      </c>
      <c r="E1045" s="1">
        <f>D1045</f>
        <v>46072</v>
      </c>
      <c r="F1045">
        <v>1721</v>
      </c>
      <c r="G1045">
        <v>30</v>
      </c>
      <c r="H1045">
        <f t="shared" si="99"/>
        <v>0</v>
      </c>
      <c r="I1045" t="str">
        <f t="shared" si="97"/>
        <v>On Time</v>
      </c>
      <c r="J1045" cm="1">
        <f t="array" ref="J1045">_xlfn.IFS(H1045&lt;30,0,H1045&lt;60,1,H1045&lt;90,2,H1045&lt;120,3)</f>
        <v>0</v>
      </c>
      <c r="M1045" t="str">
        <f t="shared" si="98"/>
        <v>Low</v>
      </c>
      <c r="N1045" t="str">
        <f t="shared" si="101"/>
        <v>Jan</v>
      </c>
      <c r="O1045">
        <f t="shared" si="102"/>
        <v>2026</v>
      </c>
    </row>
    <row r="1046" spans="1:15" x14ac:dyDescent="0.3">
      <c r="A1046">
        <v>203506</v>
      </c>
      <c r="B1046" t="s">
        <v>64</v>
      </c>
      <c r="C1046" s="2">
        <v>46042</v>
      </c>
      <c r="D1046" s="2">
        <f t="shared" si="100"/>
        <v>46072</v>
      </c>
      <c r="E1046" s="1">
        <f>D1046-1</f>
        <v>46071</v>
      </c>
      <c r="F1046">
        <v>1134</v>
      </c>
      <c r="G1046">
        <v>30</v>
      </c>
      <c r="H1046">
        <f t="shared" si="99"/>
        <v>0</v>
      </c>
      <c r="I1046" t="str">
        <f t="shared" ref="I1046:I1109" si="103">IF(H1046=0,"On Time",IF(H1046&lt;=15,"Paid Late","Seriously Late"))</f>
        <v>On Time</v>
      </c>
      <c r="J1046" cm="1">
        <f t="array" ref="J1046">_xlfn.IFS(H1046&lt;30,0,H1046&lt;60,1,H1046&lt;90,2,H1046&lt;120,3)</f>
        <v>0</v>
      </c>
      <c r="M1046" t="str">
        <f t="shared" ref="M1046:M1109" si="104">IF(H1046&gt;30,"High",IF(H1046&gt;10,"Medium","Low"))</f>
        <v>Low</v>
      </c>
      <c r="N1046" t="str">
        <f t="shared" si="101"/>
        <v>Jan</v>
      </c>
      <c r="O1046">
        <f t="shared" si="102"/>
        <v>2026</v>
      </c>
    </row>
    <row r="1047" spans="1:15" x14ac:dyDescent="0.3">
      <c r="A1047">
        <v>203507</v>
      </c>
      <c r="B1047" t="s">
        <v>45</v>
      </c>
      <c r="C1047" s="2">
        <v>46042</v>
      </c>
      <c r="D1047" s="2">
        <f t="shared" si="100"/>
        <v>46087</v>
      </c>
      <c r="E1047" s="1">
        <f>D1047</f>
        <v>46087</v>
      </c>
      <c r="F1047">
        <v>1693</v>
      </c>
      <c r="G1047">
        <v>45</v>
      </c>
      <c r="H1047">
        <f t="shared" si="99"/>
        <v>0</v>
      </c>
      <c r="I1047" t="str">
        <f t="shared" si="103"/>
        <v>On Time</v>
      </c>
      <c r="J1047" cm="1">
        <f t="array" ref="J1047">_xlfn.IFS(H1047&lt;30,0,H1047&lt;60,1,H1047&lt;90,2,H1047&lt;120,3)</f>
        <v>0</v>
      </c>
      <c r="M1047" t="str">
        <f t="shared" si="104"/>
        <v>Low</v>
      </c>
      <c r="N1047" t="str">
        <f t="shared" si="101"/>
        <v>Jan</v>
      </c>
      <c r="O1047">
        <f t="shared" si="102"/>
        <v>2026</v>
      </c>
    </row>
    <row r="1048" spans="1:15" x14ac:dyDescent="0.3">
      <c r="A1048">
        <v>203508</v>
      </c>
      <c r="B1048" t="s">
        <v>46</v>
      </c>
      <c r="C1048" s="2">
        <v>46042</v>
      </c>
      <c r="D1048" s="2">
        <f t="shared" si="100"/>
        <v>46102</v>
      </c>
      <c r="E1048" s="1">
        <f>D1048+32</f>
        <v>46134</v>
      </c>
      <c r="F1048">
        <v>2605</v>
      </c>
      <c r="G1048">
        <v>60</v>
      </c>
      <c r="H1048">
        <f t="shared" si="99"/>
        <v>0</v>
      </c>
      <c r="I1048" t="str">
        <f t="shared" si="103"/>
        <v>On Time</v>
      </c>
      <c r="J1048" cm="1">
        <f t="array" ref="J1048">_xlfn.IFS(H1048&lt;30,0,H1048&lt;60,1,H1048&lt;90,2,H1048&lt;120,3)</f>
        <v>0</v>
      </c>
      <c r="M1048" t="str">
        <f t="shared" si="104"/>
        <v>Low</v>
      </c>
      <c r="N1048" t="str">
        <f t="shared" si="101"/>
        <v>Jan</v>
      </c>
      <c r="O1048">
        <f t="shared" si="102"/>
        <v>2026</v>
      </c>
    </row>
    <row r="1049" spans="1:15" x14ac:dyDescent="0.3">
      <c r="A1049">
        <v>203509</v>
      </c>
      <c r="B1049" t="s">
        <v>114</v>
      </c>
      <c r="C1049" s="2">
        <v>46042</v>
      </c>
      <c r="D1049" s="2">
        <f t="shared" si="100"/>
        <v>46072</v>
      </c>
      <c r="E1049" s="1">
        <f>D1049+15</f>
        <v>46087</v>
      </c>
      <c r="F1049">
        <v>1726</v>
      </c>
      <c r="G1049">
        <v>30</v>
      </c>
      <c r="H1049">
        <f t="shared" si="99"/>
        <v>0</v>
      </c>
      <c r="I1049" t="str">
        <f t="shared" si="103"/>
        <v>On Time</v>
      </c>
      <c r="J1049" cm="1">
        <f t="array" ref="J1049">_xlfn.IFS(H1049&lt;30,0,H1049&lt;60,1,H1049&lt;90,2,H1049&lt;120,3)</f>
        <v>0</v>
      </c>
      <c r="M1049" t="str">
        <f t="shared" si="104"/>
        <v>Low</v>
      </c>
      <c r="N1049" t="str">
        <f t="shared" si="101"/>
        <v>Jan</v>
      </c>
      <c r="O1049">
        <f t="shared" si="102"/>
        <v>2026</v>
      </c>
    </row>
    <row r="1050" spans="1:15" x14ac:dyDescent="0.3">
      <c r="A1050">
        <v>203510</v>
      </c>
      <c r="B1050" t="s">
        <v>115</v>
      </c>
      <c r="C1050" s="2">
        <v>46042</v>
      </c>
      <c r="D1050" s="2">
        <f t="shared" si="100"/>
        <v>46072</v>
      </c>
      <c r="E1050" s="1">
        <f>D1050-2</f>
        <v>46070</v>
      </c>
      <c r="F1050">
        <v>2042</v>
      </c>
      <c r="G1050">
        <v>30</v>
      </c>
      <c r="H1050">
        <f t="shared" si="99"/>
        <v>0</v>
      </c>
      <c r="I1050" t="str">
        <f t="shared" si="103"/>
        <v>On Time</v>
      </c>
      <c r="J1050" cm="1">
        <f t="array" ref="J1050">_xlfn.IFS(H1050&lt;30,0,H1050&lt;60,1,H1050&lt;90,2,H1050&lt;120,3)</f>
        <v>0</v>
      </c>
      <c r="M1050" t="str">
        <f t="shared" si="104"/>
        <v>Low</v>
      </c>
      <c r="N1050" t="str">
        <f t="shared" si="101"/>
        <v>Jan</v>
      </c>
      <c r="O1050">
        <f t="shared" si="102"/>
        <v>2026</v>
      </c>
    </row>
    <row r="1051" spans="1:15" x14ac:dyDescent="0.3">
      <c r="A1051">
        <v>203511</v>
      </c>
      <c r="B1051" t="s">
        <v>116</v>
      </c>
      <c r="C1051" s="2">
        <v>46042</v>
      </c>
      <c r="D1051" s="2">
        <f t="shared" si="100"/>
        <v>46072</v>
      </c>
      <c r="E1051" s="1">
        <f>D1051-2</f>
        <v>46070</v>
      </c>
      <c r="F1051">
        <v>247</v>
      </c>
      <c r="G1051">
        <v>30</v>
      </c>
      <c r="H1051">
        <f t="shared" si="99"/>
        <v>0</v>
      </c>
      <c r="I1051" t="str">
        <f t="shared" si="103"/>
        <v>On Time</v>
      </c>
      <c r="J1051" cm="1">
        <f t="array" ref="J1051">_xlfn.IFS(H1051&lt;30,0,H1051&lt;60,1,H1051&lt;90,2,H1051&lt;120,3)</f>
        <v>0</v>
      </c>
      <c r="M1051" t="str">
        <f t="shared" si="104"/>
        <v>Low</v>
      </c>
      <c r="N1051" t="str">
        <f t="shared" si="101"/>
        <v>Jan</v>
      </c>
      <c r="O1051">
        <f t="shared" si="102"/>
        <v>2026</v>
      </c>
    </row>
    <row r="1052" spans="1:15" x14ac:dyDescent="0.3">
      <c r="A1052">
        <v>203512</v>
      </c>
      <c r="B1052" t="s">
        <v>117</v>
      </c>
      <c r="C1052" s="2">
        <v>46042</v>
      </c>
      <c r="D1052" s="2">
        <f t="shared" si="100"/>
        <v>46072</v>
      </c>
      <c r="E1052" s="1">
        <f>D1052</f>
        <v>46072</v>
      </c>
      <c r="F1052">
        <v>701</v>
      </c>
      <c r="G1052">
        <v>30</v>
      </c>
      <c r="H1052">
        <f t="shared" si="99"/>
        <v>0</v>
      </c>
      <c r="I1052" t="str">
        <f t="shared" si="103"/>
        <v>On Time</v>
      </c>
      <c r="J1052" cm="1">
        <f t="array" ref="J1052">_xlfn.IFS(H1052&lt;30,0,H1052&lt;60,1,H1052&lt;90,2,H1052&lt;120,3)</f>
        <v>0</v>
      </c>
      <c r="M1052" t="str">
        <f t="shared" si="104"/>
        <v>Low</v>
      </c>
      <c r="N1052" t="str">
        <f t="shared" si="101"/>
        <v>Jan</v>
      </c>
      <c r="O1052">
        <f t="shared" si="102"/>
        <v>2026</v>
      </c>
    </row>
    <row r="1053" spans="1:15" x14ac:dyDescent="0.3">
      <c r="A1053">
        <v>203513</v>
      </c>
      <c r="B1053" t="s">
        <v>118</v>
      </c>
      <c r="C1053" s="2">
        <v>46042</v>
      </c>
      <c r="D1053" s="2">
        <f t="shared" si="100"/>
        <v>46072</v>
      </c>
      <c r="E1053" s="1">
        <f>D1053+2</f>
        <v>46074</v>
      </c>
      <c r="F1053">
        <v>2724</v>
      </c>
      <c r="G1053">
        <v>30</v>
      </c>
      <c r="H1053">
        <f t="shared" si="99"/>
        <v>0</v>
      </c>
      <c r="I1053" t="str">
        <f t="shared" si="103"/>
        <v>On Time</v>
      </c>
      <c r="J1053" cm="1">
        <f t="array" ref="J1053">_xlfn.IFS(H1053&lt;30,0,H1053&lt;60,1,H1053&lt;90,2,H1053&lt;120,3)</f>
        <v>0</v>
      </c>
      <c r="M1053" t="str">
        <f t="shared" si="104"/>
        <v>Low</v>
      </c>
      <c r="N1053" t="str">
        <f t="shared" si="101"/>
        <v>Jan</v>
      </c>
      <c r="O1053">
        <f t="shared" si="102"/>
        <v>2026</v>
      </c>
    </row>
    <row r="1054" spans="1:15" x14ac:dyDescent="0.3">
      <c r="A1054">
        <v>203495</v>
      </c>
      <c r="B1054" t="s">
        <v>115</v>
      </c>
      <c r="C1054" s="2">
        <v>46041</v>
      </c>
      <c r="D1054" s="2">
        <f t="shared" si="100"/>
        <v>46071</v>
      </c>
      <c r="E1054" s="1">
        <f>D1054</f>
        <v>46071</v>
      </c>
      <c r="F1054">
        <v>1756</v>
      </c>
      <c r="G1054">
        <v>30</v>
      </c>
      <c r="H1054">
        <f t="shared" si="99"/>
        <v>0</v>
      </c>
      <c r="I1054" t="str">
        <f t="shared" si="103"/>
        <v>On Time</v>
      </c>
      <c r="J1054" cm="1">
        <f t="array" ref="J1054">_xlfn.IFS(H1054&lt;30,0,H1054&lt;60,1,H1054&lt;90,2,H1054&lt;120,3)</f>
        <v>0</v>
      </c>
      <c r="M1054" t="str">
        <f t="shared" si="104"/>
        <v>Low</v>
      </c>
      <c r="N1054" t="str">
        <f t="shared" si="101"/>
        <v>Jan</v>
      </c>
      <c r="O1054">
        <f t="shared" si="102"/>
        <v>2026</v>
      </c>
    </row>
    <row r="1055" spans="1:15" x14ac:dyDescent="0.3">
      <c r="A1055">
        <v>203496</v>
      </c>
      <c r="B1055" t="s">
        <v>116</v>
      </c>
      <c r="C1055" s="2">
        <v>46041</v>
      </c>
      <c r="D1055" s="2">
        <f t="shared" si="100"/>
        <v>46071</v>
      </c>
      <c r="E1055" s="1">
        <f>D1055</f>
        <v>46071</v>
      </c>
      <c r="F1055">
        <v>4602</v>
      </c>
      <c r="G1055">
        <v>30</v>
      </c>
      <c r="H1055">
        <f t="shared" si="99"/>
        <v>0</v>
      </c>
      <c r="I1055" t="str">
        <f t="shared" si="103"/>
        <v>On Time</v>
      </c>
      <c r="J1055" cm="1">
        <f t="array" ref="J1055">_xlfn.IFS(H1055&lt;30,0,H1055&lt;60,1,H1055&lt;90,2,H1055&lt;120,3)</f>
        <v>0</v>
      </c>
      <c r="M1055" t="str">
        <f t="shared" si="104"/>
        <v>Low</v>
      </c>
      <c r="N1055" t="str">
        <f t="shared" si="101"/>
        <v>Jan</v>
      </c>
      <c r="O1055">
        <f t="shared" si="102"/>
        <v>2026</v>
      </c>
    </row>
    <row r="1056" spans="1:15" x14ac:dyDescent="0.3">
      <c r="A1056">
        <v>203497</v>
      </c>
      <c r="B1056" t="s">
        <v>117</v>
      </c>
      <c r="C1056" s="2">
        <v>46041</v>
      </c>
      <c r="D1056" s="2">
        <f t="shared" si="100"/>
        <v>46071</v>
      </c>
      <c r="E1056" s="1">
        <f>D1056+3</f>
        <v>46074</v>
      </c>
      <c r="F1056">
        <v>2224</v>
      </c>
      <c r="G1056">
        <v>30</v>
      </c>
      <c r="H1056">
        <f t="shared" si="99"/>
        <v>0</v>
      </c>
      <c r="I1056" t="str">
        <f t="shared" si="103"/>
        <v>On Time</v>
      </c>
      <c r="J1056" cm="1">
        <f t="array" ref="J1056">_xlfn.IFS(H1056&lt;30,0,H1056&lt;60,1,H1056&lt;90,2,H1056&lt;120,3)</f>
        <v>0</v>
      </c>
      <c r="M1056" t="str">
        <f t="shared" si="104"/>
        <v>Low</v>
      </c>
      <c r="N1056" t="str">
        <f t="shared" si="101"/>
        <v>Jan</v>
      </c>
      <c r="O1056">
        <f t="shared" si="102"/>
        <v>2026</v>
      </c>
    </row>
    <row r="1057" spans="1:15" x14ac:dyDescent="0.3">
      <c r="A1057">
        <v>203498</v>
      </c>
      <c r="B1057" t="s">
        <v>118</v>
      </c>
      <c r="C1057" s="2">
        <v>46041</v>
      </c>
      <c r="D1057" s="2">
        <f t="shared" si="100"/>
        <v>46071</v>
      </c>
      <c r="E1057" s="1">
        <f>D1057+1</f>
        <v>46072</v>
      </c>
      <c r="F1057">
        <v>3237</v>
      </c>
      <c r="G1057">
        <v>30</v>
      </c>
      <c r="H1057">
        <f t="shared" si="99"/>
        <v>0</v>
      </c>
      <c r="I1057" t="str">
        <f t="shared" si="103"/>
        <v>On Time</v>
      </c>
      <c r="J1057" cm="1">
        <f t="array" ref="J1057">_xlfn.IFS(H1057&lt;30,0,H1057&lt;60,1,H1057&lt;90,2,H1057&lt;120,3)</f>
        <v>0</v>
      </c>
      <c r="M1057" t="str">
        <f t="shared" si="104"/>
        <v>Low</v>
      </c>
      <c r="N1057" t="str">
        <f t="shared" si="101"/>
        <v>Jan</v>
      </c>
      <c r="O1057">
        <f t="shared" si="102"/>
        <v>2026</v>
      </c>
    </row>
    <row r="1058" spans="1:15" x14ac:dyDescent="0.3">
      <c r="A1058">
        <v>203499</v>
      </c>
      <c r="B1058" t="s">
        <v>119</v>
      </c>
      <c r="C1058" s="2">
        <v>46041</v>
      </c>
      <c r="D1058" s="2">
        <f t="shared" si="100"/>
        <v>46071</v>
      </c>
      <c r="E1058" s="1">
        <f>D1058-1</f>
        <v>46070</v>
      </c>
      <c r="F1058">
        <v>3893</v>
      </c>
      <c r="G1058">
        <v>30</v>
      </c>
      <c r="H1058">
        <f t="shared" si="99"/>
        <v>0</v>
      </c>
      <c r="I1058" t="str">
        <f t="shared" si="103"/>
        <v>On Time</v>
      </c>
      <c r="J1058" cm="1">
        <f t="array" ref="J1058">_xlfn.IFS(H1058&lt;30,0,H1058&lt;60,1,H1058&lt;90,2,H1058&lt;120,3)</f>
        <v>0</v>
      </c>
      <c r="M1058" t="str">
        <f t="shared" si="104"/>
        <v>Low</v>
      </c>
      <c r="N1058" t="str">
        <f t="shared" si="101"/>
        <v>Jan</v>
      </c>
      <c r="O1058">
        <f t="shared" si="102"/>
        <v>2026</v>
      </c>
    </row>
    <row r="1059" spans="1:15" x14ac:dyDescent="0.3">
      <c r="A1059">
        <v>203500</v>
      </c>
      <c r="B1059" t="s">
        <v>31</v>
      </c>
      <c r="C1059" s="2">
        <v>46041</v>
      </c>
      <c r="D1059" s="2">
        <f t="shared" si="100"/>
        <v>46086</v>
      </c>
      <c r="E1059" s="1">
        <f>D1059</f>
        <v>46086</v>
      </c>
      <c r="F1059">
        <v>4188</v>
      </c>
      <c r="G1059">
        <v>45</v>
      </c>
      <c r="H1059">
        <f t="shared" si="99"/>
        <v>0</v>
      </c>
      <c r="I1059" t="str">
        <f t="shared" si="103"/>
        <v>On Time</v>
      </c>
      <c r="J1059" cm="1">
        <f t="array" ref="J1059">_xlfn.IFS(H1059&lt;30,0,H1059&lt;60,1,H1059&lt;90,2,H1059&lt;120,3)</f>
        <v>0</v>
      </c>
      <c r="M1059" t="str">
        <f t="shared" si="104"/>
        <v>Low</v>
      </c>
      <c r="N1059" t="str">
        <f t="shared" si="101"/>
        <v>Jan</v>
      </c>
      <c r="O1059">
        <f t="shared" si="102"/>
        <v>2026</v>
      </c>
    </row>
    <row r="1060" spans="1:15" x14ac:dyDescent="0.3">
      <c r="A1060">
        <v>203501</v>
      </c>
      <c r="B1060" t="s">
        <v>32</v>
      </c>
      <c r="C1060" s="2">
        <v>46041</v>
      </c>
      <c r="D1060" s="2">
        <f t="shared" si="100"/>
        <v>46086</v>
      </c>
      <c r="E1060" s="1">
        <f>D1060+1</f>
        <v>46087</v>
      </c>
      <c r="F1060">
        <v>14686</v>
      </c>
      <c r="G1060">
        <v>45</v>
      </c>
      <c r="H1060">
        <f t="shared" si="99"/>
        <v>0</v>
      </c>
      <c r="I1060" t="str">
        <f t="shared" si="103"/>
        <v>On Time</v>
      </c>
      <c r="J1060" cm="1">
        <f t="array" ref="J1060">_xlfn.IFS(H1060&lt;30,0,H1060&lt;60,1,H1060&lt;90,2,H1060&lt;120,3)</f>
        <v>0</v>
      </c>
      <c r="M1060" t="str">
        <f t="shared" si="104"/>
        <v>Low</v>
      </c>
      <c r="N1060" t="str">
        <f t="shared" si="101"/>
        <v>Jan</v>
      </c>
      <c r="O1060">
        <f t="shared" si="102"/>
        <v>2026</v>
      </c>
    </row>
    <row r="1061" spans="1:15" x14ac:dyDescent="0.3">
      <c r="A1061">
        <v>203502</v>
      </c>
      <c r="B1061" t="s">
        <v>33</v>
      </c>
      <c r="C1061" s="2">
        <v>46041</v>
      </c>
      <c r="D1061" s="2">
        <f t="shared" si="100"/>
        <v>46071</v>
      </c>
      <c r="E1061" s="1">
        <f>D1061+35</f>
        <v>46106</v>
      </c>
      <c r="F1061">
        <v>4652</v>
      </c>
      <c r="G1061">
        <v>30</v>
      </c>
      <c r="H1061">
        <f t="shared" si="99"/>
        <v>0</v>
      </c>
      <c r="I1061" t="str">
        <f t="shared" si="103"/>
        <v>On Time</v>
      </c>
      <c r="J1061" cm="1">
        <f t="array" ref="J1061">_xlfn.IFS(H1061&lt;30,0,H1061&lt;60,1,H1061&lt;90,2,H1061&lt;120,3)</f>
        <v>0</v>
      </c>
      <c r="M1061" t="str">
        <f t="shared" si="104"/>
        <v>Low</v>
      </c>
      <c r="N1061" t="str">
        <f t="shared" si="101"/>
        <v>Jan</v>
      </c>
      <c r="O1061">
        <f t="shared" si="102"/>
        <v>2026</v>
      </c>
    </row>
    <row r="1062" spans="1:15" x14ac:dyDescent="0.3">
      <c r="A1062">
        <v>203503</v>
      </c>
      <c r="B1062" t="s">
        <v>34</v>
      </c>
      <c r="C1062" s="2">
        <v>46041</v>
      </c>
      <c r="D1062" s="2">
        <f t="shared" si="100"/>
        <v>46101</v>
      </c>
      <c r="E1062" s="1">
        <f>D1062+75</f>
        <v>46176</v>
      </c>
      <c r="F1062">
        <v>3511</v>
      </c>
      <c r="G1062">
        <v>60</v>
      </c>
      <c r="H1062">
        <f t="shared" ref="H1062:H1125" si="105">MAX(0,P1027-D1062)</f>
        <v>0</v>
      </c>
      <c r="I1062" t="str">
        <f t="shared" si="103"/>
        <v>On Time</v>
      </c>
      <c r="J1062" cm="1">
        <f t="array" ref="J1062">_xlfn.IFS(H1062&lt;30,0,H1062&lt;60,1,H1062&lt;90,2,H1062&lt;120,3)</f>
        <v>0</v>
      </c>
      <c r="M1062" t="str">
        <f t="shared" si="104"/>
        <v>Low</v>
      </c>
      <c r="N1062" t="str">
        <f t="shared" si="101"/>
        <v>Jan</v>
      </c>
      <c r="O1062">
        <f t="shared" si="102"/>
        <v>2026</v>
      </c>
    </row>
    <row r="1063" spans="1:15" x14ac:dyDescent="0.3">
      <c r="A1063">
        <v>203485</v>
      </c>
      <c r="B1063" t="s">
        <v>70</v>
      </c>
      <c r="C1063" s="2">
        <v>46038</v>
      </c>
      <c r="D1063" s="2">
        <f t="shared" si="100"/>
        <v>46068</v>
      </c>
      <c r="E1063" s="1">
        <f>D1063</f>
        <v>46068</v>
      </c>
      <c r="F1063">
        <v>1111</v>
      </c>
      <c r="G1063">
        <v>30</v>
      </c>
      <c r="H1063">
        <f t="shared" si="105"/>
        <v>0</v>
      </c>
      <c r="I1063" t="str">
        <f t="shared" si="103"/>
        <v>On Time</v>
      </c>
      <c r="J1063" cm="1">
        <f t="array" ref="J1063">_xlfn.IFS(H1063&lt;30,0,H1063&lt;60,1,H1063&lt;90,2,H1063&lt;120,3)</f>
        <v>0</v>
      </c>
      <c r="M1063" t="str">
        <f t="shared" si="104"/>
        <v>Low</v>
      </c>
      <c r="N1063" t="str">
        <f t="shared" si="101"/>
        <v>Jan</v>
      </c>
      <c r="O1063">
        <f t="shared" si="102"/>
        <v>2026</v>
      </c>
    </row>
    <row r="1064" spans="1:15" x14ac:dyDescent="0.3">
      <c r="A1064">
        <v>203486</v>
      </c>
      <c r="B1064" t="s">
        <v>71</v>
      </c>
      <c r="C1064" s="2">
        <v>46038</v>
      </c>
      <c r="D1064" s="2">
        <f t="shared" si="100"/>
        <v>46068</v>
      </c>
      <c r="E1064" s="1">
        <f>D1064+1</f>
        <v>46069</v>
      </c>
      <c r="F1064">
        <v>2193</v>
      </c>
      <c r="G1064">
        <v>30</v>
      </c>
      <c r="H1064">
        <f t="shared" si="105"/>
        <v>0</v>
      </c>
      <c r="I1064" t="str">
        <f t="shared" si="103"/>
        <v>On Time</v>
      </c>
      <c r="J1064" cm="1">
        <f t="array" ref="J1064">_xlfn.IFS(H1064&lt;30,0,H1064&lt;60,1,H1064&lt;90,2,H1064&lt;120,3)</f>
        <v>0</v>
      </c>
      <c r="M1064" t="str">
        <f t="shared" si="104"/>
        <v>Low</v>
      </c>
      <c r="N1064" t="str">
        <f t="shared" si="101"/>
        <v>Jan</v>
      </c>
      <c r="O1064">
        <f t="shared" si="102"/>
        <v>2026</v>
      </c>
    </row>
    <row r="1065" spans="1:15" x14ac:dyDescent="0.3">
      <c r="A1065">
        <v>203487</v>
      </c>
      <c r="B1065" t="s">
        <v>72</v>
      </c>
      <c r="C1065" s="2">
        <v>46038</v>
      </c>
      <c r="D1065" s="2">
        <f t="shared" si="100"/>
        <v>46068</v>
      </c>
      <c r="E1065" s="1">
        <f>D1065</f>
        <v>46068</v>
      </c>
      <c r="F1065">
        <v>4525</v>
      </c>
      <c r="G1065">
        <v>30</v>
      </c>
      <c r="H1065">
        <f t="shared" si="105"/>
        <v>0</v>
      </c>
      <c r="I1065" t="str">
        <f t="shared" si="103"/>
        <v>On Time</v>
      </c>
      <c r="J1065" cm="1">
        <f t="array" ref="J1065">_xlfn.IFS(H1065&lt;30,0,H1065&lt;60,1,H1065&lt;90,2,H1065&lt;120,3)</f>
        <v>0</v>
      </c>
      <c r="M1065" t="str">
        <f t="shared" si="104"/>
        <v>Low</v>
      </c>
      <c r="N1065" t="str">
        <f t="shared" si="101"/>
        <v>Jan</v>
      </c>
      <c r="O1065">
        <f t="shared" si="102"/>
        <v>2026</v>
      </c>
    </row>
    <row r="1066" spans="1:15" x14ac:dyDescent="0.3">
      <c r="A1066">
        <v>203488</v>
      </c>
      <c r="B1066" t="s">
        <v>73</v>
      </c>
      <c r="C1066" s="2">
        <v>46038</v>
      </c>
      <c r="D1066" s="2">
        <f t="shared" si="100"/>
        <v>46083</v>
      </c>
      <c r="E1066" s="1">
        <f>D1066</f>
        <v>46083</v>
      </c>
      <c r="F1066">
        <v>18190</v>
      </c>
      <c r="G1066">
        <v>45</v>
      </c>
      <c r="H1066">
        <f t="shared" si="105"/>
        <v>0</v>
      </c>
      <c r="I1066" t="str">
        <f t="shared" si="103"/>
        <v>On Time</v>
      </c>
      <c r="J1066" cm="1">
        <f t="array" ref="J1066">_xlfn.IFS(H1066&lt;30,0,H1066&lt;60,1,H1066&lt;90,2,H1066&lt;120,3)</f>
        <v>0</v>
      </c>
      <c r="M1066" t="str">
        <f t="shared" si="104"/>
        <v>Low</v>
      </c>
      <c r="N1066" t="str">
        <f t="shared" si="101"/>
        <v>Jan</v>
      </c>
      <c r="O1066">
        <f t="shared" si="102"/>
        <v>2026</v>
      </c>
    </row>
    <row r="1067" spans="1:15" x14ac:dyDescent="0.3">
      <c r="A1067">
        <v>203489</v>
      </c>
      <c r="B1067" t="s">
        <v>101</v>
      </c>
      <c r="C1067" s="2">
        <v>46038</v>
      </c>
      <c r="D1067" s="2">
        <f t="shared" si="100"/>
        <v>46068</v>
      </c>
      <c r="E1067" s="1">
        <f>D1067+5</f>
        <v>46073</v>
      </c>
      <c r="F1067">
        <v>2906</v>
      </c>
      <c r="G1067">
        <v>30</v>
      </c>
      <c r="H1067">
        <f t="shared" si="105"/>
        <v>0</v>
      </c>
      <c r="I1067" t="str">
        <f t="shared" si="103"/>
        <v>On Time</v>
      </c>
      <c r="J1067" cm="1">
        <f t="array" ref="J1067">_xlfn.IFS(H1067&lt;30,0,H1067&lt;60,1,H1067&lt;90,2,H1067&lt;120,3)</f>
        <v>0</v>
      </c>
      <c r="M1067" t="str">
        <f t="shared" si="104"/>
        <v>Low</v>
      </c>
      <c r="N1067" t="str">
        <f t="shared" si="101"/>
        <v>Jan</v>
      </c>
      <c r="O1067">
        <f t="shared" si="102"/>
        <v>2026</v>
      </c>
    </row>
    <row r="1068" spans="1:15" x14ac:dyDescent="0.3">
      <c r="A1068">
        <v>203490</v>
      </c>
      <c r="B1068" t="s">
        <v>102</v>
      </c>
      <c r="C1068" s="2">
        <v>46038</v>
      </c>
      <c r="D1068" s="2">
        <f t="shared" si="100"/>
        <v>46068</v>
      </c>
      <c r="E1068" s="1">
        <f>D1068+2</f>
        <v>46070</v>
      </c>
      <c r="F1068">
        <v>1739</v>
      </c>
      <c r="G1068">
        <v>30</v>
      </c>
      <c r="H1068">
        <f t="shared" si="105"/>
        <v>0</v>
      </c>
      <c r="I1068" t="str">
        <f t="shared" si="103"/>
        <v>On Time</v>
      </c>
      <c r="J1068" cm="1">
        <f t="array" ref="J1068">_xlfn.IFS(H1068&lt;30,0,H1068&lt;60,1,H1068&lt;90,2,H1068&lt;120,3)</f>
        <v>0</v>
      </c>
      <c r="M1068" t="str">
        <f t="shared" si="104"/>
        <v>Low</v>
      </c>
      <c r="N1068" t="str">
        <f t="shared" si="101"/>
        <v>Jan</v>
      </c>
      <c r="O1068">
        <f t="shared" si="102"/>
        <v>2026</v>
      </c>
    </row>
    <row r="1069" spans="1:15" x14ac:dyDescent="0.3">
      <c r="A1069">
        <v>203491</v>
      </c>
      <c r="B1069" t="s">
        <v>103</v>
      </c>
      <c r="C1069" s="2">
        <v>46038</v>
      </c>
      <c r="D1069" s="2">
        <f t="shared" si="100"/>
        <v>46068</v>
      </c>
      <c r="E1069" s="1">
        <f>D1069</f>
        <v>46068</v>
      </c>
      <c r="F1069">
        <v>1030</v>
      </c>
      <c r="G1069">
        <v>30</v>
      </c>
      <c r="H1069">
        <f t="shared" si="105"/>
        <v>0</v>
      </c>
      <c r="I1069" t="str">
        <f t="shared" si="103"/>
        <v>On Time</v>
      </c>
      <c r="J1069" cm="1">
        <f t="array" ref="J1069">_xlfn.IFS(H1069&lt;30,0,H1069&lt;60,1,H1069&lt;90,2,H1069&lt;120,3)</f>
        <v>0</v>
      </c>
      <c r="M1069" t="str">
        <f t="shared" si="104"/>
        <v>Low</v>
      </c>
      <c r="N1069" t="str">
        <f t="shared" si="101"/>
        <v>Jan</v>
      </c>
      <c r="O1069">
        <f t="shared" si="102"/>
        <v>2026</v>
      </c>
    </row>
    <row r="1070" spans="1:15" x14ac:dyDescent="0.3">
      <c r="A1070">
        <v>203492</v>
      </c>
      <c r="B1070" t="s">
        <v>104</v>
      </c>
      <c r="C1070" s="2">
        <v>46038</v>
      </c>
      <c r="D1070" s="2">
        <f t="shared" si="100"/>
        <v>46068</v>
      </c>
      <c r="E1070" s="1">
        <f>D1070</f>
        <v>46068</v>
      </c>
      <c r="F1070">
        <v>3758</v>
      </c>
      <c r="G1070">
        <v>30</v>
      </c>
      <c r="H1070">
        <f t="shared" si="105"/>
        <v>0</v>
      </c>
      <c r="I1070" t="str">
        <f t="shared" si="103"/>
        <v>On Time</v>
      </c>
      <c r="J1070" cm="1">
        <f t="array" ref="J1070">_xlfn.IFS(H1070&lt;30,0,H1070&lt;60,1,H1070&lt;90,2,H1070&lt;120,3)</f>
        <v>0</v>
      </c>
      <c r="M1070" t="str">
        <f t="shared" si="104"/>
        <v>Low</v>
      </c>
      <c r="N1070" t="str">
        <f t="shared" si="101"/>
        <v>Jan</v>
      </c>
      <c r="O1070">
        <f t="shared" si="102"/>
        <v>2026</v>
      </c>
    </row>
    <row r="1071" spans="1:15" x14ac:dyDescent="0.3">
      <c r="A1071">
        <v>203493</v>
      </c>
      <c r="B1071" t="s">
        <v>105</v>
      </c>
      <c r="C1071" s="2">
        <v>46038</v>
      </c>
      <c r="D1071" s="2">
        <f t="shared" si="100"/>
        <v>46068</v>
      </c>
      <c r="E1071" s="1">
        <f>D1071</f>
        <v>46068</v>
      </c>
      <c r="F1071">
        <v>3931</v>
      </c>
      <c r="G1071">
        <v>30</v>
      </c>
      <c r="H1071">
        <f t="shared" si="105"/>
        <v>0</v>
      </c>
      <c r="I1071" t="str">
        <f t="shared" si="103"/>
        <v>On Time</v>
      </c>
      <c r="J1071" cm="1">
        <f t="array" ref="J1071">_xlfn.IFS(H1071&lt;30,0,H1071&lt;60,1,H1071&lt;90,2,H1071&lt;120,3)</f>
        <v>0</v>
      </c>
      <c r="M1071" t="str">
        <f t="shared" si="104"/>
        <v>Low</v>
      </c>
      <c r="N1071" t="str">
        <f t="shared" si="101"/>
        <v>Jan</v>
      </c>
      <c r="O1071">
        <f t="shared" si="102"/>
        <v>2026</v>
      </c>
    </row>
    <row r="1072" spans="1:15" x14ac:dyDescent="0.3">
      <c r="A1072">
        <v>203494</v>
      </c>
      <c r="B1072" t="s">
        <v>114</v>
      </c>
      <c r="C1072" s="2">
        <v>46038</v>
      </c>
      <c r="D1072" s="2">
        <f t="shared" si="100"/>
        <v>46068</v>
      </c>
      <c r="E1072" s="1">
        <f>D1072+60</f>
        <v>46128</v>
      </c>
      <c r="F1072">
        <v>3149</v>
      </c>
      <c r="G1072">
        <v>30</v>
      </c>
      <c r="H1072">
        <f t="shared" si="105"/>
        <v>0</v>
      </c>
      <c r="I1072" t="str">
        <f t="shared" si="103"/>
        <v>On Time</v>
      </c>
      <c r="J1072" cm="1">
        <f t="array" ref="J1072">_xlfn.IFS(H1072&lt;30,0,H1072&lt;60,1,H1072&lt;90,2,H1072&lt;120,3)</f>
        <v>0</v>
      </c>
      <c r="M1072" t="str">
        <f t="shared" si="104"/>
        <v>Low</v>
      </c>
      <c r="N1072" t="str">
        <f t="shared" si="101"/>
        <v>Jan</v>
      </c>
      <c r="O1072">
        <f t="shared" si="102"/>
        <v>2026</v>
      </c>
    </row>
    <row r="1073" spans="1:15" x14ac:dyDescent="0.3">
      <c r="A1073">
        <v>203475</v>
      </c>
      <c r="B1073" t="s">
        <v>33</v>
      </c>
      <c r="C1073" s="2">
        <v>46037</v>
      </c>
      <c r="D1073" s="2">
        <f t="shared" si="100"/>
        <v>46067</v>
      </c>
      <c r="E1073" s="1">
        <f>D1073+32</f>
        <v>46099</v>
      </c>
      <c r="F1073">
        <v>1591</v>
      </c>
      <c r="G1073">
        <v>30</v>
      </c>
      <c r="H1073">
        <f t="shared" si="105"/>
        <v>0</v>
      </c>
      <c r="I1073" t="str">
        <f t="shared" si="103"/>
        <v>On Time</v>
      </c>
      <c r="J1073" cm="1">
        <f t="array" ref="J1073">_xlfn.IFS(H1073&lt;30,0,H1073&lt;60,1,H1073&lt;90,2,H1073&lt;120,3)</f>
        <v>0</v>
      </c>
      <c r="M1073" t="str">
        <f t="shared" si="104"/>
        <v>Low</v>
      </c>
      <c r="N1073" t="str">
        <f t="shared" si="101"/>
        <v>Jan</v>
      </c>
      <c r="O1073">
        <f t="shared" si="102"/>
        <v>2026</v>
      </c>
    </row>
    <row r="1074" spans="1:15" x14ac:dyDescent="0.3">
      <c r="A1074">
        <v>203476</v>
      </c>
      <c r="B1074" t="s">
        <v>34</v>
      </c>
      <c r="C1074" s="2">
        <v>46037</v>
      </c>
      <c r="D1074" s="2">
        <f t="shared" si="100"/>
        <v>46097</v>
      </c>
      <c r="E1074" s="1">
        <f>D1074+15</f>
        <v>46112</v>
      </c>
      <c r="F1074">
        <v>4004</v>
      </c>
      <c r="G1074">
        <v>60</v>
      </c>
      <c r="H1074">
        <f t="shared" si="105"/>
        <v>0</v>
      </c>
      <c r="I1074" t="str">
        <f t="shared" si="103"/>
        <v>On Time</v>
      </c>
      <c r="J1074" cm="1">
        <f t="array" ref="J1074">_xlfn.IFS(H1074&lt;30,0,H1074&lt;60,1,H1074&lt;90,2,H1074&lt;120,3)</f>
        <v>0</v>
      </c>
      <c r="M1074" t="str">
        <f t="shared" si="104"/>
        <v>Low</v>
      </c>
      <c r="N1074" t="str">
        <f t="shared" si="101"/>
        <v>Jan</v>
      </c>
      <c r="O1074">
        <f t="shared" si="102"/>
        <v>2026</v>
      </c>
    </row>
    <row r="1075" spans="1:15" x14ac:dyDescent="0.3">
      <c r="A1075">
        <v>203477</v>
      </c>
      <c r="B1075" t="s">
        <v>35</v>
      </c>
      <c r="C1075" s="2">
        <v>46037</v>
      </c>
      <c r="D1075" s="2">
        <f t="shared" si="100"/>
        <v>46082</v>
      </c>
      <c r="E1075" s="1">
        <f>D1075</f>
        <v>46082</v>
      </c>
      <c r="F1075">
        <v>4616</v>
      </c>
      <c r="G1075">
        <v>45</v>
      </c>
      <c r="H1075">
        <f t="shared" si="105"/>
        <v>0</v>
      </c>
      <c r="I1075" t="str">
        <f t="shared" si="103"/>
        <v>On Time</v>
      </c>
      <c r="J1075" cm="1">
        <f t="array" ref="J1075">_xlfn.IFS(H1075&lt;30,0,H1075&lt;60,1,H1075&lt;90,2,H1075&lt;120,3)</f>
        <v>0</v>
      </c>
      <c r="M1075" t="str">
        <f t="shared" si="104"/>
        <v>Low</v>
      </c>
      <c r="N1075" t="str">
        <f t="shared" si="101"/>
        <v>Jan</v>
      </c>
      <c r="O1075">
        <f t="shared" si="102"/>
        <v>2026</v>
      </c>
    </row>
    <row r="1076" spans="1:15" x14ac:dyDescent="0.3">
      <c r="A1076">
        <v>203478</v>
      </c>
      <c r="B1076" t="s">
        <v>36</v>
      </c>
      <c r="C1076" s="2">
        <v>46037</v>
      </c>
      <c r="D1076" s="2">
        <f t="shared" si="100"/>
        <v>46067</v>
      </c>
      <c r="E1076" s="1">
        <f>D1076-2</f>
        <v>46065</v>
      </c>
      <c r="F1076">
        <v>1161</v>
      </c>
      <c r="G1076">
        <v>30</v>
      </c>
      <c r="H1076">
        <f t="shared" si="105"/>
        <v>0</v>
      </c>
      <c r="I1076" t="str">
        <f t="shared" si="103"/>
        <v>On Time</v>
      </c>
      <c r="J1076" cm="1">
        <f t="array" ref="J1076">_xlfn.IFS(H1076&lt;30,0,H1076&lt;60,1,H1076&lt;90,2,H1076&lt;120,3)</f>
        <v>0</v>
      </c>
      <c r="M1076" t="str">
        <f t="shared" si="104"/>
        <v>Low</v>
      </c>
      <c r="N1076" t="str">
        <f t="shared" si="101"/>
        <v>Jan</v>
      </c>
      <c r="O1076">
        <f t="shared" si="102"/>
        <v>2026</v>
      </c>
    </row>
    <row r="1077" spans="1:15" x14ac:dyDescent="0.3">
      <c r="A1077">
        <v>203479</v>
      </c>
      <c r="B1077" t="s">
        <v>64</v>
      </c>
      <c r="C1077" s="2">
        <v>46037</v>
      </c>
      <c r="D1077" s="2">
        <f t="shared" si="100"/>
        <v>46067</v>
      </c>
      <c r="E1077" s="1">
        <f>D1077</f>
        <v>46067</v>
      </c>
      <c r="F1077">
        <v>1651</v>
      </c>
      <c r="G1077">
        <v>30</v>
      </c>
      <c r="H1077">
        <f t="shared" si="105"/>
        <v>0</v>
      </c>
      <c r="I1077" t="str">
        <f t="shared" si="103"/>
        <v>On Time</v>
      </c>
      <c r="J1077" cm="1">
        <f t="array" ref="J1077">_xlfn.IFS(H1077&lt;30,0,H1077&lt;60,1,H1077&lt;90,2,H1077&lt;120,3)</f>
        <v>0</v>
      </c>
      <c r="M1077" t="str">
        <f t="shared" si="104"/>
        <v>Low</v>
      </c>
      <c r="N1077" t="str">
        <f t="shared" si="101"/>
        <v>Jan</v>
      </c>
      <c r="O1077">
        <f t="shared" si="102"/>
        <v>2026</v>
      </c>
    </row>
    <row r="1078" spans="1:15" x14ac:dyDescent="0.3">
      <c r="A1078">
        <v>203480</v>
      </c>
      <c r="B1078" t="s">
        <v>65</v>
      </c>
      <c r="C1078" s="2">
        <v>46037</v>
      </c>
      <c r="D1078" s="2">
        <f t="shared" si="100"/>
        <v>46082</v>
      </c>
      <c r="E1078" s="1">
        <f>D1078+2</f>
        <v>46084</v>
      </c>
      <c r="F1078">
        <v>764</v>
      </c>
      <c r="G1078">
        <v>45</v>
      </c>
      <c r="H1078">
        <f t="shared" si="105"/>
        <v>0</v>
      </c>
      <c r="I1078" t="str">
        <f t="shared" si="103"/>
        <v>On Time</v>
      </c>
      <c r="J1078" cm="1">
        <f t="array" ref="J1078">_xlfn.IFS(H1078&lt;30,0,H1078&lt;60,1,H1078&lt;90,2,H1078&lt;120,3)</f>
        <v>0</v>
      </c>
      <c r="M1078" t="str">
        <f t="shared" si="104"/>
        <v>Low</v>
      </c>
      <c r="N1078" t="str">
        <f t="shared" si="101"/>
        <v>Jan</v>
      </c>
      <c r="O1078">
        <f t="shared" si="102"/>
        <v>2026</v>
      </c>
    </row>
    <row r="1079" spans="1:15" x14ac:dyDescent="0.3">
      <c r="A1079">
        <v>203481</v>
      </c>
      <c r="B1079" t="s">
        <v>66</v>
      </c>
      <c r="C1079" s="2">
        <v>46037</v>
      </c>
      <c r="D1079" s="2">
        <f t="shared" si="100"/>
        <v>46097</v>
      </c>
      <c r="E1079" s="1">
        <f>D1079+2</f>
        <v>46099</v>
      </c>
      <c r="F1079">
        <v>3189</v>
      </c>
      <c r="G1079">
        <v>60</v>
      </c>
      <c r="H1079">
        <f t="shared" si="105"/>
        <v>0</v>
      </c>
      <c r="I1079" t="str">
        <f t="shared" si="103"/>
        <v>On Time</v>
      </c>
      <c r="J1079" cm="1">
        <f t="array" ref="J1079">_xlfn.IFS(H1079&lt;30,0,H1079&lt;60,1,H1079&lt;90,2,H1079&lt;120,3)</f>
        <v>0</v>
      </c>
      <c r="M1079" t="str">
        <f t="shared" si="104"/>
        <v>Low</v>
      </c>
      <c r="N1079" t="str">
        <f t="shared" si="101"/>
        <v>Jan</v>
      </c>
      <c r="O1079">
        <f t="shared" si="102"/>
        <v>2026</v>
      </c>
    </row>
    <row r="1080" spans="1:15" x14ac:dyDescent="0.3">
      <c r="A1080">
        <v>203482</v>
      </c>
      <c r="B1080" t="s">
        <v>67</v>
      </c>
      <c r="C1080" s="2">
        <v>46037</v>
      </c>
      <c r="D1080" s="2">
        <f t="shared" si="100"/>
        <v>46067</v>
      </c>
      <c r="E1080" s="1">
        <f>D1080+2</f>
        <v>46069</v>
      </c>
      <c r="F1080">
        <v>3150</v>
      </c>
      <c r="G1080">
        <v>30</v>
      </c>
      <c r="H1080">
        <f t="shared" si="105"/>
        <v>0</v>
      </c>
      <c r="I1080" t="str">
        <f t="shared" si="103"/>
        <v>On Time</v>
      </c>
      <c r="J1080" cm="1">
        <f t="array" ref="J1080">_xlfn.IFS(H1080&lt;30,0,H1080&lt;60,1,H1080&lt;90,2,H1080&lt;120,3)</f>
        <v>0</v>
      </c>
      <c r="M1080" t="str">
        <f t="shared" si="104"/>
        <v>Low</v>
      </c>
      <c r="N1080" t="str">
        <f t="shared" si="101"/>
        <v>Jan</v>
      </c>
      <c r="O1080">
        <f t="shared" si="102"/>
        <v>2026</v>
      </c>
    </row>
    <row r="1081" spans="1:15" x14ac:dyDescent="0.3">
      <c r="A1081">
        <v>203483</v>
      </c>
      <c r="B1081" t="s">
        <v>68</v>
      </c>
      <c r="C1081" s="2">
        <v>46037</v>
      </c>
      <c r="D1081" s="2">
        <f t="shared" si="100"/>
        <v>46067</v>
      </c>
      <c r="E1081" s="1">
        <f>D1081</f>
        <v>46067</v>
      </c>
      <c r="F1081">
        <v>853</v>
      </c>
      <c r="G1081">
        <v>30</v>
      </c>
      <c r="H1081">
        <f t="shared" si="105"/>
        <v>0</v>
      </c>
      <c r="I1081" t="str">
        <f t="shared" si="103"/>
        <v>On Time</v>
      </c>
      <c r="J1081" cm="1">
        <f t="array" ref="J1081">_xlfn.IFS(H1081&lt;30,0,H1081&lt;60,1,H1081&lt;90,2,H1081&lt;120,3)</f>
        <v>0</v>
      </c>
      <c r="M1081" t="str">
        <f t="shared" si="104"/>
        <v>Low</v>
      </c>
      <c r="N1081" t="str">
        <f t="shared" si="101"/>
        <v>Jan</v>
      </c>
      <c r="O1081">
        <f t="shared" si="102"/>
        <v>2026</v>
      </c>
    </row>
    <row r="1082" spans="1:15" x14ac:dyDescent="0.3">
      <c r="A1082">
        <v>203484</v>
      </c>
      <c r="B1082" t="s">
        <v>69</v>
      </c>
      <c r="C1082" s="2">
        <v>46037</v>
      </c>
      <c r="D1082" s="2">
        <f t="shared" si="100"/>
        <v>46067</v>
      </c>
      <c r="E1082" s="1">
        <f>D1082+20</f>
        <v>46087</v>
      </c>
      <c r="F1082">
        <v>3952</v>
      </c>
      <c r="G1082">
        <v>30</v>
      </c>
      <c r="H1082">
        <f t="shared" si="105"/>
        <v>0</v>
      </c>
      <c r="I1082" t="str">
        <f t="shared" si="103"/>
        <v>On Time</v>
      </c>
      <c r="J1082" cm="1">
        <f t="array" ref="J1082">_xlfn.IFS(H1082&lt;30,0,H1082&lt;60,1,H1082&lt;90,2,H1082&lt;120,3)</f>
        <v>0</v>
      </c>
      <c r="M1082" t="str">
        <f t="shared" si="104"/>
        <v>Low</v>
      </c>
      <c r="N1082" t="str">
        <f t="shared" si="101"/>
        <v>Jan</v>
      </c>
      <c r="O1082">
        <f t="shared" si="102"/>
        <v>2026</v>
      </c>
    </row>
    <row r="1083" spans="1:15" x14ac:dyDescent="0.3">
      <c r="A1083">
        <v>203464</v>
      </c>
      <c r="B1083" t="s">
        <v>103</v>
      </c>
      <c r="C1083" s="2">
        <v>46036</v>
      </c>
      <c r="D1083" s="2">
        <f t="shared" si="100"/>
        <v>46066</v>
      </c>
      <c r="E1083" s="1">
        <f>D1083+3</f>
        <v>46069</v>
      </c>
      <c r="F1083">
        <v>4767</v>
      </c>
      <c r="G1083">
        <v>30</v>
      </c>
      <c r="H1083">
        <f t="shared" si="105"/>
        <v>0</v>
      </c>
      <c r="I1083" t="str">
        <f t="shared" si="103"/>
        <v>On Time</v>
      </c>
      <c r="J1083" cm="1">
        <f t="array" ref="J1083">_xlfn.IFS(H1083&lt;30,0,H1083&lt;60,1,H1083&lt;90,2,H1083&lt;120,3)</f>
        <v>0</v>
      </c>
      <c r="M1083" t="str">
        <f t="shared" si="104"/>
        <v>Low</v>
      </c>
      <c r="N1083" t="str">
        <f t="shared" si="101"/>
        <v>Jan</v>
      </c>
      <c r="O1083">
        <f t="shared" si="102"/>
        <v>2026</v>
      </c>
    </row>
    <row r="1084" spans="1:15" x14ac:dyDescent="0.3">
      <c r="A1084">
        <v>203465</v>
      </c>
      <c r="B1084" t="s">
        <v>104</v>
      </c>
      <c r="C1084" s="2">
        <v>46036</v>
      </c>
      <c r="D1084" s="2">
        <f t="shared" si="100"/>
        <v>46066</v>
      </c>
      <c r="E1084" s="1">
        <f>D1084+1</f>
        <v>46067</v>
      </c>
      <c r="F1084">
        <v>257</v>
      </c>
      <c r="G1084">
        <v>30</v>
      </c>
      <c r="H1084">
        <f t="shared" si="105"/>
        <v>0</v>
      </c>
      <c r="I1084" t="str">
        <f t="shared" si="103"/>
        <v>On Time</v>
      </c>
      <c r="J1084" cm="1">
        <f t="array" ref="J1084">_xlfn.IFS(H1084&lt;30,0,H1084&lt;60,1,H1084&lt;90,2,H1084&lt;120,3)</f>
        <v>0</v>
      </c>
      <c r="M1084" t="str">
        <f t="shared" si="104"/>
        <v>Low</v>
      </c>
      <c r="N1084" t="str">
        <f t="shared" si="101"/>
        <v>Jan</v>
      </c>
      <c r="O1084">
        <f t="shared" si="102"/>
        <v>2026</v>
      </c>
    </row>
    <row r="1085" spans="1:15" x14ac:dyDescent="0.3">
      <c r="A1085">
        <v>203466</v>
      </c>
      <c r="B1085" t="s">
        <v>105</v>
      </c>
      <c r="C1085" s="2">
        <v>46036</v>
      </c>
      <c r="D1085" s="2">
        <f t="shared" si="100"/>
        <v>46066</v>
      </c>
      <c r="E1085" s="1">
        <f>D1085-1</f>
        <v>46065</v>
      </c>
      <c r="F1085">
        <v>1469</v>
      </c>
      <c r="G1085">
        <v>30</v>
      </c>
      <c r="H1085">
        <f t="shared" si="105"/>
        <v>0</v>
      </c>
      <c r="I1085" t="str">
        <f t="shared" si="103"/>
        <v>On Time</v>
      </c>
      <c r="J1085" cm="1">
        <f t="array" ref="J1085">_xlfn.IFS(H1085&lt;30,0,H1085&lt;60,1,H1085&lt;90,2,H1085&lt;120,3)</f>
        <v>0</v>
      </c>
      <c r="M1085" t="str">
        <f t="shared" si="104"/>
        <v>Low</v>
      </c>
      <c r="N1085" t="str">
        <f t="shared" si="101"/>
        <v>Jan</v>
      </c>
      <c r="O1085">
        <f t="shared" si="102"/>
        <v>2026</v>
      </c>
    </row>
    <row r="1086" spans="1:15" x14ac:dyDescent="0.3">
      <c r="A1086">
        <v>203467</v>
      </c>
      <c r="B1086" t="s">
        <v>114</v>
      </c>
      <c r="C1086" s="2">
        <v>46036</v>
      </c>
      <c r="D1086" s="2">
        <f t="shared" si="100"/>
        <v>46066</v>
      </c>
      <c r="E1086" s="1">
        <f>D1086</f>
        <v>46066</v>
      </c>
      <c r="F1086">
        <v>4586</v>
      </c>
      <c r="G1086">
        <v>30</v>
      </c>
      <c r="H1086">
        <f t="shared" si="105"/>
        <v>0</v>
      </c>
      <c r="I1086" t="str">
        <f t="shared" si="103"/>
        <v>On Time</v>
      </c>
      <c r="J1086" cm="1">
        <f t="array" ref="J1086">_xlfn.IFS(H1086&lt;30,0,H1086&lt;60,1,H1086&lt;90,2,H1086&lt;120,3)</f>
        <v>0</v>
      </c>
      <c r="M1086" t="str">
        <f t="shared" si="104"/>
        <v>Low</v>
      </c>
      <c r="N1086" t="str">
        <f t="shared" si="101"/>
        <v>Jan</v>
      </c>
      <c r="O1086">
        <f t="shared" si="102"/>
        <v>2026</v>
      </c>
    </row>
    <row r="1087" spans="1:15" x14ac:dyDescent="0.3">
      <c r="A1087">
        <v>203468</v>
      </c>
      <c r="B1087" t="s">
        <v>115</v>
      </c>
      <c r="C1087" s="2">
        <v>46036</v>
      </c>
      <c r="D1087" s="2">
        <f t="shared" si="100"/>
        <v>46066</v>
      </c>
      <c r="E1087" s="1">
        <f>D1087-5</f>
        <v>46061</v>
      </c>
      <c r="F1087">
        <v>3729</v>
      </c>
      <c r="G1087">
        <v>30</v>
      </c>
      <c r="H1087">
        <f t="shared" si="105"/>
        <v>0</v>
      </c>
      <c r="I1087" t="str">
        <f t="shared" si="103"/>
        <v>On Time</v>
      </c>
      <c r="J1087" cm="1">
        <f t="array" ref="J1087">_xlfn.IFS(H1087&lt;30,0,H1087&lt;60,1,H1087&lt;90,2,H1087&lt;120,3)</f>
        <v>0</v>
      </c>
      <c r="M1087" t="str">
        <f t="shared" si="104"/>
        <v>Low</v>
      </c>
      <c r="N1087" t="str">
        <f t="shared" si="101"/>
        <v>Jan</v>
      </c>
      <c r="O1087">
        <f t="shared" si="102"/>
        <v>2026</v>
      </c>
    </row>
    <row r="1088" spans="1:15" x14ac:dyDescent="0.3">
      <c r="A1088">
        <v>203469</v>
      </c>
      <c r="B1088" t="s">
        <v>116</v>
      </c>
      <c r="C1088" s="2">
        <v>46036</v>
      </c>
      <c r="D1088" s="2">
        <f t="shared" si="100"/>
        <v>46066</v>
      </c>
      <c r="E1088" s="1">
        <f>D1088+35</f>
        <v>46101</v>
      </c>
      <c r="F1088">
        <v>1919</v>
      </c>
      <c r="G1088">
        <v>30</v>
      </c>
      <c r="H1088">
        <f t="shared" si="105"/>
        <v>0</v>
      </c>
      <c r="I1088" t="str">
        <f t="shared" si="103"/>
        <v>On Time</v>
      </c>
      <c r="J1088" cm="1">
        <f t="array" ref="J1088">_xlfn.IFS(H1088&lt;30,0,H1088&lt;60,1,H1088&lt;90,2,H1088&lt;120,3)</f>
        <v>0</v>
      </c>
      <c r="M1088" t="str">
        <f t="shared" si="104"/>
        <v>Low</v>
      </c>
      <c r="N1088" t="str">
        <f t="shared" si="101"/>
        <v>Jan</v>
      </c>
      <c r="O1088">
        <f t="shared" si="102"/>
        <v>2026</v>
      </c>
    </row>
    <row r="1089" spans="1:15" x14ac:dyDescent="0.3">
      <c r="A1089">
        <v>203470</v>
      </c>
      <c r="B1089" t="s">
        <v>117</v>
      </c>
      <c r="C1089" s="2">
        <v>46036</v>
      </c>
      <c r="D1089" s="2">
        <f t="shared" si="100"/>
        <v>46066</v>
      </c>
      <c r="E1089" s="1">
        <f>D1089+75</f>
        <v>46141</v>
      </c>
      <c r="F1089">
        <v>813</v>
      </c>
      <c r="G1089">
        <v>30</v>
      </c>
      <c r="H1089">
        <f t="shared" si="105"/>
        <v>0</v>
      </c>
      <c r="I1089" t="str">
        <f t="shared" si="103"/>
        <v>On Time</v>
      </c>
      <c r="J1089" cm="1">
        <f t="array" ref="J1089">_xlfn.IFS(H1089&lt;30,0,H1089&lt;60,1,H1089&lt;90,2,H1089&lt;120,3)</f>
        <v>0</v>
      </c>
      <c r="M1089" t="str">
        <f t="shared" si="104"/>
        <v>Low</v>
      </c>
      <c r="N1089" t="str">
        <f t="shared" si="101"/>
        <v>Jan</v>
      </c>
      <c r="O1089">
        <f t="shared" si="102"/>
        <v>2026</v>
      </c>
    </row>
    <row r="1090" spans="1:15" x14ac:dyDescent="0.3">
      <c r="A1090">
        <v>203471</v>
      </c>
      <c r="B1090" t="s">
        <v>118</v>
      </c>
      <c r="C1090" s="2">
        <v>46036</v>
      </c>
      <c r="D1090" s="2">
        <f t="shared" ref="D1090:D1153" si="106">C1090+G1090</f>
        <v>46066</v>
      </c>
      <c r="E1090" s="1">
        <f>D1090+5</f>
        <v>46071</v>
      </c>
      <c r="F1090">
        <v>1803</v>
      </c>
      <c r="G1090">
        <v>30</v>
      </c>
      <c r="H1090">
        <f t="shared" si="105"/>
        <v>0</v>
      </c>
      <c r="I1090" t="str">
        <f t="shared" si="103"/>
        <v>On Time</v>
      </c>
      <c r="J1090" cm="1">
        <f t="array" ref="J1090">_xlfn.IFS(H1090&lt;30,0,H1090&lt;60,1,H1090&lt;90,2,H1090&lt;120,3)</f>
        <v>0</v>
      </c>
      <c r="M1090" t="str">
        <f t="shared" si="104"/>
        <v>Low</v>
      </c>
      <c r="N1090" t="str">
        <f t="shared" ref="N1090:N1153" si="107">TEXT(C1090,"mmm")</f>
        <v>Jan</v>
      </c>
      <c r="O1090">
        <f t="shared" ref="O1090:O1153" si="108">YEAR(C1090)</f>
        <v>2026</v>
      </c>
    </row>
    <row r="1091" spans="1:15" x14ac:dyDescent="0.3">
      <c r="A1091">
        <v>203472</v>
      </c>
      <c r="B1091" t="s">
        <v>119</v>
      </c>
      <c r="C1091" s="2">
        <v>46036</v>
      </c>
      <c r="D1091" s="2">
        <f t="shared" si="106"/>
        <v>46066</v>
      </c>
      <c r="E1091" s="1">
        <f>D1091</f>
        <v>46066</v>
      </c>
      <c r="F1091">
        <v>10624</v>
      </c>
      <c r="G1091">
        <v>30</v>
      </c>
      <c r="H1091">
        <f t="shared" si="105"/>
        <v>0</v>
      </c>
      <c r="I1091" t="str">
        <f t="shared" si="103"/>
        <v>On Time</v>
      </c>
      <c r="J1091" cm="1">
        <f t="array" ref="J1091">_xlfn.IFS(H1091&lt;30,0,H1091&lt;60,1,H1091&lt;90,2,H1091&lt;120,3)</f>
        <v>0</v>
      </c>
      <c r="M1091" t="str">
        <f t="shared" si="104"/>
        <v>Low</v>
      </c>
      <c r="N1091" t="str">
        <f t="shared" si="107"/>
        <v>Jan</v>
      </c>
      <c r="O1091">
        <f t="shared" si="108"/>
        <v>2026</v>
      </c>
    </row>
    <row r="1092" spans="1:15" x14ac:dyDescent="0.3">
      <c r="A1092">
        <v>203473</v>
      </c>
      <c r="B1092" t="s">
        <v>31</v>
      </c>
      <c r="C1092" s="2">
        <v>46036</v>
      </c>
      <c r="D1092" s="2">
        <f t="shared" si="106"/>
        <v>46081</v>
      </c>
      <c r="E1092" s="1">
        <f>D1092-1</f>
        <v>46080</v>
      </c>
      <c r="F1092">
        <v>1014</v>
      </c>
      <c r="G1092">
        <v>45</v>
      </c>
      <c r="H1092">
        <f t="shared" si="105"/>
        <v>0</v>
      </c>
      <c r="I1092" t="str">
        <f t="shared" si="103"/>
        <v>On Time</v>
      </c>
      <c r="J1092" cm="1">
        <f t="array" ref="J1092">_xlfn.IFS(H1092&lt;30,0,H1092&lt;60,1,H1092&lt;90,2,H1092&lt;120,3)</f>
        <v>0</v>
      </c>
      <c r="M1092" t="str">
        <f t="shared" si="104"/>
        <v>Low</v>
      </c>
      <c r="N1092" t="str">
        <f t="shared" si="107"/>
        <v>Jan</v>
      </c>
      <c r="O1092">
        <f t="shared" si="108"/>
        <v>2026</v>
      </c>
    </row>
    <row r="1093" spans="1:15" x14ac:dyDescent="0.3">
      <c r="A1093">
        <v>203474</v>
      </c>
      <c r="B1093" t="s">
        <v>32</v>
      </c>
      <c r="C1093" s="2">
        <v>46036</v>
      </c>
      <c r="D1093" s="2">
        <f t="shared" si="106"/>
        <v>46081</v>
      </c>
      <c r="E1093" s="1">
        <f>D1093</f>
        <v>46081</v>
      </c>
      <c r="F1093">
        <v>250</v>
      </c>
      <c r="G1093">
        <v>45</v>
      </c>
      <c r="H1093">
        <f t="shared" si="105"/>
        <v>0</v>
      </c>
      <c r="I1093" t="str">
        <f t="shared" si="103"/>
        <v>On Time</v>
      </c>
      <c r="J1093" cm="1">
        <f t="array" ref="J1093">_xlfn.IFS(H1093&lt;30,0,H1093&lt;60,1,H1093&lt;90,2,H1093&lt;120,3)</f>
        <v>0</v>
      </c>
      <c r="M1093" t="str">
        <f t="shared" si="104"/>
        <v>Low</v>
      </c>
      <c r="N1093" t="str">
        <f t="shared" si="107"/>
        <v>Jan</v>
      </c>
      <c r="O1093">
        <f t="shared" si="108"/>
        <v>2026</v>
      </c>
    </row>
    <row r="1094" spans="1:15" x14ac:dyDescent="0.3">
      <c r="A1094">
        <v>203454</v>
      </c>
      <c r="B1094" t="s">
        <v>65</v>
      </c>
      <c r="C1094" s="2">
        <v>46035</v>
      </c>
      <c r="D1094" s="2">
        <f t="shared" si="106"/>
        <v>46080</v>
      </c>
      <c r="E1094" s="1">
        <f>D1094</f>
        <v>46080</v>
      </c>
      <c r="F1094">
        <v>1864</v>
      </c>
      <c r="G1094">
        <v>45</v>
      </c>
      <c r="H1094">
        <f t="shared" si="105"/>
        <v>0</v>
      </c>
      <c r="I1094" t="str">
        <f t="shared" si="103"/>
        <v>On Time</v>
      </c>
      <c r="J1094" cm="1">
        <f t="array" ref="J1094">_xlfn.IFS(H1094&lt;30,0,H1094&lt;60,1,H1094&lt;90,2,H1094&lt;120,3)</f>
        <v>0</v>
      </c>
      <c r="M1094" t="str">
        <f t="shared" si="104"/>
        <v>Low</v>
      </c>
      <c r="N1094" t="str">
        <f t="shared" si="107"/>
        <v>Jan</v>
      </c>
      <c r="O1094">
        <f t="shared" si="108"/>
        <v>2026</v>
      </c>
    </row>
    <row r="1095" spans="1:15" x14ac:dyDescent="0.3">
      <c r="A1095">
        <v>203455</v>
      </c>
      <c r="B1095" t="s">
        <v>94</v>
      </c>
      <c r="C1095" s="2">
        <v>46035</v>
      </c>
      <c r="D1095" s="2">
        <f t="shared" si="106"/>
        <v>46065</v>
      </c>
      <c r="E1095" s="1">
        <f>D1095</f>
        <v>46065</v>
      </c>
      <c r="F1095">
        <v>4252</v>
      </c>
      <c r="G1095">
        <v>30</v>
      </c>
      <c r="H1095">
        <f t="shared" si="105"/>
        <v>0</v>
      </c>
      <c r="I1095" t="str">
        <f t="shared" si="103"/>
        <v>On Time</v>
      </c>
      <c r="J1095" cm="1">
        <f t="array" ref="J1095">_xlfn.IFS(H1095&lt;30,0,H1095&lt;60,1,H1095&lt;90,2,H1095&lt;120,3)</f>
        <v>0</v>
      </c>
      <c r="M1095" t="str">
        <f t="shared" si="104"/>
        <v>Low</v>
      </c>
      <c r="N1095" t="str">
        <f t="shared" si="107"/>
        <v>Jan</v>
      </c>
      <c r="O1095">
        <f t="shared" si="108"/>
        <v>2026</v>
      </c>
    </row>
    <row r="1096" spans="1:15" x14ac:dyDescent="0.3">
      <c r="A1096">
        <v>203456</v>
      </c>
      <c r="B1096" t="s">
        <v>95</v>
      </c>
      <c r="C1096" s="2">
        <v>46035</v>
      </c>
      <c r="D1096" s="2">
        <f t="shared" si="106"/>
        <v>46080</v>
      </c>
      <c r="E1096" s="1">
        <f>D1096+5</f>
        <v>46085</v>
      </c>
      <c r="F1096">
        <v>2371</v>
      </c>
      <c r="G1096">
        <v>45</v>
      </c>
      <c r="H1096">
        <f t="shared" si="105"/>
        <v>0</v>
      </c>
      <c r="I1096" t="str">
        <f t="shared" si="103"/>
        <v>On Time</v>
      </c>
      <c r="J1096" cm="1">
        <f t="array" ref="J1096">_xlfn.IFS(H1096&lt;30,0,H1096&lt;60,1,H1096&lt;90,2,H1096&lt;120,3)</f>
        <v>0</v>
      </c>
      <c r="M1096" t="str">
        <f t="shared" si="104"/>
        <v>Low</v>
      </c>
      <c r="N1096" t="str">
        <f t="shared" si="107"/>
        <v>Jan</v>
      </c>
      <c r="O1096">
        <f t="shared" si="108"/>
        <v>2026</v>
      </c>
    </row>
    <row r="1097" spans="1:15" x14ac:dyDescent="0.3">
      <c r="A1097">
        <v>203457</v>
      </c>
      <c r="B1097" t="s">
        <v>96</v>
      </c>
      <c r="C1097" s="2">
        <v>46035</v>
      </c>
      <c r="D1097" s="2">
        <f t="shared" si="106"/>
        <v>46095</v>
      </c>
      <c r="E1097" s="1">
        <f>D1097+2</f>
        <v>46097</v>
      </c>
      <c r="F1097">
        <v>1637</v>
      </c>
      <c r="G1097">
        <v>60</v>
      </c>
      <c r="H1097">
        <f t="shared" si="105"/>
        <v>0</v>
      </c>
      <c r="I1097" t="str">
        <f t="shared" si="103"/>
        <v>On Time</v>
      </c>
      <c r="J1097" cm="1">
        <f t="array" ref="J1097">_xlfn.IFS(H1097&lt;30,0,H1097&lt;60,1,H1097&lt;90,2,H1097&lt;120,3)</f>
        <v>0</v>
      </c>
      <c r="M1097" t="str">
        <f t="shared" si="104"/>
        <v>Low</v>
      </c>
      <c r="N1097" t="str">
        <f t="shared" si="107"/>
        <v>Jan</v>
      </c>
      <c r="O1097">
        <f t="shared" si="108"/>
        <v>2026</v>
      </c>
    </row>
    <row r="1098" spans="1:15" x14ac:dyDescent="0.3">
      <c r="A1098">
        <v>203458</v>
      </c>
      <c r="B1098" t="s">
        <v>97</v>
      </c>
      <c r="C1098" s="2">
        <v>46035</v>
      </c>
      <c r="D1098" s="2">
        <f t="shared" si="106"/>
        <v>46065</v>
      </c>
      <c r="E1098" s="1">
        <f>D1098+5</f>
        <v>46070</v>
      </c>
      <c r="F1098">
        <v>4417</v>
      </c>
      <c r="G1098">
        <v>30</v>
      </c>
      <c r="H1098">
        <f t="shared" si="105"/>
        <v>0</v>
      </c>
      <c r="I1098" t="str">
        <f t="shared" si="103"/>
        <v>On Time</v>
      </c>
      <c r="J1098" cm="1">
        <f t="array" ref="J1098">_xlfn.IFS(H1098&lt;30,0,H1098&lt;60,1,H1098&lt;90,2,H1098&lt;120,3)</f>
        <v>0</v>
      </c>
      <c r="M1098" t="str">
        <f t="shared" si="104"/>
        <v>Low</v>
      </c>
      <c r="N1098" t="str">
        <f t="shared" si="107"/>
        <v>Jan</v>
      </c>
      <c r="O1098">
        <f t="shared" si="108"/>
        <v>2026</v>
      </c>
    </row>
    <row r="1099" spans="1:15" x14ac:dyDescent="0.3">
      <c r="A1099">
        <v>203459</v>
      </c>
      <c r="B1099" t="s">
        <v>98</v>
      </c>
      <c r="C1099" s="2">
        <v>46035</v>
      </c>
      <c r="D1099" s="2">
        <f t="shared" si="106"/>
        <v>46065</v>
      </c>
      <c r="E1099" s="1">
        <f>D1099</f>
        <v>46065</v>
      </c>
      <c r="F1099">
        <v>3557</v>
      </c>
      <c r="G1099">
        <v>30</v>
      </c>
      <c r="H1099">
        <f t="shared" si="105"/>
        <v>0</v>
      </c>
      <c r="I1099" t="str">
        <f t="shared" si="103"/>
        <v>On Time</v>
      </c>
      <c r="J1099" cm="1">
        <f t="array" ref="J1099">_xlfn.IFS(H1099&lt;30,0,H1099&lt;60,1,H1099&lt;90,2,H1099&lt;120,3)</f>
        <v>0</v>
      </c>
      <c r="M1099" t="str">
        <f t="shared" si="104"/>
        <v>Low</v>
      </c>
      <c r="N1099" t="str">
        <f t="shared" si="107"/>
        <v>Jan</v>
      </c>
      <c r="O1099">
        <f t="shared" si="108"/>
        <v>2026</v>
      </c>
    </row>
    <row r="1100" spans="1:15" x14ac:dyDescent="0.3">
      <c r="A1100">
        <v>203460</v>
      </c>
      <c r="B1100" t="s">
        <v>99</v>
      </c>
      <c r="C1100" s="2">
        <v>46035</v>
      </c>
      <c r="D1100" s="2">
        <f t="shared" si="106"/>
        <v>46065</v>
      </c>
      <c r="E1100" s="1">
        <f>D1100</f>
        <v>46065</v>
      </c>
      <c r="F1100">
        <v>8859</v>
      </c>
      <c r="G1100">
        <v>30</v>
      </c>
      <c r="H1100">
        <f t="shared" si="105"/>
        <v>0</v>
      </c>
      <c r="I1100" t="str">
        <f t="shared" si="103"/>
        <v>On Time</v>
      </c>
      <c r="J1100" cm="1">
        <f t="array" ref="J1100">_xlfn.IFS(H1100&lt;30,0,H1100&lt;60,1,H1100&lt;90,2,H1100&lt;120,3)</f>
        <v>0</v>
      </c>
      <c r="M1100" t="str">
        <f t="shared" si="104"/>
        <v>Low</v>
      </c>
      <c r="N1100" t="str">
        <f t="shared" si="107"/>
        <v>Jan</v>
      </c>
      <c r="O1100">
        <f t="shared" si="108"/>
        <v>2026</v>
      </c>
    </row>
    <row r="1101" spans="1:15" x14ac:dyDescent="0.3">
      <c r="A1101">
        <v>203461</v>
      </c>
      <c r="B1101" t="s">
        <v>100</v>
      </c>
      <c r="C1101" s="2">
        <v>46035</v>
      </c>
      <c r="D1101" s="2">
        <f t="shared" si="106"/>
        <v>46065</v>
      </c>
      <c r="E1101" s="1">
        <f>D1101+60</f>
        <v>46125</v>
      </c>
      <c r="F1101">
        <v>141</v>
      </c>
      <c r="G1101">
        <v>30</v>
      </c>
      <c r="H1101">
        <f t="shared" si="105"/>
        <v>0</v>
      </c>
      <c r="I1101" t="str">
        <f t="shared" si="103"/>
        <v>On Time</v>
      </c>
      <c r="J1101" cm="1">
        <f t="array" ref="J1101">_xlfn.IFS(H1101&lt;30,0,H1101&lt;60,1,H1101&lt;90,2,H1101&lt;120,3)</f>
        <v>0</v>
      </c>
      <c r="M1101" t="str">
        <f t="shared" si="104"/>
        <v>Low</v>
      </c>
      <c r="N1101" t="str">
        <f t="shared" si="107"/>
        <v>Jan</v>
      </c>
      <c r="O1101">
        <f t="shared" si="108"/>
        <v>2026</v>
      </c>
    </row>
    <row r="1102" spans="1:15" x14ac:dyDescent="0.3">
      <c r="A1102">
        <v>203462</v>
      </c>
      <c r="B1102" t="s">
        <v>101</v>
      </c>
      <c r="C1102" s="2">
        <v>46035</v>
      </c>
      <c r="D1102" s="2">
        <f t="shared" si="106"/>
        <v>46065</v>
      </c>
      <c r="E1102" s="1">
        <f>D1102</f>
        <v>46065</v>
      </c>
      <c r="F1102">
        <v>3294</v>
      </c>
      <c r="G1102">
        <v>30</v>
      </c>
      <c r="H1102">
        <f t="shared" si="105"/>
        <v>0</v>
      </c>
      <c r="I1102" t="str">
        <f t="shared" si="103"/>
        <v>On Time</v>
      </c>
      <c r="J1102" cm="1">
        <f t="array" ref="J1102">_xlfn.IFS(H1102&lt;30,0,H1102&lt;60,1,H1102&lt;90,2,H1102&lt;120,3)</f>
        <v>0</v>
      </c>
      <c r="M1102" t="str">
        <f t="shared" si="104"/>
        <v>Low</v>
      </c>
      <c r="N1102" t="str">
        <f t="shared" si="107"/>
        <v>Jan</v>
      </c>
      <c r="O1102">
        <f t="shared" si="108"/>
        <v>2026</v>
      </c>
    </row>
    <row r="1103" spans="1:15" x14ac:dyDescent="0.3">
      <c r="A1103">
        <v>203463</v>
      </c>
      <c r="B1103" t="s">
        <v>102</v>
      </c>
      <c r="C1103" s="2">
        <v>46035</v>
      </c>
      <c r="D1103" s="2">
        <f t="shared" si="106"/>
        <v>46065</v>
      </c>
      <c r="F1103">
        <v>3513</v>
      </c>
      <c r="G1103">
        <v>30</v>
      </c>
      <c r="H1103">
        <f t="shared" si="105"/>
        <v>0</v>
      </c>
      <c r="I1103" t="str">
        <f t="shared" si="103"/>
        <v>On Time</v>
      </c>
      <c r="J1103" cm="1">
        <f t="array" ref="J1103">_xlfn.IFS(H1103&lt;30,0,H1103&lt;60,1,H1103&lt;90,2,H1103&lt;120,3)</f>
        <v>0</v>
      </c>
      <c r="M1103" t="str">
        <f t="shared" si="104"/>
        <v>Low</v>
      </c>
      <c r="N1103" t="str">
        <f t="shared" si="107"/>
        <v>Jan</v>
      </c>
      <c r="O1103">
        <f t="shared" si="108"/>
        <v>2026</v>
      </c>
    </row>
    <row r="1104" spans="1:15" x14ac:dyDescent="0.3">
      <c r="A1104">
        <v>203442</v>
      </c>
      <c r="B1104" t="s">
        <v>31</v>
      </c>
      <c r="C1104" s="2">
        <v>46034</v>
      </c>
      <c r="D1104" s="2">
        <f t="shared" si="106"/>
        <v>46079</v>
      </c>
      <c r="E1104" s="1">
        <f>D1104+32</f>
        <v>46111</v>
      </c>
      <c r="F1104">
        <v>1191</v>
      </c>
      <c r="G1104">
        <v>45</v>
      </c>
      <c r="H1104">
        <f t="shared" si="105"/>
        <v>0</v>
      </c>
      <c r="I1104" t="str">
        <f t="shared" si="103"/>
        <v>On Time</v>
      </c>
      <c r="J1104" cm="1">
        <f t="array" ref="J1104">_xlfn.IFS(H1104&lt;30,0,H1104&lt;60,1,H1104&lt;90,2,H1104&lt;120,3)</f>
        <v>0</v>
      </c>
      <c r="M1104" t="str">
        <f t="shared" si="104"/>
        <v>Low</v>
      </c>
      <c r="N1104" t="str">
        <f t="shared" si="107"/>
        <v>Jan</v>
      </c>
      <c r="O1104">
        <f t="shared" si="108"/>
        <v>2026</v>
      </c>
    </row>
    <row r="1105" spans="1:15" x14ac:dyDescent="0.3">
      <c r="A1105">
        <v>203443</v>
      </c>
      <c r="B1105" t="s">
        <v>54</v>
      </c>
      <c r="C1105" s="2">
        <v>46034</v>
      </c>
      <c r="D1105" s="2">
        <f t="shared" si="106"/>
        <v>46064</v>
      </c>
      <c r="E1105" s="1">
        <f>D1105+15</f>
        <v>46079</v>
      </c>
      <c r="F1105">
        <v>291</v>
      </c>
      <c r="G1105">
        <v>30</v>
      </c>
      <c r="H1105">
        <f t="shared" si="105"/>
        <v>0</v>
      </c>
      <c r="I1105" t="str">
        <f t="shared" si="103"/>
        <v>On Time</v>
      </c>
      <c r="J1105" cm="1">
        <f t="array" ref="J1105">_xlfn.IFS(H1105&lt;30,0,H1105&lt;60,1,H1105&lt;90,2,H1105&lt;120,3)</f>
        <v>0</v>
      </c>
      <c r="M1105" t="str">
        <f t="shared" si="104"/>
        <v>Low</v>
      </c>
      <c r="N1105" t="str">
        <f t="shared" si="107"/>
        <v>Jan</v>
      </c>
      <c r="O1105">
        <f t="shared" si="108"/>
        <v>2026</v>
      </c>
    </row>
    <row r="1106" spans="1:15" x14ac:dyDescent="0.3">
      <c r="A1106">
        <v>203444</v>
      </c>
      <c r="B1106" t="s">
        <v>55</v>
      </c>
      <c r="C1106" s="2">
        <v>46034</v>
      </c>
      <c r="D1106" s="2">
        <f t="shared" si="106"/>
        <v>46064</v>
      </c>
      <c r="E1106" s="1">
        <f>D1106-2</f>
        <v>46062</v>
      </c>
      <c r="F1106">
        <v>2740</v>
      </c>
      <c r="G1106">
        <v>30</v>
      </c>
      <c r="H1106">
        <f t="shared" si="105"/>
        <v>0</v>
      </c>
      <c r="I1106" t="str">
        <f t="shared" si="103"/>
        <v>On Time</v>
      </c>
      <c r="J1106" cm="1">
        <f t="array" ref="J1106">_xlfn.IFS(H1106&lt;30,0,H1106&lt;60,1,H1106&lt;90,2,H1106&lt;120,3)</f>
        <v>0</v>
      </c>
      <c r="M1106" t="str">
        <f t="shared" si="104"/>
        <v>Low</v>
      </c>
      <c r="N1106" t="str">
        <f t="shared" si="107"/>
        <v>Jan</v>
      </c>
      <c r="O1106">
        <f t="shared" si="108"/>
        <v>2026</v>
      </c>
    </row>
    <row r="1107" spans="1:15" x14ac:dyDescent="0.3">
      <c r="A1107">
        <v>203445</v>
      </c>
      <c r="B1107" t="s">
        <v>56</v>
      </c>
      <c r="C1107" s="2">
        <v>46034</v>
      </c>
      <c r="D1107" s="2">
        <f t="shared" si="106"/>
        <v>46079</v>
      </c>
      <c r="E1107" s="1">
        <f>D1107-2</f>
        <v>46077</v>
      </c>
      <c r="F1107">
        <v>2014</v>
      </c>
      <c r="G1107">
        <v>45</v>
      </c>
      <c r="H1107">
        <f t="shared" si="105"/>
        <v>0</v>
      </c>
      <c r="I1107" t="str">
        <f t="shared" si="103"/>
        <v>On Time</v>
      </c>
      <c r="J1107" cm="1">
        <f t="array" ref="J1107">_xlfn.IFS(H1107&lt;30,0,H1107&lt;60,1,H1107&lt;90,2,H1107&lt;120,3)</f>
        <v>0</v>
      </c>
      <c r="M1107" t="str">
        <f t="shared" si="104"/>
        <v>Low</v>
      </c>
      <c r="N1107" t="str">
        <f t="shared" si="107"/>
        <v>Jan</v>
      </c>
      <c r="O1107">
        <f t="shared" si="108"/>
        <v>2026</v>
      </c>
    </row>
    <row r="1108" spans="1:15" x14ac:dyDescent="0.3">
      <c r="A1108">
        <v>203446</v>
      </c>
      <c r="B1108" t="s">
        <v>57</v>
      </c>
      <c r="C1108" s="2">
        <v>46034</v>
      </c>
      <c r="D1108" s="2">
        <f t="shared" si="106"/>
        <v>46094</v>
      </c>
      <c r="E1108" s="1">
        <f>D1108</f>
        <v>46094</v>
      </c>
      <c r="F1108">
        <v>4379</v>
      </c>
      <c r="G1108">
        <v>60</v>
      </c>
      <c r="H1108">
        <f t="shared" si="105"/>
        <v>0</v>
      </c>
      <c r="I1108" t="str">
        <f t="shared" si="103"/>
        <v>On Time</v>
      </c>
      <c r="J1108" cm="1">
        <f t="array" ref="J1108">_xlfn.IFS(H1108&lt;30,0,H1108&lt;60,1,H1108&lt;90,2,H1108&lt;120,3)</f>
        <v>0</v>
      </c>
      <c r="M1108" t="str">
        <f t="shared" si="104"/>
        <v>Low</v>
      </c>
      <c r="N1108" t="str">
        <f t="shared" si="107"/>
        <v>Jan</v>
      </c>
      <c r="O1108">
        <f t="shared" si="108"/>
        <v>2026</v>
      </c>
    </row>
    <row r="1109" spans="1:15" x14ac:dyDescent="0.3">
      <c r="A1109">
        <v>203447</v>
      </c>
      <c r="B1109" t="s">
        <v>58</v>
      </c>
      <c r="C1109" s="2">
        <v>46034</v>
      </c>
      <c r="D1109" s="2">
        <f t="shared" si="106"/>
        <v>46064</v>
      </c>
      <c r="E1109" s="1">
        <f>D1109+2</f>
        <v>46066</v>
      </c>
      <c r="F1109">
        <v>2021</v>
      </c>
      <c r="G1109">
        <v>30</v>
      </c>
      <c r="H1109">
        <f t="shared" si="105"/>
        <v>0</v>
      </c>
      <c r="I1109" t="str">
        <f t="shared" si="103"/>
        <v>On Time</v>
      </c>
      <c r="J1109" cm="1">
        <f t="array" ref="J1109">_xlfn.IFS(H1109&lt;30,0,H1109&lt;60,1,H1109&lt;90,2,H1109&lt;120,3)</f>
        <v>0</v>
      </c>
      <c r="M1109" t="str">
        <f t="shared" si="104"/>
        <v>Low</v>
      </c>
      <c r="N1109" t="str">
        <f t="shared" si="107"/>
        <v>Jan</v>
      </c>
      <c r="O1109">
        <f t="shared" si="108"/>
        <v>2026</v>
      </c>
    </row>
    <row r="1110" spans="1:15" x14ac:dyDescent="0.3">
      <c r="A1110">
        <v>203448</v>
      </c>
      <c r="B1110" t="s">
        <v>59</v>
      </c>
      <c r="C1110" s="2">
        <v>46034</v>
      </c>
      <c r="D1110" s="2">
        <f t="shared" si="106"/>
        <v>46064</v>
      </c>
      <c r="E1110" s="1">
        <f>D1110+2</f>
        <v>46066</v>
      </c>
      <c r="F1110">
        <v>511</v>
      </c>
      <c r="G1110">
        <v>30</v>
      </c>
      <c r="H1110">
        <f t="shared" si="105"/>
        <v>0</v>
      </c>
      <c r="I1110" t="str">
        <f t="shared" ref="I1110:I1173" si="109">IF(H1110=0,"On Time",IF(H1110&lt;=15,"Paid Late","Seriously Late"))</f>
        <v>On Time</v>
      </c>
      <c r="J1110" cm="1">
        <f t="array" ref="J1110">_xlfn.IFS(H1110&lt;30,0,H1110&lt;60,1,H1110&lt;90,2,H1110&lt;120,3)</f>
        <v>0</v>
      </c>
      <c r="M1110" t="str">
        <f t="shared" ref="M1110:M1173" si="110">IF(H1110&gt;30,"High",IF(H1110&gt;10,"Medium","Low"))</f>
        <v>Low</v>
      </c>
      <c r="N1110" t="str">
        <f t="shared" si="107"/>
        <v>Jan</v>
      </c>
      <c r="O1110">
        <f t="shared" si="108"/>
        <v>2026</v>
      </c>
    </row>
    <row r="1111" spans="1:15" x14ac:dyDescent="0.3">
      <c r="A1111">
        <v>203449</v>
      </c>
      <c r="B1111" t="s">
        <v>60</v>
      </c>
      <c r="C1111" s="2">
        <v>46034</v>
      </c>
      <c r="D1111" s="2">
        <f t="shared" si="106"/>
        <v>46064</v>
      </c>
      <c r="E1111" s="1">
        <f>D1111+2</f>
        <v>46066</v>
      </c>
      <c r="F1111">
        <v>1853</v>
      </c>
      <c r="G1111">
        <v>30</v>
      </c>
      <c r="H1111">
        <f t="shared" si="105"/>
        <v>0</v>
      </c>
      <c r="I1111" t="str">
        <f t="shared" si="109"/>
        <v>On Time</v>
      </c>
      <c r="J1111" cm="1">
        <f t="array" ref="J1111">_xlfn.IFS(H1111&lt;30,0,H1111&lt;60,1,H1111&lt;90,2,H1111&lt;120,3)</f>
        <v>0</v>
      </c>
      <c r="M1111" t="str">
        <f t="shared" si="110"/>
        <v>Low</v>
      </c>
      <c r="N1111" t="str">
        <f t="shared" si="107"/>
        <v>Jan</v>
      </c>
      <c r="O1111">
        <f t="shared" si="108"/>
        <v>2026</v>
      </c>
    </row>
    <row r="1112" spans="1:15" x14ac:dyDescent="0.3">
      <c r="A1112">
        <v>203450</v>
      </c>
      <c r="B1112" t="s">
        <v>61</v>
      </c>
      <c r="C1112" s="2">
        <v>46034</v>
      </c>
      <c r="D1112" s="2">
        <f t="shared" si="106"/>
        <v>46064</v>
      </c>
      <c r="E1112" s="1">
        <f>D1112</f>
        <v>46064</v>
      </c>
      <c r="F1112">
        <v>2966</v>
      </c>
      <c r="G1112">
        <v>30</v>
      </c>
      <c r="H1112">
        <f t="shared" si="105"/>
        <v>0</v>
      </c>
      <c r="I1112" t="str">
        <f t="shared" si="109"/>
        <v>On Time</v>
      </c>
      <c r="J1112" cm="1">
        <f t="array" ref="J1112">_xlfn.IFS(H1112&lt;30,0,H1112&lt;60,1,H1112&lt;90,2,H1112&lt;120,3)</f>
        <v>0</v>
      </c>
      <c r="M1112" t="str">
        <f t="shared" si="110"/>
        <v>Low</v>
      </c>
      <c r="N1112" t="str">
        <f t="shared" si="107"/>
        <v>Jan</v>
      </c>
      <c r="O1112">
        <f t="shared" si="108"/>
        <v>2026</v>
      </c>
    </row>
    <row r="1113" spans="1:15" x14ac:dyDescent="0.3">
      <c r="A1113">
        <v>203451</v>
      </c>
      <c r="B1113" t="s">
        <v>62</v>
      </c>
      <c r="C1113" s="2">
        <v>46034</v>
      </c>
      <c r="D1113" s="2">
        <f t="shared" si="106"/>
        <v>46064</v>
      </c>
      <c r="E1113" s="1">
        <f>D1113+20</f>
        <v>46084</v>
      </c>
      <c r="F1113">
        <v>381</v>
      </c>
      <c r="G1113">
        <v>30</v>
      </c>
      <c r="H1113">
        <f t="shared" si="105"/>
        <v>0</v>
      </c>
      <c r="I1113" t="str">
        <f t="shared" si="109"/>
        <v>On Time</v>
      </c>
      <c r="J1113" cm="1">
        <f t="array" ref="J1113">_xlfn.IFS(H1113&lt;30,0,H1113&lt;60,1,H1113&lt;90,2,H1113&lt;120,3)</f>
        <v>0</v>
      </c>
      <c r="M1113" t="str">
        <f t="shared" si="110"/>
        <v>Low</v>
      </c>
      <c r="N1113" t="str">
        <f t="shared" si="107"/>
        <v>Jan</v>
      </c>
      <c r="O1113">
        <f t="shared" si="108"/>
        <v>2026</v>
      </c>
    </row>
    <row r="1114" spans="1:15" x14ac:dyDescent="0.3">
      <c r="A1114">
        <v>203452</v>
      </c>
      <c r="B1114" t="s">
        <v>63</v>
      </c>
      <c r="C1114" s="2">
        <v>46034</v>
      </c>
      <c r="D1114" s="2">
        <f t="shared" si="106"/>
        <v>46064</v>
      </c>
      <c r="E1114" s="1">
        <f>D1114</f>
        <v>46064</v>
      </c>
      <c r="F1114">
        <v>3847</v>
      </c>
      <c r="G1114">
        <v>30</v>
      </c>
      <c r="H1114">
        <f t="shared" si="105"/>
        <v>0</v>
      </c>
      <c r="I1114" t="str">
        <f t="shared" si="109"/>
        <v>On Time</v>
      </c>
      <c r="J1114" cm="1">
        <f t="array" ref="J1114">_xlfn.IFS(H1114&lt;30,0,H1114&lt;60,1,H1114&lt;90,2,H1114&lt;120,3)</f>
        <v>0</v>
      </c>
      <c r="M1114" t="str">
        <f t="shared" si="110"/>
        <v>Low</v>
      </c>
      <c r="N1114" t="str">
        <f t="shared" si="107"/>
        <v>Jan</v>
      </c>
      <c r="O1114">
        <f t="shared" si="108"/>
        <v>2026</v>
      </c>
    </row>
    <row r="1115" spans="1:15" x14ac:dyDescent="0.3">
      <c r="A1115">
        <v>203453</v>
      </c>
      <c r="B1115" t="s">
        <v>64</v>
      </c>
      <c r="C1115" s="2">
        <v>46034</v>
      </c>
      <c r="D1115" s="2">
        <f t="shared" si="106"/>
        <v>46064</v>
      </c>
      <c r="E1115" s="1">
        <f>D1115+1</f>
        <v>46065</v>
      </c>
      <c r="F1115">
        <v>14843</v>
      </c>
      <c r="G1115">
        <v>30</v>
      </c>
      <c r="H1115">
        <f t="shared" si="105"/>
        <v>0</v>
      </c>
      <c r="I1115" t="str">
        <f t="shared" si="109"/>
        <v>On Time</v>
      </c>
      <c r="J1115" cm="1">
        <f t="array" ref="J1115">_xlfn.IFS(H1115&lt;30,0,H1115&lt;60,1,H1115&lt;90,2,H1115&lt;120,3)</f>
        <v>0</v>
      </c>
      <c r="M1115" t="str">
        <f t="shared" si="110"/>
        <v>Low</v>
      </c>
      <c r="N1115" t="str">
        <f t="shared" si="107"/>
        <v>Jan</v>
      </c>
      <c r="O1115">
        <f t="shared" si="108"/>
        <v>2026</v>
      </c>
    </row>
    <row r="1116" spans="1:15" x14ac:dyDescent="0.3">
      <c r="A1116">
        <v>203431</v>
      </c>
      <c r="B1116" t="s">
        <v>20</v>
      </c>
      <c r="C1116" s="2">
        <v>46031</v>
      </c>
      <c r="D1116" s="2">
        <f t="shared" si="106"/>
        <v>46061</v>
      </c>
      <c r="E1116" s="1">
        <f>D1116+3</f>
        <v>46064</v>
      </c>
      <c r="F1116">
        <v>507</v>
      </c>
      <c r="G1116">
        <v>30</v>
      </c>
      <c r="H1116">
        <f t="shared" si="105"/>
        <v>0</v>
      </c>
      <c r="I1116" t="str">
        <f t="shared" si="109"/>
        <v>On Time</v>
      </c>
      <c r="J1116" cm="1">
        <f t="array" ref="J1116">_xlfn.IFS(H1116&lt;30,0,H1116&lt;60,1,H1116&lt;90,2,H1116&lt;120,3)</f>
        <v>0</v>
      </c>
      <c r="M1116" t="str">
        <f t="shared" si="110"/>
        <v>Low</v>
      </c>
      <c r="N1116" t="str">
        <f t="shared" si="107"/>
        <v>Jan</v>
      </c>
      <c r="O1116">
        <f t="shared" si="108"/>
        <v>2026</v>
      </c>
    </row>
    <row r="1117" spans="1:15" x14ac:dyDescent="0.3">
      <c r="A1117">
        <v>203432</v>
      </c>
      <c r="B1117" t="s">
        <v>21</v>
      </c>
      <c r="C1117" s="2">
        <v>46031</v>
      </c>
      <c r="D1117" s="2">
        <f t="shared" si="106"/>
        <v>46061</v>
      </c>
      <c r="E1117" s="1">
        <f>D1117+1</f>
        <v>46062</v>
      </c>
      <c r="F1117">
        <v>3948</v>
      </c>
      <c r="G1117">
        <v>30</v>
      </c>
      <c r="H1117">
        <f t="shared" si="105"/>
        <v>0</v>
      </c>
      <c r="I1117" t="str">
        <f t="shared" si="109"/>
        <v>On Time</v>
      </c>
      <c r="J1117" cm="1">
        <f t="array" ref="J1117">_xlfn.IFS(H1117&lt;30,0,H1117&lt;60,1,H1117&lt;90,2,H1117&lt;120,3)</f>
        <v>0</v>
      </c>
      <c r="M1117" t="str">
        <f t="shared" si="110"/>
        <v>Low</v>
      </c>
      <c r="N1117" t="str">
        <f t="shared" si="107"/>
        <v>Jan</v>
      </c>
      <c r="O1117">
        <f t="shared" si="108"/>
        <v>2026</v>
      </c>
    </row>
    <row r="1118" spans="1:15" x14ac:dyDescent="0.3">
      <c r="A1118">
        <v>203433</v>
      </c>
      <c r="B1118" t="s">
        <v>22</v>
      </c>
      <c r="C1118" s="2">
        <v>46031</v>
      </c>
      <c r="D1118" s="2">
        <f t="shared" si="106"/>
        <v>46061</v>
      </c>
      <c r="E1118" s="1">
        <f>D1118-1</f>
        <v>46060</v>
      </c>
      <c r="F1118">
        <v>3739</v>
      </c>
      <c r="G1118">
        <v>30</v>
      </c>
      <c r="H1118">
        <f t="shared" si="105"/>
        <v>0</v>
      </c>
      <c r="I1118" t="str">
        <f t="shared" si="109"/>
        <v>On Time</v>
      </c>
      <c r="J1118" cm="1">
        <f t="array" ref="J1118">_xlfn.IFS(H1118&lt;30,0,H1118&lt;60,1,H1118&lt;90,2,H1118&lt;120,3)</f>
        <v>0</v>
      </c>
      <c r="M1118" t="str">
        <f t="shared" si="110"/>
        <v>Low</v>
      </c>
      <c r="N1118" t="str">
        <f t="shared" si="107"/>
        <v>Jan</v>
      </c>
      <c r="O1118">
        <f t="shared" si="108"/>
        <v>2026</v>
      </c>
    </row>
    <row r="1119" spans="1:15" x14ac:dyDescent="0.3">
      <c r="A1119">
        <v>203434</v>
      </c>
      <c r="B1119" t="s">
        <v>23</v>
      </c>
      <c r="C1119" s="2">
        <v>46031</v>
      </c>
      <c r="D1119" s="2">
        <f t="shared" si="106"/>
        <v>46076</v>
      </c>
      <c r="E1119" s="1">
        <f>D1119</f>
        <v>46076</v>
      </c>
      <c r="F1119">
        <v>123</v>
      </c>
      <c r="G1119">
        <v>45</v>
      </c>
      <c r="H1119">
        <f t="shared" si="105"/>
        <v>0</v>
      </c>
      <c r="I1119" t="str">
        <f t="shared" si="109"/>
        <v>On Time</v>
      </c>
      <c r="J1119" cm="1">
        <f t="array" ref="J1119">_xlfn.IFS(H1119&lt;30,0,H1119&lt;60,1,H1119&lt;90,2,H1119&lt;120,3)</f>
        <v>0</v>
      </c>
      <c r="M1119" t="str">
        <f t="shared" si="110"/>
        <v>Low</v>
      </c>
      <c r="N1119" t="str">
        <f t="shared" si="107"/>
        <v>Jan</v>
      </c>
      <c r="O1119">
        <f t="shared" si="108"/>
        <v>2026</v>
      </c>
    </row>
    <row r="1120" spans="1:15" x14ac:dyDescent="0.3">
      <c r="A1120">
        <v>203435</v>
      </c>
      <c r="B1120" t="s">
        <v>24</v>
      </c>
      <c r="C1120" s="2">
        <v>46031</v>
      </c>
      <c r="D1120" s="2">
        <f t="shared" si="106"/>
        <v>46076</v>
      </c>
      <c r="E1120" s="1">
        <f>D1120+1</f>
        <v>46077</v>
      </c>
      <c r="F1120">
        <v>1743</v>
      </c>
      <c r="G1120">
        <v>45</v>
      </c>
      <c r="H1120">
        <f t="shared" si="105"/>
        <v>0</v>
      </c>
      <c r="I1120" t="str">
        <f t="shared" si="109"/>
        <v>On Time</v>
      </c>
      <c r="J1120" cm="1">
        <f t="array" ref="J1120">_xlfn.IFS(H1120&lt;30,0,H1120&lt;60,1,H1120&lt;90,2,H1120&lt;120,3)</f>
        <v>0</v>
      </c>
      <c r="M1120" t="str">
        <f t="shared" si="110"/>
        <v>Low</v>
      </c>
      <c r="N1120" t="str">
        <f t="shared" si="107"/>
        <v>Jan</v>
      </c>
      <c r="O1120">
        <f t="shared" si="108"/>
        <v>2026</v>
      </c>
    </row>
    <row r="1121" spans="1:15" x14ac:dyDescent="0.3">
      <c r="A1121">
        <v>203436</v>
      </c>
      <c r="B1121" t="s">
        <v>25</v>
      </c>
      <c r="C1121" s="2">
        <v>46031</v>
      </c>
      <c r="D1121" s="2">
        <f t="shared" si="106"/>
        <v>46091</v>
      </c>
      <c r="E1121" s="1">
        <f>D1121+35</f>
        <v>46126</v>
      </c>
      <c r="F1121">
        <v>2020</v>
      </c>
      <c r="G1121">
        <v>60</v>
      </c>
      <c r="H1121">
        <f t="shared" si="105"/>
        <v>0</v>
      </c>
      <c r="I1121" t="str">
        <f t="shared" si="109"/>
        <v>On Time</v>
      </c>
      <c r="J1121" cm="1">
        <f t="array" ref="J1121">_xlfn.IFS(H1121&lt;30,0,H1121&lt;60,1,H1121&lt;90,2,H1121&lt;120,3)</f>
        <v>0</v>
      </c>
      <c r="M1121" t="str">
        <f t="shared" si="110"/>
        <v>Low</v>
      </c>
      <c r="N1121" t="str">
        <f t="shared" si="107"/>
        <v>Jan</v>
      </c>
      <c r="O1121">
        <f t="shared" si="108"/>
        <v>2026</v>
      </c>
    </row>
    <row r="1122" spans="1:15" x14ac:dyDescent="0.3">
      <c r="A1122">
        <v>203437</v>
      </c>
      <c r="B1122" t="s">
        <v>26</v>
      </c>
      <c r="C1122" s="2">
        <v>46031</v>
      </c>
      <c r="D1122" s="2">
        <f t="shared" si="106"/>
        <v>46061</v>
      </c>
      <c r="E1122" s="1">
        <f>D1122+75</f>
        <v>46136</v>
      </c>
      <c r="F1122">
        <v>1934</v>
      </c>
      <c r="G1122">
        <v>30</v>
      </c>
      <c r="H1122">
        <f t="shared" si="105"/>
        <v>0</v>
      </c>
      <c r="I1122" t="str">
        <f t="shared" si="109"/>
        <v>On Time</v>
      </c>
      <c r="J1122" cm="1">
        <f t="array" ref="J1122">_xlfn.IFS(H1122&lt;30,0,H1122&lt;60,1,H1122&lt;90,2,H1122&lt;120,3)</f>
        <v>0</v>
      </c>
      <c r="M1122" t="str">
        <f t="shared" si="110"/>
        <v>Low</v>
      </c>
      <c r="N1122" t="str">
        <f t="shared" si="107"/>
        <v>Jan</v>
      </c>
      <c r="O1122">
        <f t="shared" si="108"/>
        <v>2026</v>
      </c>
    </row>
    <row r="1123" spans="1:15" x14ac:dyDescent="0.3">
      <c r="A1123">
        <v>203438</v>
      </c>
      <c r="B1123" t="s">
        <v>27</v>
      </c>
      <c r="C1123" s="2">
        <v>46031</v>
      </c>
      <c r="D1123" s="2">
        <f t="shared" si="106"/>
        <v>46091</v>
      </c>
      <c r="E1123" s="1">
        <f>D1123+5</f>
        <v>46096</v>
      </c>
      <c r="F1123">
        <v>1573</v>
      </c>
      <c r="G1123">
        <v>60</v>
      </c>
      <c r="H1123">
        <f t="shared" si="105"/>
        <v>0</v>
      </c>
      <c r="I1123" t="str">
        <f t="shared" si="109"/>
        <v>On Time</v>
      </c>
      <c r="J1123" cm="1">
        <f t="array" ref="J1123">_xlfn.IFS(H1123&lt;30,0,H1123&lt;60,1,H1123&lt;90,2,H1123&lt;120,3)</f>
        <v>0</v>
      </c>
      <c r="M1123" t="str">
        <f t="shared" si="110"/>
        <v>Low</v>
      </c>
      <c r="N1123" t="str">
        <f t="shared" si="107"/>
        <v>Jan</v>
      </c>
      <c r="O1123">
        <f t="shared" si="108"/>
        <v>2026</v>
      </c>
    </row>
    <row r="1124" spans="1:15" x14ac:dyDescent="0.3">
      <c r="A1124">
        <v>203439</v>
      </c>
      <c r="B1124" t="s">
        <v>28</v>
      </c>
      <c r="C1124" s="2">
        <v>46031</v>
      </c>
      <c r="D1124" s="2">
        <f t="shared" si="106"/>
        <v>46061</v>
      </c>
      <c r="E1124" s="1">
        <f>D1124</f>
        <v>46061</v>
      </c>
      <c r="F1124">
        <v>1244</v>
      </c>
      <c r="G1124">
        <v>30</v>
      </c>
      <c r="H1124">
        <f t="shared" si="105"/>
        <v>0</v>
      </c>
      <c r="I1124" t="str">
        <f t="shared" si="109"/>
        <v>On Time</v>
      </c>
      <c r="J1124" cm="1">
        <f t="array" ref="J1124">_xlfn.IFS(H1124&lt;30,0,H1124&lt;60,1,H1124&lt;90,2,H1124&lt;120,3)</f>
        <v>0</v>
      </c>
      <c r="M1124" t="str">
        <f t="shared" si="110"/>
        <v>Low</v>
      </c>
      <c r="N1124" t="str">
        <f t="shared" si="107"/>
        <v>Jan</v>
      </c>
      <c r="O1124">
        <f t="shared" si="108"/>
        <v>2026</v>
      </c>
    </row>
    <row r="1125" spans="1:15" x14ac:dyDescent="0.3">
      <c r="A1125">
        <v>203440</v>
      </c>
      <c r="B1125" t="s">
        <v>29</v>
      </c>
      <c r="C1125" s="2">
        <v>46031</v>
      </c>
      <c r="D1125" s="2">
        <f t="shared" si="106"/>
        <v>46061</v>
      </c>
      <c r="E1125" s="1">
        <f>D1125-1</f>
        <v>46060</v>
      </c>
      <c r="F1125">
        <v>286</v>
      </c>
      <c r="G1125">
        <v>30</v>
      </c>
      <c r="H1125">
        <f t="shared" si="105"/>
        <v>0</v>
      </c>
      <c r="I1125" t="str">
        <f t="shared" si="109"/>
        <v>On Time</v>
      </c>
      <c r="J1125" cm="1">
        <f t="array" ref="J1125">_xlfn.IFS(H1125&lt;30,0,H1125&lt;60,1,H1125&lt;90,2,H1125&lt;120,3)</f>
        <v>0</v>
      </c>
      <c r="M1125" t="str">
        <f t="shared" si="110"/>
        <v>Low</v>
      </c>
      <c r="N1125" t="str">
        <f t="shared" si="107"/>
        <v>Jan</v>
      </c>
      <c r="O1125">
        <f t="shared" si="108"/>
        <v>2026</v>
      </c>
    </row>
    <row r="1126" spans="1:15" x14ac:dyDescent="0.3">
      <c r="A1126">
        <v>203441</v>
      </c>
      <c r="B1126" t="s">
        <v>30</v>
      </c>
      <c r="C1126" s="2">
        <v>46031</v>
      </c>
      <c r="D1126" s="2">
        <f t="shared" si="106"/>
        <v>46061</v>
      </c>
      <c r="E1126" s="1">
        <f>D1126</f>
        <v>46061</v>
      </c>
      <c r="F1126">
        <v>1887</v>
      </c>
      <c r="G1126">
        <v>30</v>
      </c>
      <c r="H1126">
        <f t="shared" ref="H1126:H1189" si="111">MAX(0,P1091-D1126)</f>
        <v>0</v>
      </c>
      <c r="I1126" t="str">
        <f t="shared" si="109"/>
        <v>On Time</v>
      </c>
      <c r="J1126" cm="1">
        <f t="array" ref="J1126">_xlfn.IFS(H1126&lt;30,0,H1126&lt;60,1,H1126&lt;90,2,H1126&lt;120,3)</f>
        <v>0</v>
      </c>
      <c r="M1126" t="str">
        <f t="shared" si="110"/>
        <v>Low</v>
      </c>
      <c r="N1126" t="str">
        <f t="shared" si="107"/>
        <v>Jan</v>
      </c>
      <c r="O1126">
        <f t="shared" si="108"/>
        <v>2026</v>
      </c>
    </row>
    <row r="1127" spans="1:15" x14ac:dyDescent="0.3">
      <c r="A1127">
        <v>203420</v>
      </c>
      <c r="B1127" t="s">
        <v>65</v>
      </c>
      <c r="C1127" s="2">
        <v>46030</v>
      </c>
      <c r="D1127" s="2">
        <f t="shared" si="106"/>
        <v>46075</v>
      </c>
      <c r="E1127" s="1">
        <f>D1127+1</f>
        <v>46076</v>
      </c>
      <c r="F1127">
        <v>6657</v>
      </c>
      <c r="G1127">
        <v>45</v>
      </c>
      <c r="H1127">
        <f t="shared" si="111"/>
        <v>0</v>
      </c>
      <c r="I1127" t="str">
        <f t="shared" si="109"/>
        <v>On Time</v>
      </c>
      <c r="J1127" cm="1">
        <f t="array" ref="J1127">_xlfn.IFS(H1127&lt;30,0,H1127&lt;60,1,H1127&lt;90,2,H1127&lt;120,3)</f>
        <v>0</v>
      </c>
      <c r="M1127" t="str">
        <f t="shared" si="110"/>
        <v>Low</v>
      </c>
      <c r="N1127" t="str">
        <f t="shared" si="107"/>
        <v>Jan</v>
      </c>
      <c r="O1127">
        <f t="shared" si="108"/>
        <v>2026</v>
      </c>
    </row>
    <row r="1128" spans="1:15" x14ac:dyDescent="0.3">
      <c r="A1128">
        <v>203421</v>
      </c>
      <c r="B1128" t="s">
        <v>66</v>
      </c>
      <c r="C1128" s="2">
        <v>46030</v>
      </c>
      <c r="D1128" s="2">
        <f t="shared" si="106"/>
        <v>46090</v>
      </c>
      <c r="E1128" s="1">
        <f>D1128</f>
        <v>46090</v>
      </c>
      <c r="F1128">
        <v>18933</v>
      </c>
      <c r="G1128">
        <v>60</v>
      </c>
      <c r="H1128">
        <f t="shared" si="111"/>
        <v>0</v>
      </c>
      <c r="I1128" t="str">
        <f t="shared" si="109"/>
        <v>On Time</v>
      </c>
      <c r="J1128" cm="1">
        <f t="array" ref="J1128">_xlfn.IFS(H1128&lt;30,0,H1128&lt;60,1,H1128&lt;90,2,H1128&lt;120,3)</f>
        <v>0</v>
      </c>
      <c r="M1128" t="str">
        <f t="shared" si="110"/>
        <v>Low</v>
      </c>
      <c r="N1128" t="str">
        <f t="shared" si="107"/>
        <v>Jan</v>
      </c>
      <c r="O1128">
        <f t="shared" si="108"/>
        <v>2026</v>
      </c>
    </row>
    <row r="1129" spans="1:15" x14ac:dyDescent="0.3">
      <c r="A1129">
        <v>203422</v>
      </c>
      <c r="B1129" t="s">
        <v>108</v>
      </c>
      <c r="C1129" s="2">
        <v>46030</v>
      </c>
      <c r="D1129" s="2">
        <f t="shared" si="106"/>
        <v>46060</v>
      </c>
      <c r="E1129" s="1">
        <f>D1129</f>
        <v>46060</v>
      </c>
      <c r="F1129">
        <v>1864</v>
      </c>
      <c r="G1129">
        <v>30</v>
      </c>
      <c r="H1129">
        <f t="shared" si="111"/>
        <v>0</v>
      </c>
      <c r="I1129" t="str">
        <f t="shared" si="109"/>
        <v>On Time</v>
      </c>
      <c r="J1129" cm="1">
        <f t="array" ref="J1129">_xlfn.IFS(H1129&lt;30,0,H1129&lt;60,1,H1129&lt;90,2,H1129&lt;120,3)</f>
        <v>0</v>
      </c>
      <c r="M1129" t="str">
        <f t="shared" si="110"/>
        <v>Low</v>
      </c>
      <c r="N1129" t="str">
        <f t="shared" si="107"/>
        <v>Jan</v>
      </c>
      <c r="O1129">
        <f t="shared" si="108"/>
        <v>2026</v>
      </c>
    </row>
    <row r="1130" spans="1:15" x14ac:dyDescent="0.3">
      <c r="A1130">
        <v>203423</v>
      </c>
      <c r="B1130" t="s">
        <v>109</v>
      </c>
      <c r="C1130" s="2">
        <v>46030</v>
      </c>
      <c r="D1130" s="2">
        <f t="shared" si="106"/>
        <v>46060</v>
      </c>
      <c r="E1130" s="1">
        <f>D1130+5</f>
        <v>46065</v>
      </c>
      <c r="F1130">
        <v>5752</v>
      </c>
      <c r="G1130">
        <v>30</v>
      </c>
      <c r="H1130">
        <f t="shared" si="111"/>
        <v>0</v>
      </c>
      <c r="I1130" t="str">
        <f t="shared" si="109"/>
        <v>On Time</v>
      </c>
      <c r="J1130" cm="1">
        <f t="array" ref="J1130">_xlfn.IFS(H1130&lt;30,0,H1130&lt;60,1,H1130&lt;90,2,H1130&lt;120,3)</f>
        <v>0</v>
      </c>
      <c r="M1130" t="str">
        <f t="shared" si="110"/>
        <v>Low</v>
      </c>
      <c r="N1130" t="str">
        <f t="shared" si="107"/>
        <v>Jan</v>
      </c>
      <c r="O1130">
        <f t="shared" si="108"/>
        <v>2026</v>
      </c>
    </row>
    <row r="1131" spans="1:15" x14ac:dyDescent="0.3">
      <c r="A1131">
        <v>203424</v>
      </c>
      <c r="B1131" t="s">
        <v>110</v>
      </c>
      <c r="C1131" s="2">
        <v>46030</v>
      </c>
      <c r="D1131" s="2">
        <f t="shared" si="106"/>
        <v>46075</v>
      </c>
      <c r="E1131" s="1">
        <f>D1131+2</f>
        <v>46077</v>
      </c>
      <c r="F1131">
        <v>4605</v>
      </c>
      <c r="G1131">
        <v>45</v>
      </c>
      <c r="H1131">
        <f t="shared" si="111"/>
        <v>0</v>
      </c>
      <c r="I1131" t="str">
        <f t="shared" si="109"/>
        <v>On Time</v>
      </c>
      <c r="J1131" cm="1">
        <f t="array" ref="J1131">_xlfn.IFS(H1131&lt;30,0,H1131&lt;60,1,H1131&lt;90,2,H1131&lt;120,3)</f>
        <v>0</v>
      </c>
      <c r="M1131" t="str">
        <f t="shared" si="110"/>
        <v>Low</v>
      </c>
      <c r="N1131" t="str">
        <f t="shared" si="107"/>
        <v>Jan</v>
      </c>
      <c r="O1131">
        <f t="shared" si="108"/>
        <v>2026</v>
      </c>
    </row>
    <row r="1132" spans="1:15" x14ac:dyDescent="0.3">
      <c r="A1132">
        <v>203425</v>
      </c>
      <c r="B1132" t="s">
        <v>111</v>
      </c>
      <c r="C1132" s="2">
        <v>46030</v>
      </c>
      <c r="D1132" s="2">
        <f t="shared" si="106"/>
        <v>46090</v>
      </c>
      <c r="E1132" s="1">
        <f>D1132</f>
        <v>46090</v>
      </c>
      <c r="F1132">
        <v>2063</v>
      </c>
      <c r="G1132">
        <v>60</v>
      </c>
      <c r="H1132">
        <f t="shared" si="111"/>
        <v>0</v>
      </c>
      <c r="I1132" t="str">
        <f t="shared" si="109"/>
        <v>On Time</v>
      </c>
      <c r="J1132" cm="1">
        <f t="array" ref="J1132">_xlfn.IFS(H1132&lt;30,0,H1132&lt;60,1,H1132&lt;90,2,H1132&lt;120,3)</f>
        <v>0</v>
      </c>
      <c r="M1132" t="str">
        <f t="shared" si="110"/>
        <v>Low</v>
      </c>
      <c r="N1132" t="str">
        <f t="shared" si="107"/>
        <v>Jan</v>
      </c>
      <c r="O1132">
        <f t="shared" si="108"/>
        <v>2026</v>
      </c>
    </row>
    <row r="1133" spans="1:15" x14ac:dyDescent="0.3">
      <c r="A1133">
        <v>203426</v>
      </c>
      <c r="B1133" t="s">
        <v>112</v>
      </c>
      <c r="C1133" s="2">
        <v>46030</v>
      </c>
      <c r="D1133" s="2">
        <f t="shared" si="106"/>
        <v>46075</v>
      </c>
      <c r="E1133" s="1">
        <f>D1133</f>
        <v>46075</v>
      </c>
      <c r="F1133">
        <v>795</v>
      </c>
      <c r="G1133">
        <v>45</v>
      </c>
      <c r="H1133">
        <f t="shared" si="111"/>
        <v>0</v>
      </c>
      <c r="I1133" t="str">
        <f t="shared" si="109"/>
        <v>On Time</v>
      </c>
      <c r="J1133" cm="1">
        <f t="array" ref="J1133">_xlfn.IFS(H1133&lt;30,0,H1133&lt;60,1,H1133&lt;90,2,H1133&lt;120,3)</f>
        <v>0</v>
      </c>
      <c r="M1133" t="str">
        <f t="shared" si="110"/>
        <v>Low</v>
      </c>
      <c r="N1133" t="str">
        <f t="shared" si="107"/>
        <v>Jan</v>
      </c>
      <c r="O1133">
        <f t="shared" si="108"/>
        <v>2026</v>
      </c>
    </row>
    <row r="1134" spans="1:15" x14ac:dyDescent="0.3">
      <c r="A1134">
        <v>203427</v>
      </c>
      <c r="B1134" t="s">
        <v>113</v>
      </c>
      <c r="C1134" s="2">
        <v>46030</v>
      </c>
      <c r="D1134" s="2">
        <f t="shared" si="106"/>
        <v>46075</v>
      </c>
      <c r="E1134" s="1">
        <f>D1134</f>
        <v>46075</v>
      </c>
      <c r="F1134">
        <v>2979</v>
      </c>
      <c r="G1134">
        <v>45</v>
      </c>
      <c r="H1134">
        <f t="shared" si="111"/>
        <v>0</v>
      </c>
      <c r="I1134" t="str">
        <f t="shared" si="109"/>
        <v>On Time</v>
      </c>
      <c r="J1134" cm="1">
        <f t="array" ref="J1134">_xlfn.IFS(H1134&lt;30,0,H1134&lt;60,1,H1134&lt;90,2,H1134&lt;120,3)</f>
        <v>0</v>
      </c>
      <c r="M1134" t="str">
        <f t="shared" si="110"/>
        <v>Low</v>
      </c>
      <c r="N1134" t="str">
        <f t="shared" si="107"/>
        <v>Jan</v>
      </c>
      <c r="O1134">
        <f t="shared" si="108"/>
        <v>2026</v>
      </c>
    </row>
    <row r="1135" spans="1:15" x14ac:dyDescent="0.3">
      <c r="A1135">
        <v>203428</v>
      </c>
      <c r="B1135" t="s">
        <v>114</v>
      </c>
      <c r="C1135" s="2">
        <v>46030</v>
      </c>
      <c r="D1135" s="2">
        <f t="shared" si="106"/>
        <v>46060</v>
      </c>
      <c r="E1135" s="1">
        <f>D1135+60</f>
        <v>46120</v>
      </c>
      <c r="F1135">
        <v>2459</v>
      </c>
      <c r="G1135">
        <v>30</v>
      </c>
      <c r="H1135">
        <f t="shared" si="111"/>
        <v>0</v>
      </c>
      <c r="I1135" t="str">
        <f t="shared" si="109"/>
        <v>On Time</v>
      </c>
      <c r="J1135" cm="1">
        <f t="array" ref="J1135">_xlfn.IFS(H1135&lt;30,0,H1135&lt;60,1,H1135&lt;90,2,H1135&lt;120,3)</f>
        <v>0</v>
      </c>
      <c r="M1135" t="str">
        <f t="shared" si="110"/>
        <v>Low</v>
      </c>
      <c r="N1135" t="str">
        <f t="shared" si="107"/>
        <v>Jan</v>
      </c>
      <c r="O1135">
        <f t="shared" si="108"/>
        <v>2026</v>
      </c>
    </row>
    <row r="1136" spans="1:15" x14ac:dyDescent="0.3">
      <c r="A1136">
        <v>203429</v>
      </c>
      <c r="B1136" t="s">
        <v>115</v>
      </c>
      <c r="C1136" s="2">
        <v>46030</v>
      </c>
      <c r="D1136" s="2">
        <f t="shared" si="106"/>
        <v>46060</v>
      </c>
      <c r="E1136" s="1">
        <f>D1136</f>
        <v>46060</v>
      </c>
      <c r="F1136">
        <v>4012</v>
      </c>
      <c r="G1136">
        <v>30</v>
      </c>
      <c r="H1136">
        <f t="shared" si="111"/>
        <v>0</v>
      </c>
      <c r="I1136" t="str">
        <f t="shared" si="109"/>
        <v>On Time</v>
      </c>
      <c r="J1136" cm="1">
        <f t="array" ref="J1136">_xlfn.IFS(H1136&lt;30,0,H1136&lt;60,1,H1136&lt;90,2,H1136&lt;120,3)</f>
        <v>0</v>
      </c>
      <c r="M1136" t="str">
        <f t="shared" si="110"/>
        <v>Low</v>
      </c>
      <c r="N1136" t="str">
        <f t="shared" si="107"/>
        <v>Jan</v>
      </c>
      <c r="O1136">
        <f t="shared" si="108"/>
        <v>2026</v>
      </c>
    </row>
    <row r="1137" spans="1:15" x14ac:dyDescent="0.3">
      <c r="A1137">
        <v>203430</v>
      </c>
      <c r="B1137" t="s">
        <v>116</v>
      </c>
      <c r="C1137" s="2">
        <v>46030</v>
      </c>
      <c r="D1137" s="2">
        <f t="shared" si="106"/>
        <v>46060</v>
      </c>
      <c r="E1137" s="1">
        <f>D1137</f>
        <v>46060</v>
      </c>
      <c r="F1137">
        <v>4952</v>
      </c>
      <c r="G1137">
        <v>30</v>
      </c>
      <c r="H1137">
        <f t="shared" si="111"/>
        <v>0</v>
      </c>
      <c r="I1137" t="str">
        <f t="shared" si="109"/>
        <v>On Time</v>
      </c>
      <c r="J1137" cm="1">
        <f t="array" ref="J1137">_xlfn.IFS(H1137&lt;30,0,H1137&lt;60,1,H1137&lt;90,2,H1137&lt;120,3)</f>
        <v>0</v>
      </c>
      <c r="M1137" t="str">
        <f t="shared" si="110"/>
        <v>Low</v>
      </c>
      <c r="N1137" t="str">
        <f t="shared" si="107"/>
        <v>Jan</v>
      </c>
      <c r="O1137">
        <f t="shared" si="108"/>
        <v>2026</v>
      </c>
    </row>
    <row r="1138" spans="1:15" x14ac:dyDescent="0.3">
      <c r="A1138">
        <v>203411</v>
      </c>
      <c r="B1138" t="s">
        <v>56</v>
      </c>
      <c r="C1138" s="2">
        <v>46029</v>
      </c>
      <c r="D1138" s="2">
        <f t="shared" si="106"/>
        <v>46074</v>
      </c>
      <c r="E1138" s="1">
        <f>D1138</f>
        <v>46074</v>
      </c>
      <c r="F1138">
        <v>4485</v>
      </c>
      <c r="G1138">
        <v>45</v>
      </c>
      <c r="H1138">
        <f t="shared" si="111"/>
        <v>0</v>
      </c>
      <c r="I1138" t="str">
        <f t="shared" si="109"/>
        <v>On Time</v>
      </c>
      <c r="J1138" cm="1">
        <f t="array" ref="J1138">_xlfn.IFS(H1138&lt;30,0,H1138&lt;60,1,H1138&lt;90,2,H1138&lt;120,3)</f>
        <v>0</v>
      </c>
      <c r="M1138" t="str">
        <f t="shared" si="110"/>
        <v>Low</v>
      </c>
      <c r="N1138" t="str">
        <f t="shared" si="107"/>
        <v>Jan</v>
      </c>
      <c r="O1138">
        <f t="shared" si="108"/>
        <v>2026</v>
      </c>
    </row>
    <row r="1139" spans="1:15" x14ac:dyDescent="0.3">
      <c r="A1139">
        <v>203412</v>
      </c>
      <c r="B1139" t="s">
        <v>57</v>
      </c>
      <c r="C1139" s="2">
        <v>46029</v>
      </c>
      <c r="D1139" s="2">
        <f t="shared" si="106"/>
        <v>46089</v>
      </c>
      <c r="E1139" s="1">
        <f>D1139-2</f>
        <v>46087</v>
      </c>
      <c r="F1139">
        <v>4407</v>
      </c>
      <c r="G1139">
        <v>60</v>
      </c>
      <c r="H1139">
        <f t="shared" si="111"/>
        <v>0</v>
      </c>
      <c r="I1139" t="str">
        <f t="shared" si="109"/>
        <v>On Time</v>
      </c>
      <c r="J1139" cm="1">
        <f t="array" ref="J1139">_xlfn.IFS(H1139&lt;30,0,H1139&lt;60,1,H1139&lt;90,2,H1139&lt;120,3)</f>
        <v>0</v>
      </c>
      <c r="M1139" t="str">
        <f t="shared" si="110"/>
        <v>Low</v>
      </c>
      <c r="N1139" t="str">
        <f t="shared" si="107"/>
        <v>Jan</v>
      </c>
      <c r="O1139">
        <f t="shared" si="108"/>
        <v>2026</v>
      </c>
    </row>
    <row r="1140" spans="1:15" x14ac:dyDescent="0.3">
      <c r="A1140">
        <v>203413</v>
      </c>
      <c r="B1140" t="s">
        <v>58</v>
      </c>
      <c r="C1140" s="2">
        <v>46029</v>
      </c>
      <c r="D1140" s="2">
        <f t="shared" si="106"/>
        <v>46059</v>
      </c>
      <c r="E1140" s="1">
        <f>D1140</f>
        <v>46059</v>
      </c>
      <c r="F1140">
        <v>4624</v>
      </c>
      <c r="G1140">
        <v>30</v>
      </c>
      <c r="H1140">
        <f t="shared" si="111"/>
        <v>0</v>
      </c>
      <c r="I1140" t="str">
        <f t="shared" si="109"/>
        <v>On Time</v>
      </c>
      <c r="J1140" cm="1">
        <f t="array" ref="J1140">_xlfn.IFS(H1140&lt;30,0,H1140&lt;60,1,H1140&lt;90,2,H1140&lt;120,3)</f>
        <v>0</v>
      </c>
      <c r="M1140" t="str">
        <f t="shared" si="110"/>
        <v>Low</v>
      </c>
      <c r="N1140" t="str">
        <f t="shared" si="107"/>
        <v>Jan</v>
      </c>
      <c r="O1140">
        <f t="shared" si="108"/>
        <v>2026</v>
      </c>
    </row>
    <row r="1141" spans="1:15" x14ac:dyDescent="0.3">
      <c r="A1141">
        <v>203414</v>
      </c>
      <c r="B1141" t="s">
        <v>59</v>
      </c>
      <c r="C1141" s="2">
        <v>46029</v>
      </c>
      <c r="D1141" s="2">
        <f t="shared" si="106"/>
        <v>46059</v>
      </c>
      <c r="E1141" s="1">
        <f>D1141+2</f>
        <v>46061</v>
      </c>
      <c r="F1141">
        <v>2912</v>
      </c>
      <c r="G1141">
        <v>30</v>
      </c>
      <c r="H1141">
        <f t="shared" si="111"/>
        <v>0</v>
      </c>
      <c r="I1141" t="str">
        <f t="shared" si="109"/>
        <v>On Time</v>
      </c>
      <c r="J1141" cm="1">
        <f t="array" ref="J1141">_xlfn.IFS(H1141&lt;30,0,H1141&lt;60,1,H1141&lt;90,2,H1141&lt;120,3)</f>
        <v>0</v>
      </c>
      <c r="M1141" t="str">
        <f t="shared" si="110"/>
        <v>Low</v>
      </c>
      <c r="N1141" t="str">
        <f t="shared" si="107"/>
        <v>Jan</v>
      </c>
      <c r="O1141">
        <f t="shared" si="108"/>
        <v>2026</v>
      </c>
    </row>
    <row r="1142" spans="1:15" x14ac:dyDescent="0.3">
      <c r="A1142">
        <v>203415</v>
      </c>
      <c r="B1142" t="s">
        <v>60</v>
      </c>
      <c r="C1142" s="2">
        <v>46029</v>
      </c>
      <c r="D1142" s="2">
        <f t="shared" si="106"/>
        <v>46059</v>
      </c>
      <c r="E1142" s="1">
        <f>D1142+2</f>
        <v>46061</v>
      </c>
      <c r="F1142">
        <v>7307</v>
      </c>
      <c r="G1142">
        <v>30</v>
      </c>
      <c r="H1142">
        <f t="shared" si="111"/>
        <v>0</v>
      </c>
      <c r="I1142" t="str">
        <f t="shared" si="109"/>
        <v>On Time</v>
      </c>
      <c r="J1142" cm="1">
        <f t="array" ref="J1142">_xlfn.IFS(H1142&lt;30,0,H1142&lt;60,1,H1142&lt;90,2,H1142&lt;120,3)</f>
        <v>0</v>
      </c>
      <c r="M1142" t="str">
        <f t="shared" si="110"/>
        <v>Low</v>
      </c>
      <c r="N1142" t="str">
        <f t="shared" si="107"/>
        <v>Jan</v>
      </c>
      <c r="O1142">
        <f t="shared" si="108"/>
        <v>2026</v>
      </c>
    </row>
    <row r="1143" spans="1:15" x14ac:dyDescent="0.3">
      <c r="A1143">
        <v>203416</v>
      </c>
      <c r="B1143" t="s">
        <v>61</v>
      </c>
      <c r="C1143" s="2">
        <v>46029</v>
      </c>
      <c r="D1143" s="2">
        <f t="shared" si="106"/>
        <v>46059</v>
      </c>
      <c r="E1143" s="1">
        <f>D1143+2</f>
        <v>46061</v>
      </c>
      <c r="F1143">
        <v>4484</v>
      </c>
      <c r="G1143">
        <v>30</v>
      </c>
      <c r="H1143">
        <f t="shared" si="111"/>
        <v>0</v>
      </c>
      <c r="I1143" t="str">
        <f t="shared" si="109"/>
        <v>On Time</v>
      </c>
      <c r="J1143" cm="1">
        <f t="array" ref="J1143">_xlfn.IFS(H1143&lt;30,0,H1143&lt;60,1,H1143&lt;90,2,H1143&lt;120,3)</f>
        <v>0</v>
      </c>
      <c r="M1143" t="str">
        <f t="shared" si="110"/>
        <v>Low</v>
      </c>
      <c r="N1143" t="str">
        <f t="shared" si="107"/>
        <v>Jan</v>
      </c>
      <c r="O1143">
        <f t="shared" si="108"/>
        <v>2026</v>
      </c>
    </row>
    <row r="1144" spans="1:15" x14ac:dyDescent="0.3">
      <c r="A1144">
        <v>203417</v>
      </c>
      <c r="B1144" t="s">
        <v>62</v>
      </c>
      <c r="C1144" s="2">
        <v>46029</v>
      </c>
      <c r="D1144" s="2">
        <f t="shared" si="106"/>
        <v>46059</v>
      </c>
      <c r="E1144" s="1">
        <f>D1144</f>
        <v>46059</v>
      </c>
      <c r="F1144">
        <v>408</v>
      </c>
      <c r="G1144">
        <v>30</v>
      </c>
      <c r="H1144">
        <f t="shared" si="111"/>
        <v>0</v>
      </c>
      <c r="I1144" t="str">
        <f t="shared" si="109"/>
        <v>On Time</v>
      </c>
      <c r="J1144" cm="1">
        <f t="array" ref="J1144">_xlfn.IFS(H1144&lt;30,0,H1144&lt;60,1,H1144&lt;90,2,H1144&lt;120,3)</f>
        <v>0</v>
      </c>
      <c r="M1144" t="str">
        <f t="shared" si="110"/>
        <v>Low</v>
      </c>
      <c r="N1144" t="str">
        <f t="shared" si="107"/>
        <v>Jan</v>
      </c>
      <c r="O1144">
        <f t="shared" si="108"/>
        <v>2026</v>
      </c>
    </row>
    <row r="1145" spans="1:15" x14ac:dyDescent="0.3">
      <c r="A1145">
        <v>203418</v>
      </c>
      <c r="B1145" t="s">
        <v>63</v>
      </c>
      <c r="C1145" s="2">
        <v>46029</v>
      </c>
      <c r="D1145" s="2">
        <f t="shared" si="106"/>
        <v>46059</v>
      </c>
      <c r="E1145" s="1">
        <f>D1145+20</f>
        <v>46079</v>
      </c>
      <c r="F1145">
        <v>2151</v>
      </c>
      <c r="G1145">
        <v>30</v>
      </c>
      <c r="H1145">
        <f t="shared" si="111"/>
        <v>0</v>
      </c>
      <c r="I1145" t="str">
        <f t="shared" si="109"/>
        <v>On Time</v>
      </c>
      <c r="J1145" cm="1">
        <f t="array" ref="J1145">_xlfn.IFS(H1145&lt;30,0,H1145&lt;60,1,H1145&lt;90,2,H1145&lt;120,3)</f>
        <v>0</v>
      </c>
      <c r="M1145" t="str">
        <f t="shared" si="110"/>
        <v>Low</v>
      </c>
      <c r="N1145" t="str">
        <f t="shared" si="107"/>
        <v>Jan</v>
      </c>
      <c r="O1145">
        <f t="shared" si="108"/>
        <v>2026</v>
      </c>
    </row>
    <row r="1146" spans="1:15" x14ac:dyDescent="0.3">
      <c r="A1146">
        <v>203419</v>
      </c>
      <c r="B1146" t="s">
        <v>64</v>
      </c>
      <c r="C1146" s="2">
        <v>46029</v>
      </c>
      <c r="D1146" s="2">
        <f t="shared" si="106"/>
        <v>46059</v>
      </c>
      <c r="E1146" s="1">
        <f>D1146</f>
        <v>46059</v>
      </c>
      <c r="F1146">
        <v>3482</v>
      </c>
      <c r="G1146">
        <v>30</v>
      </c>
      <c r="H1146">
        <f t="shared" si="111"/>
        <v>0</v>
      </c>
      <c r="I1146" t="str">
        <f t="shared" si="109"/>
        <v>On Time</v>
      </c>
      <c r="J1146" cm="1">
        <f t="array" ref="J1146">_xlfn.IFS(H1146&lt;30,0,H1146&lt;60,1,H1146&lt;90,2,H1146&lt;120,3)</f>
        <v>0</v>
      </c>
      <c r="M1146" t="str">
        <f t="shared" si="110"/>
        <v>Low</v>
      </c>
      <c r="N1146" t="str">
        <f t="shared" si="107"/>
        <v>Jan</v>
      </c>
      <c r="O1146">
        <f t="shared" si="108"/>
        <v>2026</v>
      </c>
    </row>
    <row r="1147" spans="1:15" x14ac:dyDescent="0.3">
      <c r="A1147">
        <v>203401</v>
      </c>
      <c r="B1147" t="s">
        <v>98</v>
      </c>
      <c r="C1147" s="2">
        <v>46028</v>
      </c>
      <c r="D1147" s="2">
        <f t="shared" si="106"/>
        <v>46058</v>
      </c>
      <c r="E1147" s="1">
        <f>D1147</f>
        <v>46058</v>
      </c>
      <c r="F1147">
        <v>3996</v>
      </c>
      <c r="G1147">
        <v>30</v>
      </c>
      <c r="H1147">
        <f t="shared" si="111"/>
        <v>0</v>
      </c>
      <c r="I1147" t="str">
        <f t="shared" si="109"/>
        <v>On Time</v>
      </c>
      <c r="J1147" cm="1">
        <f t="array" ref="J1147">_xlfn.IFS(H1147&lt;30,0,H1147&lt;60,1,H1147&lt;90,2,H1147&lt;120,3)</f>
        <v>0</v>
      </c>
      <c r="M1147" t="str">
        <f t="shared" si="110"/>
        <v>Low</v>
      </c>
      <c r="N1147" t="str">
        <f t="shared" si="107"/>
        <v>Jan</v>
      </c>
      <c r="O1147">
        <f t="shared" si="108"/>
        <v>2026</v>
      </c>
    </row>
    <row r="1148" spans="1:15" x14ac:dyDescent="0.3">
      <c r="A1148">
        <v>203402</v>
      </c>
      <c r="B1148" t="s">
        <v>99</v>
      </c>
      <c r="C1148" s="2">
        <v>46028</v>
      </c>
      <c r="D1148" s="2">
        <f t="shared" si="106"/>
        <v>46058</v>
      </c>
      <c r="E1148" s="1">
        <f>D1148-5</f>
        <v>46053</v>
      </c>
      <c r="F1148">
        <v>2253</v>
      </c>
      <c r="G1148">
        <v>30</v>
      </c>
      <c r="H1148">
        <f t="shared" si="111"/>
        <v>0</v>
      </c>
      <c r="I1148" t="str">
        <f t="shared" si="109"/>
        <v>On Time</v>
      </c>
      <c r="J1148" cm="1">
        <f t="array" ref="J1148">_xlfn.IFS(H1148&lt;30,0,H1148&lt;60,1,H1148&lt;90,2,H1148&lt;120,3)</f>
        <v>0</v>
      </c>
      <c r="M1148" t="str">
        <f t="shared" si="110"/>
        <v>Low</v>
      </c>
      <c r="N1148" t="str">
        <f t="shared" si="107"/>
        <v>Jan</v>
      </c>
      <c r="O1148">
        <f t="shared" si="108"/>
        <v>2026</v>
      </c>
    </row>
    <row r="1149" spans="1:15" x14ac:dyDescent="0.3">
      <c r="A1149">
        <v>203403</v>
      </c>
      <c r="B1149" t="s">
        <v>100</v>
      </c>
      <c r="C1149" s="2">
        <v>46028</v>
      </c>
      <c r="D1149" s="2">
        <f t="shared" si="106"/>
        <v>46058</v>
      </c>
      <c r="E1149" s="1">
        <f>D1149+35</f>
        <v>46093</v>
      </c>
      <c r="F1149">
        <v>4000</v>
      </c>
      <c r="G1149">
        <v>30</v>
      </c>
      <c r="H1149">
        <f t="shared" si="111"/>
        <v>0</v>
      </c>
      <c r="I1149" t="str">
        <f t="shared" si="109"/>
        <v>On Time</v>
      </c>
      <c r="J1149" cm="1">
        <f t="array" ref="J1149">_xlfn.IFS(H1149&lt;30,0,H1149&lt;60,1,H1149&lt;90,2,H1149&lt;120,3)</f>
        <v>0</v>
      </c>
      <c r="M1149" t="str">
        <f t="shared" si="110"/>
        <v>Low</v>
      </c>
      <c r="N1149" t="str">
        <f t="shared" si="107"/>
        <v>Jan</v>
      </c>
      <c r="O1149">
        <f t="shared" si="108"/>
        <v>2026</v>
      </c>
    </row>
    <row r="1150" spans="1:15" x14ac:dyDescent="0.3">
      <c r="A1150">
        <v>203404</v>
      </c>
      <c r="B1150" t="s">
        <v>101</v>
      </c>
      <c r="C1150" s="2">
        <v>46028</v>
      </c>
      <c r="D1150" s="2">
        <f t="shared" si="106"/>
        <v>46058</v>
      </c>
      <c r="E1150" s="1">
        <f>D1150+75</f>
        <v>46133</v>
      </c>
      <c r="F1150">
        <v>4366</v>
      </c>
      <c r="G1150">
        <v>30</v>
      </c>
      <c r="H1150">
        <f t="shared" si="111"/>
        <v>0</v>
      </c>
      <c r="I1150" t="str">
        <f t="shared" si="109"/>
        <v>On Time</v>
      </c>
      <c r="J1150" cm="1">
        <f t="array" ref="J1150">_xlfn.IFS(H1150&lt;30,0,H1150&lt;60,1,H1150&lt;90,2,H1150&lt;120,3)</f>
        <v>0</v>
      </c>
      <c r="M1150" t="str">
        <f t="shared" si="110"/>
        <v>Low</v>
      </c>
      <c r="N1150" t="str">
        <f t="shared" si="107"/>
        <v>Jan</v>
      </c>
      <c r="O1150">
        <f t="shared" si="108"/>
        <v>2026</v>
      </c>
    </row>
    <row r="1151" spans="1:15" x14ac:dyDescent="0.3">
      <c r="A1151">
        <v>203405</v>
      </c>
      <c r="B1151" t="s">
        <v>102</v>
      </c>
      <c r="C1151" s="2">
        <v>46028</v>
      </c>
      <c r="D1151" s="2">
        <f t="shared" si="106"/>
        <v>46058</v>
      </c>
      <c r="E1151" s="1">
        <f>D1151+5</f>
        <v>46063</v>
      </c>
      <c r="F1151">
        <v>4276</v>
      </c>
      <c r="G1151">
        <v>30</v>
      </c>
      <c r="H1151">
        <f t="shared" si="111"/>
        <v>0</v>
      </c>
      <c r="I1151" t="str">
        <f t="shared" si="109"/>
        <v>On Time</v>
      </c>
      <c r="J1151" cm="1">
        <f t="array" ref="J1151">_xlfn.IFS(H1151&lt;30,0,H1151&lt;60,1,H1151&lt;90,2,H1151&lt;120,3)</f>
        <v>0</v>
      </c>
      <c r="M1151" t="str">
        <f t="shared" si="110"/>
        <v>Low</v>
      </c>
      <c r="N1151" t="str">
        <f t="shared" si="107"/>
        <v>Jan</v>
      </c>
      <c r="O1151">
        <f t="shared" si="108"/>
        <v>2026</v>
      </c>
    </row>
    <row r="1152" spans="1:15" x14ac:dyDescent="0.3">
      <c r="A1152">
        <v>203406</v>
      </c>
      <c r="B1152" t="s">
        <v>103</v>
      </c>
      <c r="C1152" s="2">
        <v>46028</v>
      </c>
      <c r="D1152" s="2">
        <f t="shared" si="106"/>
        <v>46058</v>
      </c>
      <c r="E1152" s="1">
        <f>D1152</f>
        <v>46058</v>
      </c>
      <c r="F1152">
        <v>1633</v>
      </c>
      <c r="G1152">
        <v>30</v>
      </c>
      <c r="H1152">
        <f t="shared" si="111"/>
        <v>0</v>
      </c>
      <c r="I1152" t="str">
        <f t="shared" si="109"/>
        <v>On Time</v>
      </c>
      <c r="J1152" cm="1">
        <f t="array" ref="J1152">_xlfn.IFS(H1152&lt;30,0,H1152&lt;60,1,H1152&lt;90,2,H1152&lt;120,3)</f>
        <v>0</v>
      </c>
      <c r="M1152" t="str">
        <f t="shared" si="110"/>
        <v>Low</v>
      </c>
      <c r="N1152" t="str">
        <f t="shared" si="107"/>
        <v>Jan</v>
      </c>
      <c r="O1152">
        <f t="shared" si="108"/>
        <v>2026</v>
      </c>
    </row>
    <row r="1153" spans="1:15" x14ac:dyDescent="0.3">
      <c r="A1153">
        <v>203407</v>
      </c>
      <c r="B1153" t="s">
        <v>104</v>
      </c>
      <c r="C1153" s="2">
        <v>46028</v>
      </c>
      <c r="D1153" s="2">
        <f t="shared" si="106"/>
        <v>46058</v>
      </c>
      <c r="E1153" s="1">
        <f>D1153-1</f>
        <v>46057</v>
      </c>
      <c r="F1153">
        <v>1057</v>
      </c>
      <c r="G1153">
        <v>30</v>
      </c>
      <c r="H1153">
        <f t="shared" si="111"/>
        <v>0</v>
      </c>
      <c r="I1153" t="str">
        <f t="shared" si="109"/>
        <v>On Time</v>
      </c>
      <c r="J1153" cm="1">
        <f t="array" ref="J1153">_xlfn.IFS(H1153&lt;30,0,H1153&lt;60,1,H1153&lt;90,2,H1153&lt;120,3)</f>
        <v>0</v>
      </c>
      <c r="M1153" t="str">
        <f t="shared" si="110"/>
        <v>Low</v>
      </c>
      <c r="N1153" t="str">
        <f t="shared" si="107"/>
        <v>Jan</v>
      </c>
      <c r="O1153">
        <f t="shared" si="108"/>
        <v>2026</v>
      </c>
    </row>
    <row r="1154" spans="1:15" x14ac:dyDescent="0.3">
      <c r="A1154">
        <v>203408</v>
      </c>
      <c r="B1154" t="s">
        <v>105</v>
      </c>
      <c r="C1154" s="2">
        <v>46028</v>
      </c>
      <c r="D1154" s="2">
        <f t="shared" ref="D1154:D1217" si="112">C1154+G1154</f>
        <v>46058</v>
      </c>
      <c r="E1154" s="1">
        <f>D1154</f>
        <v>46058</v>
      </c>
      <c r="F1154">
        <v>3961</v>
      </c>
      <c r="G1154">
        <v>30</v>
      </c>
      <c r="H1154">
        <f t="shared" si="111"/>
        <v>0</v>
      </c>
      <c r="I1154" t="str">
        <f t="shared" si="109"/>
        <v>On Time</v>
      </c>
      <c r="J1154" cm="1">
        <f t="array" ref="J1154">_xlfn.IFS(H1154&lt;30,0,H1154&lt;60,1,H1154&lt;90,2,H1154&lt;120,3)</f>
        <v>0</v>
      </c>
      <c r="M1154" t="str">
        <f t="shared" si="110"/>
        <v>Low</v>
      </c>
      <c r="N1154" t="str">
        <f t="shared" ref="N1154:N1217" si="113">TEXT(C1154,"mmm")</f>
        <v>Jan</v>
      </c>
      <c r="O1154">
        <f t="shared" ref="O1154:O1217" si="114">YEAR(C1154)</f>
        <v>2026</v>
      </c>
    </row>
    <row r="1155" spans="1:15" x14ac:dyDescent="0.3">
      <c r="A1155">
        <v>203409</v>
      </c>
      <c r="B1155" t="s">
        <v>106</v>
      </c>
      <c r="C1155" s="2">
        <v>46028</v>
      </c>
      <c r="D1155" s="2">
        <f t="shared" si="112"/>
        <v>46058</v>
      </c>
      <c r="E1155" s="1">
        <f>D1155+32</f>
        <v>46090</v>
      </c>
      <c r="F1155">
        <v>4136</v>
      </c>
      <c r="G1155">
        <v>30</v>
      </c>
      <c r="H1155">
        <f t="shared" si="111"/>
        <v>0</v>
      </c>
      <c r="I1155" t="str">
        <f t="shared" si="109"/>
        <v>On Time</v>
      </c>
      <c r="J1155" cm="1">
        <f t="array" ref="J1155">_xlfn.IFS(H1155&lt;30,0,H1155&lt;60,1,H1155&lt;90,2,H1155&lt;120,3)</f>
        <v>0</v>
      </c>
      <c r="M1155" t="str">
        <f t="shared" si="110"/>
        <v>Low</v>
      </c>
      <c r="N1155" t="str">
        <f t="shared" si="113"/>
        <v>Jan</v>
      </c>
      <c r="O1155">
        <f t="shared" si="114"/>
        <v>2026</v>
      </c>
    </row>
    <row r="1156" spans="1:15" x14ac:dyDescent="0.3">
      <c r="A1156">
        <v>203410</v>
      </c>
      <c r="B1156" t="s">
        <v>107</v>
      </c>
      <c r="C1156" s="2">
        <v>46028</v>
      </c>
      <c r="D1156" s="2">
        <f t="shared" si="112"/>
        <v>46058</v>
      </c>
      <c r="E1156" s="1">
        <f>D1156+15</f>
        <v>46073</v>
      </c>
      <c r="F1156">
        <v>981</v>
      </c>
      <c r="G1156">
        <v>30</v>
      </c>
      <c r="H1156">
        <f t="shared" si="111"/>
        <v>0</v>
      </c>
      <c r="I1156" t="str">
        <f t="shared" si="109"/>
        <v>On Time</v>
      </c>
      <c r="J1156" cm="1">
        <f t="array" ref="J1156">_xlfn.IFS(H1156&lt;30,0,H1156&lt;60,1,H1156&lt;90,2,H1156&lt;120,3)</f>
        <v>0</v>
      </c>
      <c r="M1156" t="str">
        <f t="shared" si="110"/>
        <v>Low</v>
      </c>
      <c r="N1156" t="str">
        <f t="shared" si="113"/>
        <v>Jan</v>
      </c>
      <c r="O1156">
        <f t="shared" si="114"/>
        <v>2026</v>
      </c>
    </row>
    <row r="1157" spans="1:15" x14ac:dyDescent="0.3">
      <c r="A1157">
        <v>203390</v>
      </c>
      <c r="B1157" t="s">
        <v>101</v>
      </c>
      <c r="C1157" s="2">
        <v>46027</v>
      </c>
      <c r="D1157" s="2">
        <f t="shared" si="112"/>
        <v>46057</v>
      </c>
      <c r="E1157" s="1">
        <f>D1157-1</f>
        <v>46056</v>
      </c>
      <c r="F1157">
        <v>16678</v>
      </c>
      <c r="G1157">
        <v>30</v>
      </c>
      <c r="H1157">
        <f t="shared" si="111"/>
        <v>0</v>
      </c>
      <c r="I1157" t="str">
        <f t="shared" si="109"/>
        <v>On Time</v>
      </c>
      <c r="J1157" cm="1">
        <f t="array" ref="J1157">_xlfn.IFS(H1157&lt;30,0,H1157&lt;60,1,H1157&lt;90,2,H1157&lt;120,3)</f>
        <v>0</v>
      </c>
      <c r="M1157" t="str">
        <f t="shared" si="110"/>
        <v>Low</v>
      </c>
      <c r="N1157" t="str">
        <f t="shared" si="113"/>
        <v>Jan</v>
      </c>
      <c r="O1157">
        <f t="shared" si="114"/>
        <v>2026</v>
      </c>
    </row>
    <row r="1158" spans="1:15" x14ac:dyDescent="0.3">
      <c r="A1158">
        <v>203391</v>
      </c>
      <c r="B1158" t="s">
        <v>102</v>
      </c>
      <c r="C1158" s="2">
        <v>46027</v>
      </c>
      <c r="D1158" s="2">
        <f t="shared" si="112"/>
        <v>46057</v>
      </c>
      <c r="E1158" s="1">
        <f>D1158</f>
        <v>46057</v>
      </c>
      <c r="F1158">
        <v>488</v>
      </c>
      <c r="G1158">
        <v>30</v>
      </c>
      <c r="H1158">
        <f t="shared" si="111"/>
        <v>0</v>
      </c>
      <c r="I1158" t="str">
        <f t="shared" si="109"/>
        <v>On Time</v>
      </c>
      <c r="J1158" cm="1">
        <f t="array" ref="J1158">_xlfn.IFS(H1158&lt;30,0,H1158&lt;60,1,H1158&lt;90,2,H1158&lt;120,3)</f>
        <v>0</v>
      </c>
      <c r="M1158" t="str">
        <f t="shared" si="110"/>
        <v>Low</v>
      </c>
      <c r="N1158" t="str">
        <f t="shared" si="113"/>
        <v>Jan</v>
      </c>
      <c r="O1158">
        <f t="shared" si="114"/>
        <v>2026</v>
      </c>
    </row>
    <row r="1159" spans="1:15" x14ac:dyDescent="0.3">
      <c r="A1159">
        <v>203392</v>
      </c>
      <c r="B1159" t="s">
        <v>38</v>
      </c>
      <c r="C1159" s="2">
        <v>46027</v>
      </c>
      <c r="D1159" s="2">
        <f t="shared" si="112"/>
        <v>46057</v>
      </c>
      <c r="E1159" s="1">
        <f>D1159+1</f>
        <v>46058</v>
      </c>
      <c r="F1159">
        <v>951</v>
      </c>
      <c r="G1159">
        <v>30</v>
      </c>
      <c r="H1159">
        <f t="shared" si="111"/>
        <v>0</v>
      </c>
      <c r="I1159" t="str">
        <f t="shared" si="109"/>
        <v>On Time</v>
      </c>
      <c r="J1159" cm="1">
        <f t="array" ref="J1159">_xlfn.IFS(H1159&lt;30,0,H1159&lt;60,1,H1159&lt;90,2,H1159&lt;120,3)</f>
        <v>0</v>
      </c>
      <c r="M1159" t="str">
        <f t="shared" si="110"/>
        <v>Low</v>
      </c>
      <c r="N1159" t="str">
        <f t="shared" si="113"/>
        <v>Jan</v>
      </c>
      <c r="O1159">
        <f t="shared" si="114"/>
        <v>2026</v>
      </c>
    </row>
    <row r="1160" spans="1:15" x14ac:dyDescent="0.3">
      <c r="A1160">
        <v>203393</v>
      </c>
      <c r="B1160" t="s">
        <v>39</v>
      </c>
      <c r="C1160" s="2">
        <v>46027</v>
      </c>
      <c r="D1160" s="2">
        <f t="shared" si="112"/>
        <v>46057</v>
      </c>
      <c r="E1160" s="1">
        <f>D1160+35</f>
        <v>46092</v>
      </c>
      <c r="F1160">
        <v>547</v>
      </c>
      <c r="G1160">
        <v>30</v>
      </c>
      <c r="H1160">
        <f t="shared" si="111"/>
        <v>0</v>
      </c>
      <c r="I1160" t="str">
        <f t="shared" si="109"/>
        <v>On Time</v>
      </c>
      <c r="J1160" cm="1">
        <f t="array" ref="J1160">_xlfn.IFS(H1160&lt;30,0,H1160&lt;60,1,H1160&lt;90,2,H1160&lt;120,3)</f>
        <v>0</v>
      </c>
      <c r="M1160" t="str">
        <f t="shared" si="110"/>
        <v>Low</v>
      </c>
      <c r="N1160" t="str">
        <f t="shared" si="113"/>
        <v>Jan</v>
      </c>
      <c r="O1160">
        <f t="shared" si="114"/>
        <v>2026</v>
      </c>
    </row>
    <row r="1161" spans="1:15" x14ac:dyDescent="0.3">
      <c r="A1161">
        <v>203394</v>
      </c>
      <c r="B1161" t="s">
        <v>40</v>
      </c>
      <c r="C1161" s="2">
        <v>46027</v>
      </c>
      <c r="D1161" s="2">
        <f t="shared" si="112"/>
        <v>46057</v>
      </c>
      <c r="E1161" s="1">
        <f>D1161+75</f>
        <v>46132</v>
      </c>
      <c r="F1161">
        <v>3110</v>
      </c>
      <c r="G1161">
        <v>30</v>
      </c>
      <c r="H1161">
        <f t="shared" si="111"/>
        <v>0</v>
      </c>
      <c r="I1161" t="str">
        <f t="shared" si="109"/>
        <v>On Time</v>
      </c>
      <c r="J1161" cm="1">
        <f t="array" ref="J1161">_xlfn.IFS(H1161&lt;30,0,H1161&lt;60,1,H1161&lt;90,2,H1161&lt;120,3)</f>
        <v>0</v>
      </c>
      <c r="M1161" t="str">
        <f t="shared" si="110"/>
        <v>Low</v>
      </c>
      <c r="N1161" t="str">
        <f t="shared" si="113"/>
        <v>Jan</v>
      </c>
      <c r="O1161">
        <f t="shared" si="114"/>
        <v>2026</v>
      </c>
    </row>
    <row r="1162" spans="1:15" x14ac:dyDescent="0.3">
      <c r="A1162">
        <v>203395</v>
      </c>
      <c r="B1162" t="s">
        <v>41</v>
      </c>
      <c r="C1162" s="2">
        <v>46027</v>
      </c>
      <c r="D1162" s="2">
        <f t="shared" si="112"/>
        <v>46057</v>
      </c>
      <c r="E1162" s="1">
        <f>D1162+5</f>
        <v>46062</v>
      </c>
      <c r="F1162">
        <v>1527</v>
      </c>
      <c r="G1162">
        <v>30</v>
      </c>
      <c r="H1162">
        <f t="shared" si="111"/>
        <v>0</v>
      </c>
      <c r="I1162" t="str">
        <f t="shared" si="109"/>
        <v>On Time</v>
      </c>
      <c r="J1162" cm="1">
        <f t="array" ref="J1162">_xlfn.IFS(H1162&lt;30,0,H1162&lt;60,1,H1162&lt;90,2,H1162&lt;120,3)</f>
        <v>0</v>
      </c>
      <c r="M1162" t="str">
        <f t="shared" si="110"/>
        <v>Low</v>
      </c>
      <c r="N1162" t="str">
        <f t="shared" si="113"/>
        <v>Jan</v>
      </c>
      <c r="O1162">
        <f t="shared" si="114"/>
        <v>2026</v>
      </c>
    </row>
    <row r="1163" spans="1:15" x14ac:dyDescent="0.3">
      <c r="A1163">
        <v>203396</v>
      </c>
      <c r="B1163" t="s">
        <v>42</v>
      </c>
      <c r="C1163" s="2">
        <v>46027</v>
      </c>
      <c r="D1163" s="2">
        <f t="shared" si="112"/>
        <v>46057</v>
      </c>
      <c r="E1163" s="1">
        <f>D1163</f>
        <v>46057</v>
      </c>
      <c r="F1163">
        <v>3852</v>
      </c>
      <c r="G1163">
        <v>30</v>
      </c>
      <c r="H1163">
        <f t="shared" si="111"/>
        <v>0</v>
      </c>
      <c r="I1163" t="str">
        <f t="shared" si="109"/>
        <v>On Time</v>
      </c>
      <c r="J1163" cm="1">
        <f t="array" ref="J1163">_xlfn.IFS(H1163&lt;30,0,H1163&lt;60,1,H1163&lt;90,2,H1163&lt;120,3)</f>
        <v>0</v>
      </c>
      <c r="M1163" t="str">
        <f t="shared" si="110"/>
        <v>Low</v>
      </c>
      <c r="N1163" t="str">
        <f t="shared" si="113"/>
        <v>Jan</v>
      </c>
      <c r="O1163">
        <f t="shared" si="114"/>
        <v>2026</v>
      </c>
    </row>
    <row r="1164" spans="1:15" x14ac:dyDescent="0.3">
      <c r="A1164">
        <v>203397</v>
      </c>
      <c r="B1164" t="s">
        <v>43</v>
      </c>
      <c r="C1164" s="2">
        <v>46027</v>
      </c>
      <c r="D1164" s="2">
        <f t="shared" si="112"/>
        <v>46057</v>
      </c>
      <c r="E1164" s="1">
        <f>D1164-1</f>
        <v>46056</v>
      </c>
      <c r="F1164">
        <v>4655</v>
      </c>
      <c r="G1164">
        <v>30</v>
      </c>
      <c r="H1164">
        <f t="shared" si="111"/>
        <v>0</v>
      </c>
      <c r="I1164" t="str">
        <f t="shared" si="109"/>
        <v>On Time</v>
      </c>
      <c r="J1164" cm="1">
        <f t="array" ref="J1164">_xlfn.IFS(H1164&lt;30,0,H1164&lt;60,1,H1164&lt;90,2,H1164&lt;120,3)</f>
        <v>0</v>
      </c>
      <c r="M1164" t="str">
        <f t="shared" si="110"/>
        <v>Low</v>
      </c>
      <c r="N1164" t="str">
        <f t="shared" si="113"/>
        <v>Jan</v>
      </c>
      <c r="O1164">
        <f t="shared" si="114"/>
        <v>2026</v>
      </c>
    </row>
    <row r="1165" spans="1:15" x14ac:dyDescent="0.3">
      <c r="A1165">
        <v>203398</v>
      </c>
      <c r="B1165" t="s">
        <v>44</v>
      </c>
      <c r="C1165" s="2">
        <v>46027</v>
      </c>
      <c r="D1165" s="2">
        <f t="shared" si="112"/>
        <v>46072</v>
      </c>
      <c r="E1165" s="1">
        <f>D1165+3</f>
        <v>46075</v>
      </c>
      <c r="F1165">
        <v>2608</v>
      </c>
      <c r="G1165">
        <v>45</v>
      </c>
      <c r="H1165">
        <f t="shared" si="111"/>
        <v>0</v>
      </c>
      <c r="I1165" t="str">
        <f t="shared" si="109"/>
        <v>On Time</v>
      </c>
      <c r="J1165" cm="1">
        <f t="array" ref="J1165">_xlfn.IFS(H1165&lt;30,0,H1165&lt;60,1,H1165&lt;90,2,H1165&lt;120,3)</f>
        <v>0</v>
      </c>
      <c r="M1165" t="str">
        <f t="shared" si="110"/>
        <v>Low</v>
      </c>
      <c r="N1165" t="str">
        <f t="shared" si="113"/>
        <v>Jan</v>
      </c>
      <c r="O1165">
        <f t="shared" si="114"/>
        <v>2026</v>
      </c>
    </row>
    <row r="1166" spans="1:15" x14ac:dyDescent="0.3">
      <c r="A1166">
        <v>203399</v>
      </c>
      <c r="B1166" t="s">
        <v>96</v>
      </c>
      <c r="C1166" s="2">
        <v>46027</v>
      </c>
      <c r="D1166" s="2">
        <f t="shared" si="112"/>
        <v>46087</v>
      </c>
      <c r="E1166" s="1">
        <f>D1166+1</f>
        <v>46088</v>
      </c>
      <c r="F1166">
        <v>3971</v>
      </c>
      <c r="G1166">
        <v>60</v>
      </c>
      <c r="H1166">
        <f t="shared" si="111"/>
        <v>0</v>
      </c>
      <c r="I1166" t="str">
        <f t="shared" si="109"/>
        <v>On Time</v>
      </c>
      <c r="J1166" cm="1">
        <f t="array" ref="J1166">_xlfn.IFS(H1166&lt;30,0,H1166&lt;60,1,H1166&lt;90,2,H1166&lt;120,3)</f>
        <v>0</v>
      </c>
      <c r="M1166" t="str">
        <f t="shared" si="110"/>
        <v>Low</v>
      </c>
      <c r="N1166" t="str">
        <f t="shared" si="113"/>
        <v>Jan</v>
      </c>
      <c r="O1166">
        <f t="shared" si="114"/>
        <v>2026</v>
      </c>
    </row>
    <row r="1167" spans="1:15" x14ac:dyDescent="0.3">
      <c r="A1167">
        <v>203400</v>
      </c>
      <c r="B1167" t="s">
        <v>97</v>
      </c>
      <c r="C1167" s="2">
        <v>46027</v>
      </c>
      <c r="D1167" s="2">
        <f t="shared" si="112"/>
        <v>46057</v>
      </c>
      <c r="E1167" s="1">
        <f>D1167-1</f>
        <v>46056</v>
      </c>
      <c r="F1167">
        <v>3803</v>
      </c>
      <c r="G1167">
        <v>30</v>
      </c>
      <c r="H1167">
        <f t="shared" si="111"/>
        <v>0</v>
      </c>
      <c r="I1167" t="str">
        <f t="shared" si="109"/>
        <v>On Time</v>
      </c>
      <c r="J1167" cm="1">
        <f t="array" ref="J1167">_xlfn.IFS(H1167&lt;30,0,H1167&lt;60,1,H1167&lt;90,2,H1167&lt;120,3)</f>
        <v>0</v>
      </c>
      <c r="M1167" t="str">
        <f t="shared" si="110"/>
        <v>Low</v>
      </c>
      <c r="N1167" t="str">
        <f t="shared" si="113"/>
        <v>Jan</v>
      </c>
      <c r="O1167">
        <f t="shared" si="114"/>
        <v>2026</v>
      </c>
    </row>
    <row r="1168" spans="1:15" x14ac:dyDescent="0.3">
      <c r="A1168">
        <v>203385</v>
      </c>
      <c r="B1168" t="s">
        <v>96</v>
      </c>
      <c r="C1168" s="2">
        <v>46024</v>
      </c>
      <c r="D1168" s="2">
        <f t="shared" si="112"/>
        <v>46084</v>
      </c>
      <c r="E1168" s="1">
        <f>D1168+60</f>
        <v>46144</v>
      </c>
      <c r="F1168">
        <v>3834</v>
      </c>
      <c r="G1168">
        <v>60</v>
      </c>
      <c r="H1168">
        <f t="shared" si="111"/>
        <v>0</v>
      </c>
      <c r="I1168" t="str">
        <f t="shared" si="109"/>
        <v>On Time</v>
      </c>
      <c r="J1168" cm="1">
        <f t="array" ref="J1168">_xlfn.IFS(H1168&lt;30,0,H1168&lt;60,1,H1168&lt;90,2,H1168&lt;120,3)</f>
        <v>0</v>
      </c>
      <c r="M1168" t="str">
        <f t="shared" si="110"/>
        <v>Low</v>
      </c>
      <c r="N1168" t="str">
        <f t="shared" si="113"/>
        <v>Jan</v>
      </c>
      <c r="O1168">
        <f t="shared" si="114"/>
        <v>2026</v>
      </c>
    </row>
    <row r="1169" spans="1:15" x14ac:dyDescent="0.3">
      <c r="A1169">
        <v>203386</v>
      </c>
      <c r="B1169" t="s">
        <v>97</v>
      </c>
      <c r="C1169" s="2">
        <v>46024</v>
      </c>
      <c r="D1169" s="2">
        <f t="shared" si="112"/>
        <v>46054</v>
      </c>
      <c r="E1169" s="1">
        <f>D1169</f>
        <v>46054</v>
      </c>
      <c r="F1169">
        <v>418</v>
      </c>
      <c r="G1169">
        <v>30</v>
      </c>
      <c r="H1169">
        <f t="shared" si="111"/>
        <v>0</v>
      </c>
      <c r="I1169" t="str">
        <f t="shared" si="109"/>
        <v>On Time</v>
      </c>
      <c r="J1169" cm="1">
        <f t="array" ref="J1169">_xlfn.IFS(H1169&lt;30,0,H1169&lt;60,1,H1169&lt;90,2,H1169&lt;120,3)</f>
        <v>0</v>
      </c>
      <c r="M1169" t="str">
        <f t="shared" si="110"/>
        <v>Low</v>
      </c>
      <c r="N1169" t="str">
        <f t="shared" si="113"/>
        <v>Jan</v>
      </c>
      <c r="O1169">
        <f t="shared" si="114"/>
        <v>2026</v>
      </c>
    </row>
    <row r="1170" spans="1:15" x14ac:dyDescent="0.3">
      <c r="A1170">
        <v>203387</v>
      </c>
      <c r="B1170" t="s">
        <v>98</v>
      </c>
      <c r="C1170" s="2">
        <v>46024</v>
      </c>
      <c r="D1170" s="2">
        <f t="shared" si="112"/>
        <v>46054</v>
      </c>
      <c r="E1170" s="1">
        <f>D1170</f>
        <v>46054</v>
      </c>
      <c r="F1170">
        <v>17469</v>
      </c>
      <c r="G1170">
        <v>30</v>
      </c>
      <c r="H1170">
        <f t="shared" si="111"/>
        <v>0</v>
      </c>
      <c r="I1170" t="str">
        <f t="shared" si="109"/>
        <v>On Time</v>
      </c>
      <c r="J1170" cm="1">
        <f t="array" ref="J1170">_xlfn.IFS(H1170&lt;30,0,H1170&lt;60,1,H1170&lt;90,2,H1170&lt;120,3)</f>
        <v>0</v>
      </c>
      <c r="M1170" t="str">
        <f t="shared" si="110"/>
        <v>Low</v>
      </c>
      <c r="N1170" t="str">
        <f t="shared" si="113"/>
        <v>Jan</v>
      </c>
      <c r="O1170">
        <f t="shared" si="114"/>
        <v>2026</v>
      </c>
    </row>
    <row r="1171" spans="1:15" x14ac:dyDescent="0.3">
      <c r="A1171">
        <v>203388</v>
      </c>
      <c r="B1171" t="s">
        <v>99</v>
      </c>
      <c r="C1171" s="2">
        <v>46024</v>
      </c>
      <c r="D1171" s="2">
        <f t="shared" si="112"/>
        <v>46054</v>
      </c>
      <c r="E1171" s="1">
        <f>D1171+3</f>
        <v>46057</v>
      </c>
      <c r="F1171">
        <v>4452</v>
      </c>
      <c r="G1171">
        <v>30</v>
      </c>
      <c r="H1171">
        <f t="shared" si="111"/>
        <v>0</v>
      </c>
      <c r="I1171" t="str">
        <f t="shared" si="109"/>
        <v>On Time</v>
      </c>
      <c r="J1171" cm="1">
        <f t="array" ref="J1171">_xlfn.IFS(H1171&lt;30,0,H1171&lt;60,1,H1171&lt;90,2,H1171&lt;120,3)</f>
        <v>0</v>
      </c>
      <c r="M1171" t="str">
        <f t="shared" si="110"/>
        <v>Low</v>
      </c>
      <c r="N1171" t="str">
        <f t="shared" si="113"/>
        <v>Jan</v>
      </c>
      <c r="O1171">
        <f t="shared" si="114"/>
        <v>2026</v>
      </c>
    </row>
    <row r="1172" spans="1:15" x14ac:dyDescent="0.3">
      <c r="A1172">
        <v>203389</v>
      </c>
      <c r="B1172" t="s">
        <v>100</v>
      </c>
      <c r="C1172" s="2">
        <v>46024</v>
      </c>
      <c r="D1172" s="2">
        <f t="shared" si="112"/>
        <v>46054</v>
      </c>
      <c r="E1172" s="1">
        <f>D1172+1</f>
        <v>46055</v>
      </c>
      <c r="F1172">
        <v>1098</v>
      </c>
      <c r="G1172">
        <v>30</v>
      </c>
      <c r="H1172">
        <f t="shared" si="111"/>
        <v>0</v>
      </c>
      <c r="I1172" t="str">
        <f t="shared" si="109"/>
        <v>On Time</v>
      </c>
      <c r="J1172" cm="1">
        <f t="array" ref="J1172">_xlfn.IFS(H1172&lt;30,0,H1172&lt;60,1,H1172&lt;90,2,H1172&lt;120,3)</f>
        <v>0</v>
      </c>
      <c r="M1172" t="str">
        <f t="shared" si="110"/>
        <v>Low</v>
      </c>
      <c r="N1172" t="str">
        <f t="shared" si="113"/>
        <v>Jan</v>
      </c>
      <c r="O1172">
        <f t="shared" si="114"/>
        <v>2026</v>
      </c>
    </row>
    <row r="1173" spans="1:15" x14ac:dyDescent="0.3">
      <c r="A1173">
        <v>203380</v>
      </c>
      <c r="B1173" t="s">
        <v>84</v>
      </c>
      <c r="C1173" s="2">
        <v>46022</v>
      </c>
      <c r="D1173" s="2">
        <f t="shared" si="112"/>
        <v>46082</v>
      </c>
      <c r="E1173" s="1">
        <f>D1173+5</f>
        <v>46087</v>
      </c>
      <c r="F1173">
        <v>2517</v>
      </c>
      <c r="G1173">
        <v>60</v>
      </c>
      <c r="H1173">
        <f t="shared" si="111"/>
        <v>0</v>
      </c>
      <c r="I1173" t="str">
        <f t="shared" si="109"/>
        <v>On Time</v>
      </c>
      <c r="J1173" cm="1">
        <f t="array" ref="J1173">_xlfn.IFS(H1173&lt;30,0,H1173&lt;60,1,H1173&lt;90,2,H1173&lt;120,3)</f>
        <v>0</v>
      </c>
      <c r="M1173" t="str">
        <f t="shared" si="110"/>
        <v>Low</v>
      </c>
      <c r="N1173" t="str">
        <f t="shared" si="113"/>
        <v>Dec</v>
      </c>
      <c r="O1173">
        <f t="shared" si="114"/>
        <v>2025</v>
      </c>
    </row>
    <row r="1174" spans="1:15" x14ac:dyDescent="0.3">
      <c r="A1174">
        <v>203381</v>
      </c>
      <c r="B1174" t="s">
        <v>92</v>
      </c>
      <c r="C1174" s="2">
        <v>46022</v>
      </c>
      <c r="D1174" s="2">
        <f t="shared" si="112"/>
        <v>46052</v>
      </c>
      <c r="E1174" s="1">
        <f>D1174+2</f>
        <v>46054</v>
      </c>
      <c r="F1174">
        <v>1203</v>
      </c>
      <c r="G1174">
        <v>30</v>
      </c>
      <c r="H1174">
        <f t="shared" si="111"/>
        <v>0</v>
      </c>
      <c r="I1174" t="str">
        <f t="shared" ref="I1174:I1237" si="115">IF(H1174=0,"On Time",IF(H1174&lt;=15,"Paid Late","Seriously Late"))</f>
        <v>On Time</v>
      </c>
      <c r="J1174" cm="1">
        <f t="array" ref="J1174">_xlfn.IFS(H1174&lt;30,0,H1174&lt;60,1,H1174&lt;90,2,H1174&lt;120,3)</f>
        <v>0</v>
      </c>
      <c r="M1174" t="str">
        <f t="shared" ref="M1174:M1237" si="116">IF(H1174&gt;30,"High",IF(H1174&gt;10,"Medium","Low"))</f>
        <v>Low</v>
      </c>
      <c r="N1174" t="str">
        <f t="shared" si="113"/>
        <v>Dec</v>
      </c>
      <c r="O1174">
        <f t="shared" si="114"/>
        <v>2025</v>
      </c>
    </row>
    <row r="1175" spans="1:15" x14ac:dyDescent="0.3">
      <c r="A1175">
        <v>203382</v>
      </c>
      <c r="B1175" t="s">
        <v>93</v>
      </c>
      <c r="C1175" s="2">
        <v>46022</v>
      </c>
      <c r="D1175" s="2">
        <f t="shared" si="112"/>
        <v>46052</v>
      </c>
      <c r="E1175" s="1">
        <f>D1175</f>
        <v>46052</v>
      </c>
      <c r="F1175">
        <v>652</v>
      </c>
      <c r="G1175">
        <v>30</v>
      </c>
      <c r="H1175">
        <f t="shared" si="111"/>
        <v>0</v>
      </c>
      <c r="I1175" t="str">
        <f t="shared" si="115"/>
        <v>On Time</v>
      </c>
      <c r="J1175" cm="1">
        <f t="array" ref="J1175">_xlfn.IFS(H1175&lt;30,0,H1175&lt;60,1,H1175&lt;90,2,H1175&lt;120,3)</f>
        <v>0</v>
      </c>
      <c r="M1175" t="str">
        <f t="shared" si="116"/>
        <v>Low</v>
      </c>
      <c r="N1175" t="str">
        <f t="shared" si="113"/>
        <v>Dec</v>
      </c>
      <c r="O1175">
        <f t="shared" si="114"/>
        <v>2025</v>
      </c>
    </row>
    <row r="1176" spans="1:15" x14ac:dyDescent="0.3">
      <c r="A1176">
        <v>203383</v>
      </c>
      <c r="B1176" t="s">
        <v>94</v>
      </c>
      <c r="C1176" s="2">
        <v>46022</v>
      </c>
      <c r="D1176" s="2">
        <f t="shared" si="112"/>
        <v>46052</v>
      </c>
      <c r="E1176" s="1">
        <f>D1176</f>
        <v>46052</v>
      </c>
      <c r="F1176">
        <v>2342</v>
      </c>
      <c r="G1176">
        <v>30</v>
      </c>
      <c r="H1176">
        <f t="shared" si="111"/>
        <v>0</v>
      </c>
      <c r="I1176" t="str">
        <f t="shared" si="115"/>
        <v>On Time</v>
      </c>
      <c r="J1176" cm="1">
        <f t="array" ref="J1176">_xlfn.IFS(H1176&lt;30,0,H1176&lt;60,1,H1176&lt;90,2,H1176&lt;120,3)</f>
        <v>0</v>
      </c>
      <c r="M1176" t="str">
        <f t="shared" si="116"/>
        <v>Low</v>
      </c>
      <c r="N1176" t="str">
        <f t="shared" si="113"/>
        <v>Dec</v>
      </c>
      <c r="O1176">
        <f t="shared" si="114"/>
        <v>2025</v>
      </c>
    </row>
    <row r="1177" spans="1:15" x14ac:dyDescent="0.3">
      <c r="A1177">
        <v>203384</v>
      </c>
      <c r="B1177" t="s">
        <v>95</v>
      </c>
      <c r="C1177" s="2">
        <v>46022</v>
      </c>
      <c r="D1177" s="2">
        <f t="shared" si="112"/>
        <v>46067</v>
      </c>
      <c r="E1177" s="1">
        <f>D1177</f>
        <v>46067</v>
      </c>
      <c r="F1177">
        <v>4654</v>
      </c>
      <c r="G1177">
        <v>45</v>
      </c>
      <c r="H1177">
        <f t="shared" si="111"/>
        <v>0</v>
      </c>
      <c r="I1177" t="str">
        <f t="shared" si="115"/>
        <v>On Time</v>
      </c>
      <c r="J1177" cm="1">
        <f t="array" ref="J1177">_xlfn.IFS(H1177&lt;30,0,H1177&lt;60,1,H1177&lt;90,2,H1177&lt;120,3)</f>
        <v>0</v>
      </c>
      <c r="M1177" t="str">
        <f t="shared" si="116"/>
        <v>Low</v>
      </c>
      <c r="N1177" t="str">
        <f t="shared" si="113"/>
        <v>Dec</v>
      </c>
      <c r="O1177">
        <f t="shared" si="114"/>
        <v>2025</v>
      </c>
    </row>
    <row r="1178" spans="1:15" x14ac:dyDescent="0.3">
      <c r="A1178">
        <v>203375</v>
      </c>
      <c r="B1178" t="s">
        <v>79</v>
      </c>
      <c r="C1178" s="2">
        <v>46021</v>
      </c>
      <c r="D1178" s="2">
        <f t="shared" si="112"/>
        <v>46051</v>
      </c>
      <c r="E1178" s="1">
        <f>D1178+20</f>
        <v>46071</v>
      </c>
      <c r="F1178">
        <v>14023</v>
      </c>
      <c r="G1178">
        <v>30</v>
      </c>
      <c r="H1178">
        <f t="shared" si="111"/>
        <v>0</v>
      </c>
      <c r="I1178" t="str">
        <f t="shared" si="115"/>
        <v>On Time</v>
      </c>
      <c r="J1178" cm="1">
        <f t="array" ref="J1178">_xlfn.IFS(H1178&lt;30,0,H1178&lt;60,1,H1178&lt;90,2,H1178&lt;120,3)</f>
        <v>0</v>
      </c>
      <c r="M1178" t="str">
        <f t="shared" si="116"/>
        <v>Low</v>
      </c>
      <c r="N1178" t="str">
        <f t="shared" si="113"/>
        <v>Dec</v>
      </c>
      <c r="O1178">
        <f t="shared" si="114"/>
        <v>2025</v>
      </c>
    </row>
    <row r="1179" spans="1:15" x14ac:dyDescent="0.3">
      <c r="A1179">
        <v>203376</v>
      </c>
      <c r="B1179" t="s">
        <v>80</v>
      </c>
      <c r="C1179" s="2">
        <v>46021</v>
      </c>
      <c r="D1179" s="2">
        <f t="shared" si="112"/>
        <v>46051</v>
      </c>
      <c r="E1179" s="1">
        <f>D1179</f>
        <v>46051</v>
      </c>
      <c r="F1179">
        <v>10320</v>
      </c>
      <c r="G1179">
        <v>30</v>
      </c>
      <c r="H1179">
        <f t="shared" si="111"/>
        <v>0</v>
      </c>
      <c r="I1179" t="str">
        <f t="shared" si="115"/>
        <v>On Time</v>
      </c>
      <c r="J1179" cm="1">
        <f t="array" ref="J1179">_xlfn.IFS(H1179&lt;30,0,H1179&lt;60,1,H1179&lt;90,2,H1179&lt;120,3)</f>
        <v>0</v>
      </c>
      <c r="M1179" t="str">
        <f t="shared" si="116"/>
        <v>Low</v>
      </c>
      <c r="N1179" t="str">
        <f t="shared" si="113"/>
        <v>Dec</v>
      </c>
      <c r="O1179">
        <f t="shared" si="114"/>
        <v>2025</v>
      </c>
    </row>
    <row r="1180" spans="1:15" x14ac:dyDescent="0.3">
      <c r="A1180">
        <v>203377</v>
      </c>
      <c r="B1180" t="s">
        <v>81</v>
      </c>
      <c r="C1180" s="2">
        <v>46021</v>
      </c>
      <c r="D1180" s="2">
        <f t="shared" si="112"/>
        <v>46051</v>
      </c>
      <c r="E1180" s="1">
        <f>D1180+1</f>
        <v>46052</v>
      </c>
      <c r="F1180">
        <v>2424</v>
      </c>
      <c r="G1180">
        <v>30</v>
      </c>
      <c r="H1180">
        <f t="shared" si="111"/>
        <v>0</v>
      </c>
      <c r="I1180" t="str">
        <f t="shared" si="115"/>
        <v>On Time</v>
      </c>
      <c r="J1180" cm="1">
        <f t="array" ref="J1180">_xlfn.IFS(H1180&lt;30,0,H1180&lt;60,1,H1180&lt;90,2,H1180&lt;120,3)</f>
        <v>0</v>
      </c>
      <c r="M1180" t="str">
        <f t="shared" si="116"/>
        <v>Low</v>
      </c>
      <c r="N1180" t="str">
        <f t="shared" si="113"/>
        <v>Dec</v>
      </c>
      <c r="O1180">
        <f t="shared" si="114"/>
        <v>2025</v>
      </c>
    </row>
    <row r="1181" spans="1:15" x14ac:dyDescent="0.3">
      <c r="A1181">
        <v>203378</v>
      </c>
      <c r="B1181" t="s">
        <v>82</v>
      </c>
      <c r="C1181" s="2">
        <v>46021</v>
      </c>
      <c r="D1181" s="2">
        <f t="shared" si="112"/>
        <v>46066</v>
      </c>
      <c r="E1181" s="1">
        <f>D1181</f>
        <v>46066</v>
      </c>
      <c r="F1181">
        <v>4836</v>
      </c>
      <c r="G1181">
        <v>45</v>
      </c>
      <c r="H1181">
        <f t="shared" si="111"/>
        <v>0</v>
      </c>
      <c r="I1181" t="str">
        <f t="shared" si="115"/>
        <v>On Time</v>
      </c>
      <c r="J1181" cm="1">
        <f t="array" ref="J1181">_xlfn.IFS(H1181&lt;30,0,H1181&lt;60,1,H1181&lt;90,2,H1181&lt;120,3)</f>
        <v>0</v>
      </c>
      <c r="M1181" t="str">
        <f t="shared" si="116"/>
        <v>Low</v>
      </c>
      <c r="N1181" t="str">
        <f t="shared" si="113"/>
        <v>Dec</v>
      </c>
      <c r="O1181">
        <f t="shared" si="114"/>
        <v>2025</v>
      </c>
    </row>
    <row r="1182" spans="1:15" x14ac:dyDescent="0.3">
      <c r="A1182">
        <v>203379</v>
      </c>
      <c r="B1182" t="s">
        <v>83</v>
      </c>
      <c r="C1182" s="2">
        <v>46021</v>
      </c>
      <c r="D1182" s="2">
        <f t="shared" si="112"/>
        <v>46066</v>
      </c>
      <c r="E1182" s="1">
        <f>D1182</f>
        <v>46066</v>
      </c>
      <c r="F1182">
        <v>1574</v>
      </c>
      <c r="G1182">
        <v>45</v>
      </c>
      <c r="H1182">
        <f t="shared" si="111"/>
        <v>0</v>
      </c>
      <c r="I1182" t="str">
        <f t="shared" si="115"/>
        <v>On Time</v>
      </c>
      <c r="J1182" cm="1">
        <f t="array" ref="J1182">_xlfn.IFS(H1182&lt;30,0,H1182&lt;60,1,H1182&lt;90,2,H1182&lt;120,3)</f>
        <v>0</v>
      </c>
      <c r="M1182" t="str">
        <f t="shared" si="116"/>
        <v>Low</v>
      </c>
      <c r="N1182" t="str">
        <f t="shared" si="113"/>
        <v>Dec</v>
      </c>
      <c r="O1182">
        <f t="shared" si="114"/>
        <v>2025</v>
      </c>
    </row>
    <row r="1183" spans="1:15" x14ac:dyDescent="0.3">
      <c r="A1183">
        <v>203371</v>
      </c>
      <c r="B1183" t="s">
        <v>75</v>
      </c>
      <c r="C1183" s="2">
        <v>46020</v>
      </c>
      <c r="D1183" s="2">
        <f t="shared" si="112"/>
        <v>46080</v>
      </c>
      <c r="E1183" s="1">
        <f>D1183+2</f>
        <v>46082</v>
      </c>
      <c r="F1183">
        <v>3694</v>
      </c>
      <c r="G1183">
        <v>60</v>
      </c>
      <c r="H1183">
        <f t="shared" si="111"/>
        <v>0</v>
      </c>
      <c r="I1183" t="str">
        <f t="shared" si="115"/>
        <v>On Time</v>
      </c>
      <c r="J1183" cm="1">
        <f t="array" ref="J1183">_xlfn.IFS(H1183&lt;30,0,H1183&lt;60,1,H1183&lt;90,2,H1183&lt;120,3)</f>
        <v>0</v>
      </c>
      <c r="M1183" t="str">
        <f t="shared" si="116"/>
        <v>Low</v>
      </c>
      <c r="N1183" t="str">
        <f t="shared" si="113"/>
        <v>Dec</v>
      </c>
      <c r="O1183">
        <f t="shared" si="114"/>
        <v>2025</v>
      </c>
    </row>
    <row r="1184" spans="1:15" x14ac:dyDescent="0.3">
      <c r="A1184">
        <v>203372</v>
      </c>
      <c r="B1184" t="s">
        <v>76</v>
      </c>
      <c r="C1184" s="2">
        <v>46020</v>
      </c>
      <c r="D1184" s="2">
        <f t="shared" si="112"/>
        <v>46050</v>
      </c>
      <c r="E1184" s="1">
        <f>D1184+2</f>
        <v>46052</v>
      </c>
      <c r="F1184">
        <v>647</v>
      </c>
      <c r="G1184">
        <v>30</v>
      </c>
      <c r="H1184">
        <f t="shared" si="111"/>
        <v>0</v>
      </c>
      <c r="I1184" t="str">
        <f t="shared" si="115"/>
        <v>On Time</v>
      </c>
      <c r="J1184" cm="1">
        <f t="array" ref="J1184">_xlfn.IFS(H1184&lt;30,0,H1184&lt;60,1,H1184&lt;90,2,H1184&lt;120,3)</f>
        <v>0</v>
      </c>
      <c r="M1184" t="str">
        <f t="shared" si="116"/>
        <v>Low</v>
      </c>
      <c r="N1184" t="str">
        <f t="shared" si="113"/>
        <v>Dec</v>
      </c>
      <c r="O1184">
        <f t="shared" si="114"/>
        <v>2025</v>
      </c>
    </row>
    <row r="1185" spans="1:15" x14ac:dyDescent="0.3">
      <c r="A1185">
        <v>203373</v>
      </c>
      <c r="B1185" t="s">
        <v>77</v>
      </c>
      <c r="C1185" s="2">
        <v>46020</v>
      </c>
      <c r="D1185" s="2">
        <f t="shared" si="112"/>
        <v>46050</v>
      </c>
      <c r="E1185" s="1">
        <f>D1185+2</f>
        <v>46052</v>
      </c>
      <c r="F1185">
        <v>2987</v>
      </c>
      <c r="G1185">
        <v>30</v>
      </c>
      <c r="H1185">
        <f t="shared" si="111"/>
        <v>0</v>
      </c>
      <c r="I1185" t="str">
        <f t="shared" si="115"/>
        <v>On Time</v>
      </c>
      <c r="J1185" cm="1">
        <f t="array" ref="J1185">_xlfn.IFS(H1185&lt;30,0,H1185&lt;60,1,H1185&lt;90,2,H1185&lt;120,3)</f>
        <v>0</v>
      </c>
      <c r="M1185" t="str">
        <f t="shared" si="116"/>
        <v>Low</v>
      </c>
      <c r="N1185" t="str">
        <f t="shared" si="113"/>
        <v>Dec</v>
      </c>
      <c r="O1185">
        <f t="shared" si="114"/>
        <v>2025</v>
      </c>
    </row>
    <row r="1186" spans="1:15" x14ac:dyDescent="0.3">
      <c r="A1186">
        <v>203374</v>
      </c>
      <c r="B1186" t="s">
        <v>78</v>
      </c>
      <c r="C1186" s="2">
        <v>46020</v>
      </c>
      <c r="D1186" s="2">
        <f t="shared" si="112"/>
        <v>46050</v>
      </c>
      <c r="E1186" s="1">
        <f>D1186</f>
        <v>46050</v>
      </c>
      <c r="F1186">
        <v>17992</v>
      </c>
      <c r="G1186">
        <v>30</v>
      </c>
      <c r="H1186">
        <f t="shared" si="111"/>
        <v>0</v>
      </c>
      <c r="I1186" t="str">
        <f t="shared" si="115"/>
        <v>On Time</v>
      </c>
      <c r="J1186" cm="1">
        <f t="array" ref="J1186">_xlfn.IFS(H1186&lt;30,0,H1186&lt;60,1,H1186&lt;90,2,H1186&lt;120,3)</f>
        <v>0</v>
      </c>
      <c r="M1186" t="str">
        <f t="shared" si="116"/>
        <v>Low</v>
      </c>
      <c r="N1186" t="str">
        <f t="shared" si="113"/>
        <v>Dec</v>
      </c>
      <c r="O1186">
        <f t="shared" si="114"/>
        <v>2025</v>
      </c>
    </row>
    <row r="1187" spans="1:15" x14ac:dyDescent="0.3">
      <c r="A1187">
        <v>203365</v>
      </c>
      <c r="B1187" t="s">
        <v>24</v>
      </c>
      <c r="C1187" s="2">
        <v>46015</v>
      </c>
      <c r="D1187" s="2">
        <f t="shared" si="112"/>
        <v>46060</v>
      </c>
      <c r="E1187" s="1">
        <f>D1187</f>
        <v>46060</v>
      </c>
      <c r="F1187">
        <v>4269</v>
      </c>
      <c r="G1187">
        <v>45</v>
      </c>
      <c r="H1187">
        <f t="shared" si="111"/>
        <v>0</v>
      </c>
      <c r="I1187" t="str">
        <f t="shared" si="115"/>
        <v>On Time</v>
      </c>
      <c r="J1187" cm="1">
        <f t="array" ref="J1187">_xlfn.IFS(H1187&lt;30,0,H1187&lt;60,1,H1187&lt;90,2,H1187&lt;120,3)</f>
        <v>0</v>
      </c>
      <c r="M1187" t="str">
        <f t="shared" si="116"/>
        <v>Low</v>
      </c>
      <c r="N1187" t="str">
        <f t="shared" si="113"/>
        <v>Dec</v>
      </c>
      <c r="O1187">
        <f t="shared" si="114"/>
        <v>2025</v>
      </c>
    </row>
    <row r="1188" spans="1:15" x14ac:dyDescent="0.3">
      <c r="A1188">
        <v>203366</v>
      </c>
      <c r="B1188" t="s">
        <v>25</v>
      </c>
      <c r="C1188" s="2">
        <v>46015</v>
      </c>
      <c r="D1188" s="2">
        <f t="shared" si="112"/>
        <v>46075</v>
      </c>
      <c r="E1188" s="1">
        <f>D1188+32</f>
        <v>46107</v>
      </c>
      <c r="F1188">
        <v>662</v>
      </c>
      <c r="G1188">
        <v>60</v>
      </c>
      <c r="H1188">
        <f t="shared" si="111"/>
        <v>0</v>
      </c>
      <c r="I1188" t="str">
        <f t="shared" si="115"/>
        <v>On Time</v>
      </c>
      <c r="J1188" cm="1">
        <f t="array" ref="J1188">_xlfn.IFS(H1188&lt;30,0,H1188&lt;60,1,H1188&lt;90,2,H1188&lt;120,3)</f>
        <v>0</v>
      </c>
      <c r="M1188" t="str">
        <f t="shared" si="116"/>
        <v>Low</v>
      </c>
      <c r="N1188" t="str">
        <f t="shared" si="113"/>
        <v>Dec</v>
      </c>
      <c r="O1188">
        <f t="shared" si="114"/>
        <v>2025</v>
      </c>
    </row>
    <row r="1189" spans="1:15" x14ac:dyDescent="0.3">
      <c r="A1189">
        <v>203367</v>
      </c>
      <c r="B1189" t="s">
        <v>26</v>
      </c>
      <c r="C1189" s="2">
        <v>46015</v>
      </c>
      <c r="D1189" s="2">
        <f t="shared" si="112"/>
        <v>46045</v>
      </c>
      <c r="E1189" s="1">
        <f>D1189+15</f>
        <v>46060</v>
      </c>
      <c r="F1189">
        <v>564</v>
      </c>
      <c r="G1189">
        <v>30</v>
      </c>
      <c r="H1189">
        <f t="shared" si="111"/>
        <v>0</v>
      </c>
      <c r="I1189" t="str">
        <f t="shared" si="115"/>
        <v>On Time</v>
      </c>
      <c r="J1189" cm="1">
        <f t="array" ref="J1189">_xlfn.IFS(H1189&lt;30,0,H1189&lt;60,1,H1189&lt;90,2,H1189&lt;120,3)</f>
        <v>0</v>
      </c>
      <c r="M1189" t="str">
        <f t="shared" si="116"/>
        <v>Low</v>
      </c>
      <c r="N1189" t="str">
        <f t="shared" si="113"/>
        <v>Dec</v>
      </c>
      <c r="O1189">
        <f t="shared" si="114"/>
        <v>2025</v>
      </c>
    </row>
    <row r="1190" spans="1:15" x14ac:dyDescent="0.3">
      <c r="A1190">
        <v>203368</v>
      </c>
      <c r="B1190" t="s">
        <v>27</v>
      </c>
      <c r="C1190" s="2">
        <v>46015</v>
      </c>
      <c r="D1190" s="2">
        <f t="shared" si="112"/>
        <v>46075</v>
      </c>
      <c r="E1190" s="1">
        <f>D1190</f>
        <v>46075</v>
      </c>
      <c r="F1190">
        <v>1039</v>
      </c>
      <c r="G1190">
        <v>60</v>
      </c>
      <c r="H1190">
        <f t="shared" ref="H1190:H1253" si="117">MAX(0,P1155-D1190)</f>
        <v>0</v>
      </c>
      <c r="I1190" t="str">
        <f t="shared" si="115"/>
        <v>On Time</v>
      </c>
      <c r="J1190" cm="1">
        <f t="array" ref="J1190">_xlfn.IFS(H1190&lt;30,0,H1190&lt;60,1,H1190&lt;90,2,H1190&lt;120,3)</f>
        <v>0</v>
      </c>
      <c r="M1190" t="str">
        <f t="shared" si="116"/>
        <v>Low</v>
      </c>
      <c r="N1190" t="str">
        <f t="shared" si="113"/>
        <v>Dec</v>
      </c>
      <c r="O1190">
        <f t="shared" si="114"/>
        <v>2025</v>
      </c>
    </row>
    <row r="1191" spans="1:15" x14ac:dyDescent="0.3">
      <c r="A1191">
        <v>203369</v>
      </c>
      <c r="B1191" t="s">
        <v>28</v>
      </c>
      <c r="C1191" s="2">
        <v>46015</v>
      </c>
      <c r="D1191" s="2">
        <f t="shared" si="112"/>
        <v>46045</v>
      </c>
      <c r="E1191" s="1">
        <f>D1191-2</f>
        <v>46043</v>
      </c>
      <c r="F1191">
        <v>682</v>
      </c>
      <c r="G1191">
        <v>30</v>
      </c>
      <c r="H1191">
        <f t="shared" si="117"/>
        <v>0</v>
      </c>
      <c r="I1191" t="str">
        <f t="shared" si="115"/>
        <v>On Time</v>
      </c>
      <c r="J1191" cm="1">
        <f t="array" ref="J1191">_xlfn.IFS(H1191&lt;30,0,H1191&lt;60,1,H1191&lt;90,2,H1191&lt;120,3)</f>
        <v>0</v>
      </c>
      <c r="M1191" t="str">
        <f t="shared" si="116"/>
        <v>Low</v>
      </c>
      <c r="N1191" t="str">
        <f t="shared" si="113"/>
        <v>Dec</v>
      </c>
      <c r="O1191">
        <f t="shared" si="114"/>
        <v>2025</v>
      </c>
    </row>
    <row r="1192" spans="1:15" x14ac:dyDescent="0.3">
      <c r="A1192">
        <v>203370</v>
      </c>
      <c r="B1192" t="s">
        <v>29</v>
      </c>
      <c r="C1192" s="2">
        <v>46015</v>
      </c>
      <c r="D1192" s="2">
        <f t="shared" si="112"/>
        <v>46045</v>
      </c>
      <c r="E1192" s="1">
        <f>D1192</f>
        <v>46045</v>
      </c>
      <c r="F1192">
        <v>2755</v>
      </c>
      <c r="G1192">
        <v>30</v>
      </c>
      <c r="H1192">
        <f t="shared" si="117"/>
        <v>0</v>
      </c>
      <c r="I1192" t="str">
        <f t="shared" si="115"/>
        <v>On Time</v>
      </c>
      <c r="J1192" cm="1">
        <f t="array" ref="J1192">_xlfn.IFS(H1192&lt;30,0,H1192&lt;60,1,H1192&lt;90,2,H1192&lt;120,3)</f>
        <v>0</v>
      </c>
      <c r="M1192" t="str">
        <f t="shared" si="116"/>
        <v>Low</v>
      </c>
      <c r="N1192" t="str">
        <f t="shared" si="113"/>
        <v>Dec</v>
      </c>
      <c r="O1192">
        <f t="shared" si="114"/>
        <v>2025</v>
      </c>
    </row>
    <row r="1193" spans="1:15" x14ac:dyDescent="0.3">
      <c r="A1193">
        <v>203351</v>
      </c>
      <c r="B1193" t="s">
        <v>54</v>
      </c>
      <c r="C1193" s="2">
        <v>46014</v>
      </c>
      <c r="D1193" s="2">
        <f t="shared" si="112"/>
        <v>46044</v>
      </c>
      <c r="E1193" s="1">
        <f>D1193+65</f>
        <v>46109</v>
      </c>
      <c r="F1193">
        <v>2187</v>
      </c>
      <c r="G1193">
        <v>30</v>
      </c>
      <c r="H1193">
        <f t="shared" si="117"/>
        <v>0</v>
      </c>
      <c r="I1193" t="str">
        <f t="shared" si="115"/>
        <v>On Time</v>
      </c>
      <c r="J1193" cm="1">
        <f t="array" ref="J1193">_xlfn.IFS(H1193&lt;30,0,H1193&lt;60,1,H1193&lt;90,2,H1193&lt;120,3)</f>
        <v>0</v>
      </c>
      <c r="M1193" t="str">
        <f t="shared" si="116"/>
        <v>Low</v>
      </c>
      <c r="N1193" t="str">
        <f t="shared" si="113"/>
        <v>Dec</v>
      </c>
      <c r="O1193">
        <f t="shared" si="114"/>
        <v>2025</v>
      </c>
    </row>
    <row r="1194" spans="1:15" x14ac:dyDescent="0.3">
      <c r="A1194">
        <v>203352</v>
      </c>
      <c r="B1194" t="s">
        <v>36</v>
      </c>
      <c r="C1194" s="2">
        <v>46014</v>
      </c>
      <c r="D1194" s="2">
        <f t="shared" si="112"/>
        <v>46044</v>
      </c>
      <c r="E1194" s="1">
        <f>D1194+5</f>
        <v>46049</v>
      </c>
      <c r="F1194">
        <v>1276</v>
      </c>
      <c r="G1194">
        <v>30</v>
      </c>
      <c r="H1194">
        <f t="shared" si="117"/>
        <v>0</v>
      </c>
      <c r="I1194" t="str">
        <f t="shared" si="115"/>
        <v>On Time</v>
      </c>
      <c r="J1194" cm="1">
        <f t="array" ref="J1194">_xlfn.IFS(H1194&lt;30,0,H1194&lt;60,1,H1194&lt;90,2,H1194&lt;120,3)</f>
        <v>0</v>
      </c>
      <c r="M1194" t="str">
        <f t="shared" si="116"/>
        <v>Low</v>
      </c>
      <c r="N1194" t="str">
        <f t="shared" si="113"/>
        <v>Dec</v>
      </c>
      <c r="O1194">
        <f t="shared" si="114"/>
        <v>2025</v>
      </c>
    </row>
    <row r="1195" spans="1:15" x14ac:dyDescent="0.3">
      <c r="A1195">
        <v>203353</v>
      </c>
      <c r="B1195" t="s">
        <v>37</v>
      </c>
      <c r="C1195" s="2">
        <v>46014</v>
      </c>
      <c r="D1195" s="2">
        <f t="shared" si="112"/>
        <v>46044</v>
      </c>
      <c r="E1195" s="1">
        <f>D1195</f>
        <v>46044</v>
      </c>
      <c r="F1195">
        <v>4792</v>
      </c>
      <c r="G1195">
        <v>30</v>
      </c>
      <c r="H1195">
        <f t="shared" si="117"/>
        <v>0</v>
      </c>
      <c r="I1195" t="str">
        <f t="shared" si="115"/>
        <v>On Time</v>
      </c>
      <c r="J1195" cm="1">
        <f t="array" ref="J1195">_xlfn.IFS(H1195&lt;30,0,H1195&lt;60,1,H1195&lt;90,2,H1195&lt;120,3)</f>
        <v>0</v>
      </c>
      <c r="M1195" t="str">
        <f t="shared" si="116"/>
        <v>Low</v>
      </c>
      <c r="N1195" t="str">
        <f t="shared" si="113"/>
        <v>Dec</v>
      </c>
      <c r="O1195">
        <f t="shared" si="114"/>
        <v>2025</v>
      </c>
    </row>
    <row r="1196" spans="1:15" x14ac:dyDescent="0.3">
      <c r="A1196">
        <v>203354</v>
      </c>
      <c r="B1196" t="s">
        <v>38</v>
      </c>
      <c r="C1196" s="2">
        <v>46014</v>
      </c>
      <c r="D1196" s="2">
        <f t="shared" si="112"/>
        <v>46044</v>
      </c>
      <c r="E1196" s="1">
        <f>D1196-1</f>
        <v>46043</v>
      </c>
      <c r="F1196">
        <v>2264</v>
      </c>
      <c r="G1196">
        <v>30</v>
      </c>
      <c r="H1196">
        <f t="shared" si="117"/>
        <v>0</v>
      </c>
      <c r="I1196" t="str">
        <f t="shared" si="115"/>
        <v>On Time</v>
      </c>
      <c r="J1196" cm="1">
        <f t="array" ref="J1196">_xlfn.IFS(H1196&lt;30,0,H1196&lt;60,1,H1196&lt;90,2,H1196&lt;120,3)</f>
        <v>0</v>
      </c>
      <c r="M1196" t="str">
        <f t="shared" si="116"/>
        <v>Low</v>
      </c>
      <c r="N1196" t="str">
        <f t="shared" si="113"/>
        <v>Dec</v>
      </c>
      <c r="O1196">
        <f t="shared" si="114"/>
        <v>2025</v>
      </c>
    </row>
    <row r="1197" spans="1:15" x14ac:dyDescent="0.3">
      <c r="A1197">
        <v>203355</v>
      </c>
      <c r="B1197" t="s">
        <v>39</v>
      </c>
      <c r="C1197" s="2">
        <v>46014</v>
      </c>
      <c r="D1197" s="2">
        <f t="shared" si="112"/>
        <v>46044</v>
      </c>
      <c r="E1197" s="1">
        <f>D1197+3</f>
        <v>46047</v>
      </c>
      <c r="F1197">
        <v>4990</v>
      </c>
      <c r="G1197">
        <v>30</v>
      </c>
      <c r="H1197">
        <f t="shared" si="117"/>
        <v>0</v>
      </c>
      <c r="I1197" t="str">
        <f t="shared" si="115"/>
        <v>On Time</v>
      </c>
      <c r="J1197" cm="1">
        <f t="array" ref="J1197">_xlfn.IFS(H1197&lt;30,0,H1197&lt;60,1,H1197&lt;90,2,H1197&lt;120,3)</f>
        <v>0</v>
      </c>
      <c r="M1197" t="str">
        <f t="shared" si="116"/>
        <v>Low</v>
      </c>
      <c r="N1197" t="str">
        <f t="shared" si="113"/>
        <v>Dec</v>
      </c>
      <c r="O1197">
        <f t="shared" si="114"/>
        <v>2025</v>
      </c>
    </row>
    <row r="1198" spans="1:15" x14ac:dyDescent="0.3">
      <c r="A1198">
        <v>203356</v>
      </c>
      <c r="B1198" t="s">
        <v>40</v>
      </c>
      <c r="C1198" s="2">
        <v>46014</v>
      </c>
      <c r="D1198" s="2">
        <f t="shared" si="112"/>
        <v>46044</v>
      </c>
      <c r="E1198" s="1">
        <f>D1198+1</f>
        <v>46045</v>
      </c>
      <c r="F1198">
        <v>342</v>
      </c>
      <c r="G1198">
        <v>30</v>
      </c>
      <c r="H1198">
        <f t="shared" si="117"/>
        <v>0</v>
      </c>
      <c r="I1198" t="str">
        <f t="shared" si="115"/>
        <v>On Time</v>
      </c>
      <c r="J1198" cm="1">
        <f t="array" ref="J1198">_xlfn.IFS(H1198&lt;30,0,H1198&lt;60,1,H1198&lt;90,2,H1198&lt;120,3)</f>
        <v>0</v>
      </c>
      <c r="M1198" t="str">
        <f t="shared" si="116"/>
        <v>Low</v>
      </c>
      <c r="N1198" t="str">
        <f t="shared" si="113"/>
        <v>Dec</v>
      </c>
      <c r="O1198">
        <f t="shared" si="114"/>
        <v>2025</v>
      </c>
    </row>
    <row r="1199" spans="1:15" x14ac:dyDescent="0.3">
      <c r="A1199">
        <v>203357</v>
      </c>
      <c r="B1199" t="s">
        <v>41</v>
      </c>
      <c r="C1199" s="2">
        <v>46014</v>
      </c>
      <c r="D1199" s="2">
        <f t="shared" si="112"/>
        <v>46044</v>
      </c>
      <c r="E1199" s="1">
        <f>D1199-1</f>
        <v>46043</v>
      </c>
      <c r="F1199">
        <v>771</v>
      </c>
      <c r="G1199">
        <v>30</v>
      </c>
      <c r="H1199">
        <f t="shared" si="117"/>
        <v>0</v>
      </c>
      <c r="I1199" t="str">
        <f t="shared" si="115"/>
        <v>On Time</v>
      </c>
      <c r="J1199" cm="1">
        <f t="array" ref="J1199">_xlfn.IFS(H1199&lt;30,0,H1199&lt;60,1,H1199&lt;90,2,H1199&lt;120,3)</f>
        <v>0</v>
      </c>
      <c r="M1199" t="str">
        <f t="shared" si="116"/>
        <v>Low</v>
      </c>
      <c r="N1199" t="str">
        <f t="shared" si="113"/>
        <v>Dec</v>
      </c>
      <c r="O1199">
        <f t="shared" si="114"/>
        <v>2025</v>
      </c>
    </row>
    <row r="1200" spans="1:15" x14ac:dyDescent="0.3">
      <c r="A1200">
        <v>203358</v>
      </c>
      <c r="B1200" t="s">
        <v>42</v>
      </c>
      <c r="C1200" s="2">
        <v>46014</v>
      </c>
      <c r="D1200" s="2">
        <f t="shared" si="112"/>
        <v>46044</v>
      </c>
      <c r="E1200" s="1">
        <f>D1200</f>
        <v>46044</v>
      </c>
      <c r="F1200">
        <v>613</v>
      </c>
      <c r="G1200">
        <v>30</v>
      </c>
      <c r="H1200">
        <f t="shared" si="117"/>
        <v>0</v>
      </c>
      <c r="I1200" t="str">
        <f t="shared" si="115"/>
        <v>On Time</v>
      </c>
      <c r="J1200" cm="1">
        <f t="array" ref="J1200">_xlfn.IFS(H1200&lt;30,0,H1200&lt;60,1,H1200&lt;90,2,H1200&lt;120,3)</f>
        <v>0</v>
      </c>
      <c r="M1200" t="str">
        <f t="shared" si="116"/>
        <v>Low</v>
      </c>
      <c r="N1200" t="str">
        <f t="shared" si="113"/>
        <v>Dec</v>
      </c>
      <c r="O1200">
        <f t="shared" si="114"/>
        <v>2025</v>
      </c>
    </row>
    <row r="1201" spans="1:15" x14ac:dyDescent="0.3">
      <c r="A1201">
        <v>203359</v>
      </c>
      <c r="B1201" t="s">
        <v>43</v>
      </c>
      <c r="C1201" s="2">
        <v>46014</v>
      </c>
      <c r="D1201" s="2">
        <f t="shared" si="112"/>
        <v>46044</v>
      </c>
      <c r="E1201" s="1">
        <f>D1201-5</f>
        <v>46039</v>
      </c>
      <c r="F1201">
        <v>1610</v>
      </c>
      <c r="G1201">
        <v>30</v>
      </c>
      <c r="H1201">
        <f t="shared" si="117"/>
        <v>0</v>
      </c>
      <c r="I1201" t="str">
        <f t="shared" si="115"/>
        <v>On Time</v>
      </c>
      <c r="J1201" cm="1">
        <f t="array" ref="J1201">_xlfn.IFS(H1201&lt;30,0,H1201&lt;60,1,H1201&lt;90,2,H1201&lt;120,3)</f>
        <v>0</v>
      </c>
      <c r="M1201" t="str">
        <f t="shared" si="116"/>
        <v>Low</v>
      </c>
      <c r="N1201" t="str">
        <f t="shared" si="113"/>
        <v>Dec</v>
      </c>
      <c r="O1201">
        <f t="shared" si="114"/>
        <v>2025</v>
      </c>
    </row>
    <row r="1202" spans="1:15" x14ac:dyDescent="0.3">
      <c r="A1202">
        <v>203360</v>
      </c>
      <c r="B1202" t="s">
        <v>44</v>
      </c>
      <c r="C1202" s="2">
        <v>46014</v>
      </c>
      <c r="D1202" s="2">
        <f t="shared" si="112"/>
        <v>46059</v>
      </c>
      <c r="E1202" s="1">
        <f>D1202+35</f>
        <v>46094</v>
      </c>
      <c r="F1202">
        <v>998</v>
      </c>
      <c r="G1202">
        <v>45</v>
      </c>
      <c r="H1202">
        <f t="shared" si="117"/>
        <v>0</v>
      </c>
      <c r="I1202" t="str">
        <f t="shared" si="115"/>
        <v>On Time</v>
      </c>
      <c r="J1202" cm="1">
        <f t="array" ref="J1202">_xlfn.IFS(H1202&lt;30,0,H1202&lt;60,1,H1202&lt;90,2,H1202&lt;120,3)</f>
        <v>0</v>
      </c>
      <c r="M1202" t="str">
        <f t="shared" si="116"/>
        <v>Low</v>
      </c>
      <c r="N1202" t="str">
        <f t="shared" si="113"/>
        <v>Dec</v>
      </c>
      <c r="O1202">
        <f t="shared" si="114"/>
        <v>2025</v>
      </c>
    </row>
    <row r="1203" spans="1:15" x14ac:dyDescent="0.3">
      <c r="A1203">
        <v>203361</v>
      </c>
      <c r="B1203" t="s">
        <v>20</v>
      </c>
      <c r="C1203" s="2">
        <v>46014</v>
      </c>
      <c r="D1203" s="2">
        <f t="shared" si="112"/>
        <v>46044</v>
      </c>
      <c r="E1203" s="1">
        <f>D1203+75</f>
        <v>46119</v>
      </c>
      <c r="F1203">
        <v>1544</v>
      </c>
      <c r="G1203">
        <v>30</v>
      </c>
      <c r="H1203">
        <f t="shared" si="117"/>
        <v>0</v>
      </c>
      <c r="I1203" t="str">
        <f t="shared" si="115"/>
        <v>On Time</v>
      </c>
      <c r="J1203" cm="1">
        <f t="array" ref="J1203">_xlfn.IFS(H1203&lt;30,0,H1203&lt;60,1,H1203&lt;90,2,H1203&lt;120,3)</f>
        <v>0</v>
      </c>
      <c r="M1203" t="str">
        <f t="shared" si="116"/>
        <v>Low</v>
      </c>
      <c r="N1203" t="str">
        <f t="shared" si="113"/>
        <v>Dec</v>
      </c>
      <c r="O1203">
        <f t="shared" si="114"/>
        <v>2025</v>
      </c>
    </row>
    <row r="1204" spans="1:15" x14ac:dyDescent="0.3">
      <c r="A1204">
        <v>203362</v>
      </c>
      <c r="B1204" t="s">
        <v>21</v>
      </c>
      <c r="C1204" s="2">
        <v>46014</v>
      </c>
      <c r="D1204" s="2">
        <f t="shared" si="112"/>
        <v>46044</v>
      </c>
      <c r="E1204" s="1">
        <f>D1204+5</f>
        <v>46049</v>
      </c>
      <c r="F1204">
        <v>125</v>
      </c>
      <c r="G1204">
        <v>30</v>
      </c>
      <c r="H1204">
        <f t="shared" si="117"/>
        <v>0</v>
      </c>
      <c r="I1204" t="str">
        <f t="shared" si="115"/>
        <v>On Time</v>
      </c>
      <c r="J1204" cm="1">
        <f t="array" ref="J1204">_xlfn.IFS(H1204&lt;30,0,H1204&lt;60,1,H1204&lt;90,2,H1204&lt;120,3)</f>
        <v>0</v>
      </c>
      <c r="M1204" t="str">
        <f t="shared" si="116"/>
        <v>Low</v>
      </c>
      <c r="N1204" t="str">
        <f t="shared" si="113"/>
        <v>Dec</v>
      </c>
      <c r="O1204">
        <f t="shared" si="114"/>
        <v>2025</v>
      </c>
    </row>
    <row r="1205" spans="1:15" x14ac:dyDescent="0.3">
      <c r="A1205">
        <v>203363</v>
      </c>
      <c r="B1205" t="s">
        <v>22</v>
      </c>
      <c r="C1205" s="2">
        <v>46014</v>
      </c>
      <c r="D1205" s="2">
        <f t="shared" si="112"/>
        <v>46044</v>
      </c>
      <c r="E1205" s="1">
        <f>D1205</f>
        <v>46044</v>
      </c>
      <c r="F1205">
        <v>2408</v>
      </c>
      <c r="G1205">
        <v>30</v>
      </c>
      <c r="H1205">
        <f t="shared" si="117"/>
        <v>0</v>
      </c>
      <c r="I1205" t="str">
        <f t="shared" si="115"/>
        <v>On Time</v>
      </c>
      <c r="J1205" cm="1">
        <f t="array" ref="J1205">_xlfn.IFS(H1205&lt;30,0,H1205&lt;60,1,H1205&lt;90,2,H1205&lt;120,3)</f>
        <v>0</v>
      </c>
      <c r="M1205" t="str">
        <f t="shared" si="116"/>
        <v>Low</v>
      </c>
      <c r="N1205" t="str">
        <f t="shared" si="113"/>
        <v>Dec</v>
      </c>
      <c r="O1205">
        <f t="shared" si="114"/>
        <v>2025</v>
      </c>
    </row>
    <row r="1206" spans="1:15" x14ac:dyDescent="0.3">
      <c r="A1206">
        <v>203364</v>
      </c>
      <c r="B1206" t="s">
        <v>23</v>
      </c>
      <c r="C1206" s="2">
        <v>46014</v>
      </c>
      <c r="D1206" s="2">
        <f t="shared" si="112"/>
        <v>46059</v>
      </c>
      <c r="E1206" s="1">
        <f>D1206-1</f>
        <v>46058</v>
      </c>
      <c r="F1206">
        <v>4612</v>
      </c>
      <c r="G1206">
        <v>45</v>
      </c>
      <c r="H1206">
        <f t="shared" si="117"/>
        <v>0</v>
      </c>
      <c r="I1206" t="str">
        <f t="shared" si="115"/>
        <v>On Time</v>
      </c>
      <c r="J1206" cm="1">
        <f t="array" ref="J1206">_xlfn.IFS(H1206&lt;30,0,H1206&lt;60,1,H1206&lt;90,2,H1206&lt;120,3)</f>
        <v>0</v>
      </c>
      <c r="M1206" t="str">
        <f t="shared" si="116"/>
        <v>Low</v>
      </c>
      <c r="N1206" t="str">
        <f t="shared" si="113"/>
        <v>Dec</v>
      </c>
      <c r="O1206">
        <f t="shared" si="114"/>
        <v>2025</v>
      </c>
    </row>
    <row r="1207" spans="1:15" x14ac:dyDescent="0.3">
      <c r="A1207">
        <v>203337</v>
      </c>
      <c r="B1207" t="s">
        <v>73</v>
      </c>
      <c r="C1207" s="2">
        <v>46013</v>
      </c>
      <c r="D1207" s="2">
        <f t="shared" si="112"/>
        <v>46058</v>
      </c>
      <c r="E1207" s="1">
        <f>D1207+5</f>
        <v>46063</v>
      </c>
      <c r="F1207">
        <v>2660</v>
      </c>
      <c r="G1207">
        <v>45</v>
      </c>
      <c r="H1207">
        <f t="shared" si="117"/>
        <v>0</v>
      </c>
      <c r="I1207" t="str">
        <f t="shared" si="115"/>
        <v>On Time</v>
      </c>
      <c r="J1207" cm="1">
        <f t="array" ref="J1207">_xlfn.IFS(H1207&lt;30,0,H1207&lt;60,1,H1207&lt;90,2,H1207&lt;120,3)</f>
        <v>0</v>
      </c>
      <c r="M1207" t="str">
        <f t="shared" si="116"/>
        <v>Low</v>
      </c>
      <c r="N1207" t="str">
        <f t="shared" si="113"/>
        <v>Dec</v>
      </c>
      <c r="O1207">
        <f t="shared" si="114"/>
        <v>2025</v>
      </c>
    </row>
    <row r="1208" spans="1:15" x14ac:dyDescent="0.3">
      <c r="A1208">
        <v>203338</v>
      </c>
      <c r="B1208" t="s">
        <v>74</v>
      </c>
      <c r="C1208" s="2">
        <v>46013</v>
      </c>
      <c r="D1208" s="2">
        <f t="shared" si="112"/>
        <v>46058</v>
      </c>
      <c r="E1208" s="1">
        <f>D1208+2</f>
        <v>46060</v>
      </c>
      <c r="F1208">
        <v>2536</v>
      </c>
      <c r="G1208">
        <v>45</v>
      </c>
      <c r="H1208">
        <f t="shared" si="117"/>
        <v>0</v>
      </c>
      <c r="I1208" t="str">
        <f t="shared" si="115"/>
        <v>On Time</v>
      </c>
      <c r="J1208" cm="1">
        <f t="array" ref="J1208">_xlfn.IFS(H1208&lt;30,0,H1208&lt;60,1,H1208&lt;90,2,H1208&lt;120,3)</f>
        <v>0</v>
      </c>
      <c r="M1208" t="str">
        <f t="shared" si="116"/>
        <v>Low</v>
      </c>
      <c r="N1208" t="str">
        <f t="shared" si="113"/>
        <v>Dec</v>
      </c>
      <c r="O1208">
        <f t="shared" si="114"/>
        <v>2025</v>
      </c>
    </row>
    <row r="1209" spans="1:15" x14ac:dyDescent="0.3">
      <c r="A1209">
        <v>203339</v>
      </c>
      <c r="B1209" t="s">
        <v>75</v>
      </c>
      <c r="C1209" s="2">
        <v>46013</v>
      </c>
      <c r="D1209" s="2">
        <f t="shared" si="112"/>
        <v>46073</v>
      </c>
      <c r="E1209" s="1">
        <f>D1209</f>
        <v>46073</v>
      </c>
      <c r="F1209">
        <v>3202</v>
      </c>
      <c r="G1209">
        <v>60</v>
      </c>
      <c r="H1209">
        <f t="shared" si="117"/>
        <v>0</v>
      </c>
      <c r="I1209" t="str">
        <f t="shared" si="115"/>
        <v>On Time</v>
      </c>
      <c r="J1209" cm="1">
        <f t="array" ref="J1209">_xlfn.IFS(H1209&lt;30,0,H1209&lt;60,1,H1209&lt;90,2,H1209&lt;120,3)</f>
        <v>0</v>
      </c>
      <c r="M1209" t="str">
        <f t="shared" si="116"/>
        <v>Low</v>
      </c>
      <c r="N1209" t="str">
        <f t="shared" si="113"/>
        <v>Dec</v>
      </c>
      <c r="O1209">
        <f t="shared" si="114"/>
        <v>2025</v>
      </c>
    </row>
    <row r="1210" spans="1:15" x14ac:dyDescent="0.3">
      <c r="A1210">
        <v>203340</v>
      </c>
      <c r="B1210" t="s">
        <v>76</v>
      </c>
      <c r="C1210" s="2">
        <v>46013</v>
      </c>
      <c r="D1210" s="2">
        <f t="shared" si="112"/>
        <v>46043</v>
      </c>
      <c r="E1210" s="1">
        <f>D1210</f>
        <v>46043</v>
      </c>
      <c r="F1210">
        <v>2576</v>
      </c>
      <c r="G1210">
        <v>30</v>
      </c>
      <c r="H1210">
        <f t="shared" si="117"/>
        <v>0</v>
      </c>
      <c r="I1210" t="str">
        <f t="shared" si="115"/>
        <v>On Time</v>
      </c>
      <c r="J1210" cm="1">
        <f t="array" ref="J1210">_xlfn.IFS(H1210&lt;30,0,H1210&lt;60,1,H1210&lt;90,2,H1210&lt;120,3)</f>
        <v>0</v>
      </c>
      <c r="M1210" t="str">
        <f t="shared" si="116"/>
        <v>Low</v>
      </c>
      <c r="N1210" t="str">
        <f t="shared" si="113"/>
        <v>Dec</v>
      </c>
      <c r="O1210">
        <f t="shared" si="114"/>
        <v>2025</v>
      </c>
    </row>
    <row r="1211" spans="1:15" x14ac:dyDescent="0.3">
      <c r="A1211">
        <v>203341</v>
      </c>
      <c r="B1211" t="s">
        <v>44</v>
      </c>
      <c r="C1211" s="2">
        <v>46013</v>
      </c>
      <c r="D1211" s="2">
        <f t="shared" si="112"/>
        <v>46058</v>
      </c>
      <c r="E1211" s="1">
        <f>D1211</f>
        <v>46058</v>
      </c>
      <c r="F1211">
        <v>2405</v>
      </c>
      <c r="G1211">
        <v>45</v>
      </c>
      <c r="H1211">
        <f t="shared" si="117"/>
        <v>0</v>
      </c>
      <c r="I1211" t="str">
        <f t="shared" si="115"/>
        <v>On Time</v>
      </c>
      <c r="J1211" cm="1">
        <f t="array" ref="J1211">_xlfn.IFS(H1211&lt;30,0,H1211&lt;60,1,H1211&lt;90,2,H1211&lt;120,3)</f>
        <v>0</v>
      </c>
      <c r="M1211" t="str">
        <f t="shared" si="116"/>
        <v>Low</v>
      </c>
      <c r="N1211" t="str">
        <f t="shared" si="113"/>
        <v>Dec</v>
      </c>
      <c r="O1211">
        <f t="shared" si="114"/>
        <v>2025</v>
      </c>
    </row>
    <row r="1212" spans="1:15" x14ac:dyDescent="0.3">
      <c r="A1212">
        <v>203342</v>
      </c>
      <c r="B1212" t="s">
        <v>45</v>
      </c>
      <c r="C1212" s="2">
        <v>46013</v>
      </c>
      <c r="D1212" s="2">
        <f t="shared" si="112"/>
        <v>46058</v>
      </c>
      <c r="E1212" s="1">
        <f>D1212+60</f>
        <v>46118</v>
      </c>
      <c r="F1212">
        <v>4117</v>
      </c>
      <c r="G1212">
        <v>45</v>
      </c>
      <c r="H1212">
        <f t="shared" si="117"/>
        <v>0</v>
      </c>
      <c r="I1212" t="str">
        <f t="shared" si="115"/>
        <v>On Time</v>
      </c>
      <c r="J1212" cm="1">
        <f t="array" ref="J1212">_xlfn.IFS(H1212&lt;30,0,H1212&lt;60,1,H1212&lt;90,2,H1212&lt;120,3)</f>
        <v>0</v>
      </c>
      <c r="M1212" t="str">
        <f t="shared" si="116"/>
        <v>Low</v>
      </c>
      <c r="N1212" t="str">
        <f t="shared" si="113"/>
        <v>Dec</v>
      </c>
      <c r="O1212">
        <f t="shared" si="114"/>
        <v>2025</v>
      </c>
    </row>
    <row r="1213" spans="1:15" x14ac:dyDescent="0.3">
      <c r="A1213">
        <v>203343</v>
      </c>
      <c r="B1213" t="s">
        <v>46</v>
      </c>
      <c r="C1213" s="2">
        <v>46013</v>
      </c>
      <c r="D1213" s="2">
        <f t="shared" si="112"/>
        <v>46073</v>
      </c>
      <c r="E1213" s="1">
        <f>D1213</f>
        <v>46073</v>
      </c>
      <c r="F1213">
        <v>612</v>
      </c>
      <c r="G1213">
        <v>60</v>
      </c>
      <c r="H1213">
        <f t="shared" si="117"/>
        <v>0</v>
      </c>
      <c r="I1213" t="str">
        <f t="shared" si="115"/>
        <v>On Time</v>
      </c>
      <c r="J1213" cm="1">
        <f t="array" ref="J1213">_xlfn.IFS(H1213&lt;30,0,H1213&lt;60,1,H1213&lt;90,2,H1213&lt;120,3)</f>
        <v>0</v>
      </c>
      <c r="M1213" t="str">
        <f t="shared" si="116"/>
        <v>Low</v>
      </c>
      <c r="N1213" t="str">
        <f t="shared" si="113"/>
        <v>Dec</v>
      </c>
      <c r="O1213">
        <f t="shared" si="114"/>
        <v>2025</v>
      </c>
    </row>
    <row r="1214" spans="1:15" x14ac:dyDescent="0.3">
      <c r="A1214">
        <v>203344</v>
      </c>
      <c r="B1214" t="s">
        <v>47</v>
      </c>
      <c r="C1214" s="2">
        <v>46013</v>
      </c>
      <c r="D1214" s="2">
        <f t="shared" si="112"/>
        <v>46073</v>
      </c>
      <c r="E1214" s="1">
        <f>D1214</f>
        <v>46073</v>
      </c>
      <c r="F1214">
        <v>19322</v>
      </c>
      <c r="G1214">
        <v>60</v>
      </c>
      <c r="H1214">
        <f t="shared" si="117"/>
        <v>0</v>
      </c>
      <c r="I1214" t="str">
        <f t="shared" si="115"/>
        <v>On Time</v>
      </c>
      <c r="J1214" cm="1">
        <f t="array" ref="J1214">_xlfn.IFS(H1214&lt;30,0,H1214&lt;60,1,H1214&lt;90,2,H1214&lt;120,3)</f>
        <v>0</v>
      </c>
      <c r="M1214" t="str">
        <f t="shared" si="116"/>
        <v>Low</v>
      </c>
      <c r="N1214" t="str">
        <f t="shared" si="113"/>
        <v>Dec</v>
      </c>
      <c r="O1214">
        <f t="shared" si="114"/>
        <v>2025</v>
      </c>
    </row>
    <row r="1215" spans="1:15" x14ac:dyDescent="0.3">
      <c r="A1215">
        <v>203345</v>
      </c>
      <c r="B1215" t="s">
        <v>48</v>
      </c>
      <c r="C1215" s="2">
        <v>46013</v>
      </c>
      <c r="D1215" s="2">
        <f t="shared" si="112"/>
        <v>46058</v>
      </c>
      <c r="E1215" s="1">
        <f>D1215+3</f>
        <v>46061</v>
      </c>
      <c r="F1215">
        <v>598</v>
      </c>
      <c r="G1215">
        <v>45</v>
      </c>
      <c r="H1215">
        <f t="shared" si="117"/>
        <v>0</v>
      </c>
      <c r="I1215" t="str">
        <f t="shared" si="115"/>
        <v>On Time</v>
      </c>
      <c r="J1215" cm="1">
        <f t="array" ref="J1215">_xlfn.IFS(H1215&lt;30,0,H1215&lt;60,1,H1215&lt;90,2,H1215&lt;120,3)</f>
        <v>0</v>
      </c>
      <c r="M1215" t="str">
        <f t="shared" si="116"/>
        <v>Low</v>
      </c>
      <c r="N1215" t="str">
        <f t="shared" si="113"/>
        <v>Dec</v>
      </c>
      <c r="O1215">
        <f t="shared" si="114"/>
        <v>2025</v>
      </c>
    </row>
    <row r="1216" spans="1:15" x14ac:dyDescent="0.3">
      <c r="A1216">
        <v>203346</v>
      </c>
      <c r="B1216" t="s">
        <v>49</v>
      </c>
      <c r="C1216" s="2">
        <v>46013</v>
      </c>
      <c r="D1216" s="2">
        <f t="shared" si="112"/>
        <v>46043</v>
      </c>
      <c r="E1216" s="1">
        <f>D1216+1</f>
        <v>46044</v>
      </c>
      <c r="F1216">
        <v>4861</v>
      </c>
      <c r="G1216">
        <v>30</v>
      </c>
      <c r="H1216">
        <f t="shared" si="117"/>
        <v>0</v>
      </c>
      <c r="I1216" t="str">
        <f t="shared" si="115"/>
        <v>On Time</v>
      </c>
      <c r="J1216" cm="1">
        <f t="array" ref="J1216">_xlfn.IFS(H1216&lt;30,0,H1216&lt;60,1,H1216&lt;90,2,H1216&lt;120,3)</f>
        <v>0</v>
      </c>
      <c r="M1216" t="str">
        <f t="shared" si="116"/>
        <v>Low</v>
      </c>
      <c r="N1216" t="str">
        <f t="shared" si="113"/>
        <v>Dec</v>
      </c>
      <c r="O1216">
        <f t="shared" si="114"/>
        <v>2025</v>
      </c>
    </row>
    <row r="1217" spans="1:15" x14ac:dyDescent="0.3">
      <c r="A1217">
        <v>203347</v>
      </c>
      <c r="B1217" t="s">
        <v>50</v>
      </c>
      <c r="C1217" s="2">
        <v>46013</v>
      </c>
      <c r="D1217" s="2">
        <f t="shared" si="112"/>
        <v>46043</v>
      </c>
      <c r="E1217" s="1">
        <f>D1217-1</f>
        <v>46042</v>
      </c>
      <c r="F1217">
        <v>7860</v>
      </c>
      <c r="G1217">
        <v>30</v>
      </c>
      <c r="H1217">
        <f t="shared" si="117"/>
        <v>0</v>
      </c>
      <c r="I1217" t="str">
        <f t="shared" si="115"/>
        <v>On Time</v>
      </c>
      <c r="J1217" cm="1">
        <f t="array" ref="J1217">_xlfn.IFS(H1217&lt;30,0,H1217&lt;60,1,H1217&lt;90,2,H1217&lt;120,3)</f>
        <v>0</v>
      </c>
      <c r="M1217" t="str">
        <f t="shared" si="116"/>
        <v>Low</v>
      </c>
      <c r="N1217" t="str">
        <f t="shared" si="113"/>
        <v>Dec</v>
      </c>
      <c r="O1217">
        <f t="shared" si="114"/>
        <v>2025</v>
      </c>
    </row>
    <row r="1218" spans="1:15" x14ac:dyDescent="0.3">
      <c r="A1218">
        <v>203348</v>
      </c>
      <c r="B1218" t="s">
        <v>51</v>
      </c>
      <c r="C1218" s="2">
        <v>46013</v>
      </c>
      <c r="D1218" s="2">
        <f t="shared" ref="D1218:D1281" si="118">C1218+G1218</f>
        <v>46043</v>
      </c>
      <c r="E1218" s="1">
        <f>D1218</f>
        <v>46043</v>
      </c>
      <c r="F1218">
        <v>1618</v>
      </c>
      <c r="G1218">
        <v>30</v>
      </c>
      <c r="H1218">
        <f t="shared" si="117"/>
        <v>0</v>
      </c>
      <c r="I1218" t="str">
        <f t="shared" si="115"/>
        <v>On Time</v>
      </c>
      <c r="J1218" cm="1">
        <f t="array" ref="J1218">_xlfn.IFS(H1218&lt;30,0,H1218&lt;60,1,H1218&lt;90,2,H1218&lt;120,3)</f>
        <v>0</v>
      </c>
      <c r="M1218" t="str">
        <f t="shared" si="116"/>
        <v>Low</v>
      </c>
      <c r="N1218" t="str">
        <f t="shared" ref="N1218:N1281" si="119">TEXT(C1218,"mmm")</f>
        <v>Dec</v>
      </c>
      <c r="O1218">
        <f t="shared" ref="O1218:O1281" si="120">YEAR(C1218)</f>
        <v>2025</v>
      </c>
    </row>
    <row r="1219" spans="1:15" x14ac:dyDescent="0.3">
      <c r="A1219">
        <v>203349</v>
      </c>
      <c r="B1219" t="s">
        <v>52</v>
      </c>
      <c r="C1219" s="2">
        <v>46013</v>
      </c>
      <c r="D1219" s="2">
        <f t="shared" si="118"/>
        <v>46043</v>
      </c>
      <c r="E1219" s="1">
        <f>D1219+1</f>
        <v>46044</v>
      </c>
      <c r="F1219">
        <v>4908</v>
      </c>
      <c r="G1219">
        <v>30</v>
      </c>
      <c r="H1219">
        <f t="shared" si="117"/>
        <v>0</v>
      </c>
      <c r="I1219" t="str">
        <f t="shared" si="115"/>
        <v>On Time</v>
      </c>
      <c r="J1219" cm="1">
        <f t="array" ref="J1219">_xlfn.IFS(H1219&lt;30,0,H1219&lt;60,1,H1219&lt;90,2,H1219&lt;120,3)</f>
        <v>0</v>
      </c>
      <c r="M1219" t="str">
        <f t="shared" si="116"/>
        <v>Low</v>
      </c>
      <c r="N1219" t="str">
        <f t="shared" si="119"/>
        <v>Dec</v>
      </c>
      <c r="O1219">
        <f t="shared" si="120"/>
        <v>2025</v>
      </c>
    </row>
    <row r="1220" spans="1:15" x14ac:dyDescent="0.3">
      <c r="A1220">
        <v>203350</v>
      </c>
      <c r="B1220" t="s">
        <v>53</v>
      </c>
      <c r="C1220" s="2">
        <v>46013</v>
      </c>
      <c r="D1220" s="2">
        <f t="shared" si="118"/>
        <v>46043</v>
      </c>
      <c r="E1220" s="1">
        <f>D1220+35</f>
        <v>46078</v>
      </c>
      <c r="F1220">
        <v>2817</v>
      </c>
      <c r="G1220">
        <v>30</v>
      </c>
      <c r="H1220">
        <f t="shared" si="117"/>
        <v>0</v>
      </c>
      <c r="I1220" t="str">
        <f t="shared" si="115"/>
        <v>On Time</v>
      </c>
      <c r="J1220" cm="1">
        <f t="array" ref="J1220">_xlfn.IFS(H1220&lt;30,0,H1220&lt;60,1,H1220&lt;90,2,H1220&lt;120,3)</f>
        <v>0</v>
      </c>
      <c r="M1220" t="str">
        <f t="shared" si="116"/>
        <v>Low</v>
      </c>
      <c r="N1220" t="str">
        <f t="shared" si="119"/>
        <v>Dec</v>
      </c>
      <c r="O1220">
        <f t="shared" si="120"/>
        <v>2025</v>
      </c>
    </row>
    <row r="1221" spans="1:15" x14ac:dyDescent="0.3">
      <c r="A1221">
        <v>203308</v>
      </c>
      <c r="B1221" t="s">
        <v>116</v>
      </c>
      <c r="C1221" s="2">
        <v>46010</v>
      </c>
      <c r="D1221" s="2">
        <f t="shared" si="118"/>
        <v>46040</v>
      </c>
      <c r="E1221" s="1">
        <f>D1221+75</f>
        <v>46115</v>
      </c>
      <c r="F1221">
        <v>3294</v>
      </c>
      <c r="G1221">
        <v>30</v>
      </c>
      <c r="H1221">
        <f t="shared" si="117"/>
        <v>0</v>
      </c>
      <c r="I1221" t="str">
        <f t="shared" si="115"/>
        <v>On Time</v>
      </c>
      <c r="J1221" cm="1">
        <f t="array" ref="J1221">_xlfn.IFS(H1221&lt;30,0,H1221&lt;60,1,H1221&lt;90,2,H1221&lt;120,3)</f>
        <v>0</v>
      </c>
      <c r="M1221" t="str">
        <f t="shared" si="116"/>
        <v>Low</v>
      </c>
      <c r="N1221" t="str">
        <f t="shared" si="119"/>
        <v>Dec</v>
      </c>
      <c r="O1221">
        <f t="shared" si="120"/>
        <v>2025</v>
      </c>
    </row>
    <row r="1222" spans="1:15" x14ac:dyDescent="0.3">
      <c r="A1222">
        <v>203309</v>
      </c>
      <c r="B1222" t="s">
        <v>117</v>
      </c>
      <c r="C1222" s="2">
        <v>46010</v>
      </c>
      <c r="D1222" s="2">
        <f t="shared" si="118"/>
        <v>46040</v>
      </c>
      <c r="E1222" s="1">
        <f>D1222+5</f>
        <v>46045</v>
      </c>
      <c r="F1222">
        <v>442</v>
      </c>
      <c r="G1222">
        <v>30</v>
      </c>
      <c r="H1222">
        <f t="shared" si="117"/>
        <v>0</v>
      </c>
      <c r="I1222" t="str">
        <f t="shared" si="115"/>
        <v>On Time</v>
      </c>
      <c r="J1222" cm="1">
        <f t="array" ref="J1222">_xlfn.IFS(H1222&lt;30,0,H1222&lt;60,1,H1222&lt;90,2,H1222&lt;120,3)</f>
        <v>0</v>
      </c>
      <c r="M1222" t="str">
        <f t="shared" si="116"/>
        <v>Low</v>
      </c>
      <c r="N1222" t="str">
        <f t="shared" si="119"/>
        <v>Dec</v>
      </c>
      <c r="O1222">
        <f t="shared" si="120"/>
        <v>2025</v>
      </c>
    </row>
    <row r="1223" spans="1:15" x14ac:dyDescent="0.3">
      <c r="A1223">
        <v>203310</v>
      </c>
      <c r="B1223" t="s">
        <v>118</v>
      </c>
      <c r="C1223" s="2">
        <v>46010</v>
      </c>
      <c r="D1223" s="2">
        <f t="shared" si="118"/>
        <v>46040</v>
      </c>
      <c r="E1223" s="1">
        <f>D1223</f>
        <v>46040</v>
      </c>
      <c r="F1223">
        <v>1150</v>
      </c>
      <c r="G1223">
        <v>30</v>
      </c>
      <c r="H1223">
        <f t="shared" si="117"/>
        <v>0</v>
      </c>
      <c r="I1223" t="str">
        <f t="shared" si="115"/>
        <v>On Time</v>
      </c>
      <c r="J1223" cm="1">
        <f t="array" ref="J1223">_xlfn.IFS(H1223&lt;30,0,H1223&lt;60,1,H1223&lt;90,2,H1223&lt;120,3)</f>
        <v>0</v>
      </c>
      <c r="M1223" t="str">
        <f t="shared" si="116"/>
        <v>Low</v>
      </c>
      <c r="N1223" t="str">
        <f t="shared" si="119"/>
        <v>Dec</v>
      </c>
      <c r="O1223">
        <f t="shared" si="120"/>
        <v>2025</v>
      </c>
    </row>
    <row r="1224" spans="1:15" x14ac:dyDescent="0.3">
      <c r="A1224">
        <v>203311</v>
      </c>
      <c r="B1224" t="s">
        <v>119</v>
      </c>
      <c r="C1224" s="2">
        <v>46010</v>
      </c>
      <c r="D1224" s="2">
        <f t="shared" si="118"/>
        <v>46040</v>
      </c>
      <c r="E1224" s="1">
        <f>D1224-1</f>
        <v>46039</v>
      </c>
      <c r="F1224">
        <v>3653</v>
      </c>
      <c r="G1224">
        <v>30</v>
      </c>
      <c r="H1224">
        <f t="shared" si="117"/>
        <v>0</v>
      </c>
      <c r="I1224" t="str">
        <f t="shared" si="115"/>
        <v>On Time</v>
      </c>
      <c r="J1224" cm="1">
        <f t="array" ref="J1224">_xlfn.IFS(H1224&lt;30,0,H1224&lt;60,1,H1224&lt;90,2,H1224&lt;120,3)</f>
        <v>0</v>
      </c>
      <c r="M1224" t="str">
        <f t="shared" si="116"/>
        <v>Low</v>
      </c>
      <c r="N1224" t="str">
        <f t="shared" si="119"/>
        <v>Dec</v>
      </c>
      <c r="O1224">
        <f t="shared" si="120"/>
        <v>2025</v>
      </c>
    </row>
    <row r="1225" spans="1:15" x14ac:dyDescent="0.3">
      <c r="A1225">
        <v>203312</v>
      </c>
      <c r="B1225" t="s">
        <v>100</v>
      </c>
      <c r="C1225" s="2">
        <v>46010</v>
      </c>
      <c r="D1225" s="2">
        <f t="shared" si="118"/>
        <v>46040</v>
      </c>
      <c r="E1225" s="1">
        <f>D1225+3</f>
        <v>46043</v>
      </c>
      <c r="F1225">
        <v>3247</v>
      </c>
      <c r="G1225">
        <v>30</v>
      </c>
      <c r="H1225">
        <f t="shared" si="117"/>
        <v>0</v>
      </c>
      <c r="I1225" t="str">
        <f t="shared" si="115"/>
        <v>On Time</v>
      </c>
      <c r="J1225" cm="1">
        <f t="array" ref="J1225">_xlfn.IFS(H1225&lt;30,0,H1225&lt;60,1,H1225&lt;90,2,H1225&lt;120,3)</f>
        <v>0</v>
      </c>
      <c r="M1225" t="str">
        <f t="shared" si="116"/>
        <v>Low</v>
      </c>
      <c r="N1225" t="str">
        <f t="shared" si="119"/>
        <v>Dec</v>
      </c>
      <c r="O1225">
        <f t="shared" si="120"/>
        <v>2025</v>
      </c>
    </row>
    <row r="1226" spans="1:15" x14ac:dyDescent="0.3">
      <c r="A1226">
        <v>203313</v>
      </c>
      <c r="B1226" t="s">
        <v>101</v>
      </c>
      <c r="C1226" s="2">
        <v>46010</v>
      </c>
      <c r="D1226" s="2">
        <f t="shared" si="118"/>
        <v>46040</v>
      </c>
      <c r="E1226" s="1">
        <f>D1226+1</f>
        <v>46041</v>
      </c>
      <c r="F1226">
        <v>3810</v>
      </c>
      <c r="G1226">
        <v>30</v>
      </c>
      <c r="H1226">
        <f t="shared" si="117"/>
        <v>0</v>
      </c>
      <c r="I1226" t="str">
        <f t="shared" si="115"/>
        <v>On Time</v>
      </c>
      <c r="J1226" cm="1">
        <f t="array" ref="J1226">_xlfn.IFS(H1226&lt;30,0,H1226&lt;60,1,H1226&lt;90,2,H1226&lt;120,3)</f>
        <v>0</v>
      </c>
      <c r="M1226" t="str">
        <f t="shared" si="116"/>
        <v>Low</v>
      </c>
      <c r="N1226" t="str">
        <f t="shared" si="119"/>
        <v>Dec</v>
      </c>
      <c r="O1226">
        <f t="shared" si="120"/>
        <v>2025</v>
      </c>
    </row>
    <row r="1227" spans="1:15" x14ac:dyDescent="0.3">
      <c r="A1227">
        <v>203314</v>
      </c>
      <c r="B1227" t="s">
        <v>102</v>
      </c>
      <c r="C1227" s="2">
        <v>46010</v>
      </c>
      <c r="D1227" s="2">
        <f t="shared" si="118"/>
        <v>46040</v>
      </c>
      <c r="E1227" s="1">
        <f>D1227-1</f>
        <v>46039</v>
      </c>
      <c r="F1227">
        <v>1533</v>
      </c>
      <c r="G1227">
        <v>30</v>
      </c>
      <c r="H1227">
        <f t="shared" si="117"/>
        <v>0</v>
      </c>
      <c r="I1227" t="str">
        <f t="shared" si="115"/>
        <v>On Time</v>
      </c>
      <c r="J1227" cm="1">
        <f t="array" ref="J1227">_xlfn.IFS(H1227&lt;30,0,H1227&lt;60,1,H1227&lt;90,2,H1227&lt;120,3)</f>
        <v>0</v>
      </c>
      <c r="M1227" t="str">
        <f t="shared" si="116"/>
        <v>Low</v>
      </c>
      <c r="N1227" t="str">
        <f t="shared" si="119"/>
        <v>Dec</v>
      </c>
      <c r="O1227">
        <f t="shared" si="120"/>
        <v>2025</v>
      </c>
    </row>
    <row r="1228" spans="1:15" x14ac:dyDescent="0.3">
      <c r="A1228">
        <v>203315</v>
      </c>
      <c r="B1228" t="s">
        <v>103</v>
      </c>
      <c r="C1228" s="2">
        <v>46010</v>
      </c>
      <c r="D1228" s="2">
        <f t="shared" si="118"/>
        <v>46040</v>
      </c>
      <c r="E1228" s="1">
        <f>D1228</f>
        <v>46040</v>
      </c>
      <c r="F1228">
        <v>2136</v>
      </c>
      <c r="G1228">
        <v>30</v>
      </c>
      <c r="H1228">
        <f t="shared" si="117"/>
        <v>0</v>
      </c>
      <c r="I1228" t="str">
        <f t="shared" si="115"/>
        <v>On Time</v>
      </c>
      <c r="J1228" cm="1">
        <f t="array" ref="J1228">_xlfn.IFS(H1228&lt;30,0,H1228&lt;60,1,H1228&lt;90,2,H1228&lt;120,3)</f>
        <v>0</v>
      </c>
      <c r="M1228" t="str">
        <f t="shared" si="116"/>
        <v>Low</v>
      </c>
      <c r="N1228" t="str">
        <f t="shared" si="119"/>
        <v>Dec</v>
      </c>
      <c r="O1228">
        <f t="shared" si="120"/>
        <v>2025</v>
      </c>
    </row>
    <row r="1229" spans="1:15" x14ac:dyDescent="0.3">
      <c r="A1229">
        <v>203316</v>
      </c>
      <c r="B1229" t="s">
        <v>104</v>
      </c>
      <c r="C1229" s="2">
        <v>46010</v>
      </c>
      <c r="D1229" s="2">
        <f t="shared" si="118"/>
        <v>46040</v>
      </c>
      <c r="E1229" s="1">
        <f>D1229-5</f>
        <v>46035</v>
      </c>
      <c r="F1229">
        <v>4188</v>
      </c>
      <c r="G1229">
        <v>30</v>
      </c>
      <c r="H1229">
        <f t="shared" si="117"/>
        <v>0</v>
      </c>
      <c r="I1229" t="str">
        <f t="shared" si="115"/>
        <v>On Time</v>
      </c>
      <c r="J1229" cm="1">
        <f t="array" ref="J1229">_xlfn.IFS(H1229&lt;30,0,H1229&lt;60,1,H1229&lt;90,2,H1229&lt;120,3)</f>
        <v>0</v>
      </c>
      <c r="M1229" t="str">
        <f t="shared" si="116"/>
        <v>Low</v>
      </c>
      <c r="N1229" t="str">
        <f t="shared" si="119"/>
        <v>Dec</v>
      </c>
      <c r="O1229">
        <f t="shared" si="120"/>
        <v>2025</v>
      </c>
    </row>
    <row r="1230" spans="1:15" x14ac:dyDescent="0.3">
      <c r="A1230">
        <v>203317</v>
      </c>
      <c r="B1230" t="s">
        <v>105</v>
      </c>
      <c r="C1230" s="2">
        <v>46010</v>
      </c>
      <c r="D1230" s="2">
        <f t="shared" si="118"/>
        <v>46040</v>
      </c>
      <c r="E1230" s="1">
        <f>D1230+35</f>
        <v>46075</v>
      </c>
      <c r="F1230">
        <v>2917</v>
      </c>
      <c r="G1230">
        <v>30</v>
      </c>
      <c r="H1230">
        <f t="shared" si="117"/>
        <v>0</v>
      </c>
      <c r="I1230" t="str">
        <f t="shared" si="115"/>
        <v>On Time</v>
      </c>
      <c r="J1230" cm="1">
        <f t="array" ref="J1230">_xlfn.IFS(H1230&lt;30,0,H1230&lt;60,1,H1230&lt;90,2,H1230&lt;120,3)</f>
        <v>0</v>
      </c>
      <c r="M1230" t="str">
        <f t="shared" si="116"/>
        <v>Low</v>
      </c>
      <c r="N1230" t="str">
        <f t="shared" si="119"/>
        <v>Dec</v>
      </c>
      <c r="O1230">
        <f t="shared" si="120"/>
        <v>2025</v>
      </c>
    </row>
    <row r="1231" spans="1:15" x14ac:dyDescent="0.3">
      <c r="A1231">
        <v>203318</v>
      </c>
      <c r="B1231" t="s">
        <v>106</v>
      </c>
      <c r="C1231" s="2">
        <v>46010</v>
      </c>
      <c r="D1231" s="2">
        <f t="shared" si="118"/>
        <v>46040</v>
      </c>
      <c r="E1231" s="1">
        <f>D1231+75</f>
        <v>46115</v>
      </c>
      <c r="F1231">
        <v>672</v>
      </c>
      <c r="G1231">
        <v>30</v>
      </c>
      <c r="H1231">
        <f t="shared" si="117"/>
        <v>0</v>
      </c>
      <c r="I1231" t="str">
        <f t="shared" si="115"/>
        <v>On Time</v>
      </c>
      <c r="J1231" cm="1">
        <f t="array" ref="J1231">_xlfn.IFS(H1231&lt;30,0,H1231&lt;60,1,H1231&lt;90,2,H1231&lt;120,3)</f>
        <v>0</v>
      </c>
      <c r="M1231" t="str">
        <f t="shared" si="116"/>
        <v>Low</v>
      </c>
      <c r="N1231" t="str">
        <f t="shared" si="119"/>
        <v>Dec</v>
      </c>
      <c r="O1231">
        <f t="shared" si="120"/>
        <v>2025</v>
      </c>
    </row>
    <row r="1232" spans="1:15" x14ac:dyDescent="0.3">
      <c r="A1232">
        <v>203319</v>
      </c>
      <c r="B1232" t="s">
        <v>107</v>
      </c>
      <c r="C1232" s="2">
        <v>46010</v>
      </c>
      <c r="D1232" s="2">
        <f t="shared" si="118"/>
        <v>46040</v>
      </c>
      <c r="E1232" s="1">
        <f>D1232+5</f>
        <v>46045</v>
      </c>
      <c r="F1232">
        <v>3447</v>
      </c>
      <c r="G1232">
        <v>30</v>
      </c>
      <c r="H1232">
        <f t="shared" si="117"/>
        <v>0</v>
      </c>
      <c r="I1232" t="str">
        <f t="shared" si="115"/>
        <v>On Time</v>
      </c>
      <c r="J1232" cm="1">
        <f t="array" ref="J1232">_xlfn.IFS(H1232&lt;30,0,H1232&lt;60,1,H1232&lt;90,2,H1232&lt;120,3)</f>
        <v>0</v>
      </c>
      <c r="M1232" t="str">
        <f t="shared" si="116"/>
        <v>Low</v>
      </c>
      <c r="N1232" t="str">
        <f t="shared" si="119"/>
        <v>Dec</v>
      </c>
      <c r="O1232">
        <f t="shared" si="120"/>
        <v>2025</v>
      </c>
    </row>
    <row r="1233" spans="1:15" x14ac:dyDescent="0.3">
      <c r="A1233">
        <v>203320</v>
      </c>
      <c r="B1233" t="s">
        <v>108</v>
      </c>
      <c r="C1233" s="2">
        <v>46010</v>
      </c>
      <c r="D1233" s="2">
        <f t="shared" si="118"/>
        <v>46040</v>
      </c>
      <c r="E1233" s="1">
        <f>D1233</f>
        <v>46040</v>
      </c>
      <c r="F1233">
        <v>2363</v>
      </c>
      <c r="G1233">
        <v>30</v>
      </c>
      <c r="H1233">
        <f t="shared" si="117"/>
        <v>0</v>
      </c>
      <c r="I1233" t="str">
        <f t="shared" si="115"/>
        <v>On Time</v>
      </c>
      <c r="J1233" cm="1">
        <f t="array" ref="J1233">_xlfn.IFS(H1233&lt;30,0,H1233&lt;60,1,H1233&lt;90,2,H1233&lt;120,3)</f>
        <v>0</v>
      </c>
      <c r="M1233" t="str">
        <f t="shared" si="116"/>
        <v>Low</v>
      </c>
      <c r="N1233" t="str">
        <f t="shared" si="119"/>
        <v>Dec</v>
      </c>
      <c r="O1233">
        <f t="shared" si="120"/>
        <v>2025</v>
      </c>
    </row>
    <row r="1234" spans="1:15" x14ac:dyDescent="0.3">
      <c r="A1234">
        <v>203321</v>
      </c>
      <c r="B1234" t="s">
        <v>85</v>
      </c>
      <c r="C1234" s="2">
        <v>46010</v>
      </c>
      <c r="D1234" s="2">
        <f t="shared" si="118"/>
        <v>46070</v>
      </c>
      <c r="E1234" s="1">
        <f>D1234-1</f>
        <v>46069</v>
      </c>
      <c r="F1234">
        <v>896</v>
      </c>
      <c r="G1234">
        <v>60</v>
      </c>
      <c r="H1234">
        <f t="shared" si="117"/>
        <v>0</v>
      </c>
      <c r="I1234" t="str">
        <f t="shared" si="115"/>
        <v>On Time</v>
      </c>
      <c r="J1234" cm="1">
        <f t="array" ref="J1234">_xlfn.IFS(H1234&lt;30,0,H1234&lt;60,1,H1234&lt;90,2,H1234&lt;120,3)</f>
        <v>0</v>
      </c>
      <c r="M1234" t="str">
        <f t="shared" si="116"/>
        <v>Low</v>
      </c>
      <c r="N1234" t="str">
        <f t="shared" si="119"/>
        <v>Dec</v>
      </c>
      <c r="O1234">
        <f t="shared" si="120"/>
        <v>2025</v>
      </c>
    </row>
    <row r="1235" spans="1:15" x14ac:dyDescent="0.3">
      <c r="A1235">
        <v>203322</v>
      </c>
      <c r="B1235" t="s">
        <v>86</v>
      </c>
      <c r="C1235" s="2">
        <v>46010</v>
      </c>
      <c r="D1235" s="2">
        <f t="shared" si="118"/>
        <v>46040</v>
      </c>
      <c r="E1235" s="1">
        <f>D1235</f>
        <v>46040</v>
      </c>
      <c r="F1235">
        <v>4480</v>
      </c>
      <c r="G1235">
        <v>30</v>
      </c>
      <c r="H1235">
        <f t="shared" si="117"/>
        <v>0</v>
      </c>
      <c r="I1235" t="str">
        <f t="shared" si="115"/>
        <v>On Time</v>
      </c>
      <c r="J1235" cm="1">
        <f t="array" ref="J1235">_xlfn.IFS(H1235&lt;30,0,H1235&lt;60,1,H1235&lt;90,2,H1235&lt;120,3)</f>
        <v>0</v>
      </c>
      <c r="M1235" t="str">
        <f t="shared" si="116"/>
        <v>Low</v>
      </c>
      <c r="N1235" t="str">
        <f t="shared" si="119"/>
        <v>Dec</v>
      </c>
      <c r="O1235">
        <f t="shared" si="120"/>
        <v>2025</v>
      </c>
    </row>
    <row r="1236" spans="1:15" x14ac:dyDescent="0.3">
      <c r="A1236">
        <v>203323</v>
      </c>
      <c r="B1236" t="s">
        <v>87</v>
      </c>
      <c r="C1236" s="2">
        <v>46010</v>
      </c>
      <c r="D1236" s="2">
        <f t="shared" si="118"/>
        <v>46040</v>
      </c>
      <c r="E1236" s="1">
        <f>D1236+32</f>
        <v>46072</v>
      </c>
      <c r="F1236">
        <v>3886</v>
      </c>
      <c r="G1236">
        <v>30</v>
      </c>
      <c r="H1236">
        <f t="shared" si="117"/>
        <v>0</v>
      </c>
      <c r="I1236" t="str">
        <f t="shared" si="115"/>
        <v>On Time</v>
      </c>
      <c r="J1236" cm="1">
        <f t="array" ref="J1236">_xlfn.IFS(H1236&lt;30,0,H1236&lt;60,1,H1236&lt;90,2,H1236&lt;120,3)</f>
        <v>0</v>
      </c>
      <c r="M1236" t="str">
        <f t="shared" si="116"/>
        <v>Low</v>
      </c>
      <c r="N1236" t="str">
        <f t="shared" si="119"/>
        <v>Dec</v>
      </c>
      <c r="O1236">
        <f t="shared" si="120"/>
        <v>2025</v>
      </c>
    </row>
    <row r="1237" spans="1:15" x14ac:dyDescent="0.3">
      <c r="A1237">
        <v>203324</v>
      </c>
      <c r="B1237" t="s">
        <v>88</v>
      </c>
      <c r="C1237" s="2">
        <v>46010</v>
      </c>
      <c r="D1237" s="2">
        <f t="shared" si="118"/>
        <v>46040</v>
      </c>
      <c r="E1237" s="1">
        <f>D1237+15</f>
        <v>46055</v>
      </c>
      <c r="F1237">
        <v>833</v>
      </c>
      <c r="G1237">
        <v>30</v>
      </c>
      <c r="H1237">
        <f t="shared" si="117"/>
        <v>0</v>
      </c>
      <c r="I1237" t="str">
        <f t="shared" si="115"/>
        <v>On Time</v>
      </c>
      <c r="J1237" cm="1">
        <f t="array" ref="J1237">_xlfn.IFS(H1237&lt;30,0,H1237&lt;60,1,H1237&lt;90,2,H1237&lt;120,3)</f>
        <v>0</v>
      </c>
      <c r="M1237" t="str">
        <f t="shared" si="116"/>
        <v>Low</v>
      </c>
      <c r="N1237" t="str">
        <f t="shared" si="119"/>
        <v>Dec</v>
      </c>
      <c r="O1237">
        <f t="shared" si="120"/>
        <v>2025</v>
      </c>
    </row>
    <row r="1238" spans="1:15" x14ac:dyDescent="0.3">
      <c r="A1238">
        <v>203325</v>
      </c>
      <c r="B1238" t="s">
        <v>89</v>
      </c>
      <c r="C1238" s="2">
        <v>46010</v>
      </c>
      <c r="D1238" s="2">
        <f t="shared" si="118"/>
        <v>46040</v>
      </c>
      <c r="E1238" s="1">
        <f>D1238</f>
        <v>46040</v>
      </c>
      <c r="F1238">
        <v>1867</v>
      </c>
      <c r="G1238">
        <v>30</v>
      </c>
      <c r="H1238">
        <f t="shared" si="117"/>
        <v>0</v>
      </c>
      <c r="I1238" t="str">
        <f t="shared" ref="I1238:I1301" si="121">IF(H1238=0,"On Time",IF(H1238&lt;=15,"Paid Late","Seriously Late"))</f>
        <v>On Time</v>
      </c>
      <c r="J1238" cm="1">
        <f t="array" ref="J1238">_xlfn.IFS(H1238&lt;30,0,H1238&lt;60,1,H1238&lt;90,2,H1238&lt;120,3)</f>
        <v>0</v>
      </c>
      <c r="M1238" t="str">
        <f t="shared" ref="M1238:M1301" si="122">IF(H1238&gt;30,"High",IF(H1238&gt;10,"Medium","Low"))</f>
        <v>Low</v>
      </c>
      <c r="N1238" t="str">
        <f t="shared" si="119"/>
        <v>Dec</v>
      </c>
      <c r="O1238">
        <f t="shared" si="120"/>
        <v>2025</v>
      </c>
    </row>
    <row r="1239" spans="1:15" x14ac:dyDescent="0.3">
      <c r="A1239">
        <v>203326</v>
      </c>
      <c r="B1239" t="s">
        <v>90</v>
      </c>
      <c r="C1239" s="2">
        <v>46010</v>
      </c>
      <c r="D1239" s="2">
        <f t="shared" si="118"/>
        <v>46040</v>
      </c>
      <c r="E1239" s="1">
        <f>D1239-2</f>
        <v>46038</v>
      </c>
      <c r="F1239">
        <v>2132</v>
      </c>
      <c r="G1239">
        <v>30</v>
      </c>
      <c r="H1239">
        <f t="shared" si="117"/>
        <v>0</v>
      </c>
      <c r="I1239" t="str">
        <f t="shared" si="121"/>
        <v>On Time</v>
      </c>
      <c r="J1239" cm="1">
        <f t="array" ref="J1239">_xlfn.IFS(H1239&lt;30,0,H1239&lt;60,1,H1239&lt;90,2,H1239&lt;120,3)</f>
        <v>0</v>
      </c>
      <c r="M1239" t="str">
        <f t="shared" si="122"/>
        <v>Low</v>
      </c>
      <c r="N1239" t="str">
        <f t="shared" si="119"/>
        <v>Dec</v>
      </c>
      <c r="O1239">
        <f t="shared" si="120"/>
        <v>2025</v>
      </c>
    </row>
    <row r="1240" spans="1:15" x14ac:dyDescent="0.3">
      <c r="A1240">
        <v>203327</v>
      </c>
      <c r="B1240" t="s">
        <v>91</v>
      </c>
      <c r="C1240" s="2">
        <v>46010</v>
      </c>
      <c r="D1240" s="2">
        <f t="shared" si="118"/>
        <v>46040</v>
      </c>
      <c r="E1240" s="1">
        <f>D1240</f>
        <v>46040</v>
      </c>
      <c r="F1240">
        <v>16126</v>
      </c>
      <c r="G1240">
        <v>30</v>
      </c>
      <c r="H1240">
        <f t="shared" si="117"/>
        <v>0</v>
      </c>
      <c r="I1240" t="str">
        <f t="shared" si="121"/>
        <v>On Time</v>
      </c>
      <c r="J1240" cm="1">
        <f t="array" ref="J1240">_xlfn.IFS(H1240&lt;30,0,H1240&lt;60,1,H1240&lt;90,2,H1240&lt;120,3)</f>
        <v>0</v>
      </c>
      <c r="M1240" t="str">
        <f t="shared" si="122"/>
        <v>Low</v>
      </c>
      <c r="N1240" t="str">
        <f t="shared" si="119"/>
        <v>Dec</v>
      </c>
      <c r="O1240">
        <f t="shared" si="120"/>
        <v>2025</v>
      </c>
    </row>
    <row r="1241" spans="1:15" x14ac:dyDescent="0.3">
      <c r="A1241">
        <v>203328</v>
      </c>
      <c r="B1241" t="s">
        <v>92</v>
      </c>
      <c r="C1241" s="2">
        <v>46010</v>
      </c>
      <c r="D1241" s="2">
        <f t="shared" si="118"/>
        <v>46040</v>
      </c>
      <c r="E1241" s="1">
        <f>D1241+2</f>
        <v>46042</v>
      </c>
      <c r="F1241">
        <v>2715</v>
      </c>
      <c r="G1241">
        <v>30</v>
      </c>
      <c r="H1241">
        <f t="shared" si="117"/>
        <v>0</v>
      </c>
      <c r="I1241" t="str">
        <f t="shared" si="121"/>
        <v>On Time</v>
      </c>
      <c r="J1241" cm="1">
        <f t="array" ref="J1241">_xlfn.IFS(H1241&lt;30,0,H1241&lt;60,1,H1241&lt;90,2,H1241&lt;120,3)</f>
        <v>0</v>
      </c>
      <c r="M1241" t="str">
        <f t="shared" si="122"/>
        <v>Low</v>
      </c>
      <c r="N1241" t="str">
        <f t="shared" si="119"/>
        <v>Dec</v>
      </c>
      <c r="O1241">
        <f t="shared" si="120"/>
        <v>2025</v>
      </c>
    </row>
    <row r="1242" spans="1:15" x14ac:dyDescent="0.3">
      <c r="A1242">
        <v>203329</v>
      </c>
      <c r="B1242" t="s">
        <v>93</v>
      </c>
      <c r="C1242" s="2">
        <v>46010</v>
      </c>
      <c r="D1242" s="2">
        <f t="shared" si="118"/>
        <v>46040</v>
      </c>
      <c r="E1242" s="1">
        <f>D1242+2</f>
        <v>46042</v>
      </c>
      <c r="F1242">
        <v>3205</v>
      </c>
      <c r="G1242">
        <v>30</v>
      </c>
      <c r="H1242">
        <f t="shared" si="117"/>
        <v>0</v>
      </c>
      <c r="I1242" t="str">
        <f t="shared" si="121"/>
        <v>On Time</v>
      </c>
      <c r="J1242" cm="1">
        <f t="array" ref="J1242">_xlfn.IFS(H1242&lt;30,0,H1242&lt;60,1,H1242&lt;90,2,H1242&lt;120,3)</f>
        <v>0</v>
      </c>
      <c r="M1242" t="str">
        <f t="shared" si="122"/>
        <v>Low</v>
      </c>
      <c r="N1242" t="str">
        <f t="shared" si="119"/>
        <v>Dec</v>
      </c>
      <c r="O1242">
        <f t="shared" si="120"/>
        <v>2025</v>
      </c>
    </row>
    <row r="1243" spans="1:15" x14ac:dyDescent="0.3">
      <c r="A1243">
        <v>203330</v>
      </c>
      <c r="B1243" t="s">
        <v>94</v>
      </c>
      <c r="C1243" s="2">
        <v>46010</v>
      </c>
      <c r="D1243" s="2">
        <f t="shared" si="118"/>
        <v>46040</v>
      </c>
      <c r="E1243" s="1">
        <f>D1243+2</f>
        <v>46042</v>
      </c>
      <c r="F1243">
        <v>1437</v>
      </c>
      <c r="G1243">
        <v>30</v>
      </c>
      <c r="H1243">
        <f t="shared" si="117"/>
        <v>0</v>
      </c>
      <c r="I1243" t="str">
        <f t="shared" si="121"/>
        <v>On Time</v>
      </c>
      <c r="J1243" cm="1">
        <f t="array" ref="J1243">_xlfn.IFS(H1243&lt;30,0,H1243&lt;60,1,H1243&lt;90,2,H1243&lt;120,3)</f>
        <v>0</v>
      </c>
      <c r="M1243" t="str">
        <f t="shared" si="122"/>
        <v>Low</v>
      </c>
      <c r="N1243" t="str">
        <f t="shared" si="119"/>
        <v>Dec</v>
      </c>
      <c r="O1243">
        <f t="shared" si="120"/>
        <v>2025</v>
      </c>
    </row>
    <row r="1244" spans="1:15" x14ac:dyDescent="0.3">
      <c r="A1244">
        <v>203331</v>
      </c>
      <c r="B1244" t="s">
        <v>95</v>
      </c>
      <c r="C1244" s="2">
        <v>46010</v>
      </c>
      <c r="D1244" s="2">
        <f t="shared" si="118"/>
        <v>46055</v>
      </c>
      <c r="E1244" s="1">
        <f>D1244</f>
        <v>46055</v>
      </c>
      <c r="F1244">
        <v>1909</v>
      </c>
      <c r="G1244">
        <v>45</v>
      </c>
      <c r="H1244">
        <f t="shared" si="117"/>
        <v>0</v>
      </c>
      <c r="I1244" t="str">
        <f t="shared" si="121"/>
        <v>On Time</v>
      </c>
      <c r="J1244" cm="1">
        <f t="array" ref="J1244">_xlfn.IFS(H1244&lt;30,0,H1244&lt;60,1,H1244&lt;90,2,H1244&lt;120,3)</f>
        <v>0</v>
      </c>
      <c r="M1244" t="str">
        <f t="shared" si="122"/>
        <v>Low</v>
      </c>
      <c r="N1244" t="str">
        <f t="shared" si="119"/>
        <v>Dec</v>
      </c>
      <c r="O1244">
        <f t="shared" si="120"/>
        <v>2025</v>
      </c>
    </row>
    <row r="1245" spans="1:15" x14ac:dyDescent="0.3">
      <c r="A1245">
        <v>203332</v>
      </c>
      <c r="B1245" t="s">
        <v>68</v>
      </c>
      <c r="C1245" s="2">
        <v>46010</v>
      </c>
      <c r="D1245" s="2">
        <f t="shared" si="118"/>
        <v>46040</v>
      </c>
      <c r="E1245" s="1">
        <f>D1245+20</f>
        <v>46060</v>
      </c>
      <c r="F1245">
        <v>17286</v>
      </c>
      <c r="G1245">
        <v>30</v>
      </c>
      <c r="H1245">
        <f t="shared" si="117"/>
        <v>0</v>
      </c>
      <c r="I1245" t="str">
        <f t="shared" si="121"/>
        <v>On Time</v>
      </c>
      <c r="J1245" cm="1">
        <f t="array" ref="J1245">_xlfn.IFS(H1245&lt;30,0,H1245&lt;60,1,H1245&lt;90,2,H1245&lt;120,3)</f>
        <v>0</v>
      </c>
      <c r="M1245" t="str">
        <f t="shared" si="122"/>
        <v>Low</v>
      </c>
      <c r="N1245" t="str">
        <f t="shared" si="119"/>
        <v>Dec</v>
      </c>
      <c r="O1245">
        <f t="shared" si="120"/>
        <v>2025</v>
      </c>
    </row>
    <row r="1246" spans="1:15" x14ac:dyDescent="0.3">
      <c r="A1246">
        <v>203333</v>
      </c>
      <c r="B1246" t="s">
        <v>69</v>
      </c>
      <c r="C1246" s="2">
        <v>46010</v>
      </c>
      <c r="D1246" s="2">
        <f t="shared" si="118"/>
        <v>46040</v>
      </c>
      <c r="E1246" s="1">
        <f>D1246</f>
        <v>46040</v>
      </c>
      <c r="F1246">
        <v>3956</v>
      </c>
      <c r="G1246">
        <v>30</v>
      </c>
      <c r="H1246">
        <f t="shared" si="117"/>
        <v>0</v>
      </c>
      <c r="I1246" t="str">
        <f t="shared" si="121"/>
        <v>On Time</v>
      </c>
      <c r="J1246" cm="1">
        <f t="array" ref="J1246">_xlfn.IFS(H1246&lt;30,0,H1246&lt;60,1,H1246&lt;90,2,H1246&lt;120,3)</f>
        <v>0</v>
      </c>
      <c r="M1246" t="str">
        <f t="shared" si="122"/>
        <v>Low</v>
      </c>
      <c r="N1246" t="str">
        <f t="shared" si="119"/>
        <v>Dec</v>
      </c>
      <c r="O1246">
        <f t="shared" si="120"/>
        <v>2025</v>
      </c>
    </row>
    <row r="1247" spans="1:15" x14ac:dyDescent="0.3">
      <c r="A1247">
        <v>203334</v>
      </c>
      <c r="B1247" t="s">
        <v>70</v>
      </c>
      <c r="C1247" s="2">
        <v>46010</v>
      </c>
      <c r="D1247" s="2">
        <f t="shared" si="118"/>
        <v>46040</v>
      </c>
      <c r="E1247" s="1">
        <f>D1247+1</f>
        <v>46041</v>
      </c>
      <c r="F1247">
        <v>2041</v>
      </c>
      <c r="G1247">
        <v>30</v>
      </c>
      <c r="H1247">
        <f t="shared" si="117"/>
        <v>0</v>
      </c>
      <c r="I1247" t="str">
        <f t="shared" si="121"/>
        <v>On Time</v>
      </c>
      <c r="J1247" cm="1">
        <f t="array" ref="J1247">_xlfn.IFS(H1247&lt;30,0,H1247&lt;60,1,H1247&lt;90,2,H1247&lt;120,3)</f>
        <v>0</v>
      </c>
      <c r="M1247" t="str">
        <f t="shared" si="122"/>
        <v>Low</v>
      </c>
      <c r="N1247" t="str">
        <f t="shared" si="119"/>
        <v>Dec</v>
      </c>
      <c r="O1247">
        <f t="shared" si="120"/>
        <v>2025</v>
      </c>
    </row>
    <row r="1248" spans="1:15" x14ac:dyDescent="0.3">
      <c r="A1248">
        <v>203335</v>
      </c>
      <c r="B1248" t="s">
        <v>71</v>
      </c>
      <c r="C1248" s="2">
        <v>46010</v>
      </c>
      <c r="D1248" s="2">
        <f t="shared" si="118"/>
        <v>46040</v>
      </c>
      <c r="E1248" s="1">
        <f>D1248</f>
        <v>46040</v>
      </c>
      <c r="F1248">
        <v>3219</v>
      </c>
      <c r="G1248">
        <v>30</v>
      </c>
      <c r="H1248">
        <f t="shared" si="117"/>
        <v>0</v>
      </c>
      <c r="I1248" t="str">
        <f t="shared" si="121"/>
        <v>On Time</v>
      </c>
      <c r="J1248" cm="1">
        <f t="array" ref="J1248">_xlfn.IFS(H1248&lt;30,0,H1248&lt;60,1,H1248&lt;90,2,H1248&lt;120,3)</f>
        <v>0</v>
      </c>
      <c r="M1248" t="str">
        <f t="shared" si="122"/>
        <v>Low</v>
      </c>
      <c r="N1248" t="str">
        <f t="shared" si="119"/>
        <v>Dec</v>
      </c>
      <c r="O1248">
        <f t="shared" si="120"/>
        <v>2025</v>
      </c>
    </row>
    <row r="1249" spans="1:15" x14ac:dyDescent="0.3">
      <c r="A1249">
        <v>203336</v>
      </c>
      <c r="B1249" t="s">
        <v>72</v>
      </c>
      <c r="C1249" s="2">
        <v>46010</v>
      </c>
      <c r="D1249" s="2">
        <f t="shared" si="118"/>
        <v>46040</v>
      </c>
      <c r="E1249" s="1">
        <f>D1249</f>
        <v>46040</v>
      </c>
      <c r="F1249">
        <v>1715</v>
      </c>
      <c r="G1249">
        <v>30</v>
      </c>
      <c r="H1249">
        <f t="shared" si="117"/>
        <v>0</v>
      </c>
      <c r="I1249" t="str">
        <f t="shared" si="121"/>
        <v>On Time</v>
      </c>
      <c r="J1249" cm="1">
        <f t="array" ref="J1249">_xlfn.IFS(H1249&lt;30,0,H1249&lt;60,1,H1249&lt;90,2,H1249&lt;120,3)</f>
        <v>0</v>
      </c>
      <c r="M1249" t="str">
        <f t="shared" si="122"/>
        <v>Low</v>
      </c>
      <c r="N1249" t="str">
        <f t="shared" si="119"/>
        <v>Dec</v>
      </c>
      <c r="O1249">
        <f t="shared" si="120"/>
        <v>2025</v>
      </c>
    </row>
    <row r="1250" spans="1:15" x14ac:dyDescent="0.3">
      <c r="A1250">
        <v>203278</v>
      </c>
      <c r="B1250" t="s">
        <v>114</v>
      </c>
      <c r="C1250" s="2">
        <v>46009</v>
      </c>
      <c r="D1250" s="2">
        <f t="shared" si="118"/>
        <v>46039</v>
      </c>
      <c r="E1250" s="1">
        <f>D1250-1</f>
        <v>46038</v>
      </c>
      <c r="F1250">
        <v>3497</v>
      </c>
      <c r="G1250">
        <v>30</v>
      </c>
      <c r="H1250">
        <f t="shared" si="117"/>
        <v>0</v>
      </c>
      <c r="I1250" t="str">
        <f t="shared" si="121"/>
        <v>On Time</v>
      </c>
      <c r="J1250" cm="1">
        <f t="array" ref="J1250">_xlfn.IFS(H1250&lt;30,0,H1250&lt;60,1,H1250&lt;90,2,H1250&lt;120,3)</f>
        <v>0</v>
      </c>
      <c r="M1250" t="str">
        <f t="shared" si="122"/>
        <v>Low</v>
      </c>
      <c r="N1250" t="str">
        <f t="shared" si="119"/>
        <v>Dec</v>
      </c>
      <c r="O1250">
        <f t="shared" si="120"/>
        <v>2025</v>
      </c>
    </row>
    <row r="1251" spans="1:15" x14ac:dyDescent="0.3">
      <c r="A1251">
        <v>203279</v>
      </c>
      <c r="B1251" t="s">
        <v>115</v>
      </c>
      <c r="C1251" s="2">
        <v>46009</v>
      </c>
      <c r="D1251" s="2">
        <f t="shared" si="118"/>
        <v>46039</v>
      </c>
      <c r="E1251" s="1">
        <f>D1251</f>
        <v>46039</v>
      </c>
      <c r="F1251">
        <v>2374</v>
      </c>
      <c r="G1251">
        <v>30</v>
      </c>
      <c r="H1251">
        <f t="shared" si="117"/>
        <v>0</v>
      </c>
      <c r="I1251" t="str">
        <f t="shared" si="121"/>
        <v>On Time</v>
      </c>
      <c r="J1251" cm="1">
        <f t="array" ref="J1251">_xlfn.IFS(H1251&lt;30,0,H1251&lt;60,1,H1251&lt;90,2,H1251&lt;120,3)</f>
        <v>0</v>
      </c>
      <c r="M1251" t="str">
        <f t="shared" si="122"/>
        <v>Low</v>
      </c>
      <c r="N1251" t="str">
        <f t="shared" si="119"/>
        <v>Dec</v>
      </c>
      <c r="O1251">
        <f t="shared" si="120"/>
        <v>2025</v>
      </c>
    </row>
    <row r="1252" spans="1:15" x14ac:dyDescent="0.3">
      <c r="A1252">
        <v>203280</v>
      </c>
      <c r="B1252" t="s">
        <v>116</v>
      </c>
      <c r="C1252" s="2">
        <v>46009</v>
      </c>
      <c r="D1252" s="2">
        <f t="shared" si="118"/>
        <v>46039</v>
      </c>
      <c r="E1252" s="1">
        <f>D1252+32</f>
        <v>46071</v>
      </c>
      <c r="F1252">
        <v>2104</v>
      </c>
      <c r="G1252">
        <v>30</v>
      </c>
      <c r="H1252">
        <f t="shared" si="117"/>
        <v>0</v>
      </c>
      <c r="I1252" t="str">
        <f t="shared" si="121"/>
        <v>On Time</v>
      </c>
      <c r="J1252" cm="1">
        <f t="array" ref="J1252">_xlfn.IFS(H1252&lt;30,0,H1252&lt;60,1,H1252&lt;90,2,H1252&lt;120,3)</f>
        <v>0</v>
      </c>
      <c r="M1252" t="str">
        <f t="shared" si="122"/>
        <v>Low</v>
      </c>
      <c r="N1252" t="str">
        <f t="shared" si="119"/>
        <v>Dec</v>
      </c>
      <c r="O1252">
        <f t="shared" si="120"/>
        <v>2025</v>
      </c>
    </row>
    <row r="1253" spans="1:15" x14ac:dyDescent="0.3">
      <c r="A1253">
        <v>203281</v>
      </c>
      <c r="B1253" t="s">
        <v>117</v>
      </c>
      <c r="C1253" s="2">
        <v>46009</v>
      </c>
      <c r="D1253" s="2">
        <f t="shared" si="118"/>
        <v>46039</v>
      </c>
      <c r="E1253" s="1">
        <f>D1253+15</f>
        <v>46054</v>
      </c>
      <c r="F1253">
        <v>4085</v>
      </c>
      <c r="G1253">
        <v>30</v>
      </c>
      <c r="H1253">
        <f t="shared" si="117"/>
        <v>0</v>
      </c>
      <c r="I1253" t="str">
        <f t="shared" si="121"/>
        <v>On Time</v>
      </c>
      <c r="J1253" cm="1">
        <f t="array" ref="J1253">_xlfn.IFS(H1253&lt;30,0,H1253&lt;60,1,H1253&lt;90,2,H1253&lt;120,3)</f>
        <v>0</v>
      </c>
      <c r="M1253" t="str">
        <f t="shared" si="122"/>
        <v>Low</v>
      </c>
      <c r="N1253" t="str">
        <f t="shared" si="119"/>
        <v>Dec</v>
      </c>
      <c r="O1253">
        <f t="shared" si="120"/>
        <v>2025</v>
      </c>
    </row>
    <row r="1254" spans="1:15" x14ac:dyDescent="0.3">
      <c r="A1254">
        <v>203282</v>
      </c>
      <c r="B1254" t="s">
        <v>118</v>
      </c>
      <c r="C1254" s="2">
        <v>46009</v>
      </c>
      <c r="D1254" s="2">
        <f t="shared" si="118"/>
        <v>46039</v>
      </c>
      <c r="E1254" s="1">
        <f>D1254</f>
        <v>46039</v>
      </c>
      <c r="F1254">
        <v>1361</v>
      </c>
      <c r="G1254">
        <v>30</v>
      </c>
      <c r="H1254">
        <f t="shared" ref="H1254:H1317" si="123">MAX(0,P1219-D1254)</f>
        <v>0</v>
      </c>
      <c r="I1254" t="str">
        <f t="shared" si="121"/>
        <v>On Time</v>
      </c>
      <c r="J1254" cm="1">
        <f t="array" ref="J1254">_xlfn.IFS(H1254&lt;30,0,H1254&lt;60,1,H1254&lt;90,2,H1254&lt;120,3)</f>
        <v>0</v>
      </c>
      <c r="M1254" t="str">
        <f t="shared" si="122"/>
        <v>Low</v>
      </c>
      <c r="N1254" t="str">
        <f t="shared" si="119"/>
        <v>Dec</v>
      </c>
      <c r="O1254">
        <f t="shared" si="120"/>
        <v>2025</v>
      </c>
    </row>
    <row r="1255" spans="1:15" x14ac:dyDescent="0.3">
      <c r="A1255">
        <v>203283</v>
      </c>
      <c r="B1255" t="s">
        <v>119</v>
      </c>
      <c r="C1255" s="2">
        <v>46009</v>
      </c>
      <c r="D1255" s="2">
        <f t="shared" si="118"/>
        <v>46039</v>
      </c>
      <c r="E1255" s="1">
        <f>D1255-2</f>
        <v>46037</v>
      </c>
      <c r="F1255">
        <v>1677</v>
      </c>
      <c r="G1255">
        <v>30</v>
      </c>
      <c r="H1255">
        <f t="shared" si="123"/>
        <v>0</v>
      </c>
      <c r="I1255" t="str">
        <f t="shared" si="121"/>
        <v>On Time</v>
      </c>
      <c r="J1255" cm="1">
        <f t="array" ref="J1255">_xlfn.IFS(H1255&lt;30,0,H1255&lt;60,1,H1255&lt;90,2,H1255&lt;120,3)</f>
        <v>0</v>
      </c>
      <c r="M1255" t="str">
        <f t="shared" si="122"/>
        <v>Low</v>
      </c>
      <c r="N1255" t="str">
        <f t="shared" si="119"/>
        <v>Dec</v>
      </c>
      <c r="O1255">
        <f t="shared" si="120"/>
        <v>2025</v>
      </c>
    </row>
    <row r="1256" spans="1:15" x14ac:dyDescent="0.3">
      <c r="A1256">
        <v>203284</v>
      </c>
      <c r="B1256" t="s">
        <v>31</v>
      </c>
      <c r="C1256" s="2">
        <v>46009</v>
      </c>
      <c r="D1256" s="2">
        <f t="shared" si="118"/>
        <v>46054</v>
      </c>
      <c r="E1256" s="1">
        <f>D1256</f>
        <v>46054</v>
      </c>
      <c r="F1256">
        <v>6675</v>
      </c>
      <c r="G1256">
        <v>45</v>
      </c>
      <c r="H1256">
        <f t="shared" si="123"/>
        <v>0</v>
      </c>
      <c r="I1256" t="str">
        <f t="shared" si="121"/>
        <v>On Time</v>
      </c>
      <c r="J1256" cm="1">
        <f t="array" ref="J1256">_xlfn.IFS(H1256&lt;30,0,H1256&lt;60,1,H1256&lt;90,2,H1256&lt;120,3)</f>
        <v>0</v>
      </c>
      <c r="M1256" t="str">
        <f t="shared" si="122"/>
        <v>Low</v>
      </c>
      <c r="N1256" t="str">
        <f t="shared" si="119"/>
        <v>Dec</v>
      </c>
      <c r="O1256">
        <f t="shared" si="120"/>
        <v>2025</v>
      </c>
    </row>
    <row r="1257" spans="1:15" x14ac:dyDescent="0.3">
      <c r="A1257">
        <v>203285</v>
      </c>
      <c r="B1257" t="s">
        <v>32</v>
      </c>
      <c r="C1257" s="2">
        <v>46009</v>
      </c>
      <c r="D1257" s="2">
        <f t="shared" si="118"/>
        <v>46054</v>
      </c>
      <c r="E1257" s="1">
        <f>D1257+2</f>
        <v>46056</v>
      </c>
      <c r="F1257">
        <v>1897</v>
      </c>
      <c r="G1257">
        <v>45</v>
      </c>
      <c r="H1257">
        <f t="shared" si="123"/>
        <v>0</v>
      </c>
      <c r="I1257" t="str">
        <f t="shared" si="121"/>
        <v>On Time</v>
      </c>
      <c r="J1257" cm="1">
        <f t="array" ref="J1257">_xlfn.IFS(H1257&lt;30,0,H1257&lt;60,1,H1257&lt;90,2,H1257&lt;120,3)</f>
        <v>0</v>
      </c>
      <c r="M1257" t="str">
        <f t="shared" si="122"/>
        <v>Low</v>
      </c>
      <c r="N1257" t="str">
        <f t="shared" si="119"/>
        <v>Dec</v>
      </c>
      <c r="O1257">
        <f t="shared" si="120"/>
        <v>2025</v>
      </c>
    </row>
    <row r="1258" spans="1:15" x14ac:dyDescent="0.3">
      <c r="A1258">
        <v>203286</v>
      </c>
      <c r="B1258" t="s">
        <v>33</v>
      </c>
      <c r="C1258" s="2">
        <v>46009</v>
      </c>
      <c r="D1258" s="2">
        <f t="shared" si="118"/>
        <v>46039</v>
      </c>
      <c r="E1258" s="1">
        <f>D1258+2</f>
        <v>46041</v>
      </c>
      <c r="F1258">
        <v>4499</v>
      </c>
      <c r="G1258">
        <v>30</v>
      </c>
      <c r="H1258">
        <f t="shared" si="123"/>
        <v>0</v>
      </c>
      <c r="I1258" t="str">
        <f t="shared" si="121"/>
        <v>On Time</v>
      </c>
      <c r="J1258" cm="1">
        <f t="array" ref="J1258">_xlfn.IFS(H1258&lt;30,0,H1258&lt;60,1,H1258&lt;90,2,H1258&lt;120,3)</f>
        <v>0</v>
      </c>
      <c r="M1258" t="str">
        <f t="shared" si="122"/>
        <v>Low</v>
      </c>
      <c r="N1258" t="str">
        <f t="shared" si="119"/>
        <v>Dec</v>
      </c>
      <c r="O1258">
        <f t="shared" si="120"/>
        <v>2025</v>
      </c>
    </row>
    <row r="1259" spans="1:15" x14ac:dyDescent="0.3">
      <c r="A1259">
        <v>203287</v>
      </c>
      <c r="B1259" t="s">
        <v>34</v>
      </c>
      <c r="C1259" s="2">
        <v>46009</v>
      </c>
      <c r="D1259" s="2">
        <f t="shared" si="118"/>
        <v>46069</v>
      </c>
      <c r="E1259" s="1">
        <f>D1259+2</f>
        <v>46071</v>
      </c>
      <c r="F1259">
        <v>891</v>
      </c>
      <c r="G1259">
        <v>60</v>
      </c>
      <c r="H1259">
        <f t="shared" si="123"/>
        <v>0</v>
      </c>
      <c r="I1259" t="str">
        <f t="shared" si="121"/>
        <v>On Time</v>
      </c>
      <c r="J1259" cm="1">
        <f t="array" ref="J1259">_xlfn.IFS(H1259&lt;30,0,H1259&lt;60,1,H1259&lt;90,2,H1259&lt;120,3)</f>
        <v>0</v>
      </c>
      <c r="M1259" t="str">
        <f t="shared" si="122"/>
        <v>Low</v>
      </c>
      <c r="N1259" t="str">
        <f t="shared" si="119"/>
        <v>Dec</v>
      </c>
      <c r="O1259">
        <f t="shared" si="120"/>
        <v>2025</v>
      </c>
    </row>
    <row r="1260" spans="1:15" x14ac:dyDescent="0.3">
      <c r="A1260">
        <v>203288</v>
      </c>
      <c r="B1260" t="s">
        <v>35</v>
      </c>
      <c r="C1260" s="2">
        <v>46009</v>
      </c>
      <c r="D1260" s="2">
        <f t="shared" si="118"/>
        <v>46054</v>
      </c>
      <c r="E1260" s="1">
        <f>D1260</f>
        <v>46054</v>
      </c>
      <c r="F1260">
        <v>6003</v>
      </c>
      <c r="G1260">
        <v>45</v>
      </c>
      <c r="H1260">
        <f t="shared" si="123"/>
        <v>0</v>
      </c>
      <c r="I1260" t="str">
        <f t="shared" si="121"/>
        <v>On Time</v>
      </c>
      <c r="J1260" cm="1">
        <f t="array" ref="J1260">_xlfn.IFS(H1260&lt;30,0,H1260&lt;60,1,H1260&lt;90,2,H1260&lt;120,3)</f>
        <v>0</v>
      </c>
      <c r="M1260" t="str">
        <f t="shared" si="122"/>
        <v>Low</v>
      </c>
      <c r="N1260" t="str">
        <f t="shared" si="119"/>
        <v>Dec</v>
      </c>
      <c r="O1260">
        <f t="shared" si="120"/>
        <v>2025</v>
      </c>
    </row>
    <row r="1261" spans="1:15" x14ac:dyDescent="0.3">
      <c r="A1261">
        <v>203289</v>
      </c>
      <c r="B1261" t="s">
        <v>36</v>
      </c>
      <c r="C1261" s="2">
        <v>46009</v>
      </c>
      <c r="D1261" s="2">
        <f t="shared" si="118"/>
        <v>46039</v>
      </c>
      <c r="E1261" s="1">
        <f>D1261+20</f>
        <v>46059</v>
      </c>
      <c r="F1261">
        <v>2398</v>
      </c>
      <c r="G1261">
        <v>30</v>
      </c>
      <c r="H1261">
        <f t="shared" si="123"/>
        <v>0</v>
      </c>
      <c r="I1261" t="str">
        <f t="shared" si="121"/>
        <v>On Time</v>
      </c>
      <c r="J1261" cm="1">
        <f t="array" ref="J1261">_xlfn.IFS(H1261&lt;30,0,H1261&lt;60,1,H1261&lt;90,2,H1261&lt;120,3)</f>
        <v>0</v>
      </c>
      <c r="M1261" t="str">
        <f t="shared" si="122"/>
        <v>Low</v>
      </c>
      <c r="N1261" t="str">
        <f t="shared" si="119"/>
        <v>Dec</v>
      </c>
      <c r="O1261">
        <f t="shared" si="120"/>
        <v>2025</v>
      </c>
    </row>
    <row r="1262" spans="1:15" x14ac:dyDescent="0.3">
      <c r="A1262">
        <v>203290</v>
      </c>
      <c r="B1262" t="s">
        <v>64</v>
      </c>
      <c r="C1262" s="2">
        <v>46009</v>
      </c>
      <c r="D1262" s="2">
        <f t="shared" si="118"/>
        <v>46039</v>
      </c>
      <c r="E1262" s="1">
        <f>D1262</f>
        <v>46039</v>
      </c>
      <c r="F1262">
        <v>3856</v>
      </c>
      <c r="G1262">
        <v>30</v>
      </c>
      <c r="H1262">
        <f t="shared" si="123"/>
        <v>0</v>
      </c>
      <c r="I1262" t="str">
        <f t="shared" si="121"/>
        <v>On Time</v>
      </c>
      <c r="J1262" cm="1">
        <f t="array" ref="J1262">_xlfn.IFS(H1262&lt;30,0,H1262&lt;60,1,H1262&lt;90,2,H1262&lt;120,3)</f>
        <v>0</v>
      </c>
      <c r="M1262" t="str">
        <f t="shared" si="122"/>
        <v>Low</v>
      </c>
      <c r="N1262" t="str">
        <f t="shared" si="119"/>
        <v>Dec</v>
      </c>
      <c r="O1262">
        <f t="shared" si="120"/>
        <v>2025</v>
      </c>
    </row>
    <row r="1263" spans="1:15" x14ac:dyDescent="0.3">
      <c r="A1263">
        <v>203291</v>
      </c>
      <c r="B1263" t="s">
        <v>25</v>
      </c>
      <c r="C1263" s="2">
        <v>46009</v>
      </c>
      <c r="D1263" s="2">
        <f t="shared" si="118"/>
        <v>46069</v>
      </c>
      <c r="E1263" s="1">
        <f>D1263+1</f>
        <v>46070</v>
      </c>
      <c r="F1263">
        <v>3712</v>
      </c>
      <c r="G1263">
        <v>60</v>
      </c>
      <c r="H1263">
        <f t="shared" si="123"/>
        <v>0</v>
      </c>
      <c r="I1263" t="str">
        <f t="shared" si="121"/>
        <v>On Time</v>
      </c>
      <c r="J1263" cm="1">
        <f t="array" ref="J1263">_xlfn.IFS(H1263&lt;30,0,H1263&lt;60,1,H1263&lt;90,2,H1263&lt;120,3)</f>
        <v>0</v>
      </c>
      <c r="M1263" t="str">
        <f t="shared" si="122"/>
        <v>Low</v>
      </c>
      <c r="N1263" t="str">
        <f t="shared" si="119"/>
        <v>Dec</v>
      </c>
      <c r="O1263">
        <f t="shared" si="120"/>
        <v>2025</v>
      </c>
    </row>
    <row r="1264" spans="1:15" x14ac:dyDescent="0.3">
      <c r="A1264">
        <v>203292</v>
      </c>
      <c r="B1264" t="s">
        <v>26</v>
      </c>
      <c r="C1264" s="2">
        <v>46009</v>
      </c>
      <c r="D1264" s="2">
        <f t="shared" si="118"/>
        <v>46039</v>
      </c>
      <c r="E1264" s="1">
        <f>D1264</f>
        <v>46039</v>
      </c>
      <c r="F1264">
        <v>4492</v>
      </c>
      <c r="G1264">
        <v>30</v>
      </c>
      <c r="H1264">
        <f t="shared" si="123"/>
        <v>0</v>
      </c>
      <c r="I1264" t="str">
        <f t="shared" si="121"/>
        <v>On Time</v>
      </c>
      <c r="J1264" cm="1">
        <f t="array" ref="J1264">_xlfn.IFS(H1264&lt;30,0,H1264&lt;60,1,H1264&lt;90,2,H1264&lt;120,3)</f>
        <v>0</v>
      </c>
      <c r="M1264" t="str">
        <f t="shared" si="122"/>
        <v>Low</v>
      </c>
      <c r="N1264" t="str">
        <f t="shared" si="119"/>
        <v>Dec</v>
      </c>
      <c r="O1264">
        <f t="shared" si="120"/>
        <v>2025</v>
      </c>
    </row>
    <row r="1265" spans="1:15" x14ac:dyDescent="0.3">
      <c r="A1265">
        <v>203293</v>
      </c>
      <c r="B1265" t="s">
        <v>27</v>
      </c>
      <c r="C1265" s="2">
        <v>46009</v>
      </c>
      <c r="D1265" s="2">
        <f t="shared" si="118"/>
        <v>46069</v>
      </c>
      <c r="E1265" s="1">
        <f>D1265</f>
        <v>46069</v>
      </c>
      <c r="F1265">
        <v>3584</v>
      </c>
      <c r="G1265">
        <v>60</v>
      </c>
      <c r="H1265">
        <f t="shared" si="123"/>
        <v>0</v>
      </c>
      <c r="I1265" t="str">
        <f t="shared" si="121"/>
        <v>On Time</v>
      </c>
      <c r="J1265" cm="1">
        <f t="array" ref="J1265">_xlfn.IFS(H1265&lt;30,0,H1265&lt;60,1,H1265&lt;90,2,H1265&lt;120,3)</f>
        <v>0</v>
      </c>
      <c r="M1265" t="str">
        <f t="shared" si="122"/>
        <v>Low</v>
      </c>
      <c r="N1265" t="str">
        <f t="shared" si="119"/>
        <v>Dec</v>
      </c>
      <c r="O1265">
        <f t="shared" si="120"/>
        <v>2025</v>
      </c>
    </row>
    <row r="1266" spans="1:15" x14ac:dyDescent="0.3">
      <c r="A1266">
        <v>203294</v>
      </c>
      <c r="B1266" t="s">
        <v>28</v>
      </c>
      <c r="C1266" s="2">
        <v>46009</v>
      </c>
      <c r="D1266" s="2">
        <f t="shared" si="118"/>
        <v>46039</v>
      </c>
      <c r="E1266" s="1">
        <f>D1266+5</f>
        <v>46044</v>
      </c>
      <c r="F1266">
        <v>4667</v>
      </c>
      <c r="G1266">
        <v>30</v>
      </c>
      <c r="H1266">
        <f t="shared" si="123"/>
        <v>0</v>
      </c>
      <c r="I1266" t="str">
        <f t="shared" si="121"/>
        <v>On Time</v>
      </c>
      <c r="J1266" cm="1">
        <f t="array" ref="J1266">_xlfn.IFS(H1266&lt;30,0,H1266&lt;60,1,H1266&lt;90,2,H1266&lt;120,3)</f>
        <v>0</v>
      </c>
      <c r="M1266" t="str">
        <f t="shared" si="122"/>
        <v>Low</v>
      </c>
      <c r="N1266" t="str">
        <f t="shared" si="119"/>
        <v>Dec</v>
      </c>
      <c r="O1266">
        <f t="shared" si="120"/>
        <v>2025</v>
      </c>
    </row>
    <row r="1267" spans="1:15" x14ac:dyDescent="0.3">
      <c r="A1267">
        <v>203295</v>
      </c>
      <c r="B1267" t="s">
        <v>29</v>
      </c>
      <c r="C1267" s="2">
        <v>46009</v>
      </c>
      <c r="D1267" s="2">
        <f t="shared" si="118"/>
        <v>46039</v>
      </c>
      <c r="E1267" s="1">
        <f>D1267+2</f>
        <v>46041</v>
      </c>
      <c r="F1267">
        <v>17266</v>
      </c>
      <c r="G1267">
        <v>30</v>
      </c>
      <c r="H1267">
        <f t="shared" si="123"/>
        <v>0</v>
      </c>
      <c r="I1267" t="str">
        <f t="shared" si="121"/>
        <v>On Time</v>
      </c>
      <c r="J1267" cm="1">
        <f t="array" ref="J1267">_xlfn.IFS(H1267&lt;30,0,H1267&lt;60,1,H1267&lt;90,2,H1267&lt;120,3)</f>
        <v>0</v>
      </c>
      <c r="M1267" t="str">
        <f t="shared" si="122"/>
        <v>Low</v>
      </c>
      <c r="N1267" t="str">
        <f t="shared" si="119"/>
        <v>Dec</v>
      </c>
      <c r="O1267">
        <f t="shared" si="120"/>
        <v>2025</v>
      </c>
    </row>
    <row r="1268" spans="1:15" x14ac:dyDescent="0.3">
      <c r="A1268">
        <v>203296</v>
      </c>
      <c r="B1268" t="s">
        <v>30</v>
      </c>
      <c r="C1268" s="2">
        <v>46009</v>
      </c>
      <c r="D1268" s="2">
        <f t="shared" si="118"/>
        <v>46039</v>
      </c>
      <c r="E1268" s="1">
        <f>D1268</f>
        <v>46039</v>
      </c>
      <c r="F1268">
        <v>795</v>
      </c>
      <c r="G1268">
        <v>30</v>
      </c>
      <c r="H1268">
        <f t="shared" si="123"/>
        <v>0</v>
      </c>
      <c r="I1268" t="str">
        <f t="shared" si="121"/>
        <v>On Time</v>
      </c>
      <c r="J1268" cm="1">
        <f t="array" ref="J1268">_xlfn.IFS(H1268&lt;30,0,H1268&lt;60,1,H1268&lt;90,2,H1268&lt;120,3)</f>
        <v>0</v>
      </c>
      <c r="M1268" t="str">
        <f t="shared" si="122"/>
        <v>Low</v>
      </c>
      <c r="N1268" t="str">
        <f t="shared" si="119"/>
        <v>Dec</v>
      </c>
      <c r="O1268">
        <f t="shared" si="120"/>
        <v>2025</v>
      </c>
    </row>
    <row r="1269" spans="1:15" x14ac:dyDescent="0.3">
      <c r="A1269">
        <v>203297</v>
      </c>
      <c r="B1269" t="s">
        <v>31</v>
      </c>
      <c r="C1269" s="2">
        <v>46009</v>
      </c>
      <c r="D1269" s="2">
        <f t="shared" si="118"/>
        <v>46054</v>
      </c>
      <c r="E1269" s="1">
        <f>D1269</f>
        <v>46054</v>
      </c>
      <c r="F1269">
        <v>13816</v>
      </c>
      <c r="G1269">
        <v>45</v>
      </c>
      <c r="H1269">
        <f t="shared" si="123"/>
        <v>0</v>
      </c>
      <c r="I1269" t="str">
        <f t="shared" si="121"/>
        <v>On Time</v>
      </c>
      <c r="J1269" cm="1">
        <f t="array" ref="J1269">_xlfn.IFS(H1269&lt;30,0,H1269&lt;60,1,H1269&lt;90,2,H1269&lt;120,3)</f>
        <v>0</v>
      </c>
      <c r="M1269" t="str">
        <f t="shared" si="122"/>
        <v>Low</v>
      </c>
      <c r="N1269" t="str">
        <f t="shared" si="119"/>
        <v>Dec</v>
      </c>
      <c r="O1269">
        <f t="shared" si="120"/>
        <v>2025</v>
      </c>
    </row>
    <row r="1270" spans="1:15" x14ac:dyDescent="0.3">
      <c r="A1270">
        <v>203298</v>
      </c>
      <c r="B1270" t="s">
        <v>39</v>
      </c>
      <c r="C1270" s="2">
        <v>46009</v>
      </c>
      <c r="D1270" s="2">
        <f t="shared" si="118"/>
        <v>46039</v>
      </c>
      <c r="E1270" s="1">
        <f>D1270</f>
        <v>46039</v>
      </c>
      <c r="F1270">
        <v>4685</v>
      </c>
      <c r="G1270">
        <v>30</v>
      </c>
      <c r="H1270">
        <f t="shared" si="123"/>
        <v>0</v>
      </c>
      <c r="I1270" t="str">
        <f t="shared" si="121"/>
        <v>On Time</v>
      </c>
      <c r="J1270" cm="1">
        <f t="array" ref="J1270">_xlfn.IFS(H1270&lt;30,0,H1270&lt;60,1,H1270&lt;90,2,H1270&lt;120,3)</f>
        <v>0</v>
      </c>
      <c r="M1270" t="str">
        <f t="shared" si="122"/>
        <v>Low</v>
      </c>
      <c r="N1270" t="str">
        <f t="shared" si="119"/>
        <v>Dec</v>
      </c>
      <c r="O1270">
        <f t="shared" si="120"/>
        <v>2025</v>
      </c>
    </row>
    <row r="1271" spans="1:15" x14ac:dyDescent="0.3">
      <c r="A1271">
        <v>203299</v>
      </c>
      <c r="B1271" t="s">
        <v>40</v>
      </c>
      <c r="C1271" s="2">
        <v>46009</v>
      </c>
      <c r="D1271" s="2">
        <f t="shared" si="118"/>
        <v>46039</v>
      </c>
      <c r="E1271" s="1">
        <f>D1271+60</f>
        <v>46099</v>
      </c>
      <c r="F1271">
        <v>2281</v>
      </c>
      <c r="G1271">
        <v>30</v>
      </c>
      <c r="H1271">
        <f t="shared" si="123"/>
        <v>0</v>
      </c>
      <c r="I1271" t="str">
        <f t="shared" si="121"/>
        <v>On Time</v>
      </c>
      <c r="J1271" cm="1">
        <f t="array" ref="J1271">_xlfn.IFS(H1271&lt;30,0,H1271&lt;60,1,H1271&lt;90,2,H1271&lt;120,3)</f>
        <v>0</v>
      </c>
      <c r="M1271" t="str">
        <f t="shared" si="122"/>
        <v>Low</v>
      </c>
      <c r="N1271" t="str">
        <f t="shared" si="119"/>
        <v>Dec</v>
      </c>
      <c r="O1271">
        <f t="shared" si="120"/>
        <v>2025</v>
      </c>
    </row>
    <row r="1272" spans="1:15" x14ac:dyDescent="0.3">
      <c r="A1272">
        <v>203300</v>
      </c>
      <c r="B1272" t="s">
        <v>41</v>
      </c>
      <c r="C1272" s="2">
        <v>46009</v>
      </c>
      <c r="D1272" s="2">
        <f t="shared" si="118"/>
        <v>46039</v>
      </c>
      <c r="E1272" s="1">
        <f>D1272</f>
        <v>46039</v>
      </c>
      <c r="F1272">
        <v>1447</v>
      </c>
      <c r="G1272">
        <v>30</v>
      </c>
      <c r="H1272">
        <f t="shared" si="123"/>
        <v>0</v>
      </c>
      <c r="I1272" t="str">
        <f t="shared" si="121"/>
        <v>On Time</v>
      </c>
      <c r="J1272" cm="1">
        <f t="array" ref="J1272">_xlfn.IFS(H1272&lt;30,0,H1272&lt;60,1,H1272&lt;90,2,H1272&lt;120,3)</f>
        <v>0</v>
      </c>
      <c r="M1272" t="str">
        <f t="shared" si="122"/>
        <v>Low</v>
      </c>
      <c r="N1272" t="str">
        <f t="shared" si="119"/>
        <v>Dec</v>
      </c>
      <c r="O1272">
        <f t="shared" si="120"/>
        <v>2025</v>
      </c>
    </row>
    <row r="1273" spans="1:15" x14ac:dyDescent="0.3">
      <c r="A1273">
        <v>203301</v>
      </c>
      <c r="B1273" t="s">
        <v>42</v>
      </c>
      <c r="C1273" s="2">
        <v>46009</v>
      </c>
      <c r="D1273" s="2">
        <f t="shared" si="118"/>
        <v>46039</v>
      </c>
      <c r="E1273" s="1">
        <f>D1273</f>
        <v>46039</v>
      </c>
      <c r="F1273">
        <v>205</v>
      </c>
      <c r="G1273">
        <v>30</v>
      </c>
      <c r="H1273">
        <f t="shared" si="123"/>
        <v>0</v>
      </c>
      <c r="I1273" t="str">
        <f t="shared" si="121"/>
        <v>On Time</v>
      </c>
      <c r="J1273" cm="1">
        <f t="array" ref="J1273">_xlfn.IFS(H1273&lt;30,0,H1273&lt;60,1,H1273&lt;90,2,H1273&lt;120,3)</f>
        <v>0</v>
      </c>
      <c r="M1273" t="str">
        <f t="shared" si="122"/>
        <v>Low</v>
      </c>
      <c r="N1273" t="str">
        <f t="shared" si="119"/>
        <v>Dec</v>
      </c>
      <c r="O1273">
        <f t="shared" si="120"/>
        <v>2025</v>
      </c>
    </row>
    <row r="1274" spans="1:15" x14ac:dyDescent="0.3">
      <c r="A1274">
        <v>203302</v>
      </c>
      <c r="B1274" t="s">
        <v>43</v>
      </c>
      <c r="C1274" s="2">
        <v>46009</v>
      </c>
      <c r="D1274" s="2">
        <f t="shared" si="118"/>
        <v>46039</v>
      </c>
      <c r="E1274" s="1">
        <f>D1274+3</f>
        <v>46042</v>
      </c>
      <c r="F1274">
        <v>4483</v>
      </c>
      <c r="G1274">
        <v>30</v>
      </c>
      <c r="H1274">
        <f t="shared" si="123"/>
        <v>0</v>
      </c>
      <c r="I1274" t="str">
        <f t="shared" si="121"/>
        <v>On Time</v>
      </c>
      <c r="J1274" cm="1">
        <f t="array" ref="J1274">_xlfn.IFS(H1274&lt;30,0,H1274&lt;60,1,H1274&lt;90,2,H1274&lt;120,3)</f>
        <v>0</v>
      </c>
      <c r="M1274" t="str">
        <f t="shared" si="122"/>
        <v>Low</v>
      </c>
      <c r="N1274" t="str">
        <f t="shared" si="119"/>
        <v>Dec</v>
      </c>
      <c r="O1274">
        <f t="shared" si="120"/>
        <v>2025</v>
      </c>
    </row>
    <row r="1275" spans="1:15" x14ac:dyDescent="0.3">
      <c r="A1275">
        <v>203303</v>
      </c>
      <c r="B1275" t="s">
        <v>44</v>
      </c>
      <c r="C1275" s="2">
        <v>46009</v>
      </c>
      <c r="D1275" s="2">
        <f t="shared" si="118"/>
        <v>46054</v>
      </c>
      <c r="E1275" s="1">
        <f>D1275+1</f>
        <v>46055</v>
      </c>
      <c r="F1275">
        <v>1827</v>
      </c>
      <c r="G1275">
        <v>45</v>
      </c>
      <c r="H1275">
        <f t="shared" si="123"/>
        <v>0</v>
      </c>
      <c r="I1275" t="str">
        <f t="shared" si="121"/>
        <v>On Time</v>
      </c>
      <c r="J1275" cm="1">
        <f t="array" ref="J1275">_xlfn.IFS(H1275&lt;30,0,H1275&lt;60,1,H1275&lt;90,2,H1275&lt;120,3)</f>
        <v>0</v>
      </c>
      <c r="M1275" t="str">
        <f t="shared" si="122"/>
        <v>Low</v>
      </c>
      <c r="N1275" t="str">
        <f t="shared" si="119"/>
        <v>Dec</v>
      </c>
      <c r="O1275">
        <f t="shared" si="120"/>
        <v>2025</v>
      </c>
    </row>
    <row r="1276" spans="1:15" x14ac:dyDescent="0.3">
      <c r="A1276">
        <v>203304</v>
      </c>
      <c r="B1276" t="s">
        <v>45</v>
      </c>
      <c r="C1276" s="2">
        <v>46009</v>
      </c>
      <c r="D1276" s="2">
        <f t="shared" si="118"/>
        <v>46054</v>
      </c>
      <c r="E1276" s="1">
        <f>D1276-1</f>
        <v>46053</v>
      </c>
      <c r="F1276">
        <v>228</v>
      </c>
      <c r="G1276">
        <v>45</v>
      </c>
      <c r="H1276">
        <f t="shared" si="123"/>
        <v>0</v>
      </c>
      <c r="I1276" t="str">
        <f t="shared" si="121"/>
        <v>On Time</v>
      </c>
      <c r="J1276" cm="1">
        <f t="array" ref="J1276">_xlfn.IFS(H1276&lt;30,0,H1276&lt;60,1,H1276&lt;90,2,H1276&lt;120,3)</f>
        <v>0</v>
      </c>
      <c r="M1276" t="str">
        <f t="shared" si="122"/>
        <v>Low</v>
      </c>
      <c r="N1276" t="str">
        <f t="shared" si="119"/>
        <v>Dec</v>
      </c>
      <c r="O1276">
        <f t="shared" si="120"/>
        <v>2025</v>
      </c>
    </row>
    <row r="1277" spans="1:15" x14ac:dyDescent="0.3">
      <c r="A1277">
        <v>203305</v>
      </c>
      <c r="B1277" t="s">
        <v>46</v>
      </c>
      <c r="C1277" s="2">
        <v>46009</v>
      </c>
      <c r="D1277" s="2">
        <f t="shared" si="118"/>
        <v>46069</v>
      </c>
      <c r="E1277" s="1">
        <f>D1277</f>
        <v>46069</v>
      </c>
      <c r="F1277">
        <v>3743</v>
      </c>
      <c r="G1277">
        <v>60</v>
      </c>
      <c r="H1277">
        <f t="shared" si="123"/>
        <v>0</v>
      </c>
      <c r="I1277" t="str">
        <f t="shared" si="121"/>
        <v>On Time</v>
      </c>
      <c r="J1277" cm="1">
        <f t="array" ref="J1277">_xlfn.IFS(H1277&lt;30,0,H1277&lt;60,1,H1277&lt;90,2,H1277&lt;120,3)</f>
        <v>0</v>
      </c>
      <c r="M1277" t="str">
        <f t="shared" si="122"/>
        <v>Low</v>
      </c>
      <c r="N1277" t="str">
        <f t="shared" si="119"/>
        <v>Dec</v>
      </c>
      <c r="O1277">
        <f t="shared" si="120"/>
        <v>2025</v>
      </c>
    </row>
    <row r="1278" spans="1:15" x14ac:dyDescent="0.3">
      <c r="A1278">
        <v>203306</v>
      </c>
      <c r="B1278" t="s">
        <v>114</v>
      </c>
      <c r="C1278" s="2">
        <v>46009</v>
      </c>
      <c r="D1278" s="2">
        <f t="shared" si="118"/>
        <v>46039</v>
      </c>
      <c r="E1278" s="1">
        <f>D1278+1</f>
        <v>46040</v>
      </c>
      <c r="F1278">
        <v>2876</v>
      </c>
      <c r="G1278">
        <v>30</v>
      </c>
      <c r="H1278">
        <f t="shared" si="123"/>
        <v>0</v>
      </c>
      <c r="I1278" t="str">
        <f t="shared" si="121"/>
        <v>On Time</v>
      </c>
      <c r="J1278" cm="1">
        <f t="array" ref="J1278">_xlfn.IFS(H1278&lt;30,0,H1278&lt;60,1,H1278&lt;90,2,H1278&lt;120,3)</f>
        <v>0</v>
      </c>
      <c r="M1278" t="str">
        <f t="shared" si="122"/>
        <v>Low</v>
      </c>
      <c r="N1278" t="str">
        <f t="shared" si="119"/>
        <v>Dec</v>
      </c>
      <c r="O1278">
        <f t="shared" si="120"/>
        <v>2025</v>
      </c>
    </row>
    <row r="1279" spans="1:15" x14ac:dyDescent="0.3">
      <c r="A1279">
        <v>203307</v>
      </c>
      <c r="B1279" t="s">
        <v>115</v>
      </c>
      <c r="C1279" s="2">
        <v>46009</v>
      </c>
      <c r="D1279" s="2">
        <f t="shared" si="118"/>
        <v>46039</v>
      </c>
      <c r="E1279" s="1">
        <f>D1279+35</f>
        <v>46074</v>
      </c>
      <c r="F1279">
        <v>14764</v>
      </c>
      <c r="G1279">
        <v>30</v>
      </c>
      <c r="H1279">
        <f t="shared" si="123"/>
        <v>0</v>
      </c>
      <c r="I1279" t="str">
        <f t="shared" si="121"/>
        <v>On Time</v>
      </c>
      <c r="J1279" cm="1">
        <f t="array" ref="J1279">_xlfn.IFS(H1279&lt;30,0,H1279&lt;60,1,H1279&lt;90,2,H1279&lt;120,3)</f>
        <v>0</v>
      </c>
      <c r="M1279" t="str">
        <f t="shared" si="122"/>
        <v>Low</v>
      </c>
      <c r="N1279" t="str">
        <f t="shared" si="119"/>
        <v>Dec</v>
      </c>
      <c r="O1279">
        <f t="shared" si="120"/>
        <v>2025</v>
      </c>
    </row>
    <row r="1280" spans="1:15" x14ac:dyDescent="0.3">
      <c r="A1280">
        <v>203249</v>
      </c>
      <c r="B1280" t="s">
        <v>95</v>
      </c>
      <c r="C1280" s="2">
        <v>46008</v>
      </c>
      <c r="D1280" s="2">
        <f t="shared" si="118"/>
        <v>46053</v>
      </c>
      <c r="E1280" s="1">
        <f>D1280-2</f>
        <v>46051</v>
      </c>
      <c r="F1280">
        <v>3619</v>
      </c>
      <c r="G1280">
        <v>45</v>
      </c>
      <c r="H1280">
        <f t="shared" si="123"/>
        <v>0</v>
      </c>
      <c r="I1280" t="str">
        <f t="shared" si="121"/>
        <v>On Time</v>
      </c>
      <c r="J1280" cm="1">
        <f t="array" ref="J1280">_xlfn.IFS(H1280&lt;30,0,H1280&lt;60,1,H1280&lt;90,2,H1280&lt;120,3)</f>
        <v>0</v>
      </c>
      <c r="M1280" t="str">
        <f t="shared" si="122"/>
        <v>Low</v>
      </c>
      <c r="N1280" t="str">
        <f t="shared" si="119"/>
        <v>Dec</v>
      </c>
      <c r="O1280">
        <f t="shared" si="120"/>
        <v>2025</v>
      </c>
    </row>
    <row r="1281" spans="1:15" x14ac:dyDescent="0.3">
      <c r="A1281">
        <v>203250</v>
      </c>
      <c r="B1281" t="s">
        <v>68</v>
      </c>
      <c r="C1281" s="2">
        <v>46008</v>
      </c>
      <c r="D1281" s="2">
        <f t="shared" si="118"/>
        <v>46038</v>
      </c>
      <c r="E1281" s="1">
        <f>D1281-2</f>
        <v>46036</v>
      </c>
      <c r="F1281">
        <v>2134</v>
      </c>
      <c r="G1281">
        <v>30</v>
      </c>
      <c r="H1281">
        <f t="shared" si="123"/>
        <v>0</v>
      </c>
      <c r="I1281" t="str">
        <f t="shared" si="121"/>
        <v>On Time</v>
      </c>
      <c r="J1281" cm="1">
        <f t="array" ref="J1281">_xlfn.IFS(H1281&lt;30,0,H1281&lt;60,1,H1281&lt;90,2,H1281&lt;120,3)</f>
        <v>0</v>
      </c>
      <c r="M1281" t="str">
        <f t="shared" si="122"/>
        <v>Low</v>
      </c>
      <c r="N1281" t="str">
        <f t="shared" si="119"/>
        <v>Dec</v>
      </c>
      <c r="O1281">
        <f t="shared" si="120"/>
        <v>2025</v>
      </c>
    </row>
    <row r="1282" spans="1:15" x14ac:dyDescent="0.3">
      <c r="A1282">
        <v>203251</v>
      </c>
      <c r="B1282" t="s">
        <v>69</v>
      </c>
      <c r="C1282" s="2">
        <v>46008</v>
      </c>
      <c r="D1282" s="2">
        <f t="shared" ref="D1282:D1345" si="124">C1282+G1282</f>
        <v>46038</v>
      </c>
      <c r="E1282" s="1">
        <f>D1282</f>
        <v>46038</v>
      </c>
      <c r="F1282">
        <v>1901</v>
      </c>
      <c r="G1282">
        <v>30</v>
      </c>
      <c r="H1282">
        <f t="shared" si="123"/>
        <v>0</v>
      </c>
      <c r="I1282" t="str">
        <f t="shared" si="121"/>
        <v>On Time</v>
      </c>
      <c r="J1282" cm="1">
        <f t="array" ref="J1282">_xlfn.IFS(H1282&lt;30,0,H1282&lt;60,1,H1282&lt;90,2,H1282&lt;120,3)</f>
        <v>0</v>
      </c>
      <c r="M1282" t="str">
        <f t="shared" si="122"/>
        <v>Low</v>
      </c>
      <c r="N1282" t="str">
        <f t="shared" ref="N1282:N1345" si="125">TEXT(C1282,"mmm")</f>
        <v>Dec</v>
      </c>
      <c r="O1282">
        <f t="shared" ref="O1282:O1345" si="126">YEAR(C1282)</f>
        <v>2025</v>
      </c>
    </row>
    <row r="1283" spans="1:15" x14ac:dyDescent="0.3">
      <c r="A1283">
        <v>203252</v>
      </c>
      <c r="B1283" t="s">
        <v>70</v>
      </c>
      <c r="C1283" s="2">
        <v>46008</v>
      </c>
      <c r="D1283" s="2">
        <f t="shared" si="124"/>
        <v>46038</v>
      </c>
      <c r="E1283" s="1">
        <f>D1283+2</f>
        <v>46040</v>
      </c>
      <c r="F1283">
        <v>2066</v>
      </c>
      <c r="G1283">
        <v>30</v>
      </c>
      <c r="H1283">
        <f t="shared" si="123"/>
        <v>0</v>
      </c>
      <c r="I1283" t="str">
        <f t="shared" si="121"/>
        <v>On Time</v>
      </c>
      <c r="J1283" cm="1">
        <f t="array" ref="J1283">_xlfn.IFS(H1283&lt;30,0,H1283&lt;60,1,H1283&lt;90,2,H1283&lt;120,3)</f>
        <v>0</v>
      </c>
      <c r="M1283" t="str">
        <f t="shared" si="122"/>
        <v>Low</v>
      </c>
      <c r="N1283" t="str">
        <f t="shared" si="125"/>
        <v>Dec</v>
      </c>
      <c r="O1283">
        <f t="shared" si="126"/>
        <v>2025</v>
      </c>
    </row>
    <row r="1284" spans="1:15" x14ac:dyDescent="0.3">
      <c r="A1284">
        <v>203253</v>
      </c>
      <c r="B1284" t="s">
        <v>71</v>
      </c>
      <c r="C1284" s="2">
        <v>46008</v>
      </c>
      <c r="D1284" s="2">
        <f t="shared" si="124"/>
        <v>46038</v>
      </c>
      <c r="E1284" s="1">
        <f>D1284+2</f>
        <v>46040</v>
      </c>
      <c r="F1284">
        <v>3966</v>
      </c>
      <c r="G1284">
        <v>30</v>
      </c>
      <c r="H1284">
        <f t="shared" si="123"/>
        <v>0</v>
      </c>
      <c r="I1284" t="str">
        <f t="shared" si="121"/>
        <v>On Time</v>
      </c>
      <c r="J1284" cm="1">
        <f t="array" ref="J1284">_xlfn.IFS(H1284&lt;30,0,H1284&lt;60,1,H1284&lt;90,2,H1284&lt;120,3)</f>
        <v>0</v>
      </c>
      <c r="M1284" t="str">
        <f t="shared" si="122"/>
        <v>Low</v>
      </c>
      <c r="N1284" t="str">
        <f t="shared" si="125"/>
        <v>Dec</v>
      </c>
      <c r="O1284">
        <f t="shared" si="126"/>
        <v>2025</v>
      </c>
    </row>
    <row r="1285" spans="1:15" x14ac:dyDescent="0.3">
      <c r="A1285">
        <v>203254</v>
      </c>
      <c r="B1285" t="s">
        <v>72</v>
      </c>
      <c r="C1285" s="2">
        <v>46008</v>
      </c>
      <c r="D1285" s="2">
        <f t="shared" si="124"/>
        <v>46038</v>
      </c>
      <c r="E1285" s="1">
        <f>D1285+2</f>
        <v>46040</v>
      </c>
      <c r="F1285">
        <v>2243</v>
      </c>
      <c r="G1285">
        <v>30</v>
      </c>
      <c r="H1285">
        <f t="shared" si="123"/>
        <v>0</v>
      </c>
      <c r="I1285" t="str">
        <f t="shared" si="121"/>
        <v>On Time</v>
      </c>
      <c r="J1285" cm="1">
        <f t="array" ref="J1285">_xlfn.IFS(H1285&lt;30,0,H1285&lt;60,1,H1285&lt;90,2,H1285&lt;120,3)</f>
        <v>0</v>
      </c>
      <c r="M1285" t="str">
        <f t="shared" si="122"/>
        <v>Low</v>
      </c>
      <c r="N1285" t="str">
        <f t="shared" si="125"/>
        <v>Dec</v>
      </c>
      <c r="O1285">
        <f t="shared" si="126"/>
        <v>2025</v>
      </c>
    </row>
    <row r="1286" spans="1:15" x14ac:dyDescent="0.3">
      <c r="A1286">
        <v>203255</v>
      </c>
      <c r="B1286" t="s">
        <v>73</v>
      </c>
      <c r="C1286" s="2">
        <v>46008</v>
      </c>
      <c r="D1286" s="2">
        <f t="shared" si="124"/>
        <v>46053</v>
      </c>
      <c r="E1286" s="1">
        <f>D1286</f>
        <v>46053</v>
      </c>
      <c r="F1286">
        <v>762</v>
      </c>
      <c r="G1286">
        <v>45</v>
      </c>
      <c r="H1286">
        <f t="shared" si="123"/>
        <v>0</v>
      </c>
      <c r="I1286" t="str">
        <f t="shared" si="121"/>
        <v>On Time</v>
      </c>
      <c r="J1286" cm="1">
        <f t="array" ref="J1286">_xlfn.IFS(H1286&lt;30,0,H1286&lt;60,1,H1286&lt;90,2,H1286&lt;120,3)</f>
        <v>0</v>
      </c>
      <c r="M1286" t="str">
        <f t="shared" si="122"/>
        <v>Low</v>
      </c>
      <c r="N1286" t="str">
        <f t="shared" si="125"/>
        <v>Dec</v>
      </c>
      <c r="O1286">
        <f t="shared" si="126"/>
        <v>2025</v>
      </c>
    </row>
    <row r="1287" spans="1:15" x14ac:dyDescent="0.3">
      <c r="A1287">
        <v>203256</v>
      </c>
      <c r="B1287" t="s">
        <v>74</v>
      </c>
      <c r="C1287" s="2">
        <v>46008</v>
      </c>
      <c r="D1287" s="2">
        <f t="shared" si="124"/>
        <v>46053</v>
      </c>
      <c r="E1287" s="1">
        <f>D1287+20</f>
        <v>46073</v>
      </c>
      <c r="F1287">
        <v>4104</v>
      </c>
      <c r="G1287">
        <v>45</v>
      </c>
      <c r="H1287">
        <f t="shared" si="123"/>
        <v>0</v>
      </c>
      <c r="I1287" t="str">
        <f t="shared" si="121"/>
        <v>On Time</v>
      </c>
      <c r="J1287" cm="1">
        <f t="array" ref="J1287">_xlfn.IFS(H1287&lt;30,0,H1287&lt;60,1,H1287&lt;90,2,H1287&lt;120,3)</f>
        <v>0</v>
      </c>
      <c r="M1287" t="str">
        <f t="shared" si="122"/>
        <v>Low</v>
      </c>
      <c r="N1287" t="str">
        <f t="shared" si="125"/>
        <v>Dec</v>
      </c>
      <c r="O1287">
        <f t="shared" si="126"/>
        <v>2025</v>
      </c>
    </row>
    <row r="1288" spans="1:15" x14ac:dyDescent="0.3">
      <c r="A1288">
        <v>203257</v>
      </c>
      <c r="B1288" t="s">
        <v>45</v>
      </c>
      <c r="C1288" s="2">
        <v>46008</v>
      </c>
      <c r="D1288" s="2">
        <f t="shared" si="124"/>
        <v>46053</v>
      </c>
      <c r="E1288" s="1">
        <f>D1288</f>
        <v>46053</v>
      </c>
      <c r="F1288">
        <v>1834</v>
      </c>
      <c r="G1288">
        <v>45</v>
      </c>
      <c r="H1288">
        <f t="shared" si="123"/>
        <v>0</v>
      </c>
      <c r="I1288" t="str">
        <f t="shared" si="121"/>
        <v>On Time</v>
      </c>
      <c r="J1288" cm="1">
        <f t="array" ref="J1288">_xlfn.IFS(H1288&lt;30,0,H1288&lt;60,1,H1288&lt;90,2,H1288&lt;120,3)</f>
        <v>0</v>
      </c>
      <c r="M1288" t="str">
        <f t="shared" si="122"/>
        <v>Low</v>
      </c>
      <c r="N1288" t="str">
        <f t="shared" si="125"/>
        <v>Dec</v>
      </c>
      <c r="O1288">
        <f t="shared" si="126"/>
        <v>2025</v>
      </c>
    </row>
    <row r="1289" spans="1:15" x14ac:dyDescent="0.3">
      <c r="A1289">
        <v>203258</v>
      </c>
      <c r="B1289" t="s">
        <v>46</v>
      </c>
      <c r="C1289" s="2">
        <v>46008</v>
      </c>
      <c r="D1289" s="2">
        <f t="shared" si="124"/>
        <v>46068</v>
      </c>
      <c r="E1289" s="1">
        <f>D1289+1</f>
        <v>46069</v>
      </c>
      <c r="F1289">
        <v>1371</v>
      </c>
      <c r="G1289">
        <v>60</v>
      </c>
      <c r="H1289">
        <f t="shared" si="123"/>
        <v>0</v>
      </c>
      <c r="I1289" t="str">
        <f t="shared" si="121"/>
        <v>On Time</v>
      </c>
      <c r="J1289" cm="1">
        <f t="array" ref="J1289">_xlfn.IFS(H1289&lt;30,0,H1289&lt;60,1,H1289&lt;90,2,H1289&lt;120,3)</f>
        <v>0</v>
      </c>
      <c r="M1289" t="str">
        <f t="shared" si="122"/>
        <v>Low</v>
      </c>
      <c r="N1289" t="str">
        <f t="shared" si="125"/>
        <v>Dec</v>
      </c>
      <c r="O1289">
        <f t="shared" si="126"/>
        <v>2025</v>
      </c>
    </row>
    <row r="1290" spans="1:15" x14ac:dyDescent="0.3">
      <c r="A1290">
        <v>203259</v>
      </c>
      <c r="B1290" t="s">
        <v>47</v>
      </c>
      <c r="C1290" s="2">
        <v>46008</v>
      </c>
      <c r="D1290" s="2">
        <f t="shared" si="124"/>
        <v>46068</v>
      </c>
      <c r="E1290" s="1">
        <f>D1290</f>
        <v>46068</v>
      </c>
      <c r="F1290">
        <v>4321</v>
      </c>
      <c r="G1290">
        <v>60</v>
      </c>
      <c r="H1290">
        <f t="shared" si="123"/>
        <v>0</v>
      </c>
      <c r="I1290" t="str">
        <f t="shared" si="121"/>
        <v>On Time</v>
      </c>
      <c r="J1290" cm="1">
        <f t="array" ref="J1290">_xlfn.IFS(H1290&lt;30,0,H1290&lt;60,1,H1290&lt;90,2,H1290&lt;120,3)</f>
        <v>0</v>
      </c>
      <c r="M1290" t="str">
        <f t="shared" si="122"/>
        <v>Low</v>
      </c>
      <c r="N1290" t="str">
        <f t="shared" si="125"/>
        <v>Dec</v>
      </c>
      <c r="O1290">
        <f t="shared" si="126"/>
        <v>2025</v>
      </c>
    </row>
    <row r="1291" spans="1:15" x14ac:dyDescent="0.3">
      <c r="A1291">
        <v>203260</v>
      </c>
      <c r="B1291" t="s">
        <v>48</v>
      </c>
      <c r="C1291" s="2">
        <v>46008</v>
      </c>
      <c r="D1291" s="2">
        <f t="shared" si="124"/>
        <v>46053</v>
      </c>
      <c r="E1291" s="1">
        <f>D1291</f>
        <v>46053</v>
      </c>
      <c r="F1291">
        <v>1902</v>
      </c>
      <c r="G1291">
        <v>45</v>
      </c>
      <c r="H1291">
        <f t="shared" si="123"/>
        <v>0</v>
      </c>
      <c r="I1291" t="str">
        <f t="shared" si="121"/>
        <v>On Time</v>
      </c>
      <c r="J1291" cm="1">
        <f t="array" ref="J1291">_xlfn.IFS(H1291&lt;30,0,H1291&lt;60,1,H1291&lt;90,2,H1291&lt;120,3)</f>
        <v>0</v>
      </c>
      <c r="M1291" t="str">
        <f t="shared" si="122"/>
        <v>Low</v>
      </c>
      <c r="N1291" t="str">
        <f t="shared" si="125"/>
        <v>Dec</v>
      </c>
      <c r="O1291">
        <f t="shared" si="126"/>
        <v>2025</v>
      </c>
    </row>
    <row r="1292" spans="1:15" x14ac:dyDescent="0.3">
      <c r="A1292">
        <v>203261</v>
      </c>
      <c r="B1292" t="s">
        <v>49</v>
      </c>
      <c r="C1292" s="2">
        <v>46008</v>
      </c>
      <c r="D1292" s="2">
        <f t="shared" si="124"/>
        <v>46038</v>
      </c>
      <c r="E1292" s="1">
        <f>D1292+5</f>
        <v>46043</v>
      </c>
      <c r="F1292">
        <v>391</v>
      </c>
      <c r="G1292">
        <v>30</v>
      </c>
      <c r="H1292">
        <f t="shared" si="123"/>
        <v>0</v>
      </c>
      <c r="I1292" t="str">
        <f t="shared" si="121"/>
        <v>On Time</v>
      </c>
      <c r="J1292" cm="1">
        <f t="array" ref="J1292">_xlfn.IFS(H1292&lt;30,0,H1292&lt;60,1,H1292&lt;90,2,H1292&lt;120,3)</f>
        <v>0</v>
      </c>
      <c r="M1292" t="str">
        <f t="shared" si="122"/>
        <v>Low</v>
      </c>
      <c r="N1292" t="str">
        <f t="shared" si="125"/>
        <v>Dec</v>
      </c>
      <c r="O1292">
        <f t="shared" si="126"/>
        <v>2025</v>
      </c>
    </row>
    <row r="1293" spans="1:15" x14ac:dyDescent="0.3">
      <c r="A1293">
        <v>203262</v>
      </c>
      <c r="B1293" t="s">
        <v>50</v>
      </c>
      <c r="C1293" s="2">
        <v>46008</v>
      </c>
      <c r="D1293" s="2">
        <f t="shared" si="124"/>
        <v>46038</v>
      </c>
      <c r="E1293" s="1">
        <f>D1293+2</f>
        <v>46040</v>
      </c>
      <c r="F1293">
        <v>734</v>
      </c>
      <c r="G1293">
        <v>30</v>
      </c>
      <c r="H1293">
        <f t="shared" si="123"/>
        <v>0</v>
      </c>
      <c r="I1293" t="str">
        <f t="shared" si="121"/>
        <v>On Time</v>
      </c>
      <c r="J1293" cm="1">
        <f t="array" ref="J1293">_xlfn.IFS(H1293&lt;30,0,H1293&lt;60,1,H1293&lt;90,2,H1293&lt;120,3)</f>
        <v>0</v>
      </c>
      <c r="M1293" t="str">
        <f t="shared" si="122"/>
        <v>Low</v>
      </c>
      <c r="N1293" t="str">
        <f t="shared" si="125"/>
        <v>Dec</v>
      </c>
      <c r="O1293">
        <f t="shared" si="126"/>
        <v>2025</v>
      </c>
    </row>
    <row r="1294" spans="1:15" x14ac:dyDescent="0.3">
      <c r="A1294">
        <v>203263</v>
      </c>
      <c r="B1294" t="s">
        <v>51</v>
      </c>
      <c r="C1294" s="2">
        <v>46008</v>
      </c>
      <c r="D1294" s="2">
        <f t="shared" si="124"/>
        <v>46038</v>
      </c>
      <c r="E1294" s="1">
        <f>D1294+5</f>
        <v>46043</v>
      </c>
      <c r="F1294">
        <v>2738</v>
      </c>
      <c r="G1294">
        <v>30</v>
      </c>
      <c r="H1294">
        <f t="shared" si="123"/>
        <v>0</v>
      </c>
      <c r="I1294" t="str">
        <f t="shared" si="121"/>
        <v>On Time</v>
      </c>
      <c r="J1294" cm="1">
        <f t="array" ref="J1294">_xlfn.IFS(H1294&lt;30,0,H1294&lt;60,1,H1294&lt;90,2,H1294&lt;120,3)</f>
        <v>0</v>
      </c>
      <c r="M1294" t="str">
        <f t="shared" si="122"/>
        <v>Low</v>
      </c>
      <c r="N1294" t="str">
        <f t="shared" si="125"/>
        <v>Dec</v>
      </c>
      <c r="O1294">
        <f t="shared" si="126"/>
        <v>2025</v>
      </c>
    </row>
    <row r="1295" spans="1:15" x14ac:dyDescent="0.3">
      <c r="A1295">
        <v>203264</v>
      </c>
      <c r="B1295" t="s">
        <v>52</v>
      </c>
      <c r="C1295" s="2">
        <v>46008</v>
      </c>
      <c r="D1295" s="2">
        <f t="shared" si="124"/>
        <v>46038</v>
      </c>
      <c r="E1295" s="1">
        <f>D1295</f>
        <v>46038</v>
      </c>
      <c r="F1295">
        <v>3605</v>
      </c>
      <c r="G1295">
        <v>30</v>
      </c>
      <c r="H1295">
        <f t="shared" si="123"/>
        <v>0</v>
      </c>
      <c r="I1295" t="str">
        <f t="shared" si="121"/>
        <v>On Time</v>
      </c>
      <c r="J1295" cm="1">
        <f t="array" ref="J1295">_xlfn.IFS(H1295&lt;30,0,H1295&lt;60,1,H1295&lt;90,2,H1295&lt;120,3)</f>
        <v>0</v>
      </c>
      <c r="M1295" t="str">
        <f t="shared" si="122"/>
        <v>Low</v>
      </c>
      <c r="N1295" t="str">
        <f t="shared" si="125"/>
        <v>Dec</v>
      </c>
      <c r="O1295">
        <f t="shared" si="126"/>
        <v>2025</v>
      </c>
    </row>
    <row r="1296" spans="1:15" x14ac:dyDescent="0.3">
      <c r="A1296">
        <v>203265</v>
      </c>
      <c r="B1296" t="s">
        <v>53</v>
      </c>
      <c r="C1296" s="2">
        <v>46008</v>
      </c>
      <c r="D1296" s="2">
        <f t="shared" si="124"/>
        <v>46038</v>
      </c>
      <c r="E1296" s="1">
        <f>D1296</f>
        <v>46038</v>
      </c>
      <c r="F1296">
        <v>6342</v>
      </c>
      <c r="G1296">
        <v>30</v>
      </c>
      <c r="H1296">
        <f t="shared" si="123"/>
        <v>0</v>
      </c>
      <c r="I1296" t="str">
        <f t="shared" si="121"/>
        <v>On Time</v>
      </c>
      <c r="J1296" cm="1">
        <f t="array" ref="J1296">_xlfn.IFS(H1296&lt;30,0,H1296&lt;60,1,H1296&lt;90,2,H1296&lt;120,3)</f>
        <v>0</v>
      </c>
      <c r="M1296" t="str">
        <f t="shared" si="122"/>
        <v>Low</v>
      </c>
      <c r="N1296" t="str">
        <f t="shared" si="125"/>
        <v>Dec</v>
      </c>
      <c r="O1296">
        <f t="shared" si="126"/>
        <v>2025</v>
      </c>
    </row>
    <row r="1297" spans="1:15" x14ac:dyDescent="0.3">
      <c r="A1297">
        <v>203266</v>
      </c>
      <c r="B1297" t="s">
        <v>54</v>
      </c>
      <c r="C1297" s="2">
        <v>46008</v>
      </c>
      <c r="D1297" s="2">
        <f t="shared" si="124"/>
        <v>46038</v>
      </c>
      <c r="E1297" s="1">
        <f>D1297+60</f>
        <v>46098</v>
      </c>
      <c r="F1297">
        <v>2108</v>
      </c>
      <c r="G1297">
        <v>30</v>
      </c>
      <c r="H1297">
        <f t="shared" si="123"/>
        <v>0</v>
      </c>
      <c r="I1297" t="str">
        <f t="shared" si="121"/>
        <v>On Time</v>
      </c>
      <c r="J1297" cm="1">
        <f t="array" ref="J1297">_xlfn.IFS(H1297&lt;30,0,H1297&lt;60,1,H1297&lt;90,2,H1297&lt;120,3)</f>
        <v>0</v>
      </c>
      <c r="M1297" t="str">
        <f t="shared" si="122"/>
        <v>Low</v>
      </c>
      <c r="N1297" t="str">
        <f t="shared" si="125"/>
        <v>Dec</v>
      </c>
      <c r="O1297">
        <f t="shared" si="126"/>
        <v>2025</v>
      </c>
    </row>
    <row r="1298" spans="1:15" x14ac:dyDescent="0.3">
      <c r="A1298">
        <v>203267</v>
      </c>
      <c r="B1298" t="s">
        <v>36</v>
      </c>
      <c r="C1298" s="2">
        <v>46008</v>
      </c>
      <c r="D1298" s="2">
        <f t="shared" si="124"/>
        <v>46038</v>
      </c>
      <c r="E1298" s="1">
        <f>D1298</f>
        <v>46038</v>
      </c>
      <c r="F1298">
        <v>126</v>
      </c>
      <c r="G1298">
        <v>30</v>
      </c>
      <c r="H1298">
        <f t="shared" si="123"/>
        <v>0</v>
      </c>
      <c r="I1298" t="str">
        <f t="shared" si="121"/>
        <v>On Time</v>
      </c>
      <c r="J1298" cm="1">
        <f t="array" ref="J1298">_xlfn.IFS(H1298&lt;30,0,H1298&lt;60,1,H1298&lt;90,2,H1298&lt;120,3)</f>
        <v>0</v>
      </c>
      <c r="M1298" t="str">
        <f t="shared" si="122"/>
        <v>Low</v>
      </c>
      <c r="N1298" t="str">
        <f t="shared" si="125"/>
        <v>Dec</v>
      </c>
      <c r="O1298">
        <f t="shared" si="126"/>
        <v>2025</v>
      </c>
    </row>
    <row r="1299" spans="1:15" x14ac:dyDescent="0.3">
      <c r="A1299">
        <v>203268</v>
      </c>
      <c r="B1299" t="s">
        <v>37</v>
      </c>
      <c r="C1299" s="2">
        <v>46008</v>
      </c>
      <c r="D1299" s="2">
        <f t="shared" si="124"/>
        <v>46038</v>
      </c>
      <c r="F1299">
        <v>2687</v>
      </c>
      <c r="G1299">
        <v>30</v>
      </c>
      <c r="H1299">
        <f t="shared" si="123"/>
        <v>0</v>
      </c>
      <c r="I1299" t="str">
        <f t="shared" si="121"/>
        <v>On Time</v>
      </c>
      <c r="J1299" cm="1">
        <f t="array" ref="J1299">_xlfn.IFS(H1299&lt;30,0,H1299&lt;60,1,H1299&lt;90,2,H1299&lt;120,3)</f>
        <v>0</v>
      </c>
      <c r="M1299" t="str">
        <f t="shared" si="122"/>
        <v>Low</v>
      </c>
      <c r="N1299" t="str">
        <f t="shared" si="125"/>
        <v>Dec</v>
      </c>
      <c r="O1299">
        <f t="shared" si="126"/>
        <v>2025</v>
      </c>
    </row>
    <row r="1300" spans="1:15" x14ac:dyDescent="0.3">
      <c r="A1300">
        <v>203269</v>
      </c>
      <c r="B1300" t="s">
        <v>38</v>
      </c>
      <c r="C1300" s="2">
        <v>46008</v>
      </c>
      <c r="D1300" s="2">
        <f t="shared" si="124"/>
        <v>46038</v>
      </c>
      <c r="E1300" s="1">
        <f>D1300+3</f>
        <v>46041</v>
      </c>
      <c r="F1300">
        <v>882</v>
      </c>
      <c r="G1300">
        <v>30</v>
      </c>
      <c r="H1300">
        <f t="shared" si="123"/>
        <v>0</v>
      </c>
      <c r="I1300" t="str">
        <f t="shared" si="121"/>
        <v>On Time</v>
      </c>
      <c r="J1300" cm="1">
        <f t="array" ref="J1300">_xlfn.IFS(H1300&lt;30,0,H1300&lt;60,1,H1300&lt;90,2,H1300&lt;120,3)</f>
        <v>0</v>
      </c>
      <c r="M1300" t="str">
        <f t="shared" si="122"/>
        <v>Low</v>
      </c>
      <c r="N1300" t="str">
        <f t="shared" si="125"/>
        <v>Dec</v>
      </c>
      <c r="O1300">
        <f t="shared" si="126"/>
        <v>2025</v>
      </c>
    </row>
    <row r="1301" spans="1:15" x14ac:dyDescent="0.3">
      <c r="A1301">
        <v>203270</v>
      </c>
      <c r="B1301" t="s">
        <v>39</v>
      </c>
      <c r="C1301" s="2">
        <v>46008</v>
      </c>
      <c r="D1301" s="2">
        <f t="shared" si="124"/>
        <v>46038</v>
      </c>
      <c r="E1301" s="1">
        <f>D1301+1</f>
        <v>46039</v>
      </c>
      <c r="F1301">
        <v>4089</v>
      </c>
      <c r="G1301">
        <v>30</v>
      </c>
      <c r="H1301">
        <f t="shared" si="123"/>
        <v>0</v>
      </c>
      <c r="I1301" t="str">
        <f t="shared" si="121"/>
        <v>On Time</v>
      </c>
      <c r="J1301" cm="1">
        <f t="array" ref="J1301">_xlfn.IFS(H1301&lt;30,0,H1301&lt;60,1,H1301&lt;90,2,H1301&lt;120,3)</f>
        <v>0</v>
      </c>
      <c r="M1301" t="str">
        <f t="shared" si="122"/>
        <v>Low</v>
      </c>
      <c r="N1301" t="str">
        <f t="shared" si="125"/>
        <v>Dec</v>
      </c>
      <c r="O1301">
        <f t="shared" si="126"/>
        <v>2025</v>
      </c>
    </row>
    <row r="1302" spans="1:15" x14ac:dyDescent="0.3">
      <c r="A1302">
        <v>203271</v>
      </c>
      <c r="B1302" t="s">
        <v>40</v>
      </c>
      <c r="C1302" s="2">
        <v>46008</v>
      </c>
      <c r="D1302" s="2">
        <f t="shared" si="124"/>
        <v>46038</v>
      </c>
      <c r="E1302" s="1">
        <f>D1302-1</f>
        <v>46037</v>
      </c>
      <c r="F1302">
        <v>1496</v>
      </c>
      <c r="G1302">
        <v>30</v>
      </c>
      <c r="H1302">
        <f t="shared" si="123"/>
        <v>0</v>
      </c>
      <c r="I1302" t="str">
        <f t="shared" ref="I1302:I1365" si="127">IF(H1302=0,"On Time",IF(H1302&lt;=15,"Paid Late","Seriously Late"))</f>
        <v>On Time</v>
      </c>
      <c r="J1302" cm="1">
        <f t="array" ref="J1302">_xlfn.IFS(H1302&lt;30,0,H1302&lt;60,1,H1302&lt;90,2,H1302&lt;120,3)</f>
        <v>0</v>
      </c>
      <c r="M1302" t="str">
        <f t="shared" ref="M1302:M1365" si="128">IF(H1302&gt;30,"High",IF(H1302&gt;10,"Medium","Low"))</f>
        <v>Low</v>
      </c>
      <c r="N1302" t="str">
        <f t="shared" si="125"/>
        <v>Dec</v>
      </c>
      <c r="O1302">
        <f t="shared" si="126"/>
        <v>2025</v>
      </c>
    </row>
    <row r="1303" spans="1:15" x14ac:dyDescent="0.3">
      <c r="A1303">
        <v>203272</v>
      </c>
      <c r="B1303" t="s">
        <v>41</v>
      </c>
      <c r="C1303" s="2">
        <v>46008</v>
      </c>
      <c r="D1303" s="2">
        <f t="shared" si="124"/>
        <v>46038</v>
      </c>
      <c r="E1303" s="1">
        <f>D1303</f>
        <v>46038</v>
      </c>
      <c r="F1303">
        <v>2438</v>
      </c>
      <c r="G1303">
        <v>30</v>
      </c>
      <c r="H1303">
        <f t="shared" si="123"/>
        <v>0</v>
      </c>
      <c r="I1303" t="str">
        <f t="shared" si="127"/>
        <v>On Time</v>
      </c>
      <c r="J1303" cm="1">
        <f t="array" ref="J1303">_xlfn.IFS(H1303&lt;30,0,H1303&lt;60,1,H1303&lt;90,2,H1303&lt;120,3)</f>
        <v>0</v>
      </c>
      <c r="M1303" t="str">
        <f t="shared" si="128"/>
        <v>Low</v>
      </c>
      <c r="N1303" t="str">
        <f t="shared" si="125"/>
        <v>Dec</v>
      </c>
      <c r="O1303">
        <f t="shared" si="126"/>
        <v>2025</v>
      </c>
    </row>
    <row r="1304" spans="1:15" x14ac:dyDescent="0.3">
      <c r="A1304">
        <v>203273</v>
      </c>
      <c r="B1304" t="s">
        <v>42</v>
      </c>
      <c r="C1304" s="2">
        <v>46008</v>
      </c>
      <c r="D1304" s="2">
        <f t="shared" si="124"/>
        <v>46038</v>
      </c>
      <c r="E1304" s="1">
        <f>D1304-5</f>
        <v>46033</v>
      </c>
      <c r="F1304">
        <v>4947</v>
      </c>
      <c r="G1304">
        <v>30</v>
      </c>
      <c r="H1304">
        <f t="shared" si="123"/>
        <v>0</v>
      </c>
      <c r="I1304" t="str">
        <f t="shared" si="127"/>
        <v>On Time</v>
      </c>
      <c r="J1304" cm="1">
        <f t="array" ref="J1304">_xlfn.IFS(H1304&lt;30,0,H1304&lt;60,1,H1304&lt;90,2,H1304&lt;120,3)</f>
        <v>0</v>
      </c>
      <c r="M1304" t="str">
        <f t="shared" si="128"/>
        <v>Low</v>
      </c>
      <c r="N1304" t="str">
        <f t="shared" si="125"/>
        <v>Dec</v>
      </c>
      <c r="O1304">
        <f t="shared" si="126"/>
        <v>2025</v>
      </c>
    </row>
    <row r="1305" spans="1:15" x14ac:dyDescent="0.3">
      <c r="A1305">
        <v>203274</v>
      </c>
      <c r="B1305" t="s">
        <v>43</v>
      </c>
      <c r="C1305" s="2">
        <v>46008</v>
      </c>
      <c r="D1305" s="2">
        <f t="shared" si="124"/>
        <v>46038</v>
      </c>
      <c r="E1305" s="1">
        <f>D1305+35</f>
        <v>46073</v>
      </c>
      <c r="F1305">
        <v>111</v>
      </c>
      <c r="G1305">
        <v>30</v>
      </c>
      <c r="H1305">
        <f t="shared" si="123"/>
        <v>0</v>
      </c>
      <c r="I1305" t="str">
        <f t="shared" si="127"/>
        <v>On Time</v>
      </c>
      <c r="J1305" cm="1">
        <f t="array" ref="J1305">_xlfn.IFS(H1305&lt;30,0,H1305&lt;60,1,H1305&lt;90,2,H1305&lt;120,3)</f>
        <v>0</v>
      </c>
      <c r="M1305" t="str">
        <f t="shared" si="128"/>
        <v>Low</v>
      </c>
      <c r="N1305" t="str">
        <f t="shared" si="125"/>
        <v>Dec</v>
      </c>
      <c r="O1305">
        <f t="shared" si="126"/>
        <v>2025</v>
      </c>
    </row>
    <row r="1306" spans="1:15" x14ac:dyDescent="0.3">
      <c r="A1306">
        <v>203275</v>
      </c>
      <c r="B1306" t="s">
        <v>103</v>
      </c>
      <c r="C1306" s="2">
        <v>46008</v>
      </c>
      <c r="D1306" s="2">
        <f t="shared" si="124"/>
        <v>46038</v>
      </c>
      <c r="E1306" s="1">
        <f>D1306+75</f>
        <v>46113</v>
      </c>
      <c r="F1306">
        <v>3729</v>
      </c>
      <c r="G1306">
        <v>30</v>
      </c>
      <c r="H1306">
        <f t="shared" si="123"/>
        <v>0</v>
      </c>
      <c r="I1306" t="str">
        <f t="shared" si="127"/>
        <v>On Time</v>
      </c>
      <c r="J1306" cm="1">
        <f t="array" ref="J1306">_xlfn.IFS(H1306&lt;30,0,H1306&lt;60,1,H1306&lt;90,2,H1306&lt;120,3)</f>
        <v>0</v>
      </c>
      <c r="M1306" t="str">
        <f t="shared" si="128"/>
        <v>Low</v>
      </c>
      <c r="N1306" t="str">
        <f t="shared" si="125"/>
        <v>Dec</v>
      </c>
      <c r="O1306">
        <f t="shared" si="126"/>
        <v>2025</v>
      </c>
    </row>
    <row r="1307" spans="1:15" x14ac:dyDescent="0.3">
      <c r="A1307">
        <v>203276</v>
      </c>
      <c r="B1307" t="s">
        <v>104</v>
      </c>
      <c r="C1307" s="2">
        <v>46008</v>
      </c>
      <c r="D1307" s="2">
        <f t="shared" si="124"/>
        <v>46038</v>
      </c>
      <c r="E1307" s="1">
        <f>D1307+5</f>
        <v>46043</v>
      </c>
      <c r="F1307">
        <v>382</v>
      </c>
      <c r="G1307">
        <v>30</v>
      </c>
      <c r="H1307">
        <f t="shared" si="123"/>
        <v>0</v>
      </c>
      <c r="I1307" t="str">
        <f t="shared" si="127"/>
        <v>On Time</v>
      </c>
      <c r="J1307" cm="1">
        <f t="array" ref="J1307">_xlfn.IFS(H1307&lt;30,0,H1307&lt;60,1,H1307&lt;90,2,H1307&lt;120,3)</f>
        <v>0</v>
      </c>
      <c r="M1307" t="str">
        <f t="shared" si="128"/>
        <v>Low</v>
      </c>
      <c r="N1307" t="str">
        <f t="shared" si="125"/>
        <v>Dec</v>
      </c>
      <c r="O1307">
        <f t="shared" si="126"/>
        <v>2025</v>
      </c>
    </row>
    <row r="1308" spans="1:15" x14ac:dyDescent="0.3">
      <c r="A1308">
        <v>203277</v>
      </c>
      <c r="B1308" t="s">
        <v>105</v>
      </c>
      <c r="C1308" s="2">
        <v>46008</v>
      </c>
      <c r="D1308" s="2">
        <f t="shared" si="124"/>
        <v>46038</v>
      </c>
      <c r="E1308" s="1">
        <f>D1308</f>
        <v>46038</v>
      </c>
      <c r="F1308">
        <v>483</v>
      </c>
      <c r="G1308">
        <v>30</v>
      </c>
      <c r="H1308">
        <f t="shared" si="123"/>
        <v>0</v>
      </c>
      <c r="I1308" t="str">
        <f t="shared" si="127"/>
        <v>On Time</v>
      </c>
      <c r="J1308" cm="1">
        <f t="array" ref="J1308">_xlfn.IFS(H1308&lt;30,0,H1308&lt;60,1,H1308&lt;90,2,H1308&lt;120,3)</f>
        <v>0</v>
      </c>
      <c r="M1308" t="str">
        <f t="shared" si="128"/>
        <v>Low</v>
      </c>
      <c r="N1308" t="str">
        <f t="shared" si="125"/>
        <v>Dec</v>
      </c>
      <c r="O1308">
        <f t="shared" si="126"/>
        <v>2025</v>
      </c>
    </row>
    <row r="1309" spans="1:15" x14ac:dyDescent="0.3">
      <c r="A1309">
        <v>203224</v>
      </c>
      <c r="B1309" t="s">
        <v>36</v>
      </c>
      <c r="C1309" s="2">
        <v>46007</v>
      </c>
      <c r="D1309" s="2">
        <f t="shared" si="124"/>
        <v>46037</v>
      </c>
      <c r="E1309" s="1">
        <f>D1309</f>
        <v>46037</v>
      </c>
      <c r="F1309">
        <v>4167</v>
      </c>
      <c r="G1309">
        <v>30</v>
      </c>
      <c r="H1309">
        <f t="shared" si="123"/>
        <v>0</v>
      </c>
      <c r="I1309" t="str">
        <f t="shared" si="127"/>
        <v>On Time</v>
      </c>
      <c r="J1309" cm="1">
        <f t="array" ref="J1309">_xlfn.IFS(H1309&lt;30,0,H1309&lt;60,1,H1309&lt;90,2,H1309&lt;120,3)</f>
        <v>0</v>
      </c>
      <c r="M1309" t="str">
        <f t="shared" si="128"/>
        <v>Low</v>
      </c>
      <c r="N1309" t="str">
        <f t="shared" si="125"/>
        <v>Dec</v>
      </c>
      <c r="O1309">
        <f t="shared" si="126"/>
        <v>2025</v>
      </c>
    </row>
    <row r="1310" spans="1:15" x14ac:dyDescent="0.3">
      <c r="A1310">
        <v>203225</v>
      </c>
      <c r="B1310" t="s">
        <v>64</v>
      </c>
      <c r="C1310" s="2">
        <v>46007</v>
      </c>
      <c r="D1310" s="2">
        <f t="shared" si="124"/>
        <v>46037</v>
      </c>
      <c r="E1310" s="1">
        <f>D1310+1</f>
        <v>46038</v>
      </c>
      <c r="F1310">
        <v>4381</v>
      </c>
      <c r="G1310">
        <v>30</v>
      </c>
      <c r="H1310">
        <f t="shared" si="123"/>
        <v>0</v>
      </c>
      <c r="I1310" t="str">
        <f t="shared" si="127"/>
        <v>On Time</v>
      </c>
      <c r="J1310" cm="1">
        <f t="array" ref="J1310">_xlfn.IFS(H1310&lt;30,0,H1310&lt;60,1,H1310&lt;90,2,H1310&lt;120,3)</f>
        <v>0</v>
      </c>
      <c r="M1310" t="str">
        <f t="shared" si="128"/>
        <v>Low</v>
      </c>
      <c r="N1310" t="str">
        <f t="shared" si="125"/>
        <v>Dec</v>
      </c>
      <c r="O1310">
        <f t="shared" si="126"/>
        <v>2025</v>
      </c>
    </row>
    <row r="1311" spans="1:15" x14ac:dyDescent="0.3">
      <c r="A1311">
        <v>203226</v>
      </c>
      <c r="B1311" t="s">
        <v>45</v>
      </c>
      <c r="C1311" s="2">
        <v>46007</v>
      </c>
      <c r="D1311" s="2">
        <f t="shared" si="124"/>
        <v>46052</v>
      </c>
      <c r="E1311" s="1">
        <f>D1311</f>
        <v>46052</v>
      </c>
      <c r="F1311">
        <v>1795</v>
      </c>
      <c r="G1311">
        <v>45</v>
      </c>
      <c r="H1311">
        <f t="shared" si="123"/>
        <v>0</v>
      </c>
      <c r="I1311" t="str">
        <f t="shared" si="127"/>
        <v>On Time</v>
      </c>
      <c r="J1311" cm="1">
        <f t="array" ref="J1311">_xlfn.IFS(H1311&lt;30,0,H1311&lt;60,1,H1311&lt;90,2,H1311&lt;120,3)</f>
        <v>0</v>
      </c>
      <c r="M1311" t="str">
        <f t="shared" si="128"/>
        <v>Low</v>
      </c>
      <c r="N1311" t="str">
        <f t="shared" si="125"/>
        <v>Dec</v>
      </c>
      <c r="O1311">
        <f t="shared" si="126"/>
        <v>2025</v>
      </c>
    </row>
    <row r="1312" spans="1:15" x14ac:dyDescent="0.3">
      <c r="A1312">
        <v>203227</v>
      </c>
      <c r="B1312" t="s">
        <v>46</v>
      </c>
      <c r="C1312" s="2">
        <v>46007</v>
      </c>
      <c r="D1312" s="2">
        <f t="shared" si="124"/>
        <v>46067</v>
      </c>
      <c r="E1312" s="1">
        <f>D1312</f>
        <v>46067</v>
      </c>
      <c r="F1312">
        <v>3891</v>
      </c>
      <c r="G1312">
        <v>60</v>
      </c>
      <c r="H1312">
        <f t="shared" si="123"/>
        <v>0</v>
      </c>
      <c r="I1312" t="str">
        <f t="shared" si="127"/>
        <v>On Time</v>
      </c>
      <c r="J1312" cm="1">
        <f t="array" ref="J1312">_xlfn.IFS(H1312&lt;30,0,H1312&lt;60,1,H1312&lt;90,2,H1312&lt;120,3)</f>
        <v>0</v>
      </c>
      <c r="M1312" t="str">
        <f t="shared" si="128"/>
        <v>Low</v>
      </c>
      <c r="N1312" t="str">
        <f t="shared" si="125"/>
        <v>Dec</v>
      </c>
      <c r="O1312">
        <f t="shared" si="126"/>
        <v>2025</v>
      </c>
    </row>
    <row r="1313" spans="1:15" x14ac:dyDescent="0.3">
      <c r="A1313">
        <v>203228</v>
      </c>
      <c r="B1313" t="s">
        <v>114</v>
      </c>
      <c r="C1313" s="2">
        <v>46007</v>
      </c>
      <c r="D1313" s="2">
        <f t="shared" si="124"/>
        <v>46037</v>
      </c>
      <c r="E1313" s="1">
        <f>D1313+5</f>
        <v>46042</v>
      </c>
      <c r="F1313">
        <v>2308</v>
      </c>
      <c r="G1313">
        <v>30</v>
      </c>
      <c r="H1313">
        <f t="shared" si="123"/>
        <v>0</v>
      </c>
      <c r="I1313" t="str">
        <f t="shared" si="127"/>
        <v>On Time</v>
      </c>
      <c r="J1313" cm="1">
        <f t="array" ref="J1313">_xlfn.IFS(H1313&lt;30,0,H1313&lt;60,1,H1313&lt;90,2,H1313&lt;120,3)</f>
        <v>0</v>
      </c>
      <c r="M1313" t="str">
        <f t="shared" si="128"/>
        <v>Low</v>
      </c>
      <c r="N1313" t="str">
        <f t="shared" si="125"/>
        <v>Dec</v>
      </c>
      <c r="O1313">
        <f t="shared" si="126"/>
        <v>2025</v>
      </c>
    </row>
    <row r="1314" spans="1:15" x14ac:dyDescent="0.3">
      <c r="A1314">
        <v>203229</v>
      </c>
      <c r="B1314" t="s">
        <v>115</v>
      </c>
      <c r="C1314" s="2">
        <v>46007</v>
      </c>
      <c r="D1314" s="2">
        <f t="shared" si="124"/>
        <v>46037</v>
      </c>
      <c r="E1314" s="1">
        <f>D1314+2</f>
        <v>46039</v>
      </c>
      <c r="F1314">
        <v>3594</v>
      </c>
      <c r="G1314">
        <v>30</v>
      </c>
      <c r="H1314">
        <f t="shared" si="123"/>
        <v>0</v>
      </c>
      <c r="I1314" t="str">
        <f t="shared" si="127"/>
        <v>On Time</v>
      </c>
      <c r="J1314" cm="1">
        <f t="array" ref="J1314">_xlfn.IFS(H1314&lt;30,0,H1314&lt;60,1,H1314&lt;90,2,H1314&lt;120,3)</f>
        <v>0</v>
      </c>
      <c r="M1314" t="str">
        <f t="shared" si="128"/>
        <v>Low</v>
      </c>
      <c r="N1314" t="str">
        <f t="shared" si="125"/>
        <v>Dec</v>
      </c>
      <c r="O1314">
        <f t="shared" si="126"/>
        <v>2025</v>
      </c>
    </row>
    <row r="1315" spans="1:15" x14ac:dyDescent="0.3">
      <c r="A1315">
        <v>203230</v>
      </c>
      <c r="B1315" t="s">
        <v>116</v>
      </c>
      <c r="C1315" s="2">
        <v>46007</v>
      </c>
      <c r="D1315" s="2">
        <f t="shared" si="124"/>
        <v>46037</v>
      </c>
      <c r="E1315" s="1">
        <f>D1315</f>
        <v>46037</v>
      </c>
      <c r="F1315">
        <v>452</v>
      </c>
      <c r="G1315">
        <v>30</v>
      </c>
      <c r="H1315">
        <f t="shared" si="123"/>
        <v>0</v>
      </c>
      <c r="I1315" t="str">
        <f t="shared" si="127"/>
        <v>On Time</v>
      </c>
      <c r="J1315" cm="1">
        <f t="array" ref="J1315">_xlfn.IFS(H1315&lt;30,0,H1315&lt;60,1,H1315&lt;90,2,H1315&lt;120,3)</f>
        <v>0</v>
      </c>
      <c r="M1315" t="str">
        <f t="shared" si="128"/>
        <v>Low</v>
      </c>
      <c r="N1315" t="str">
        <f t="shared" si="125"/>
        <v>Dec</v>
      </c>
      <c r="O1315">
        <f t="shared" si="126"/>
        <v>2025</v>
      </c>
    </row>
    <row r="1316" spans="1:15" x14ac:dyDescent="0.3">
      <c r="A1316">
        <v>203231</v>
      </c>
      <c r="B1316" t="s">
        <v>117</v>
      </c>
      <c r="C1316" s="2">
        <v>46007</v>
      </c>
      <c r="D1316" s="2">
        <f t="shared" si="124"/>
        <v>46037</v>
      </c>
      <c r="E1316" s="1">
        <f>D1316</f>
        <v>46037</v>
      </c>
      <c r="F1316">
        <v>2944</v>
      </c>
      <c r="G1316">
        <v>30</v>
      </c>
      <c r="H1316">
        <f t="shared" si="123"/>
        <v>0</v>
      </c>
      <c r="I1316" t="str">
        <f t="shared" si="127"/>
        <v>On Time</v>
      </c>
      <c r="J1316" cm="1">
        <f t="array" ref="J1316">_xlfn.IFS(H1316&lt;30,0,H1316&lt;60,1,H1316&lt;90,2,H1316&lt;120,3)</f>
        <v>0</v>
      </c>
      <c r="M1316" t="str">
        <f t="shared" si="128"/>
        <v>Low</v>
      </c>
      <c r="N1316" t="str">
        <f t="shared" si="125"/>
        <v>Dec</v>
      </c>
      <c r="O1316">
        <f t="shared" si="126"/>
        <v>2025</v>
      </c>
    </row>
    <row r="1317" spans="1:15" x14ac:dyDescent="0.3">
      <c r="A1317">
        <v>203232</v>
      </c>
      <c r="B1317" t="s">
        <v>118</v>
      </c>
      <c r="C1317" s="2">
        <v>46007</v>
      </c>
      <c r="D1317" s="2">
        <f t="shared" si="124"/>
        <v>46037</v>
      </c>
      <c r="E1317" s="1">
        <f>D1317</f>
        <v>46037</v>
      </c>
      <c r="F1317">
        <v>350</v>
      </c>
      <c r="G1317">
        <v>30</v>
      </c>
      <c r="H1317">
        <f t="shared" si="123"/>
        <v>0</v>
      </c>
      <c r="I1317" t="str">
        <f t="shared" si="127"/>
        <v>On Time</v>
      </c>
      <c r="J1317" cm="1">
        <f t="array" ref="J1317">_xlfn.IFS(H1317&lt;30,0,H1317&lt;60,1,H1317&lt;90,2,H1317&lt;120,3)</f>
        <v>0</v>
      </c>
      <c r="M1317" t="str">
        <f t="shared" si="128"/>
        <v>Low</v>
      </c>
      <c r="N1317" t="str">
        <f t="shared" si="125"/>
        <v>Dec</v>
      </c>
      <c r="O1317">
        <f t="shared" si="126"/>
        <v>2025</v>
      </c>
    </row>
    <row r="1318" spans="1:15" x14ac:dyDescent="0.3">
      <c r="A1318">
        <v>203233</v>
      </c>
      <c r="B1318" t="s">
        <v>119</v>
      </c>
      <c r="C1318" s="2">
        <v>46007</v>
      </c>
      <c r="D1318" s="2">
        <f t="shared" si="124"/>
        <v>46037</v>
      </c>
      <c r="E1318" s="1">
        <f>D1318+60</f>
        <v>46097</v>
      </c>
      <c r="F1318">
        <v>4161</v>
      </c>
      <c r="G1318">
        <v>30</v>
      </c>
      <c r="H1318">
        <f t="shared" ref="H1318:H1381" si="129">MAX(0,P1283-D1318)</f>
        <v>0</v>
      </c>
      <c r="I1318" t="str">
        <f t="shared" si="127"/>
        <v>On Time</v>
      </c>
      <c r="J1318" cm="1">
        <f t="array" ref="J1318">_xlfn.IFS(H1318&lt;30,0,H1318&lt;60,1,H1318&lt;90,2,H1318&lt;120,3)</f>
        <v>0</v>
      </c>
      <c r="M1318" t="str">
        <f t="shared" si="128"/>
        <v>Low</v>
      </c>
      <c r="N1318" t="str">
        <f t="shared" si="125"/>
        <v>Dec</v>
      </c>
      <c r="O1318">
        <f t="shared" si="126"/>
        <v>2025</v>
      </c>
    </row>
    <row r="1319" spans="1:15" x14ac:dyDescent="0.3">
      <c r="A1319">
        <v>203234</v>
      </c>
      <c r="B1319" t="s">
        <v>100</v>
      </c>
      <c r="C1319" s="2">
        <v>46007</v>
      </c>
      <c r="D1319" s="2">
        <f t="shared" si="124"/>
        <v>46037</v>
      </c>
      <c r="E1319" s="1">
        <f>D1319</f>
        <v>46037</v>
      </c>
      <c r="F1319">
        <v>3718</v>
      </c>
      <c r="G1319">
        <v>30</v>
      </c>
      <c r="H1319">
        <f t="shared" si="129"/>
        <v>0</v>
      </c>
      <c r="I1319" t="str">
        <f t="shared" si="127"/>
        <v>On Time</v>
      </c>
      <c r="J1319" cm="1">
        <f t="array" ref="J1319">_xlfn.IFS(H1319&lt;30,0,H1319&lt;60,1,H1319&lt;90,2,H1319&lt;120,3)</f>
        <v>0</v>
      </c>
      <c r="M1319" t="str">
        <f t="shared" si="128"/>
        <v>Low</v>
      </c>
      <c r="N1319" t="str">
        <f t="shared" si="125"/>
        <v>Dec</v>
      </c>
      <c r="O1319">
        <f t="shared" si="126"/>
        <v>2025</v>
      </c>
    </row>
    <row r="1320" spans="1:15" x14ac:dyDescent="0.3">
      <c r="A1320">
        <v>203235</v>
      </c>
      <c r="B1320" t="s">
        <v>101</v>
      </c>
      <c r="C1320" s="2">
        <v>46007</v>
      </c>
      <c r="D1320" s="2">
        <f t="shared" si="124"/>
        <v>46037</v>
      </c>
      <c r="E1320" s="1">
        <f>D1320</f>
        <v>46037</v>
      </c>
      <c r="F1320">
        <v>625</v>
      </c>
      <c r="G1320">
        <v>30</v>
      </c>
      <c r="H1320">
        <f t="shared" si="129"/>
        <v>0</v>
      </c>
      <c r="I1320" t="str">
        <f t="shared" si="127"/>
        <v>On Time</v>
      </c>
      <c r="J1320" cm="1">
        <f t="array" ref="J1320">_xlfn.IFS(H1320&lt;30,0,H1320&lt;60,1,H1320&lt;90,2,H1320&lt;120,3)</f>
        <v>0</v>
      </c>
      <c r="M1320" t="str">
        <f t="shared" si="128"/>
        <v>Low</v>
      </c>
      <c r="N1320" t="str">
        <f t="shared" si="125"/>
        <v>Dec</v>
      </c>
      <c r="O1320">
        <f t="shared" si="126"/>
        <v>2025</v>
      </c>
    </row>
    <row r="1321" spans="1:15" x14ac:dyDescent="0.3">
      <c r="A1321">
        <v>203236</v>
      </c>
      <c r="B1321" t="s">
        <v>102</v>
      </c>
      <c r="C1321" s="2">
        <v>46007</v>
      </c>
      <c r="D1321" s="2">
        <f t="shared" si="124"/>
        <v>46037</v>
      </c>
      <c r="E1321" s="1">
        <f>D1321+3</f>
        <v>46040</v>
      </c>
      <c r="F1321">
        <v>2954</v>
      </c>
      <c r="G1321">
        <v>30</v>
      </c>
      <c r="H1321">
        <f t="shared" si="129"/>
        <v>0</v>
      </c>
      <c r="I1321" t="str">
        <f t="shared" si="127"/>
        <v>On Time</v>
      </c>
      <c r="J1321" cm="1">
        <f t="array" ref="J1321">_xlfn.IFS(H1321&lt;30,0,H1321&lt;60,1,H1321&lt;90,2,H1321&lt;120,3)</f>
        <v>0</v>
      </c>
      <c r="M1321" t="str">
        <f t="shared" si="128"/>
        <v>Low</v>
      </c>
      <c r="N1321" t="str">
        <f t="shared" si="125"/>
        <v>Dec</v>
      </c>
      <c r="O1321">
        <f t="shared" si="126"/>
        <v>2025</v>
      </c>
    </row>
    <row r="1322" spans="1:15" x14ac:dyDescent="0.3">
      <c r="A1322">
        <v>203237</v>
      </c>
      <c r="B1322" t="s">
        <v>103</v>
      </c>
      <c r="C1322" s="2">
        <v>46007</v>
      </c>
      <c r="D1322" s="2">
        <f t="shared" si="124"/>
        <v>46037</v>
      </c>
      <c r="E1322" s="1">
        <f>D1322+1</f>
        <v>46038</v>
      </c>
      <c r="F1322">
        <v>1298</v>
      </c>
      <c r="G1322">
        <v>30</v>
      </c>
      <c r="H1322">
        <f t="shared" si="129"/>
        <v>0</v>
      </c>
      <c r="I1322" t="str">
        <f t="shared" si="127"/>
        <v>On Time</v>
      </c>
      <c r="J1322" cm="1">
        <f t="array" ref="J1322">_xlfn.IFS(H1322&lt;30,0,H1322&lt;60,1,H1322&lt;90,2,H1322&lt;120,3)</f>
        <v>0</v>
      </c>
      <c r="M1322" t="str">
        <f t="shared" si="128"/>
        <v>Low</v>
      </c>
      <c r="N1322" t="str">
        <f t="shared" si="125"/>
        <v>Dec</v>
      </c>
      <c r="O1322">
        <f t="shared" si="126"/>
        <v>2025</v>
      </c>
    </row>
    <row r="1323" spans="1:15" x14ac:dyDescent="0.3">
      <c r="A1323">
        <v>203238</v>
      </c>
      <c r="B1323" t="s">
        <v>104</v>
      </c>
      <c r="C1323" s="2">
        <v>46007</v>
      </c>
      <c r="D1323" s="2">
        <f t="shared" si="124"/>
        <v>46037</v>
      </c>
      <c r="E1323" s="1">
        <f>D1323-1</f>
        <v>46036</v>
      </c>
      <c r="F1323">
        <v>2936</v>
      </c>
      <c r="G1323">
        <v>30</v>
      </c>
      <c r="H1323">
        <f t="shared" si="129"/>
        <v>0</v>
      </c>
      <c r="I1323" t="str">
        <f t="shared" si="127"/>
        <v>On Time</v>
      </c>
      <c r="J1323" cm="1">
        <f t="array" ref="J1323">_xlfn.IFS(H1323&lt;30,0,H1323&lt;60,1,H1323&lt;90,2,H1323&lt;120,3)</f>
        <v>0</v>
      </c>
      <c r="M1323" t="str">
        <f t="shared" si="128"/>
        <v>Low</v>
      </c>
      <c r="N1323" t="str">
        <f t="shared" si="125"/>
        <v>Dec</v>
      </c>
      <c r="O1323">
        <f t="shared" si="126"/>
        <v>2025</v>
      </c>
    </row>
    <row r="1324" spans="1:15" x14ac:dyDescent="0.3">
      <c r="A1324">
        <v>203239</v>
      </c>
      <c r="B1324" t="s">
        <v>105</v>
      </c>
      <c r="C1324" s="2">
        <v>46007</v>
      </c>
      <c r="D1324" s="2">
        <f t="shared" si="124"/>
        <v>46037</v>
      </c>
      <c r="E1324" s="1">
        <f>D1324</f>
        <v>46037</v>
      </c>
      <c r="F1324">
        <v>139</v>
      </c>
      <c r="G1324">
        <v>30</v>
      </c>
      <c r="H1324">
        <f t="shared" si="129"/>
        <v>0</v>
      </c>
      <c r="I1324" t="str">
        <f t="shared" si="127"/>
        <v>On Time</v>
      </c>
      <c r="J1324" cm="1">
        <f t="array" ref="J1324">_xlfn.IFS(H1324&lt;30,0,H1324&lt;60,1,H1324&lt;90,2,H1324&lt;120,3)</f>
        <v>0</v>
      </c>
      <c r="M1324" t="str">
        <f t="shared" si="128"/>
        <v>Low</v>
      </c>
      <c r="N1324" t="str">
        <f t="shared" si="125"/>
        <v>Dec</v>
      </c>
      <c r="O1324">
        <f t="shared" si="126"/>
        <v>2025</v>
      </c>
    </row>
    <row r="1325" spans="1:15" x14ac:dyDescent="0.3">
      <c r="A1325">
        <v>203240</v>
      </c>
      <c r="B1325" t="s">
        <v>86</v>
      </c>
      <c r="C1325" s="2">
        <v>46007</v>
      </c>
      <c r="D1325" s="2">
        <f t="shared" si="124"/>
        <v>46037</v>
      </c>
      <c r="E1325" s="1">
        <f>D1325+1</f>
        <v>46038</v>
      </c>
      <c r="F1325">
        <v>939</v>
      </c>
      <c r="G1325">
        <v>30</v>
      </c>
      <c r="H1325">
        <f t="shared" si="129"/>
        <v>0</v>
      </c>
      <c r="I1325" t="str">
        <f t="shared" si="127"/>
        <v>On Time</v>
      </c>
      <c r="J1325" cm="1">
        <f t="array" ref="J1325">_xlfn.IFS(H1325&lt;30,0,H1325&lt;60,1,H1325&lt;90,2,H1325&lt;120,3)</f>
        <v>0</v>
      </c>
      <c r="M1325" t="str">
        <f t="shared" si="128"/>
        <v>Low</v>
      </c>
      <c r="N1325" t="str">
        <f t="shared" si="125"/>
        <v>Dec</v>
      </c>
      <c r="O1325">
        <f t="shared" si="126"/>
        <v>2025</v>
      </c>
    </row>
    <row r="1326" spans="1:15" x14ac:dyDescent="0.3">
      <c r="A1326">
        <v>203241</v>
      </c>
      <c r="B1326" t="s">
        <v>87</v>
      </c>
      <c r="C1326" s="2">
        <v>46007</v>
      </c>
      <c r="D1326" s="2">
        <f t="shared" si="124"/>
        <v>46037</v>
      </c>
      <c r="E1326" s="1">
        <f>D1326+35</f>
        <v>46072</v>
      </c>
      <c r="F1326">
        <v>4977</v>
      </c>
      <c r="G1326">
        <v>30</v>
      </c>
      <c r="H1326">
        <f t="shared" si="129"/>
        <v>0</v>
      </c>
      <c r="I1326" t="str">
        <f t="shared" si="127"/>
        <v>On Time</v>
      </c>
      <c r="J1326" cm="1">
        <f t="array" ref="J1326">_xlfn.IFS(H1326&lt;30,0,H1326&lt;60,1,H1326&lt;90,2,H1326&lt;120,3)</f>
        <v>0</v>
      </c>
      <c r="M1326" t="str">
        <f t="shared" si="128"/>
        <v>Low</v>
      </c>
      <c r="N1326" t="str">
        <f t="shared" si="125"/>
        <v>Dec</v>
      </c>
      <c r="O1326">
        <f t="shared" si="126"/>
        <v>2025</v>
      </c>
    </row>
    <row r="1327" spans="1:15" x14ac:dyDescent="0.3">
      <c r="A1327">
        <v>203242</v>
      </c>
      <c r="B1327" t="s">
        <v>88</v>
      </c>
      <c r="C1327" s="2">
        <v>46007</v>
      </c>
      <c r="D1327" s="2">
        <f t="shared" si="124"/>
        <v>46037</v>
      </c>
      <c r="E1327" s="1">
        <f>D1327+75</f>
        <v>46112</v>
      </c>
      <c r="F1327">
        <v>4454</v>
      </c>
      <c r="G1327">
        <v>30</v>
      </c>
      <c r="H1327">
        <f t="shared" si="129"/>
        <v>0</v>
      </c>
      <c r="I1327" t="str">
        <f t="shared" si="127"/>
        <v>On Time</v>
      </c>
      <c r="J1327" cm="1">
        <f t="array" ref="J1327">_xlfn.IFS(H1327&lt;30,0,H1327&lt;60,1,H1327&lt;90,2,H1327&lt;120,3)</f>
        <v>0</v>
      </c>
      <c r="M1327" t="str">
        <f t="shared" si="128"/>
        <v>Low</v>
      </c>
      <c r="N1327" t="str">
        <f t="shared" si="125"/>
        <v>Dec</v>
      </c>
      <c r="O1327">
        <f t="shared" si="126"/>
        <v>2025</v>
      </c>
    </row>
    <row r="1328" spans="1:15" x14ac:dyDescent="0.3">
      <c r="A1328">
        <v>203243</v>
      </c>
      <c r="B1328" t="s">
        <v>89</v>
      </c>
      <c r="C1328" s="2">
        <v>46007</v>
      </c>
      <c r="D1328" s="2">
        <f t="shared" si="124"/>
        <v>46037</v>
      </c>
      <c r="E1328" s="1">
        <f>D1328+5</f>
        <v>46042</v>
      </c>
      <c r="F1328">
        <v>1049</v>
      </c>
      <c r="G1328">
        <v>30</v>
      </c>
      <c r="H1328">
        <f t="shared" si="129"/>
        <v>0</v>
      </c>
      <c r="I1328" t="str">
        <f t="shared" si="127"/>
        <v>On Time</v>
      </c>
      <c r="J1328" cm="1">
        <f t="array" ref="J1328">_xlfn.IFS(H1328&lt;30,0,H1328&lt;60,1,H1328&lt;90,2,H1328&lt;120,3)</f>
        <v>0</v>
      </c>
      <c r="M1328" t="str">
        <f t="shared" si="128"/>
        <v>Low</v>
      </c>
      <c r="N1328" t="str">
        <f t="shared" si="125"/>
        <v>Dec</v>
      </c>
      <c r="O1328">
        <f t="shared" si="126"/>
        <v>2025</v>
      </c>
    </row>
    <row r="1329" spans="1:15" x14ac:dyDescent="0.3">
      <c r="A1329">
        <v>203244</v>
      </c>
      <c r="B1329" t="s">
        <v>90</v>
      </c>
      <c r="C1329" s="2">
        <v>46007</v>
      </c>
      <c r="D1329" s="2">
        <f t="shared" si="124"/>
        <v>46037</v>
      </c>
      <c r="E1329" s="1">
        <f>D1329</f>
        <v>46037</v>
      </c>
      <c r="F1329">
        <v>2930</v>
      </c>
      <c r="G1329">
        <v>30</v>
      </c>
      <c r="H1329">
        <f t="shared" si="129"/>
        <v>0</v>
      </c>
      <c r="I1329" t="str">
        <f t="shared" si="127"/>
        <v>On Time</v>
      </c>
      <c r="J1329" cm="1">
        <f t="array" ref="J1329">_xlfn.IFS(H1329&lt;30,0,H1329&lt;60,1,H1329&lt;90,2,H1329&lt;120,3)</f>
        <v>0</v>
      </c>
      <c r="M1329" t="str">
        <f t="shared" si="128"/>
        <v>Low</v>
      </c>
      <c r="N1329" t="str">
        <f t="shared" si="125"/>
        <v>Dec</v>
      </c>
      <c r="O1329">
        <f t="shared" si="126"/>
        <v>2025</v>
      </c>
    </row>
    <row r="1330" spans="1:15" x14ac:dyDescent="0.3">
      <c r="A1330">
        <v>203245</v>
      </c>
      <c r="B1330" t="s">
        <v>91</v>
      </c>
      <c r="C1330" s="2">
        <v>46007</v>
      </c>
      <c r="D1330" s="2">
        <f t="shared" si="124"/>
        <v>46037</v>
      </c>
      <c r="E1330" s="1">
        <f>D1330-1</f>
        <v>46036</v>
      </c>
      <c r="F1330">
        <v>16487</v>
      </c>
      <c r="G1330">
        <v>30</v>
      </c>
      <c r="H1330">
        <f t="shared" si="129"/>
        <v>0</v>
      </c>
      <c r="I1330" t="str">
        <f t="shared" si="127"/>
        <v>On Time</v>
      </c>
      <c r="J1330" cm="1">
        <f t="array" ref="J1330">_xlfn.IFS(H1330&lt;30,0,H1330&lt;60,1,H1330&lt;90,2,H1330&lt;120,3)</f>
        <v>0</v>
      </c>
      <c r="M1330" t="str">
        <f t="shared" si="128"/>
        <v>Low</v>
      </c>
      <c r="N1330" t="str">
        <f t="shared" si="125"/>
        <v>Dec</v>
      </c>
      <c r="O1330">
        <f t="shared" si="126"/>
        <v>2025</v>
      </c>
    </row>
    <row r="1331" spans="1:15" x14ac:dyDescent="0.3">
      <c r="A1331">
        <v>203246</v>
      </c>
      <c r="B1331" t="s">
        <v>92</v>
      </c>
      <c r="C1331" s="2">
        <v>46007</v>
      </c>
      <c r="D1331" s="2">
        <f t="shared" si="124"/>
        <v>46037</v>
      </c>
      <c r="E1331" s="1">
        <f>D1331</f>
        <v>46037</v>
      </c>
      <c r="F1331">
        <v>4765</v>
      </c>
      <c r="G1331">
        <v>30</v>
      </c>
      <c r="H1331">
        <f t="shared" si="129"/>
        <v>0</v>
      </c>
      <c r="I1331" t="str">
        <f t="shared" si="127"/>
        <v>On Time</v>
      </c>
      <c r="J1331" cm="1">
        <f t="array" ref="J1331">_xlfn.IFS(H1331&lt;30,0,H1331&lt;60,1,H1331&lt;90,2,H1331&lt;120,3)</f>
        <v>0</v>
      </c>
      <c r="M1331" t="str">
        <f t="shared" si="128"/>
        <v>Low</v>
      </c>
      <c r="N1331" t="str">
        <f t="shared" si="125"/>
        <v>Dec</v>
      </c>
      <c r="O1331">
        <f t="shared" si="126"/>
        <v>2025</v>
      </c>
    </row>
    <row r="1332" spans="1:15" x14ac:dyDescent="0.3">
      <c r="A1332">
        <v>203247</v>
      </c>
      <c r="B1332" t="s">
        <v>93</v>
      </c>
      <c r="C1332" s="2">
        <v>46007</v>
      </c>
      <c r="D1332" s="2">
        <f t="shared" si="124"/>
        <v>46037</v>
      </c>
      <c r="E1332" s="1">
        <f>D1332+32</f>
        <v>46069</v>
      </c>
      <c r="F1332">
        <v>3165</v>
      </c>
      <c r="G1332">
        <v>30</v>
      </c>
      <c r="H1332">
        <f t="shared" si="129"/>
        <v>0</v>
      </c>
      <c r="I1332" t="str">
        <f t="shared" si="127"/>
        <v>On Time</v>
      </c>
      <c r="J1332" cm="1">
        <f t="array" ref="J1332">_xlfn.IFS(H1332&lt;30,0,H1332&lt;60,1,H1332&lt;90,2,H1332&lt;120,3)</f>
        <v>0</v>
      </c>
      <c r="M1332" t="str">
        <f t="shared" si="128"/>
        <v>Low</v>
      </c>
      <c r="N1332" t="str">
        <f t="shared" si="125"/>
        <v>Dec</v>
      </c>
      <c r="O1332">
        <f t="shared" si="126"/>
        <v>2025</v>
      </c>
    </row>
    <row r="1333" spans="1:15" x14ac:dyDescent="0.3">
      <c r="A1333">
        <v>203248</v>
      </c>
      <c r="B1333" t="s">
        <v>94</v>
      </c>
      <c r="C1333" s="2">
        <v>46007</v>
      </c>
      <c r="D1333" s="2">
        <f t="shared" si="124"/>
        <v>46037</v>
      </c>
      <c r="E1333" s="1">
        <f>D1333+15</f>
        <v>46052</v>
      </c>
      <c r="F1333">
        <v>919</v>
      </c>
      <c r="G1333">
        <v>30</v>
      </c>
      <c r="H1333">
        <f t="shared" si="129"/>
        <v>0</v>
      </c>
      <c r="I1333" t="str">
        <f t="shared" si="127"/>
        <v>On Time</v>
      </c>
      <c r="J1333" cm="1">
        <f t="array" ref="J1333">_xlfn.IFS(H1333&lt;30,0,H1333&lt;60,1,H1333&lt;90,2,H1333&lt;120,3)</f>
        <v>0</v>
      </c>
      <c r="M1333" t="str">
        <f t="shared" si="128"/>
        <v>Low</v>
      </c>
      <c r="N1333" t="str">
        <f t="shared" si="125"/>
        <v>Dec</v>
      </c>
      <c r="O1333">
        <f t="shared" si="126"/>
        <v>2025</v>
      </c>
    </row>
    <row r="1334" spans="1:15" x14ac:dyDescent="0.3">
      <c r="A1334">
        <v>203193</v>
      </c>
      <c r="B1334" t="s">
        <v>32</v>
      </c>
      <c r="C1334" s="2">
        <v>46006</v>
      </c>
      <c r="D1334" s="2">
        <f t="shared" si="124"/>
        <v>46051</v>
      </c>
      <c r="E1334" s="1">
        <f>D1334</f>
        <v>46051</v>
      </c>
      <c r="F1334">
        <v>4492</v>
      </c>
      <c r="G1334">
        <v>45</v>
      </c>
      <c r="H1334">
        <f t="shared" si="129"/>
        <v>0</v>
      </c>
      <c r="I1334" t="str">
        <f t="shared" si="127"/>
        <v>On Time</v>
      </c>
      <c r="J1334" cm="1">
        <f t="array" ref="J1334">_xlfn.IFS(H1334&lt;30,0,H1334&lt;60,1,H1334&lt;90,2,H1334&lt;120,3)</f>
        <v>0</v>
      </c>
      <c r="M1334" t="str">
        <f t="shared" si="128"/>
        <v>Low</v>
      </c>
      <c r="N1334" t="str">
        <f t="shared" si="125"/>
        <v>Dec</v>
      </c>
      <c r="O1334">
        <f t="shared" si="126"/>
        <v>2025</v>
      </c>
    </row>
    <row r="1335" spans="1:15" x14ac:dyDescent="0.3">
      <c r="A1335">
        <v>203194</v>
      </c>
      <c r="B1335" t="s">
        <v>33</v>
      </c>
      <c r="C1335" s="2">
        <v>46006</v>
      </c>
      <c r="D1335" s="2">
        <f t="shared" si="124"/>
        <v>46036</v>
      </c>
      <c r="E1335" s="1">
        <f>D1335</f>
        <v>46036</v>
      </c>
      <c r="F1335">
        <v>1833</v>
      </c>
      <c r="G1335">
        <v>30</v>
      </c>
      <c r="H1335">
        <f t="shared" si="129"/>
        <v>0</v>
      </c>
      <c r="I1335" t="str">
        <f t="shared" si="127"/>
        <v>On Time</v>
      </c>
      <c r="J1335" cm="1">
        <f t="array" ref="J1335">_xlfn.IFS(H1335&lt;30,0,H1335&lt;60,1,H1335&lt;90,2,H1335&lt;120,3)</f>
        <v>0</v>
      </c>
      <c r="M1335" t="str">
        <f t="shared" si="128"/>
        <v>Low</v>
      </c>
      <c r="N1335" t="str">
        <f t="shared" si="125"/>
        <v>Dec</v>
      </c>
      <c r="O1335">
        <f t="shared" si="126"/>
        <v>2025</v>
      </c>
    </row>
    <row r="1336" spans="1:15" x14ac:dyDescent="0.3">
      <c r="A1336">
        <v>203195</v>
      </c>
      <c r="B1336" t="s">
        <v>34</v>
      </c>
      <c r="C1336" s="2">
        <v>46006</v>
      </c>
      <c r="D1336" s="2">
        <f t="shared" si="124"/>
        <v>46066</v>
      </c>
      <c r="E1336" s="1">
        <f>D1336+5</f>
        <v>46071</v>
      </c>
      <c r="F1336">
        <v>4056</v>
      </c>
      <c r="G1336">
        <v>60</v>
      </c>
      <c r="H1336">
        <f t="shared" si="129"/>
        <v>0</v>
      </c>
      <c r="I1336" t="str">
        <f t="shared" si="127"/>
        <v>On Time</v>
      </c>
      <c r="J1336" cm="1">
        <f t="array" ref="J1336">_xlfn.IFS(H1336&lt;30,0,H1336&lt;60,1,H1336&lt;90,2,H1336&lt;120,3)</f>
        <v>0</v>
      </c>
      <c r="M1336" t="str">
        <f t="shared" si="128"/>
        <v>Low</v>
      </c>
      <c r="N1336" t="str">
        <f t="shared" si="125"/>
        <v>Dec</v>
      </c>
      <c r="O1336">
        <f t="shared" si="126"/>
        <v>2025</v>
      </c>
    </row>
    <row r="1337" spans="1:15" x14ac:dyDescent="0.3">
      <c r="A1337">
        <v>203196</v>
      </c>
      <c r="B1337" t="s">
        <v>35</v>
      </c>
      <c r="C1337" s="2">
        <v>46006</v>
      </c>
      <c r="D1337" s="2">
        <f t="shared" si="124"/>
        <v>46051</v>
      </c>
      <c r="E1337" s="1">
        <f>D1337+2</f>
        <v>46053</v>
      </c>
      <c r="F1337">
        <v>494</v>
      </c>
      <c r="G1337">
        <v>45</v>
      </c>
      <c r="H1337">
        <f t="shared" si="129"/>
        <v>0</v>
      </c>
      <c r="I1337" t="str">
        <f t="shared" si="127"/>
        <v>On Time</v>
      </c>
      <c r="J1337" cm="1">
        <f t="array" ref="J1337">_xlfn.IFS(H1337&lt;30,0,H1337&lt;60,1,H1337&lt;90,2,H1337&lt;120,3)</f>
        <v>0</v>
      </c>
      <c r="M1337" t="str">
        <f t="shared" si="128"/>
        <v>Low</v>
      </c>
      <c r="N1337" t="str">
        <f t="shared" si="125"/>
        <v>Dec</v>
      </c>
      <c r="O1337">
        <f t="shared" si="126"/>
        <v>2025</v>
      </c>
    </row>
    <row r="1338" spans="1:15" x14ac:dyDescent="0.3">
      <c r="A1338">
        <v>203197</v>
      </c>
      <c r="B1338" t="s">
        <v>36</v>
      </c>
      <c r="C1338" s="2">
        <v>46006</v>
      </c>
      <c r="D1338" s="2">
        <f t="shared" si="124"/>
        <v>46036</v>
      </c>
      <c r="E1338" s="1">
        <f>D1338+5</f>
        <v>46041</v>
      </c>
      <c r="F1338">
        <v>4661</v>
      </c>
      <c r="G1338">
        <v>30</v>
      </c>
      <c r="H1338">
        <f t="shared" si="129"/>
        <v>0</v>
      </c>
      <c r="I1338" t="str">
        <f t="shared" si="127"/>
        <v>On Time</v>
      </c>
      <c r="J1338" cm="1">
        <f t="array" ref="J1338">_xlfn.IFS(H1338&lt;30,0,H1338&lt;60,1,H1338&lt;90,2,H1338&lt;120,3)</f>
        <v>0</v>
      </c>
      <c r="M1338" t="str">
        <f t="shared" si="128"/>
        <v>Low</v>
      </c>
      <c r="N1338" t="str">
        <f t="shared" si="125"/>
        <v>Dec</v>
      </c>
      <c r="O1338">
        <f t="shared" si="126"/>
        <v>2025</v>
      </c>
    </row>
    <row r="1339" spans="1:15" x14ac:dyDescent="0.3">
      <c r="A1339">
        <v>203198</v>
      </c>
      <c r="B1339" t="s">
        <v>64</v>
      </c>
      <c r="C1339" s="2">
        <v>46006</v>
      </c>
      <c r="D1339" s="2">
        <f t="shared" si="124"/>
        <v>46036</v>
      </c>
      <c r="E1339" s="1">
        <f>D1339</f>
        <v>46036</v>
      </c>
      <c r="F1339">
        <v>4686</v>
      </c>
      <c r="G1339">
        <v>30</v>
      </c>
      <c r="H1339">
        <f t="shared" si="129"/>
        <v>0</v>
      </c>
      <c r="I1339" t="str">
        <f t="shared" si="127"/>
        <v>On Time</v>
      </c>
      <c r="J1339" cm="1">
        <f t="array" ref="J1339">_xlfn.IFS(H1339&lt;30,0,H1339&lt;60,1,H1339&lt;90,2,H1339&lt;120,3)</f>
        <v>0</v>
      </c>
      <c r="M1339" t="str">
        <f t="shared" si="128"/>
        <v>Low</v>
      </c>
      <c r="N1339" t="str">
        <f t="shared" si="125"/>
        <v>Dec</v>
      </c>
      <c r="O1339">
        <f t="shared" si="126"/>
        <v>2025</v>
      </c>
    </row>
    <row r="1340" spans="1:15" x14ac:dyDescent="0.3">
      <c r="A1340">
        <v>203199</v>
      </c>
      <c r="B1340" t="s">
        <v>65</v>
      </c>
      <c r="C1340" s="2">
        <v>46006</v>
      </c>
      <c r="D1340" s="2">
        <f t="shared" si="124"/>
        <v>46051</v>
      </c>
      <c r="E1340" s="1">
        <f>D1340</f>
        <v>46051</v>
      </c>
      <c r="F1340">
        <v>15087</v>
      </c>
      <c r="G1340">
        <v>45</v>
      </c>
      <c r="H1340">
        <f t="shared" si="129"/>
        <v>0</v>
      </c>
      <c r="I1340" t="str">
        <f t="shared" si="127"/>
        <v>On Time</v>
      </c>
      <c r="J1340" cm="1">
        <f t="array" ref="J1340">_xlfn.IFS(H1340&lt;30,0,H1340&lt;60,1,H1340&lt;90,2,H1340&lt;120,3)</f>
        <v>0</v>
      </c>
      <c r="M1340" t="str">
        <f t="shared" si="128"/>
        <v>Low</v>
      </c>
      <c r="N1340" t="str">
        <f t="shared" si="125"/>
        <v>Dec</v>
      </c>
      <c r="O1340">
        <f t="shared" si="126"/>
        <v>2025</v>
      </c>
    </row>
    <row r="1341" spans="1:15" x14ac:dyDescent="0.3">
      <c r="A1341">
        <v>203200</v>
      </c>
      <c r="B1341" t="s">
        <v>66</v>
      </c>
      <c r="C1341" s="2">
        <v>46006</v>
      </c>
      <c r="D1341" s="2">
        <f t="shared" si="124"/>
        <v>46066</v>
      </c>
      <c r="E1341" s="1">
        <f>D1341+60</f>
        <v>46126</v>
      </c>
      <c r="F1341">
        <v>811</v>
      </c>
      <c r="G1341">
        <v>60</v>
      </c>
      <c r="H1341">
        <f t="shared" si="129"/>
        <v>0</v>
      </c>
      <c r="I1341" t="str">
        <f t="shared" si="127"/>
        <v>On Time</v>
      </c>
      <c r="J1341" cm="1">
        <f t="array" ref="J1341">_xlfn.IFS(H1341&lt;30,0,H1341&lt;60,1,H1341&lt;90,2,H1341&lt;120,3)</f>
        <v>0</v>
      </c>
      <c r="M1341" t="str">
        <f t="shared" si="128"/>
        <v>Low</v>
      </c>
      <c r="N1341" t="str">
        <f t="shared" si="125"/>
        <v>Dec</v>
      </c>
      <c r="O1341">
        <f t="shared" si="126"/>
        <v>2025</v>
      </c>
    </row>
    <row r="1342" spans="1:15" x14ac:dyDescent="0.3">
      <c r="A1342">
        <v>203201</v>
      </c>
      <c r="B1342" t="s">
        <v>67</v>
      </c>
      <c r="C1342" s="2">
        <v>46006</v>
      </c>
      <c r="D1342" s="2">
        <f t="shared" si="124"/>
        <v>46036</v>
      </c>
      <c r="E1342" s="1">
        <f>D1342</f>
        <v>46036</v>
      </c>
      <c r="F1342">
        <v>4404</v>
      </c>
      <c r="G1342">
        <v>30</v>
      </c>
      <c r="H1342">
        <f t="shared" si="129"/>
        <v>0</v>
      </c>
      <c r="I1342" t="str">
        <f t="shared" si="127"/>
        <v>On Time</v>
      </c>
      <c r="J1342" cm="1">
        <f t="array" ref="J1342">_xlfn.IFS(H1342&lt;30,0,H1342&lt;60,1,H1342&lt;90,2,H1342&lt;120,3)</f>
        <v>0</v>
      </c>
      <c r="M1342" t="str">
        <f t="shared" si="128"/>
        <v>Low</v>
      </c>
      <c r="N1342" t="str">
        <f t="shared" si="125"/>
        <v>Dec</v>
      </c>
      <c r="O1342">
        <f t="shared" si="126"/>
        <v>2025</v>
      </c>
    </row>
    <row r="1343" spans="1:15" x14ac:dyDescent="0.3">
      <c r="A1343">
        <v>203202</v>
      </c>
      <c r="B1343" t="s">
        <v>68</v>
      </c>
      <c r="C1343" s="2">
        <v>46006</v>
      </c>
      <c r="D1343" s="2">
        <f t="shared" si="124"/>
        <v>46036</v>
      </c>
      <c r="F1343">
        <v>938</v>
      </c>
      <c r="G1343">
        <v>30</v>
      </c>
      <c r="H1343">
        <f t="shared" si="129"/>
        <v>0</v>
      </c>
      <c r="I1343" t="str">
        <f t="shared" si="127"/>
        <v>On Time</v>
      </c>
      <c r="J1343" cm="1">
        <f t="array" ref="J1343">_xlfn.IFS(H1343&lt;30,0,H1343&lt;60,1,H1343&lt;90,2,H1343&lt;120,3)</f>
        <v>0</v>
      </c>
      <c r="M1343" t="str">
        <f t="shared" si="128"/>
        <v>Low</v>
      </c>
      <c r="N1343" t="str">
        <f t="shared" si="125"/>
        <v>Dec</v>
      </c>
      <c r="O1343">
        <f t="shared" si="126"/>
        <v>2025</v>
      </c>
    </row>
    <row r="1344" spans="1:15" x14ac:dyDescent="0.3">
      <c r="A1344">
        <v>203203</v>
      </c>
      <c r="B1344" t="s">
        <v>69</v>
      </c>
      <c r="C1344" s="2">
        <v>46006</v>
      </c>
      <c r="D1344" s="2">
        <f t="shared" si="124"/>
        <v>46036</v>
      </c>
      <c r="E1344" s="1">
        <f>D1344+3</f>
        <v>46039</v>
      </c>
      <c r="F1344">
        <v>2601</v>
      </c>
      <c r="G1344">
        <v>30</v>
      </c>
      <c r="H1344">
        <f t="shared" si="129"/>
        <v>0</v>
      </c>
      <c r="I1344" t="str">
        <f t="shared" si="127"/>
        <v>On Time</v>
      </c>
      <c r="J1344" cm="1">
        <f t="array" ref="J1344">_xlfn.IFS(H1344&lt;30,0,H1344&lt;60,1,H1344&lt;90,2,H1344&lt;120,3)</f>
        <v>0</v>
      </c>
      <c r="M1344" t="str">
        <f t="shared" si="128"/>
        <v>Low</v>
      </c>
      <c r="N1344" t="str">
        <f t="shared" si="125"/>
        <v>Dec</v>
      </c>
      <c r="O1344">
        <f t="shared" si="126"/>
        <v>2025</v>
      </c>
    </row>
    <row r="1345" spans="1:15" x14ac:dyDescent="0.3">
      <c r="A1345">
        <v>203204</v>
      </c>
      <c r="B1345" t="s">
        <v>70</v>
      </c>
      <c r="C1345" s="2">
        <v>46006</v>
      </c>
      <c r="D1345" s="2">
        <f t="shared" si="124"/>
        <v>46036</v>
      </c>
      <c r="E1345" s="1">
        <f>D1345+1</f>
        <v>46037</v>
      </c>
      <c r="F1345">
        <v>4954</v>
      </c>
      <c r="G1345">
        <v>30</v>
      </c>
      <c r="H1345">
        <f t="shared" si="129"/>
        <v>0</v>
      </c>
      <c r="I1345" t="str">
        <f t="shared" si="127"/>
        <v>On Time</v>
      </c>
      <c r="J1345" cm="1">
        <f t="array" ref="J1345">_xlfn.IFS(H1345&lt;30,0,H1345&lt;60,1,H1345&lt;90,2,H1345&lt;120,3)</f>
        <v>0</v>
      </c>
      <c r="M1345" t="str">
        <f t="shared" si="128"/>
        <v>Low</v>
      </c>
      <c r="N1345" t="str">
        <f t="shared" si="125"/>
        <v>Dec</v>
      </c>
      <c r="O1345">
        <f t="shared" si="126"/>
        <v>2025</v>
      </c>
    </row>
    <row r="1346" spans="1:15" x14ac:dyDescent="0.3">
      <c r="A1346">
        <v>203205</v>
      </c>
      <c r="B1346" t="s">
        <v>71</v>
      </c>
      <c r="C1346" s="2">
        <v>46006</v>
      </c>
      <c r="D1346" s="2">
        <f t="shared" ref="D1346:D1409" si="130">C1346+G1346</f>
        <v>46036</v>
      </c>
      <c r="E1346" s="1">
        <f>D1346-1</f>
        <v>46035</v>
      </c>
      <c r="F1346">
        <v>2937</v>
      </c>
      <c r="G1346">
        <v>30</v>
      </c>
      <c r="H1346">
        <f t="shared" si="129"/>
        <v>0</v>
      </c>
      <c r="I1346" t="str">
        <f t="shared" si="127"/>
        <v>On Time</v>
      </c>
      <c r="J1346" cm="1">
        <f t="array" ref="J1346">_xlfn.IFS(H1346&lt;30,0,H1346&lt;60,1,H1346&lt;90,2,H1346&lt;120,3)</f>
        <v>0</v>
      </c>
      <c r="M1346" t="str">
        <f t="shared" si="128"/>
        <v>Low</v>
      </c>
      <c r="N1346" t="str">
        <f t="shared" ref="N1346:N1409" si="131">TEXT(C1346,"mmm")</f>
        <v>Dec</v>
      </c>
      <c r="O1346">
        <f t="shared" ref="O1346:O1409" si="132">YEAR(C1346)</f>
        <v>2025</v>
      </c>
    </row>
    <row r="1347" spans="1:15" x14ac:dyDescent="0.3">
      <c r="A1347">
        <v>203206</v>
      </c>
      <c r="B1347" t="s">
        <v>72</v>
      </c>
      <c r="C1347" s="2">
        <v>46006</v>
      </c>
      <c r="D1347" s="2">
        <f t="shared" si="130"/>
        <v>46036</v>
      </c>
      <c r="E1347" s="1">
        <f>D1347</f>
        <v>46036</v>
      </c>
      <c r="F1347">
        <v>1311</v>
      </c>
      <c r="G1347">
        <v>30</v>
      </c>
      <c r="H1347">
        <f t="shared" si="129"/>
        <v>0</v>
      </c>
      <c r="I1347" t="str">
        <f t="shared" si="127"/>
        <v>On Time</v>
      </c>
      <c r="J1347" cm="1">
        <f t="array" ref="J1347">_xlfn.IFS(H1347&lt;30,0,H1347&lt;60,1,H1347&lt;90,2,H1347&lt;120,3)</f>
        <v>0</v>
      </c>
      <c r="M1347" t="str">
        <f t="shared" si="128"/>
        <v>Low</v>
      </c>
      <c r="N1347" t="str">
        <f t="shared" si="131"/>
        <v>Dec</v>
      </c>
      <c r="O1347">
        <f t="shared" si="132"/>
        <v>2025</v>
      </c>
    </row>
    <row r="1348" spans="1:15" x14ac:dyDescent="0.3">
      <c r="A1348">
        <v>203207</v>
      </c>
      <c r="B1348" t="s">
        <v>73</v>
      </c>
      <c r="C1348" s="2">
        <v>46006</v>
      </c>
      <c r="D1348" s="2">
        <f t="shared" si="130"/>
        <v>46051</v>
      </c>
      <c r="E1348" s="1">
        <f>D1348-5</f>
        <v>46046</v>
      </c>
      <c r="F1348">
        <v>373</v>
      </c>
      <c r="G1348">
        <v>45</v>
      </c>
      <c r="H1348">
        <f t="shared" si="129"/>
        <v>0</v>
      </c>
      <c r="I1348" t="str">
        <f t="shared" si="127"/>
        <v>On Time</v>
      </c>
      <c r="J1348" cm="1">
        <f t="array" ref="J1348">_xlfn.IFS(H1348&lt;30,0,H1348&lt;60,1,H1348&lt;90,2,H1348&lt;120,3)</f>
        <v>0</v>
      </c>
      <c r="M1348" t="str">
        <f t="shared" si="128"/>
        <v>Low</v>
      </c>
      <c r="N1348" t="str">
        <f t="shared" si="131"/>
        <v>Dec</v>
      </c>
      <c r="O1348">
        <f t="shared" si="132"/>
        <v>2025</v>
      </c>
    </row>
    <row r="1349" spans="1:15" x14ac:dyDescent="0.3">
      <c r="A1349">
        <v>203208</v>
      </c>
      <c r="B1349" t="s">
        <v>101</v>
      </c>
      <c r="C1349" s="2">
        <v>46006</v>
      </c>
      <c r="D1349" s="2">
        <f t="shared" si="130"/>
        <v>46036</v>
      </c>
      <c r="E1349" s="1">
        <f>D1349+35</f>
        <v>46071</v>
      </c>
      <c r="F1349">
        <v>1666</v>
      </c>
      <c r="G1349">
        <v>30</v>
      </c>
      <c r="H1349">
        <f t="shared" si="129"/>
        <v>0</v>
      </c>
      <c r="I1349" t="str">
        <f t="shared" si="127"/>
        <v>On Time</v>
      </c>
      <c r="J1349" cm="1">
        <f t="array" ref="J1349">_xlfn.IFS(H1349&lt;30,0,H1349&lt;60,1,H1349&lt;90,2,H1349&lt;120,3)</f>
        <v>0</v>
      </c>
      <c r="M1349" t="str">
        <f t="shared" si="128"/>
        <v>Low</v>
      </c>
      <c r="N1349" t="str">
        <f t="shared" si="131"/>
        <v>Dec</v>
      </c>
      <c r="O1349">
        <f t="shared" si="132"/>
        <v>2025</v>
      </c>
    </row>
    <row r="1350" spans="1:15" x14ac:dyDescent="0.3">
      <c r="A1350">
        <v>203209</v>
      </c>
      <c r="B1350" t="s">
        <v>102</v>
      </c>
      <c r="C1350" s="2">
        <v>46006</v>
      </c>
      <c r="D1350" s="2">
        <f t="shared" si="130"/>
        <v>46036</v>
      </c>
      <c r="E1350" s="1">
        <f>D1350+75</f>
        <v>46111</v>
      </c>
      <c r="F1350">
        <v>2559</v>
      </c>
      <c r="G1350">
        <v>30</v>
      </c>
      <c r="H1350">
        <f t="shared" si="129"/>
        <v>0</v>
      </c>
      <c r="I1350" t="str">
        <f t="shared" si="127"/>
        <v>On Time</v>
      </c>
      <c r="J1350" cm="1">
        <f t="array" ref="J1350">_xlfn.IFS(H1350&lt;30,0,H1350&lt;60,1,H1350&lt;90,2,H1350&lt;120,3)</f>
        <v>0</v>
      </c>
      <c r="M1350" t="str">
        <f t="shared" si="128"/>
        <v>Low</v>
      </c>
      <c r="N1350" t="str">
        <f t="shared" si="131"/>
        <v>Dec</v>
      </c>
      <c r="O1350">
        <f t="shared" si="132"/>
        <v>2025</v>
      </c>
    </row>
    <row r="1351" spans="1:15" x14ac:dyDescent="0.3">
      <c r="A1351">
        <v>203210</v>
      </c>
      <c r="B1351" t="s">
        <v>103</v>
      </c>
      <c r="C1351" s="2">
        <v>46006</v>
      </c>
      <c r="D1351" s="2">
        <f t="shared" si="130"/>
        <v>46036</v>
      </c>
      <c r="E1351" s="1">
        <f>D1351+5</f>
        <v>46041</v>
      </c>
      <c r="F1351">
        <v>1269</v>
      </c>
      <c r="G1351">
        <v>30</v>
      </c>
      <c r="H1351">
        <f t="shared" si="129"/>
        <v>0</v>
      </c>
      <c r="I1351" t="str">
        <f t="shared" si="127"/>
        <v>On Time</v>
      </c>
      <c r="J1351" cm="1">
        <f t="array" ref="J1351">_xlfn.IFS(H1351&lt;30,0,H1351&lt;60,1,H1351&lt;90,2,H1351&lt;120,3)</f>
        <v>0</v>
      </c>
      <c r="M1351" t="str">
        <f t="shared" si="128"/>
        <v>Low</v>
      </c>
      <c r="N1351" t="str">
        <f t="shared" si="131"/>
        <v>Dec</v>
      </c>
      <c r="O1351">
        <f t="shared" si="132"/>
        <v>2025</v>
      </c>
    </row>
    <row r="1352" spans="1:15" x14ac:dyDescent="0.3">
      <c r="A1352">
        <v>203211</v>
      </c>
      <c r="B1352" t="s">
        <v>104</v>
      </c>
      <c r="C1352" s="2">
        <v>46006</v>
      </c>
      <c r="D1352" s="2">
        <f t="shared" si="130"/>
        <v>46036</v>
      </c>
      <c r="E1352" s="1">
        <f>D1352</f>
        <v>46036</v>
      </c>
      <c r="F1352">
        <v>3892</v>
      </c>
      <c r="G1352">
        <v>30</v>
      </c>
      <c r="H1352">
        <f t="shared" si="129"/>
        <v>0</v>
      </c>
      <c r="I1352" t="str">
        <f t="shared" si="127"/>
        <v>On Time</v>
      </c>
      <c r="J1352" cm="1">
        <f t="array" ref="J1352">_xlfn.IFS(H1352&lt;30,0,H1352&lt;60,1,H1352&lt;90,2,H1352&lt;120,3)</f>
        <v>0</v>
      </c>
      <c r="M1352" t="str">
        <f t="shared" si="128"/>
        <v>Low</v>
      </c>
      <c r="N1352" t="str">
        <f t="shared" si="131"/>
        <v>Dec</v>
      </c>
      <c r="O1352">
        <f t="shared" si="132"/>
        <v>2025</v>
      </c>
    </row>
    <row r="1353" spans="1:15" x14ac:dyDescent="0.3">
      <c r="A1353">
        <v>203212</v>
      </c>
      <c r="B1353" t="s">
        <v>105</v>
      </c>
      <c r="C1353" s="2">
        <v>46006</v>
      </c>
      <c r="D1353" s="2">
        <f t="shared" si="130"/>
        <v>46036</v>
      </c>
      <c r="E1353" s="1">
        <f>D1353-1</f>
        <v>46035</v>
      </c>
      <c r="F1353">
        <v>13855</v>
      </c>
      <c r="G1353">
        <v>30</v>
      </c>
      <c r="H1353">
        <f t="shared" si="129"/>
        <v>0</v>
      </c>
      <c r="I1353" t="str">
        <f t="shared" si="127"/>
        <v>On Time</v>
      </c>
      <c r="J1353" cm="1">
        <f t="array" ref="J1353">_xlfn.IFS(H1353&lt;30,0,H1353&lt;60,1,H1353&lt;90,2,H1353&lt;120,3)</f>
        <v>0</v>
      </c>
      <c r="M1353" t="str">
        <f t="shared" si="128"/>
        <v>Low</v>
      </c>
      <c r="N1353" t="str">
        <f t="shared" si="131"/>
        <v>Dec</v>
      </c>
      <c r="O1353">
        <f t="shared" si="132"/>
        <v>2025</v>
      </c>
    </row>
    <row r="1354" spans="1:15" x14ac:dyDescent="0.3">
      <c r="A1354">
        <v>203213</v>
      </c>
      <c r="B1354" t="s">
        <v>114</v>
      </c>
      <c r="C1354" s="2">
        <v>46006</v>
      </c>
      <c r="D1354" s="2">
        <f t="shared" si="130"/>
        <v>46036</v>
      </c>
      <c r="E1354" s="1">
        <f>D1354</f>
        <v>46036</v>
      </c>
      <c r="F1354">
        <v>4974</v>
      </c>
      <c r="G1354">
        <v>30</v>
      </c>
      <c r="H1354">
        <f t="shared" si="129"/>
        <v>0</v>
      </c>
      <c r="I1354" t="str">
        <f t="shared" si="127"/>
        <v>On Time</v>
      </c>
      <c r="J1354" cm="1">
        <f t="array" ref="J1354">_xlfn.IFS(H1354&lt;30,0,H1354&lt;60,1,H1354&lt;90,2,H1354&lt;120,3)</f>
        <v>0</v>
      </c>
      <c r="M1354" t="str">
        <f t="shared" si="128"/>
        <v>Low</v>
      </c>
      <c r="N1354" t="str">
        <f t="shared" si="131"/>
        <v>Dec</v>
      </c>
      <c r="O1354">
        <f t="shared" si="132"/>
        <v>2025</v>
      </c>
    </row>
    <row r="1355" spans="1:15" x14ac:dyDescent="0.3">
      <c r="A1355">
        <v>203214</v>
      </c>
      <c r="B1355" t="s">
        <v>115</v>
      </c>
      <c r="C1355" s="2">
        <v>46006</v>
      </c>
      <c r="D1355" s="2">
        <f t="shared" si="130"/>
        <v>46036</v>
      </c>
      <c r="E1355" s="1">
        <f>D1355+32</f>
        <v>46068</v>
      </c>
      <c r="F1355">
        <v>172</v>
      </c>
      <c r="G1355">
        <v>30</v>
      </c>
      <c r="H1355">
        <f t="shared" si="129"/>
        <v>0</v>
      </c>
      <c r="I1355" t="str">
        <f t="shared" si="127"/>
        <v>On Time</v>
      </c>
      <c r="J1355" cm="1">
        <f t="array" ref="J1355">_xlfn.IFS(H1355&lt;30,0,H1355&lt;60,1,H1355&lt;90,2,H1355&lt;120,3)</f>
        <v>0</v>
      </c>
      <c r="M1355" t="str">
        <f t="shared" si="128"/>
        <v>Low</v>
      </c>
      <c r="N1355" t="str">
        <f t="shared" si="131"/>
        <v>Dec</v>
      </c>
      <c r="O1355">
        <f t="shared" si="132"/>
        <v>2025</v>
      </c>
    </row>
    <row r="1356" spans="1:15" x14ac:dyDescent="0.3">
      <c r="A1356">
        <v>203215</v>
      </c>
      <c r="B1356" t="s">
        <v>116</v>
      </c>
      <c r="C1356" s="2">
        <v>46006</v>
      </c>
      <c r="D1356" s="2">
        <f t="shared" si="130"/>
        <v>46036</v>
      </c>
      <c r="E1356" s="1">
        <f>D1356+15</f>
        <v>46051</v>
      </c>
      <c r="F1356">
        <v>2897</v>
      </c>
      <c r="G1356">
        <v>30</v>
      </c>
      <c r="H1356">
        <f t="shared" si="129"/>
        <v>0</v>
      </c>
      <c r="I1356" t="str">
        <f t="shared" si="127"/>
        <v>On Time</v>
      </c>
      <c r="J1356" cm="1">
        <f t="array" ref="J1356">_xlfn.IFS(H1356&lt;30,0,H1356&lt;60,1,H1356&lt;90,2,H1356&lt;120,3)</f>
        <v>0</v>
      </c>
      <c r="M1356" t="str">
        <f t="shared" si="128"/>
        <v>Low</v>
      </c>
      <c r="N1356" t="str">
        <f t="shared" si="131"/>
        <v>Dec</v>
      </c>
      <c r="O1356">
        <f t="shared" si="132"/>
        <v>2025</v>
      </c>
    </row>
    <row r="1357" spans="1:15" x14ac:dyDescent="0.3">
      <c r="A1357">
        <v>203216</v>
      </c>
      <c r="B1357" t="s">
        <v>117</v>
      </c>
      <c r="C1357" s="2">
        <v>46006</v>
      </c>
      <c r="D1357" s="2">
        <f t="shared" si="130"/>
        <v>46036</v>
      </c>
      <c r="E1357" s="1">
        <f>D1357</f>
        <v>46036</v>
      </c>
      <c r="F1357">
        <v>1956</v>
      </c>
      <c r="G1357">
        <v>30</v>
      </c>
      <c r="H1357">
        <f t="shared" si="129"/>
        <v>0</v>
      </c>
      <c r="I1357" t="str">
        <f t="shared" si="127"/>
        <v>On Time</v>
      </c>
      <c r="J1357" cm="1">
        <f t="array" ref="J1357">_xlfn.IFS(H1357&lt;30,0,H1357&lt;60,1,H1357&lt;90,2,H1357&lt;120,3)</f>
        <v>0</v>
      </c>
      <c r="M1357" t="str">
        <f t="shared" si="128"/>
        <v>Low</v>
      </c>
      <c r="N1357" t="str">
        <f t="shared" si="131"/>
        <v>Dec</v>
      </c>
      <c r="O1357">
        <f t="shared" si="132"/>
        <v>2025</v>
      </c>
    </row>
    <row r="1358" spans="1:15" x14ac:dyDescent="0.3">
      <c r="A1358">
        <v>203217</v>
      </c>
      <c r="B1358" t="s">
        <v>118</v>
      </c>
      <c r="C1358" s="2">
        <v>46006</v>
      </c>
      <c r="D1358" s="2">
        <f t="shared" si="130"/>
        <v>46036</v>
      </c>
      <c r="E1358" s="1">
        <f>D1358-2</f>
        <v>46034</v>
      </c>
      <c r="F1358">
        <v>1196</v>
      </c>
      <c r="G1358">
        <v>30</v>
      </c>
      <c r="H1358">
        <f t="shared" si="129"/>
        <v>0</v>
      </c>
      <c r="I1358" t="str">
        <f t="shared" si="127"/>
        <v>On Time</v>
      </c>
      <c r="J1358" cm="1">
        <f t="array" ref="J1358">_xlfn.IFS(H1358&lt;30,0,H1358&lt;60,1,H1358&lt;90,2,H1358&lt;120,3)</f>
        <v>0</v>
      </c>
      <c r="M1358" t="str">
        <f t="shared" si="128"/>
        <v>Low</v>
      </c>
      <c r="N1358" t="str">
        <f t="shared" si="131"/>
        <v>Dec</v>
      </c>
      <c r="O1358">
        <f t="shared" si="132"/>
        <v>2025</v>
      </c>
    </row>
    <row r="1359" spans="1:15" x14ac:dyDescent="0.3">
      <c r="A1359">
        <v>203218</v>
      </c>
      <c r="B1359" t="s">
        <v>119</v>
      </c>
      <c r="C1359" s="2">
        <v>46006</v>
      </c>
      <c r="D1359" s="2">
        <f t="shared" si="130"/>
        <v>46036</v>
      </c>
      <c r="E1359" s="1">
        <f>D1359</f>
        <v>46036</v>
      </c>
      <c r="F1359">
        <v>1698</v>
      </c>
      <c r="G1359">
        <v>30</v>
      </c>
      <c r="H1359">
        <f t="shared" si="129"/>
        <v>0</v>
      </c>
      <c r="I1359" t="str">
        <f t="shared" si="127"/>
        <v>On Time</v>
      </c>
      <c r="J1359" cm="1">
        <f t="array" ref="J1359">_xlfn.IFS(H1359&lt;30,0,H1359&lt;60,1,H1359&lt;90,2,H1359&lt;120,3)</f>
        <v>0</v>
      </c>
      <c r="M1359" t="str">
        <f t="shared" si="128"/>
        <v>Low</v>
      </c>
      <c r="N1359" t="str">
        <f t="shared" si="131"/>
        <v>Dec</v>
      </c>
      <c r="O1359">
        <f t="shared" si="132"/>
        <v>2025</v>
      </c>
    </row>
    <row r="1360" spans="1:15" x14ac:dyDescent="0.3">
      <c r="A1360">
        <v>203219</v>
      </c>
      <c r="B1360" t="s">
        <v>31</v>
      </c>
      <c r="C1360" s="2">
        <v>46006</v>
      </c>
      <c r="D1360" s="2">
        <f t="shared" si="130"/>
        <v>46051</v>
      </c>
      <c r="E1360" s="1">
        <f>D1360+2</f>
        <v>46053</v>
      </c>
      <c r="F1360">
        <v>1683</v>
      </c>
      <c r="G1360">
        <v>45</v>
      </c>
      <c r="H1360">
        <f t="shared" si="129"/>
        <v>0</v>
      </c>
      <c r="I1360" t="str">
        <f t="shared" si="127"/>
        <v>On Time</v>
      </c>
      <c r="J1360" cm="1">
        <f t="array" ref="J1360">_xlfn.IFS(H1360&lt;30,0,H1360&lt;60,1,H1360&lt;90,2,H1360&lt;120,3)</f>
        <v>0</v>
      </c>
      <c r="M1360" t="str">
        <f t="shared" si="128"/>
        <v>Low</v>
      </c>
      <c r="N1360" t="str">
        <f t="shared" si="131"/>
        <v>Dec</v>
      </c>
      <c r="O1360">
        <f t="shared" si="132"/>
        <v>2025</v>
      </c>
    </row>
    <row r="1361" spans="1:15" x14ac:dyDescent="0.3">
      <c r="A1361">
        <v>203220</v>
      </c>
      <c r="B1361" t="s">
        <v>32</v>
      </c>
      <c r="C1361" s="2">
        <v>46006</v>
      </c>
      <c r="D1361" s="2">
        <f t="shared" si="130"/>
        <v>46051</v>
      </c>
      <c r="E1361" s="1">
        <f>D1361+2</f>
        <v>46053</v>
      </c>
      <c r="F1361">
        <v>3739</v>
      </c>
      <c r="G1361">
        <v>45</v>
      </c>
      <c r="H1361">
        <f t="shared" si="129"/>
        <v>0</v>
      </c>
      <c r="I1361" t="str">
        <f t="shared" si="127"/>
        <v>On Time</v>
      </c>
      <c r="J1361" cm="1">
        <f t="array" ref="J1361">_xlfn.IFS(H1361&lt;30,0,H1361&lt;60,1,H1361&lt;90,2,H1361&lt;120,3)</f>
        <v>0</v>
      </c>
      <c r="M1361" t="str">
        <f t="shared" si="128"/>
        <v>Low</v>
      </c>
      <c r="N1361" t="str">
        <f t="shared" si="131"/>
        <v>Dec</v>
      </c>
      <c r="O1361">
        <f t="shared" si="132"/>
        <v>2025</v>
      </c>
    </row>
    <row r="1362" spans="1:15" x14ac:dyDescent="0.3">
      <c r="A1362">
        <v>203221</v>
      </c>
      <c r="B1362" t="s">
        <v>33</v>
      </c>
      <c r="C1362" s="2">
        <v>46006</v>
      </c>
      <c r="D1362" s="2">
        <f t="shared" si="130"/>
        <v>46036</v>
      </c>
      <c r="E1362" s="1">
        <f>D1362+2</f>
        <v>46038</v>
      </c>
      <c r="F1362">
        <v>1109</v>
      </c>
      <c r="G1362">
        <v>30</v>
      </c>
      <c r="H1362">
        <f t="shared" si="129"/>
        <v>0</v>
      </c>
      <c r="I1362" t="str">
        <f t="shared" si="127"/>
        <v>On Time</v>
      </c>
      <c r="J1362" cm="1">
        <f t="array" ref="J1362">_xlfn.IFS(H1362&lt;30,0,H1362&lt;60,1,H1362&lt;90,2,H1362&lt;120,3)</f>
        <v>0</v>
      </c>
      <c r="M1362" t="str">
        <f t="shared" si="128"/>
        <v>Low</v>
      </c>
      <c r="N1362" t="str">
        <f t="shared" si="131"/>
        <v>Dec</v>
      </c>
      <c r="O1362">
        <f t="shared" si="132"/>
        <v>2025</v>
      </c>
    </row>
    <row r="1363" spans="1:15" x14ac:dyDescent="0.3">
      <c r="A1363">
        <v>203222</v>
      </c>
      <c r="B1363" t="s">
        <v>34</v>
      </c>
      <c r="C1363" s="2">
        <v>46006</v>
      </c>
      <c r="D1363" s="2">
        <f t="shared" si="130"/>
        <v>46066</v>
      </c>
      <c r="E1363" s="1">
        <f>D1363</f>
        <v>46066</v>
      </c>
      <c r="F1363">
        <v>1228</v>
      </c>
      <c r="G1363">
        <v>60</v>
      </c>
      <c r="H1363">
        <f t="shared" si="129"/>
        <v>0</v>
      </c>
      <c r="I1363" t="str">
        <f t="shared" si="127"/>
        <v>On Time</v>
      </c>
      <c r="J1363" cm="1">
        <f t="array" ref="J1363">_xlfn.IFS(H1363&lt;30,0,H1363&lt;60,1,H1363&lt;90,2,H1363&lt;120,3)</f>
        <v>0</v>
      </c>
      <c r="M1363" t="str">
        <f t="shared" si="128"/>
        <v>Low</v>
      </c>
      <c r="N1363" t="str">
        <f t="shared" si="131"/>
        <v>Dec</v>
      </c>
      <c r="O1363">
        <f t="shared" si="132"/>
        <v>2025</v>
      </c>
    </row>
    <row r="1364" spans="1:15" x14ac:dyDescent="0.3">
      <c r="A1364">
        <v>203223</v>
      </c>
      <c r="B1364" t="s">
        <v>35</v>
      </c>
      <c r="C1364" s="2">
        <v>46006</v>
      </c>
      <c r="D1364" s="2">
        <f t="shared" si="130"/>
        <v>46051</v>
      </c>
      <c r="E1364" s="1">
        <f>D1364+20</f>
        <v>46071</v>
      </c>
      <c r="F1364">
        <v>4312</v>
      </c>
      <c r="G1364">
        <v>45</v>
      </c>
      <c r="H1364">
        <f t="shared" si="129"/>
        <v>0</v>
      </c>
      <c r="I1364" t="str">
        <f t="shared" si="127"/>
        <v>On Time</v>
      </c>
      <c r="J1364" cm="1">
        <f t="array" ref="J1364">_xlfn.IFS(H1364&lt;30,0,H1364&lt;60,1,H1364&lt;90,2,H1364&lt;120,3)</f>
        <v>0</v>
      </c>
      <c r="M1364" t="str">
        <f t="shared" si="128"/>
        <v>Low</v>
      </c>
      <c r="N1364" t="str">
        <f t="shared" si="131"/>
        <v>Dec</v>
      </c>
      <c r="O1364">
        <f t="shared" si="132"/>
        <v>2025</v>
      </c>
    </row>
    <row r="1365" spans="1:15" x14ac:dyDescent="0.3">
      <c r="A1365">
        <v>203161</v>
      </c>
      <c r="B1365" t="s">
        <v>31</v>
      </c>
      <c r="C1365" s="2">
        <v>46003</v>
      </c>
      <c r="D1365" s="2">
        <f t="shared" si="130"/>
        <v>46048</v>
      </c>
      <c r="E1365" s="1">
        <f>D1365</f>
        <v>46048</v>
      </c>
      <c r="F1365">
        <v>4313</v>
      </c>
      <c r="G1365">
        <v>45</v>
      </c>
      <c r="H1365">
        <f t="shared" si="129"/>
        <v>0</v>
      </c>
      <c r="I1365" t="str">
        <f t="shared" si="127"/>
        <v>On Time</v>
      </c>
      <c r="J1365" cm="1">
        <f t="array" ref="J1365">_xlfn.IFS(H1365&lt;30,0,H1365&lt;60,1,H1365&lt;90,2,H1365&lt;120,3)</f>
        <v>0</v>
      </c>
      <c r="M1365" t="str">
        <f t="shared" si="128"/>
        <v>Low</v>
      </c>
      <c r="N1365" t="str">
        <f t="shared" si="131"/>
        <v>Dec</v>
      </c>
      <c r="O1365">
        <f t="shared" si="132"/>
        <v>2025</v>
      </c>
    </row>
    <row r="1366" spans="1:15" x14ac:dyDescent="0.3">
      <c r="A1366">
        <v>203162</v>
      </c>
      <c r="B1366" t="s">
        <v>54</v>
      </c>
      <c r="C1366" s="2">
        <v>46003</v>
      </c>
      <c r="D1366" s="2">
        <f t="shared" si="130"/>
        <v>46033</v>
      </c>
      <c r="E1366" s="1">
        <f>D1366+5</f>
        <v>46038</v>
      </c>
      <c r="F1366">
        <v>3184</v>
      </c>
      <c r="G1366">
        <v>30</v>
      </c>
      <c r="H1366">
        <f t="shared" si="129"/>
        <v>0</v>
      </c>
      <c r="I1366" t="str">
        <f t="shared" ref="I1366:I1429" si="133">IF(H1366=0,"On Time",IF(H1366&lt;=15,"Paid Late","Seriously Late"))</f>
        <v>On Time</v>
      </c>
      <c r="J1366" cm="1">
        <f t="array" ref="J1366">_xlfn.IFS(H1366&lt;30,0,H1366&lt;60,1,H1366&lt;90,2,H1366&lt;120,3)</f>
        <v>0</v>
      </c>
      <c r="M1366" t="str">
        <f t="shared" ref="M1366:M1429" si="134">IF(H1366&gt;30,"High",IF(H1366&gt;10,"Medium","Low"))</f>
        <v>Low</v>
      </c>
      <c r="N1366" t="str">
        <f t="shared" si="131"/>
        <v>Dec</v>
      </c>
      <c r="O1366">
        <f t="shared" si="132"/>
        <v>2025</v>
      </c>
    </row>
    <row r="1367" spans="1:15" x14ac:dyDescent="0.3">
      <c r="A1367">
        <v>203163</v>
      </c>
      <c r="B1367" t="s">
        <v>55</v>
      </c>
      <c r="C1367" s="2">
        <v>46003</v>
      </c>
      <c r="D1367" s="2">
        <f t="shared" si="130"/>
        <v>46033</v>
      </c>
      <c r="E1367" s="1">
        <f>D1367+2</f>
        <v>46035</v>
      </c>
      <c r="F1367">
        <v>4415</v>
      </c>
      <c r="G1367">
        <v>30</v>
      </c>
      <c r="H1367">
        <f t="shared" si="129"/>
        <v>0</v>
      </c>
      <c r="I1367" t="str">
        <f t="shared" si="133"/>
        <v>On Time</v>
      </c>
      <c r="J1367" cm="1">
        <f t="array" ref="J1367">_xlfn.IFS(H1367&lt;30,0,H1367&lt;60,1,H1367&lt;90,2,H1367&lt;120,3)</f>
        <v>0</v>
      </c>
      <c r="M1367" t="str">
        <f t="shared" si="134"/>
        <v>Low</v>
      </c>
      <c r="N1367" t="str">
        <f t="shared" si="131"/>
        <v>Dec</v>
      </c>
      <c r="O1367">
        <f t="shared" si="132"/>
        <v>2025</v>
      </c>
    </row>
    <row r="1368" spans="1:15" x14ac:dyDescent="0.3">
      <c r="A1368">
        <v>203164</v>
      </c>
      <c r="B1368" t="s">
        <v>56</v>
      </c>
      <c r="C1368" s="2">
        <v>46003</v>
      </c>
      <c r="D1368" s="2">
        <f t="shared" si="130"/>
        <v>46048</v>
      </c>
      <c r="E1368" s="1">
        <f>D1368</f>
        <v>46048</v>
      </c>
      <c r="F1368">
        <v>4072</v>
      </c>
      <c r="G1368">
        <v>45</v>
      </c>
      <c r="H1368">
        <f t="shared" si="129"/>
        <v>0</v>
      </c>
      <c r="I1368" t="str">
        <f t="shared" si="133"/>
        <v>On Time</v>
      </c>
      <c r="J1368" cm="1">
        <f t="array" ref="J1368">_xlfn.IFS(H1368&lt;30,0,H1368&lt;60,1,H1368&lt;90,2,H1368&lt;120,3)</f>
        <v>0</v>
      </c>
      <c r="M1368" t="str">
        <f t="shared" si="134"/>
        <v>Low</v>
      </c>
      <c r="N1368" t="str">
        <f t="shared" si="131"/>
        <v>Dec</v>
      </c>
      <c r="O1368">
        <f t="shared" si="132"/>
        <v>2025</v>
      </c>
    </row>
    <row r="1369" spans="1:15" x14ac:dyDescent="0.3">
      <c r="A1369">
        <v>203165</v>
      </c>
      <c r="B1369" t="s">
        <v>57</v>
      </c>
      <c r="C1369" s="2">
        <v>46003</v>
      </c>
      <c r="D1369" s="2">
        <f t="shared" si="130"/>
        <v>46063</v>
      </c>
      <c r="E1369" s="1">
        <f>D1369</f>
        <v>46063</v>
      </c>
      <c r="F1369">
        <v>3399</v>
      </c>
      <c r="G1369">
        <v>60</v>
      </c>
      <c r="H1369">
        <f t="shared" si="129"/>
        <v>0</v>
      </c>
      <c r="I1369" t="str">
        <f t="shared" si="133"/>
        <v>On Time</v>
      </c>
      <c r="J1369" cm="1">
        <f t="array" ref="J1369">_xlfn.IFS(H1369&lt;30,0,H1369&lt;60,1,H1369&lt;90,2,H1369&lt;120,3)</f>
        <v>0</v>
      </c>
      <c r="M1369" t="str">
        <f t="shared" si="134"/>
        <v>Low</v>
      </c>
      <c r="N1369" t="str">
        <f t="shared" si="131"/>
        <v>Dec</v>
      </c>
      <c r="O1369">
        <f t="shared" si="132"/>
        <v>2025</v>
      </c>
    </row>
    <row r="1370" spans="1:15" x14ac:dyDescent="0.3">
      <c r="A1370">
        <v>203166</v>
      </c>
      <c r="B1370" t="s">
        <v>58</v>
      </c>
      <c r="C1370" s="2">
        <v>46003</v>
      </c>
      <c r="D1370" s="2">
        <f t="shared" si="130"/>
        <v>46033</v>
      </c>
      <c r="E1370" s="1">
        <f>D1370</f>
        <v>46033</v>
      </c>
      <c r="F1370">
        <v>1144</v>
      </c>
      <c r="G1370">
        <v>30</v>
      </c>
      <c r="H1370">
        <f t="shared" si="129"/>
        <v>0</v>
      </c>
      <c r="I1370" t="str">
        <f t="shared" si="133"/>
        <v>On Time</v>
      </c>
      <c r="J1370" cm="1">
        <f t="array" ref="J1370">_xlfn.IFS(H1370&lt;30,0,H1370&lt;60,1,H1370&lt;90,2,H1370&lt;120,3)</f>
        <v>0</v>
      </c>
      <c r="M1370" t="str">
        <f t="shared" si="134"/>
        <v>Low</v>
      </c>
      <c r="N1370" t="str">
        <f t="shared" si="131"/>
        <v>Dec</v>
      </c>
      <c r="O1370">
        <f t="shared" si="132"/>
        <v>2025</v>
      </c>
    </row>
    <row r="1371" spans="1:15" x14ac:dyDescent="0.3">
      <c r="A1371">
        <v>203167</v>
      </c>
      <c r="B1371" t="s">
        <v>59</v>
      </c>
      <c r="C1371" s="2">
        <v>46003</v>
      </c>
      <c r="D1371" s="2">
        <f t="shared" si="130"/>
        <v>46033</v>
      </c>
      <c r="E1371" s="1">
        <f>D1371+60</f>
        <v>46093</v>
      </c>
      <c r="F1371">
        <v>101</v>
      </c>
      <c r="G1371">
        <v>30</v>
      </c>
      <c r="H1371">
        <f t="shared" si="129"/>
        <v>0</v>
      </c>
      <c r="I1371" t="str">
        <f t="shared" si="133"/>
        <v>On Time</v>
      </c>
      <c r="J1371" cm="1">
        <f t="array" ref="J1371">_xlfn.IFS(H1371&lt;30,0,H1371&lt;60,1,H1371&lt;90,2,H1371&lt;120,3)</f>
        <v>0</v>
      </c>
      <c r="M1371" t="str">
        <f t="shared" si="134"/>
        <v>Low</v>
      </c>
      <c r="N1371" t="str">
        <f t="shared" si="131"/>
        <v>Dec</v>
      </c>
      <c r="O1371">
        <f t="shared" si="132"/>
        <v>2025</v>
      </c>
    </row>
    <row r="1372" spans="1:15" x14ac:dyDescent="0.3">
      <c r="A1372">
        <v>203168</v>
      </c>
      <c r="B1372" t="s">
        <v>60</v>
      </c>
      <c r="C1372" s="2">
        <v>46003</v>
      </c>
      <c r="D1372" s="2">
        <f t="shared" si="130"/>
        <v>46033</v>
      </c>
      <c r="E1372" s="1">
        <f>D1372</f>
        <v>46033</v>
      </c>
      <c r="F1372">
        <v>3873</v>
      </c>
      <c r="G1372">
        <v>30</v>
      </c>
      <c r="H1372">
        <f t="shared" si="129"/>
        <v>0</v>
      </c>
      <c r="I1372" t="str">
        <f t="shared" si="133"/>
        <v>On Time</v>
      </c>
      <c r="J1372" cm="1">
        <f t="array" ref="J1372">_xlfn.IFS(H1372&lt;30,0,H1372&lt;60,1,H1372&lt;90,2,H1372&lt;120,3)</f>
        <v>0</v>
      </c>
      <c r="M1372" t="str">
        <f t="shared" si="134"/>
        <v>Low</v>
      </c>
      <c r="N1372" t="str">
        <f t="shared" si="131"/>
        <v>Dec</v>
      </c>
      <c r="O1372">
        <f t="shared" si="132"/>
        <v>2025</v>
      </c>
    </row>
    <row r="1373" spans="1:15" x14ac:dyDescent="0.3">
      <c r="A1373">
        <v>203169</v>
      </c>
      <c r="B1373" t="s">
        <v>61</v>
      </c>
      <c r="C1373" s="2">
        <v>46003</v>
      </c>
      <c r="D1373" s="2">
        <f t="shared" si="130"/>
        <v>46033</v>
      </c>
      <c r="E1373" s="1">
        <f>D1373</f>
        <v>46033</v>
      </c>
      <c r="F1373">
        <v>1309</v>
      </c>
      <c r="G1373">
        <v>30</v>
      </c>
      <c r="H1373">
        <f t="shared" si="129"/>
        <v>0</v>
      </c>
      <c r="I1373" t="str">
        <f t="shared" si="133"/>
        <v>On Time</v>
      </c>
      <c r="J1373" cm="1">
        <f t="array" ref="J1373">_xlfn.IFS(H1373&lt;30,0,H1373&lt;60,1,H1373&lt;90,2,H1373&lt;120,3)</f>
        <v>0</v>
      </c>
      <c r="M1373" t="str">
        <f t="shared" si="134"/>
        <v>Low</v>
      </c>
      <c r="N1373" t="str">
        <f t="shared" si="131"/>
        <v>Dec</v>
      </c>
      <c r="O1373">
        <f t="shared" si="132"/>
        <v>2025</v>
      </c>
    </row>
    <row r="1374" spans="1:15" x14ac:dyDescent="0.3">
      <c r="A1374">
        <v>203170</v>
      </c>
      <c r="B1374" t="s">
        <v>62</v>
      </c>
      <c r="C1374" s="2">
        <v>46003</v>
      </c>
      <c r="D1374" s="2">
        <f t="shared" si="130"/>
        <v>46033</v>
      </c>
      <c r="E1374" s="1">
        <f>D1374+3</f>
        <v>46036</v>
      </c>
      <c r="F1374">
        <v>179</v>
      </c>
      <c r="G1374">
        <v>30</v>
      </c>
      <c r="H1374">
        <f t="shared" si="129"/>
        <v>0</v>
      </c>
      <c r="I1374" t="str">
        <f t="shared" si="133"/>
        <v>On Time</v>
      </c>
      <c r="J1374" cm="1">
        <f t="array" ref="J1374">_xlfn.IFS(H1374&lt;30,0,H1374&lt;60,1,H1374&lt;90,2,H1374&lt;120,3)</f>
        <v>0</v>
      </c>
      <c r="M1374" t="str">
        <f t="shared" si="134"/>
        <v>Low</v>
      </c>
      <c r="N1374" t="str">
        <f t="shared" si="131"/>
        <v>Dec</v>
      </c>
      <c r="O1374">
        <f t="shared" si="132"/>
        <v>2025</v>
      </c>
    </row>
    <row r="1375" spans="1:15" x14ac:dyDescent="0.3">
      <c r="A1375">
        <v>203171</v>
      </c>
      <c r="B1375" t="s">
        <v>63</v>
      </c>
      <c r="C1375" s="2">
        <v>46003</v>
      </c>
      <c r="D1375" s="2">
        <f t="shared" si="130"/>
        <v>46033</v>
      </c>
      <c r="E1375" s="1">
        <f>D1375+1</f>
        <v>46034</v>
      </c>
      <c r="F1375">
        <v>2223</v>
      </c>
      <c r="G1375">
        <v>30</v>
      </c>
      <c r="H1375">
        <f t="shared" si="129"/>
        <v>0</v>
      </c>
      <c r="I1375" t="str">
        <f t="shared" si="133"/>
        <v>On Time</v>
      </c>
      <c r="J1375" cm="1">
        <f t="array" ref="J1375">_xlfn.IFS(H1375&lt;30,0,H1375&lt;60,1,H1375&lt;90,2,H1375&lt;120,3)</f>
        <v>0</v>
      </c>
      <c r="M1375" t="str">
        <f t="shared" si="134"/>
        <v>Low</v>
      </c>
      <c r="N1375" t="str">
        <f t="shared" si="131"/>
        <v>Dec</v>
      </c>
      <c r="O1375">
        <f t="shared" si="132"/>
        <v>2025</v>
      </c>
    </row>
    <row r="1376" spans="1:15" x14ac:dyDescent="0.3">
      <c r="A1376">
        <v>203172</v>
      </c>
      <c r="B1376" t="s">
        <v>64</v>
      </c>
      <c r="C1376" s="2">
        <v>46003</v>
      </c>
      <c r="D1376" s="2">
        <f t="shared" si="130"/>
        <v>46033</v>
      </c>
      <c r="E1376" s="1">
        <f>D1376-1</f>
        <v>46032</v>
      </c>
      <c r="F1376">
        <v>2345</v>
      </c>
      <c r="G1376">
        <v>30</v>
      </c>
      <c r="H1376">
        <f t="shared" si="129"/>
        <v>0</v>
      </c>
      <c r="I1376" t="str">
        <f t="shared" si="133"/>
        <v>On Time</v>
      </c>
      <c r="J1376" cm="1">
        <f t="array" ref="J1376">_xlfn.IFS(H1376&lt;30,0,H1376&lt;60,1,H1376&lt;90,2,H1376&lt;120,3)</f>
        <v>0</v>
      </c>
      <c r="M1376" t="str">
        <f t="shared" si="134"/>
        <v>Low</v>
      </c>
      <c r="N1376" t="str">
        <f t="shared" si="131"/>
        <v>Dec</v>
      </c>
      <c r="O1376">
        <f t="shared" si="132"/>
        <v>2025</v>
      </c>
    </row>
    <row r="1377" spans="1:15" x14ac:dyDescent="0.3">
      <c r="A1377">
        <v>203173</v>
      </c>
      <c r="B1377" t="s">
        <v>65</v>
      </c>
      <c r="C1377" s="2">
        <v>46003</v>
      </c>
      <c r="D1377" s="2">
        <f t="shared" si="130"/>
        <v>46048</v>
      </c>
      <c r="E1377" s="1">
        <f>D1377</f>
        <v>46048</v>
      </c>
      <c r="F1377">
        <v>2982</v>
      </c>
      <c r="G1377">
        <v>45</v>
      </c>
      <c r="H1377">
        <f t="shared" si="129"/>
        <v>0</v>
      </c>
      <c r="I1377" t="str">
        <f t="shared" si="133"/>
        <v>On Time</v>
      </c>
      <c r="J1377" cm="1">
        <f t="array" ref="J1377">_xlfn.IFS(H1377&lt;30,0,H1377&lt;60,1,H1377&lt;90,2,H1377&lt;120,3)</f>
        <v>0</v>
      </c>
      <c r="M1377" t="str">
        <f t="shared" si="134"/>
        <v>Low</v>
      </c>
      <c r="N1377" t="str">
        <f t="shared" si="131"/>
        <v>Dec</v>
      </c>
      <c r="O1377">
        <f t="shared" si="132"/>
        <v>2025</v>
      </c>
    </row>
    <row r="1378" spans="1:15" x14ac:dyDescent="0.3">
      <c r="A1378">
        <v>203174</v>
      </c>
      <c r="B1378" t="s">
        <v>94</v>
      </c>
      <c r="C1378" s="2">
        <v>46003</v>
      </c>
      <c r="D1378" s="2">
        <f t="shared" si="130"/>
        <v>46033</v>
      </c>
      <c r="E1378" s="1">
        <f>D1378+1</f>
        <v>46034</v>
      </c>
      <c r="F1378">
        <v>541</v>
      </c>
      <c r="G1378">
        <v>30</v>
      </c>
      <c r="H1378">
        <f t="shared" si="129"/>
        <v>0</v>
      </c>
      <c r="I1378" t="str">
        <f t="shared" si="133"/>
        <v>On Time</v>
      </c>
      <c r="J1378" cm="1">
        <f t="array" ref="J1378">_xlfn.IFS(H1378&lt;30,0,H1378&lt;60,1,H1378&lt;90,2,H1378&lt;120,3)</f>
        <v>0</v>
      </c>
      <c r="M1378" t="str">
        <f t="shared" si="134"/>
        <v>Low</v>
      </c>
      <c r="N1378" t="str">
        <f t="shared" si="131"/>
        <v>Dec</v>
      </c>
      <c r="O1378">
        <f t="shared" si="132"/>
        <v>2025</v>
      </c>
    </row>
    <row r="1379" spans="1:15" x14ac:dyDescent="0.3">
      <c r="A1379">
        <v>203175</v>
      </c>
      <c r="B1379" t="s">
        <v>95</v>
      </c>
      <c r="C1379" s="2">
        <v>46003</v>
      </c>
      <c r="D1379" s="2">
        <f t="shared" si="130"/>
        <v>46048</v>
      </c>
      <c r="E1379" s="1">
        <f>D1379+35</f>
        <v>46083</v>
      </c>
      <c r="F1379">
        <v>4213</v>
      </c>
      <c r="G1379">
        <v>45</v>
      </c>
      <c r="H1379">
        <f t="shared" si="129"/>
        <v>0</v>
      </c>
      <c r="I1379" t="str">
        <f t="shared" si="133"/>
        <v>On Time</v>
      </c>
      <c r="J1379" cm="1">
        <f t="array" ref="J1379">_xlfn.IFS(H1379&lt;30,0,H1379&lt;60,1,H1379&lt;90,2,H1379&lt;120,3)</f>
        <v>0</v>
      </c>
      <c r="M1379" t="str">
        <f t="shared" si="134"/>
        <v>Low</v>
      </c>
      <c r="N1379" t="str">
        <f t="shared" si="131"/>
        <v>Dec</v>
      </c>
      <c r="O1379">
        <f t="shared" si="132"/>
        <v>2025</v>
      </c>
    </row>
    <row r="1380" spans="1:15" x14ac:dyDescent="0.3">
      <c r="A1380">
        <v>203176</v>
      </c>
      <c r="B1380" t="s">
        <v>96</v>
      </c>
      <c r="C1380" s="2">
        <v>46003</v>
      </c>
      <c r="D1380" s="2">
        <f t="shared" si="130"/>
        <v>46063</v>
      </c>
      <c r="E1380" s="1">
        <f>D1380+75</f>
        <v>46138</v>
      </c>
      <c r="F1380">
        <v>3826</v>
      </c>
      <c r="G1380">
        <v>60</v>
      </c>
      <c r="H1380">
        <f t="shared" si="129"/>
        <v>0</v>
      </c>
      <c r="I1380" t="str">
        <f t="shared" si="133"/>
        <v>On Time</v>
      </c>
      <c r="J1380" cm="1">
        <f t="array" ref="J1380">_xlfn.IFS(H1380&lt;30,0,H1380&lt;60,1,H1380&lt;90,2,H1380&lt;120,3)</f>
        <v>0</v>
      </c>
      <c r="M1380" t="str">
        <f t="shared" si="134"/>
        <v>Low</v>
      </c>
      <c r="N1380" t="str">
        <f t="shared" si="131"/>
        <v>Dec</v>
      </c>
      <c r="O1380">
        <f t="shared" si="132"/>
        <v>2025</v>
      </c>
    </row>
    <row r="1381" spans="1:15" x14ac:dyDescent="0.3">
      <c r="A1381">
        <v>203177</v>
      </c>
      <c r="B1381" t="s">
        <v>97</v>
      </c>
      <c r="C1381" s="2">
        <v>46003</v>
      </c>
      <c r="D1381" s="2">
        <f t="shared" si="130"/>
        <v>46033</v>
      </c>
      <c r="E1381" s="1">
        <f>D1381+5</f>
        <v>46038</v>
      </c>
      <c r="F1381">
        <v>893</v>
      </c>
      <c r="G1381">
        <v>30</v>
      </c>
      <c r="H1381">
        <f t="shared" si="129"/>
        <v>0</v>
      </c>
      <c r="I1381" t="str">
        <f t="shared" si="133"/>
        <v>On Time</v>
      </c>
      <c r="J1381" cm="1">
        <f t="array" ref="J1381">_xlfn.IFS(H1381&lt;30,0,H1381&lt;60,1,H1381&lt;90,2,H1381&lt;120,3)</f>
        <v>0</v>
      </c>
      <c r="M1381" t="str">
        <f t="shared" si="134"/>
        <v>Low</v>
      </c>
      <c r="N1381" t="str">
        <f t="shared" si="131"/>
        <v>Dec</v>
      </c>
      <c r="O1381">
        <f t="shared" si="132"/>
        <v>2025</v>
      </c>
    </row>
    <row r="1382" spans="1:15" x14ac:dyDescent="0.3">
      <c r="A1382">
        <v>203178</v>
      </c>
      <c r="B1382" t="s">
        <v>98</v>
      </c>
      <c r="C1382" s="2">
        <v>46003</v>
      </c>
      <c r="D1382" s="2">
        <f t="shared" si="130"/>
        <v>46033</v>
      </c>
      <c r="E1382" s="1">
        <f>D1382</f>
        <v>46033</v>
      </c>
      <c r="F1382">
        <v>1370</v>
      </c>
      <c r="G1382">
        <v>30</v>
      </c>
      <c r="H1382">
        <f t="shared" ref="H1382:H1445" si="135">MAX(0,P1347-D1382)</f>
        <v>0</v>
      </c>
      <c r="I1382" t="str">
        <f t="shared" si="133"/>
        <v>On Time</v>
      </c>
      <c r="J1382" cm="1">
        <f t="array" ref="J1382">_xlfn.IFS(H1382&lt;30,0,H1382&lt;60,1,H1382&lt;90,2,H1382&lt;120,3)</f>
        <v>0</v>
      </c>
      <c r="M1382" t="str">
        <f t="shared" si="134"/>
        <v>Low</v>
      </c>
      <c r="N1382" t="str">
        <f t="shared" si="131"/>
        <v>Dec</v>
      </c>
      <c r="O1382">
        <f t="shared" si="132"/>
        <v>2025</v>
      </c>
    </row>
    <row r="1383" spans="1:15" x14ac:dyDescent="0.3">
      <c r="A1383">
        <v>203179</v>
      </c>
      <c r="B1383" t="s">
        <v>99</v>
      </c>
      <c r="C1383" s="2">
        <v>46003</v>
      </c>
      <c r="D1383" s="2">
        <f t="shared" si="130"/>
        <v>46033</v>
      </c>
      <c r="E1383" s="1">
        <f>D1383-1</f>
        <v>46032</v>
      </c>
      <c r="F1383">
        <v>2544</v>
      </c>
      <c r="G1383">
        <v>30</v>
      </c>
      <c r="H1383">
        <f t="shared" si="135"/>
        <v>0</v>
      </c>
      <c r="I1383" t="str">
        <f t="shared" si="133"/>
        <v>On Time</v>
      </c>
      <c r="J1383" cm="1">
        <f t="array" ref="J1383">_xlfn.IFS(H1383&lt;30,0,H1383&lt;60,1,H1383&lt;90,2,H1383&lt;120,3)</f>
        <v>0</v>
      </c>
      <c r="M1383" t="str">
        <f t="shared" si="134"/>
        <v>Low</v>
      </c>
      <c r="N1383" t="str">
        <f t="shared" si="131"/>
        <v>Dec</v>
      </c>
      <c r="O1383">
        <f t="shared" si="132"/>
        <v>2025</v>
      </c>
    </row>
    <row r="1384" spans="1:15" x14ac:dyDescent="0.3">
      <c r="A1384">
        <v>203180</v>
      </c>
      <c r="B1384" t="s">
        <v>100</v>
      </c>
      <c r="C1384" s="2">
        <v>46003</v>
      </c>
      <c r="D1384" s="2">
        <f t="shared" si="130"/>
        <v>46033</v>
      </c>
      <c r="E1384" s="1">
        <f>D1384</f>
        <v>46033</v>
      </c>
      <c r="F1384">
        <v>11813</v>
      </c>
      <c r="G1384">
        <v>30</v>
      </c>
      <c r="H1384">
        <f t="shared" si="135"/>
        <v>0</v>
      </c>
      <c r="I1384" t="str">
        <f t="shared" si="133"/>
        <v>On Time</v>
      </c>
      <c r="J1384" cm="1">
        <f t="array" ref="J1384">_xlfn.IFS(H1384&lt;30,0,H1384&lt;60,1,H1384&lt;90,2,H1384&lt;120,3)</f>
        <v>0</v>
      </c>
      <c r="M1384" t="str">
        <f t="shared" si="134"/>
        <v>Low</v>
      </c>
      <c r="N1384" t="str">
        <f t="shared" si="131"/>
        <v>Dec</v>
      </c>
      <c r="O1384">
        <f t="shared" si="132"/>
        <v>2025</v>
      </c>
    </row>
    <row r="1385" spans="1:15" x14ac:dyDescent="0.3">
      <c r="A1385">
        <v>203181</v>
      </c>
      <c r="B1385" t="s">
        <v>101</v>
      </c>
      <c r="C1385" s="2">
        <v>46003</v>
      </c>
      <c r="D1385" s="2">
        <f t="shared" si="130"/>
        <v>46033</v>
      </c>
      <c r="E1385" s="1">
        <f>D1385+32</f>
        <v>46065</v>
      </c>
      <c r="F1385">
        <v>16654</v>
      </c>
      <c r="G1385">
        <v>30</v>
      </c>
      <c r="H1385">
        <f t="shared" si="135"/>
        <v>0</v>
      </c>
      <c r="I1385" t="str">
        <f t="shared" si="133"/>
        <v>On Time</v>
      </c>
      <c r="J1385" cm="1">
        <f t="array" ref="J1385">_xlfn.IFS(H1385&lt;30,0,H1385&lt;60,1,H1385&lt;90,2,H1385&lt;120,3)</f>
        <v>0</v>
      </c>
      <c r="M1385" t="str">
        <f t="shared" si="134"/>
        <v>Low</v>
      </c>
      <c r="N1385" t="str">
        <f t="shared" si="131"/>
        <v>Dec</v>
      </c>
      <c r="O1385">
        <f t="shared" si="132"/>
        <v>2025</v>
      </c>
    </row>
    <row r="1386" spans="1:15" x14ac:dyDescent="0.3">
      <c r="A1386">
        <v>203182</v>
      </c>
      <c r="B1386" t="s">
        <v>102</v>
      </c>
      <c r="C1386" s="2">
        <v>46003</v>
      </c>
      <c r="D1386" s="2">
        <f t="shared" si="130"/>
        <v>46033</v>
      </c>
      <c r="E1386" s="1">
        <f>D1386+15</f>
        <v>46048</v>
      </c>
      <c r="F1386">
        <v>2192</v>
      </c>
      <c r="G1386">
        <v>30</v>
      </c>
      <c r="H1386">
        <f t="shared" si="135"/>
        <v>0</v>
      </c>
      <c r="I1386" t="str">
        <f t="shared" si="133"/>
        <v>On Time</v>
      </c>
      <c r="J1386" cm="1">
        <f t="array" ref="J1386">_xlfn.IFS(H1386&lt;30,0,H1386&lt;60,1,H1386&lt;90,2,H1386&lt;120,3)</f>
        <v>0</v>
      </c>
      <c r="M1386" t="str">
        <f t="shared" si="134"/>
        <v>Low</v>
      </c>
      <c r="N1386" t="str">
        <f t="shared" si="131"/>
        <v>Dec</v>
      </c>
      <c r="O1386">
        <f t="shared" si="132"/>
        <v>2025</v>
      </c>
    </row>
    <row r="1387" spans="1:15" x14ac:dyDescent="0.3">
      <c r="A1387">
        <v>203183</v>
      </c>
      <c r="B1387" t="s">
        <v>103</v>
      </c>
      <c r="C1387" s="2">
        <v>46003</v>
      </c>
      <c r="D1387" s="2">
        <f t="shared" si="130"/>
        <v>46033</v>
      </c>
      <c r="E1387" s="1">
        <f>D1387-2</f>
        <v>46031</v>
      </c>
      <c r="F1387">
        <v>13808</v>
      </c>
      <c r="G1387">
        <v>30</v>
      </c>
      <c r="H1387">
        <f t="shared" si="135"/>
        <v>0</v>
      </c>
      <c r="I1387" t="str">
        <f t="shared" si="133"/>
        <v>On Time</v>
      </c>
      <c r="J1387" cm="1">
        <f t="array" ref="J1387">_xlfn.IFS(H1387&lt;30,0,H1387&lt;60,1,H1387&lt;90,2,H1387&lt;120,3)</f>
        <v>0</v>
      </c>
      <c r="M1387" t="str">
        <f t="shared" si="134"/>
        <v>Low</v>
      </c>
      <c r="N1387" t="str">
        <f t="shared" si="131"/>
        <v>Dec</v>
      </c>
      <c r="O1387">
        <f t="shared" si="132"/>
        <v>2025</v>
      </c>
    </row>
    <row r="1388" spans="1:15" x14ac:dyDescent="0.3">
      <c r="A1388">
        <v>203184</v>
      </c>
      <c r="B1388" t="s">
        <v>104</v>
      </c>
      <c r="C1388" s="2">
        <v>46003</v>
      </c>
      <c r="D1388" s="2">
        <f t="shared" si="130"/>
        <v>46033</v>
      </c>
      <c r="E1388" s="1">
        <f>D1388-2</f>
        <v>46031</v>
      </c>
      <c r="F1388">
        <v>319</v>
      </c>
      <c r="G1388">
        <v>30</v>
      </c>
      <c r="H1388">
        <f t="shared" si="135"/>
        <v>0</v>
      </c>
      <c r="I1388" t="str">
        <f t="shared" si="133"/>
        <v>On Time</v>
      </c>
      <c r="J1388" cm="1">
        <f t="array" ref="J1388">_xlfn.IFS(H1388&lt;30,0,H1388&lt;60,1,H1388&lt;90,2,H1388&lt;120,3)</f>
        <v>0</v>
      </c>
      <c r="M1388" t="str">
        <f t="shared" si="134"/>
        <v>Low</v>
      </c>
      <c r="N1388" t="str">
        <f t="shared" si="131"/>
        <v>Dec</v>
      </c>
      <c r="O1388">
        <f t="shared" si="132"/>
        <v>2025</v>
      </c>
    </row>
    <row r="1389" spans="1:15" x14ac:dyDescent="0.3">
      <c r="A1389">
        <v>203185</v>
      </c>
      <c r="B1389" t="s">
        <v>105</v>
      </c>
      <c r="C1389" s="2">
        <v>46003</v>
      </c>
      <c r="D1389" s="2">
        <f t="shared" si="130"/>
        <v>46033</v>
      </c>
      <c r="E1389" s="1">
        <f>D1389</f>
        <v>46033</v>
      </c>
      <c r="F1389">
        <v>3995</v>
      </c>
      <c r="G1389">
        <v>30</v>
      </c>
      <c r="H1389">
        <f t="shared" si="135"/>
        <v>0</v>
      </c>
      <c r="I1389" t="str">
        <f t="shared" si="133"/>
        <v>On Time</v>
      </c>
      <c r="J1389" cm="1">
        <f t="array" ref="J1389">_xlfn.IFS(H1389&lt;30,0,H1389&lt;60,1,H1389&lt;90,2,H1389&lt;120,3)</f>
        <v>0</v>
      </c>
      <c r="M1389" t="str">
        <f t="shared" si="134"/>
        <v>Low</v>
      </c>
      <c r="N1389" t="str">
        <f t="shared" si="131"/>
        <v>Dec</v>
      </c>
      <c r="O1389">
        <f t="shared" si="132"/>
        <v>2025</v>
      </c>
    </row>
    <row r="1390" spans="1:15" x14ac:dyDescent="0.3">
      <c r="A1390">
        <v>203186</v>
      </c>
      <c r="B1390" t="s">
        <v>114</v>
      </c>
      <c r="C1390" s="2">
        <v>46003</v>
      </c>
      <c r="D1390" s="2">
        <f t="shared" si="130"/>
        <v>46033</v>
      </c>
      <c r="E1390" s="1">
        <f>D1390+2</f>
        <v>46035</v>
      </c>
      <c r="F1390">
        <v>989</v>
      </c>
      <c r="G1390">
        <v>30</v>
      </c>
      <c r="H1390">
        <f t="shared" si="135"/>
        <v>0</v>
      </c>
      <c r="I1390" t="str">
        <f t="shared" si="133"/>
        <v>On Time</v>
      </c>
      <c r="J1390" cm="1">
        <f t="array" ref="J1390">_xlfn.IFS(H1390&lt;30,0,H1390&lt;60,1,H1390&lt;90,2,H1390&lt;120,3)</f>
        <v>0</v>
      </c>
      <c r="M1390" t="str">
        <f t="shared" si="134"/>
        <v>Low</v>
      </c>
      <c r="N1390" t="str">
        <f t="shared" si="131"/>
        <v>Dec</v>
      </c>
      <c r="O1390">
        <f t="shared" si="132"/>
        <v>2025</v>
      </c>
    </row>
    <row r="1391" spans="1:15" x14ac:dyDescent="0.3">
      <c r="A1391">
        <v>203187</v>
      </c>
      <c r="B1391" t="s">
        <v>115</v>
      </c>
      <c r="C1391" s="2">
        <v>46003</v>
      </c>
      <c r="D1391" s="2">
        <f t="shared" si="130"/>
        <v>46033</v>
      </c>
      <c r="E1391" s="1">
        <f>D1391+2</f>
        <v>46035</v>
      </c>
      <c r="F1391">
        <v>2174</v>
      </c>
      <c r="G1391">
        <v>30</v>
      </c>
      <c r="H1391">
        <f t="shared" si="135"/>
        <v>0</v>
      </c>
      <c r="I1391" t="str">
        <f t="shared" si="133"/>
        <v>On Time</v>
      </c>
      <c r="J1391" cm="1">
        <f t="array" ref="J1391">_xlfn.IFS(H1391&lt;30,0,H1391&lt;60,1,H1391&lt;90,2,H1391&lt;120,3)</f>
        <v>0</v>
      </c>
      <c r="M1391" t="str">
        <f t="shared" si="134"/>
        <v>Low</v>
      </c>
      <c r="N1391" t="str">
        <f t="shared" si="131"/>
        <v>Dec</v>
      </c>
      <c r="O1391">
        <f t="shared" si="132"/>
        <v>2025</v>
      </c>
    </row>
    <row r="1392" spans="1:15" x14ac:dyDescent="0.3">
      <c r="A1392">
        <v>203188</v>
      </c>
      <c r="B1392" t="s">
        <v>116</v>
      </c>
      <c r="C1392" s="2">
        <v>46003</v>
      </c>
      <c r="D1392" s="2">
        <f t="shared" si="130"/>
        <v>46033</v>
      </c>
      <c r="E1392" s="1">
        <f>D1392+2</f>
        <v>46035</v>
      </c>
      <c r="F1392">
        <v>3659</v>
      </c>
      <c r="G1392">
        <v>30</v>
      </c>
      <c r="H1392">
        <f t="shared" si="135"/>
        <v>0</v>
      </c>
      <c r="I1392" t="str">
        <f t="shared" si="133"/>
        <v>On Time</v>
      </c>
      <c r="J1392" cm="1">
        <f t="array" ref="J1392">_xlfn.IFS(H1392&lt;30,0,H1392&lt;60,1,H1392&lt;90,2,H1392&lt;120,3)</f>
        <v>0</v>
      </c>
      <c r="M1392" t="str">
        <f t="shared" si="134"/>
        <v>Low</v>
      </c>
      <c r="N1392" t="str">
        <f t="shared" si="131"/>
        <v>Dec</v>
      </c>
      <c r="O1392">
        <f t="shared" si="132"/>
        <v>2025</v>
      </c>
    </row>
    <row r="1393" spans="1:15" x14ac:dyDescent="0.3">
      <c r="A1393">
        <v>203189</v>
      </c>
      <c r="B1393" t="s">
        <v>117</v>
      </c>
      <c r="C1393" s="2">
        <v>46003</v>
      </c>
      <c r="D1393" s="2">
        <f t="shared" si="130"/>
        <v>46033</v>
      </c>
      <c r="E1393" s="1">
        <f>D1393</f>
        <v>46033</v>
      </c>
      <c r="F1393">
        <v>3387</v>
      </c>
      <c r="G1393">
        <v>30</v>
      </c>
      <c r="H1393">
        <f t="shared" si="135"/>
        <v>0</v>
      </c>
      <c r="I1393" t="str">
        <f t="shared" si="133"/>
        <v>On Time</v>
      </c>
      <c r="J1393" cm="1">
        <f t="array" ref="J1393">_xlfn.IFS(H1393&lt;30,0,H1393&lt;60,1,H1393&lt;90,2,H1393&lt;120,3)</f>
        <v>0</v>
      </c>
      <c r="M1393" t="str">
        <f t="shared" si="134"/>
        <v>Low</v>
      </c>
      <c r="N1393" t="str">
        <f t="shared" si="131"/>
        <v>Dec</v>
      </c>
      <c r="O1393">
        <f t="shared" si="132"/>
        <v>2025</v>
      </c>
    </row>
    <row r="1394" spans="1:15" x14ac:dyDescent="0.3">
      <c r="A1394">
        <v>203190</v>
      </c>
      <c r="B1394" t="s">
        <v>118</v>
      </c>
      <c r="C1394" s="2">
        <v>46003</v>
      </c>
      <c r="D1394" s="2">
        <f t="shared" si="130"/>
        <v>46033</v>
      </c>
      <c r="E1394" s="1">
        <f>D1394+20</f>
        <v>46053</v>
      </c>
      <c r="F1394">
        <v>3854</v>
      </c>
      <c r="G1394">
        <v>30</v>
      </c>
      <c r="H1394">
        <f t="shared" si="135"/>
        <v>0</v>
      </c>
      <c r="I1394" t="str">
        <f t="shared" si="133"/>
        <v>On Time</v>
      </c>
      <c r="J1394" cm="1">
        <f t="array" ref="J1394">_xlfn.IFS(H1394&lt;30,0,H1394&lt;60,1,H1394&lt;90,2,H1394&lt;120,3)</f>
        <v>0</v>
      </c>
      <c r="M1394" t="str">
        <f t="shared" si="134"/>
        <v>Low</v>
      </c>
      <c r="N1394" t="str">
        <f t="shared" si="131"/>
        <v>Dec</v>
      </c>
      <c r="O1394">
        <f t="shared" si="132"/>
        <v>2025</v>
      </c>
    </row>
    <row r="1395" spans="1:15" x14ac:dyDescent="0.3">
      <c r="A1395">
        <v>203191</v>
      </c>
      <c r="B1395" t="s">
        <v>119</v>
      </c>
      <c r="C1395" s="2">
        <v>46003</v>
      </c>
      <c r="D1395" s="2">
        <f t="shared" si="130"/>
        <v>46033</v>
      </c>
      <c r="E1395" s="1">
        <f>D1395</f>
        <v>46033</v>
      </c>
      <c r="F1395">
        <v>2780</v>
      </c>
      <c r="G1395">
        <v>30</v>
      </c>
      <c r="H1395">
        <f t="shared" si="135"/>
        <v>0</v>
      </c>
      <c r="I1395" t="str">
        <f t="shared" si="133"/>
        <v>On Time</v>
      </c>
      <c r="J1395" cm="1">
        <f t="array" ref="J1395">_xlfn.IFS(H1395&lt;30,0,H1395&lt;60,1,H1395&lt;90,2,H1395&lt;120,3)</f>
        <v>0</v>
      </c>
      <c r="M1395" t="str">
        <f t="shared" si="134"/>
        <v>Low</v>
      </c>
      <c r="N1395" t="str">
        <f t="shared" si="131"/>
        <v>Dec</v>
      </c>
      <c r="O1395">
        <f t="shared" si="132"/>
        <v>2025</v>
      </c>
    </row>
    <row r="1396" spans="1:15" x14ac:dyDescent="0.3">
      <c r="A1396">
        <v>203192</v>
      </c>
      <c r="B1396" t="s">
        <v>31</v>
      </c>
      <c r="C1396" s="2">
        <v>46003</v>
      </c>
      <c r="D1396" s="2">
        <f t="shared" si="130"/>
        <v>46048</v>
      </c>
      <c r="E1396" s="1">
        <f>D1396+1</f>
        <v>46049</v>
      </c>
      <c r="F1396">
        <v>1327</v>
      </c>
      <c r="G1396">
        <v>45</v>
      </c>
      <c r="H1396">
        <f t="shared" si="135"/>
        <v>0</v>
      </c>
      <c r="I1396" t="str">
        <f t="shared" si="133"/>
        <v>On Time</v>
      </c>
      <c r="J1396" cm="1">
        <f t="array" ref="J1396">_xlfn.IFS(H1396&lt;30,0,H1396&lt;60,1,H1396&lt;90,2,H1396&lt;120,3)</f>
        <v>0</v>
      </c>
      <c r="M1396" t="str">
        <f t="shared" si="134"/>
        <v>Low</v>
      </c>
      <c r="N1396" t="str">
        <f t="shared" si="131"/>
        <v>Dec</v>
      </c>
      <c r="O1396">
        <f t="shared" si="132"/>
        <v>2025</v>
      </c>
    </row>
    <row r="1397" spans="1:15" x14ac:dyDescent="0.3">
      <c r="A1397">
        <v>203131</v>
      </c>
      <c r="B1397" t="s">
        <v>57</v>
      </c>
      <c r="C1397" s="2">
        <v>46002</v>
      </c>
      <c r="D1397" s="2">
        <f t="shared" si="130"/>
        <v>46062</v>
      </c>
      <c r="E1397" s="1">
        <f>D1397+5</f>
        <v>46067</v>
      </c>
      <c r="F1397">
        <v>2134</v>
      </c>
      <c r="G1397">
        <v>60</v>
      </c>
      <c r="H1397">
        <f t="shared" si="135"/>
        <v>0</v>
      </c>
      <c r="I1397" t="str">
        <f t="shared" si="133"/>
        <v>On Time</v>
      </c>
      <c r="J1397" cm="1">
        <f t="array" ref="J1397">_xlfn.IFS(H1397&lt;30,0,H1397&lt;60,1,H1397&lt;90,2,H1397&lt;120,3)</f>
        <v>0</v>
      </c>
      <c r="M1397" t="str">
        <f t="shared" si="134"/>
        <v>Low</v>
      </c>
      <c r="N1397" t="str">
        <f t="shared" si="131"/>
        <v>Dec</v>
      </c>
      <c r="O1397">
        <f t="shared" si="132"/>
        <v>2025</v>
      </c>
    </row>
    <row r="1398" spans="1:15" x14ac:dyDescent="0.3">
      <c r="A1398">
        <v>203132</v>
      </c>
      <c r="B1398" t="s">
        <v>58</v>
      </c>
      <c r="C1398" s="2">
        <v>46002</v>
      </c>
      <c r="D1398" s="2">
        <f t="shared" si="130"/>
        <v>46032</v>
      </c>
      <c r="E1398" s="1">
        <f>D1398</f>
        <v>46032</v>
      </c>
      <c r="F1398">
        <v>815</v>
      </c>
      <c r="G1398">
        <v>30</v>
      </c>
      <c r="H1398">
        <f t="shared" si="135"/>
        <v>0</v>
      </c>
      <c r="I1398" t="str">
        <f t="shared" si="133"/>
        <v>On Time</v>
      </c>
      <c r="J1398" cm="1">
        <f t="array" ref="J1398">_xlfn.IFS(H1398&lt;30,0,H1398&lt;60,1,H1398&lt;90,2,H1398&lt;120,3)</f>
        <v>0</v>
      </c>
      <c r="M1398" t="str">
        <f t="shared" si="134"/>
        <v>Low</v>
      </c>
      <c r="N1398" t="str">
        <f t="shared" si="131"/>
        <v>Dec</v>
      </c>
      <c r="O1398">
        <f t="shared" si="132"/>
        <v>2025</v>
      </c>
    </row>
    <row r="1399" spans="1:15" x14ac:dyDescent="0.3">
      <c r="A1399">
        <v>203133</v>
      </c>
      <c r="B1399" t="s">
        <v>59</v>
      </c>
      <c r="C1399" s="2">
        <v>46002</v>
      </c>
      <c r="D1399" s="2">
        <f t="shared" si="130"/>
        <v>46032</v>
      </c>
      <c r="E1399" s="1">
        <f>D1399</f>
        <v>46032</v>
      </c>
      <c r="F1399">
        <v>3670</v>
      </c>
      <c r="G1399">
        <v>30</v>
      </c>
      <c r="H1399">
        <f t="shared" si="135"/>
        <v>0</v>
      </c>
      <c r="I1399" t="str">
        <f t="shared" si="133"/>
        <v>On Time</v>
      </c>
      <c r="J1399" cm="1">
        <f t="array" ref="J1399">_xlfn.IFS(H1399&lt;30,0,H1399&lt;60,1,H1399&lt;90,2,H1399&lt;120,3)</f>
        <v>0</v>
      </c>
      <c r="M1399" t="str">
        <f t="shared" si="134"/>
        <v>Low</v>
      </c>
      <c r="N1399" t="str">
        <f t="shared" si="131"/>
        <v>Dec</v>
      </c>
      <c r="O1399">
        <f t="shared" si="132"/>
        <v>2025</v>
      </c>
    </row>
    <row r="1400" spans="1:15" x14ac:dyDescent="0.3">
      <c r="A1400">
        <v>203134</v>
      </c>
      <c r="B1400" t="s">
        <v>60</v>
      </c>
      <c r="C1400" s="2">
        <v>46002</v>
      </c>
      <c r="D1400" s="2">
        <f t="shared" si="130"/>
        <v>46032</v>
      </c>
      <c r="E1400" s="1">
        <f>D1400+60</f>
        <v>46092</v>
      </c>
      <c r="F1400">
        <v>6268</v>
      </c>
      <c r="G1400">
        <v>30</v>
      </c>
      <c r="H1400">
        <f t="shared" si="135"/>
        <v>0</v>
      </c>
      <c r="I1400" t="str">
        <f t="shared" si="133"/>
        <v>On Time</v>
      </c>
      <c r="J1400" cm="1">
        <f t="array" ref="J1400">_xlfn.IFS(H1400&lt;30,0,H1400&lt;60,1,H1400&lt;90,2,H1400&lt;120,3)</f>
        <v>0</v>
      </c>
      <c r="M1400" t="str">
        <f t="shared" si="134"/>
        <v>Low</v>
      </c>
      <c r="N1400" t="str">
        <f t="shared" si="131"/>
        <v>Dec</v>
      </c>
      <c r="O1400">
        <f t="shared" si="132"/>
        <v>2025</v>
      </c>
    </row>
    <row r="1401" spans="1:15" x14ac:dyDescent="0.3">
      <c r="A1401">
        <v>203135</v>
      </c>
      <c r="B1401" t="s">
        <v>61</v>
      </c>
      <c r="C1401" s="2">
        <v>46002</v>
      </c>
      <c r="D1401" s="2">
        <f t="shared" si="130"/>
        <v>46032</v>
      </c>
      <c r="E1401" s="1">
        <f>D1401</f>
        <v>46032</v>
      </c>
      <c r="F1401">
        <v>1916</v>
      </c>
      <c r="G1401">
        <v>30</v>
      </c>
      <c r="H1401">
        <f t="shared" si="135"/>
        <v>0</v>
      </c>
      <c r="I1401" t="str">
        <f t="shared" si="133"/>
        <v>On Time</v>
      </c>
      <c r="J1401" cm="1">
        <f t="array" ref="J1401">_xlfn.IFS(H1401&lt;30,0,H1401&lt;60,1,H1401&lt;90,2,H1401&lt;120,3)</f>
        <v>0</v>
      </c>
      <c r="M1401" t="str">
        <f t="shared" si="134"/>
        <v>Low</v>
      </c>
      <c r="N1401" t="str">
        <f t="shared" si="131"/>
        <v>Dec</v>
      </c>
      <c r="O1401">
        <f t="shared" si="132"/>
        <v>2025</v>
      </c>
    </row>
    <row r="1402" spans="1:15" x14ac:dyDescent="0.3">
      <c r="A1402">
        <v>203136</v>
      </c>
      <c r="B1402" t="s">
        <v>62</v>
      </c>
      <c r="C1402" s="2">
        <v>46002</v>
      </c>
      <c r="D1402" s="2">
        <f t="shared" si="130"/>
        <v>46032</v>
      </c>
      <c r="F1402">
        <v>3321</v>
      </c>
      <c r="G1402">
        <v>30</v>
      </c>
      <c r="H1402">
        <f t="shared" si="135"/>
        <v>0</v>
      </c>
      <c r="I1402" t="str">
        <f t="shared" si="133"/>
        <v>On Time</v>
      </c>
      <c r="J1402" cm="1">
        <f t="array" ref="J1402">_xlfn.IFS(H1402&lt;30,0,H1402&lt;60,1,H1402&lt;90,2,H1402&lt;120,3)</f>
        <v>0</v>
      </c>
      <c r="M1402" t="str">
        <f t="shared" si="134"/>
        <v>Low</v>
      </c>
      <c r="N1402" t="str">
        <f t="shared" si="131"/>
        <v>Dec</v>
      </c>
      <c r="O1402">
        <f t="shared" si="132"/>
        <v>2025</v>
      </c>
    </row>
    <row r="1403" spans="1:15" x14ac:dyDescent="0.3">
      <c r="A1403">
        <v>203137</v>
      </c>
      <c r="B1403" t="s">
        <v>63</v>
      </c>
      <c r="C1403" s="2">
        <v>46002</v>
      </c>
      <c r="D1403" s="2">
        <f t="shared" si="130"/>
        <v>46032</v>
      </c>
      <c r="E1403" s="1">
        <f>D1403+3</f>
        <v>46035</v>
      </c>
      <c r="F1403">
        <v>4549</v>
      </c>
      <c r="G1403">
        <v>30</v>
      </c>
      <c r="H1403">
        <f t="shared" si="135"/>
        <v>0</v>
      </c>
      <c r="I1403" t="str">
        <f t="shared" si="133"/>
        <v>On Time</v>
      </c>
      <c r="J1403" cm="1">
        <f t="array" ref="J1403">_xlfn.IFS(H1403&lt;30,0,H1403&lt;60,1,H1403&lt;90,2,H1403&lt;120,3)</f>
        <v>0</v>
      </c>
      <c r="M1403" t="str">
        <f t="shared" si="134"/>
        <v>Low</v>
      </c>
      <c r="N1403" t="str">
        <f t="shared" si="131"/>
        <v>Dec</v>
      </c>
      <c r="O1403">
        <f t="shared" si="132"/>
        <v>2025</v>
      </c>
    </row>
    <row r="1404" spans="1:15" x14ac:dyDescent="0.3">
      <c r="A1404">
        <v>203138</v>
      </c>
      <c r="B1404" t="s">
        <v>64</v>
      </c>
      <c r="C1404" s="2">
        <v>46002</v>
      </c>
      <c r="D1404" s="2">
        <f t="shared" si="130"/>
        <v>46032</v>
      </c>
      <c r="E1404" s="1">
        <f>D1404+1</f>
        <v>46033</v>
      </c>
      <c r="F1404">
        <v>1728</v>
      </c>
      <c r="G1404">
        <v>30</v>
      </c>
      <c r="H1404">
        <f t="shared" si="135"/>
        <v>0</v>
      </c>
      <c r="I1404" t="str">
        <f t="shared" si="133"/>
        <v>On Time</v>
      </c>
      <c r="J1404" cm="1">
        <f t="array" ref="J1404">_xlfn.IFS(H1404&lt;30,0,H1404&lt;60,1,H1404&lt;90,2,H1404&lt;120,3)</f>
        <v>0</v>
      </c>
      <c r="M1404" t="str">
        <f t="shared" si="134"/>
        <v>Low</v>
      </c>
      <c r="N1404" t="str">
        <f t="shared" si="131"/>
        <v>Dec</v>
      </c>
      <c r="O1404">
        <f t="shared" si="132"/>
        <v>2025</v>
      </c>
    </row>
    <row r="1405" spans="1:15" x14ac:dyDescent="0.3">
      <c r="A1405">
        <v>203139</v>
      </c>
      <c r="B1405" t="s">
        <v>65</v>
      </c>
      <c r="C1405" s="2">
        <v>46002</v>
      </c>
      <c r="D1405" s="2">
        <f t="shared" si="130"/>
        <v>46047</v>
      </c>
      <c r="E1405" s="1">
        <f>D1405-1</f>
        <v>46046</v>
      </c>
      <c r="F1405">
        <v>4654</v>
      </c>
      <c r="G1405">
        <v>45</v>
      </c>
      <c r="H1405">
        <f t="shared" si="135"/>
        <v>0</v>
      </c>
      <c r="I1405" t="str">
        <f t="shared" si="133"/>
        <v>On Time</v>
      </c>
      <c r="J1405" cm="1">
        <f t="array" ref="J1405">_xlfn.IFS(H1405&lt;30,0,H1405&lt;60,1,H1405&lt;90,2,H1405&lt;120,3)</f>
        <v>0</v>
      </c>
      <c r="M1405" t="str">
        <f t="shared" si="134"/>
        <v>Low</v>
      </c>
      <c r="N1405" t="str">
        <f t="shared" si="131"/>
        <v>Dec</v>
      </c>
      <c r="O1405">
        <f t="shared" si="132"/>
        <v>2025</v>
      </c>
    </row>
    <row r="1406" spans="1:15" x14ac:dyDescent="0.3">
      <c r="A1406">
        <v>203140</v>
      </c>
      <c r="B1406" t="s">
        <v>66</v>
      </c>
      <c r="C1406" s="2">
        <v>46002</v>
      </c>
      <c r="D1406" s="2">
        <f t="shared" si="130"/>
        <v>46062</v>
      </c>
      <c r="E1406" s="1">
        <f>D1406</f>
        <v>46062</v>
      </c>
      <c r="F1406">
        <v>4377</v>
      </c>
      <c r="G1406">
        <v>60</v>
      </c>
      <c r="H1406">
        <f t="shared" si="135"/>
        <v>0</v>
      </c>
      <c r="I1406" t="str">
        <f t="shared" si="133"/>
        <v>On Time</v>
      </c>
      <c r="J1406" cm="1">
        <f t="array" ref="J1406">_xlfn.IFS(H1406&lt;30,0,H1406&lt;60,1,H1406&lt;90,2,H1406&lt;120,3)</f>
        <v>0</v>
      </c>
      <c r="M1406" t="str">
        <f t="shared" si="134"/>
        <v>Low</v>
      </c>
      <c r="N1406" t="str">
        <f t="shared" si="131"/>
        <v>Dec</v>
      </c>
      <c r="O1406">
        <f t="shared" si="132"/>
        <v>2025</v>
      </c>
    </row>
    <row r="1407" spans="1:15" x14ac:dyDescent="0.3">
      <c r="A1407">
        <v>203141</v>
      </c>
      <c r="B1407" t="s">
        <v>108</v>
      </c>
      <c r="C1407" s="2">
        <v>46002</v>
      </c>
      <c r="D1407" s="2">
        <f t="shared" si="130"/>
        <v>46032</v>
      </c>
      <c r="E1407" s="1">
        <f>D1407-5</f>
        <v>46027</v>
      </c>
      <c r="F1407">
        <v>4320</v>
      </c>
      <c r="G1407">
        <v>30</v>
      </c>
      <c r="H1407">
        <f t="shared" si="135"/>
        <v>0</v>
      </c>
      <c r="I1407" t="str">
        <f t="shared" si="133"/>
        <v>On Time</v>
      </c>
      <c r="J1407" cm="1">
        <f t="array" ref="J1407">_xlfn.IFS(H1407&lt;30,0,H1407&lt;60,1,H1407&lt;90,2,H1407&lt;120,3)</f>
        <v>0</v>
      </c>
      <c r="M1407" t="str">
        <f t="shared" si="134"/>
        <v>Low</v>
      </c>
      <c r="N1407" t="str">
        <f t="shared" si="131"/>
        <v>Dec</v>
      </c>
      <c r="O1407">
        <f t="shared" si="132"/>
        <v>2025</v>
      </c>
    </row>
    <row r="1408" spans="1:15" x14ac:dyDescent="0.3">
      <c r="A1408">
        <v>203142</v>
      </c>
      <c r="B1408" t="s">
        <v>109</v>
      </c>
      <c r="C1408" s="2">
        <v>46002</v>
      </c>
      <c r="D1408" s="2">
        <f t="shared" si="130"/>
        <v>46032</v>
      </c>
      <c r="E1408" s="1">
        <f>D1408+35</f>
        <v>46067</v>
      </c>
      <c r="F1408">
        <v>2071</v>
      </c>
      <c r="G1408">
        <v>30</v>
      </c>
      <c r="H1408">
        <f t="shared" si="135"/>
        <v>0</v>
      </c>
      <c r="I1408" t="str">
        <f t="shared" si="133"/>
        <v>On Time</v>
      </c>
      <c r="J1408" cm="1">
        <f t="array" ref="J1408">_xlfn.IFS(H1408&lt;30,0,H1408&lt;60,1,H1408&lt;90,2,H1408&lt;120,3)</f>
        <v>0</v>
      </c>
      <c r="M1408" t="str">
        <f t="shared" si="134"/>
        <v>Low</v>
      </c>
      <c r="N1408" t="str">
        <f t="shared" si="131"/>
        <v>Dec</v>
      </c>
      <c r="O1408">
        <f t="shared" si="132"/>
        <v>2025</v>
      </c>
    </row>
    <row r="1409" spans="1:15" x14ac:dyDescent="0.3">
      <c r="A1409">
        <v>203143</v>
      </c>
      <c r="B1409" t="s">
        <v>110</v>
      </c>
      <c r="C1409" s="2">
        <v>46002</v>
      </c>
      <c r="D1409" s="2">
        <f t="shared" si="130"/>
        <v>46047</v>
      </c>
      <c r="E1409" s="1">
        <f>D1409+75</f>
        <v>46122</v>
      </c>
      <c r="F1409">
        <v>2812</v>
      </c>
      <c r="G1409">
        <v>45</v>
      </c>
      <c r="H1409">
        <f t="shared" si="135"/>
        <v>0</v>
      </c>
      <c r="I1409" t="str">
        <f t="shared" si="133"/>
        <v>On Time</v>
      </c>
      <c r="J1409" cm="1">
        <f t="array" ref="J1409">_xlfn.IFS(H1409&lt;30,0,H1409&lt;60,1,H1409&lt;90,2,H1409&lt;120,3)</f>
        <v>0</v>
      </c>
      <c r="M1409" t="str">
        <f t="shared" si="134"/>
        <v>Low</v>
      </c>
      <c r="N1409" t="str">
        <f t="shared" si="131"/>
        <v>Dec</v>
      </c>
      <c r="O1409">
        <f t="shared" si="132"/>
        <v>2025</v>
      </c>
    </row>
    <row r="1410" spans="1:15" x14ac:dyDescent="0.3">
      <c r="A1410">
        <v>203144</v>
      </c>
      <c r="B1410" t="s">
        <v>111</v>
      </c>
      <c r="C1410" s="2">
        <v>46002</v>
      </c>
      <c r="D1410" s="2">
        <f t="shared" ref="D1410:D1473" si="136">C1410+G1410</f>
        <v>46062</v>
      </c>
      <c r="E1410" s="1">
        <f>D1410+5</f>
        <v>46067</v>
      </c>
      <c r="F1410">
        <v>4889</v>
      </c>
      <c r="G1410">
        <v>60</v>
      </c>
      <c r="H1410">
        <f t="shared" si="135"/>
        <v>0</v>
      </c>
      <c r="I1410" t="str">
        <f t="shared" si="133"/>
        <v>On Time</v>
      </c>
      <c r="J1410" cm="1">
        <f t="array" ref="J1410">_xlfn.IFS(H1410&lt;30,0,H1410&lt;60,1,H1410&lt;90,2,H1410&lt;120,3)</f>
        <v>0</v>
      </c>
      <c r="M1410" t="str">
        <f t="shared" si="134"/>
        <v>Low</v>
      </c>
      <c r="N1410" t="str">
        <f t="shared" ref="N1410:N1473" si="137">TEXT(C1410,"mmm")</f>
        <v>Dec</v>
      </c>
      <c r="O1410">
        <f t="shared" ref="O1410:O1473" si="138">YEAR(C1410)</f>
        <v>2025</v>
      </c>
    </row>
    <row r="1411" spans="1:15" x14ac:dyDescent="0.3">
      <c r="A1411">
        <v>203145</v>
      </c>
      <c r="B1411" t="s">
        <v>112</v>
      </c>
      <c r="C1411" s="2">
        <v>46002</v>
      </c>
      <c r="D1411" s="2">
        <f t="shared" si="136"/>
        <v>46047</v>
      </c>
      <c r="E1411" s="1">
        <f>D1411</f>
        <v>46047</v>
      </c>
      <c r="F1411">
        <v>4917</v>
      </c>
      <c r="G1411">
        <v>45</v>
      </c>
      <c r="H1411">
        <f t="shared" si="135"/>
        <v>0</v>
      </c>
      <c r="I1411" t="str">
        <f t="shared" si="133"/>
        <v>On Time</v>
      </c>
      <c r="J1411" cm="1">
        <f t="array" ref="J1411">_xlfn.IFS(H1411&lt;30,0,H1411&lt;60,1,H1411&lt;90,2,H1411&lt;120,3)</f>
        <v>0</v>
      </c>
      <c r="M1411" t="str">
        <f t="shared" si="134"/>
        <v>Low</v>
      </c>
      <c r="N1411" t="str">
        <f t="shared" si="137"/>
        <v>Dec</v>
      </c>
      <c r="O1411">
        <f t="shared" si="138"/>
        <v>2025</v>
      </c>
    </row>
    <row r="1412" spans="1:15" x14ac:dyDescent="0.3">
      <c r="A1412">
        <v>203146</v>
      </c>
      <c r="B1412" t="s">
        <v>113</v>
      </c>
      <c r="C1412" s="2">
        <v>46002</v>
      </c>
      <c r="D1412" s="2">
        <f t="shared" si="136"/>
        <v>46047</v>
      </c>
      <c r="E1412" s="1">
        <f>D1412-1</f>
        <v>46046</v>
      </c>
      <c r="F1412">
        <v>370</v>
      </c>
      <c r="G1412">
        <v>45</v>
      </c>
      <c r="H1412">
        <f t="shared" si="135"/>
        <v>0</v>
      </c>
      <c r="I1412" t="str">
        <f t="shared" si="133"/>
        <v>On Time</v>
      </c>
      <c r="J1412" cm="1">
        <f t="array" ref="J1412">_xlfn.IFS(H1412&lt;30,0,H1412&lt;60,1,H1412&lt;90,2,H1412&lt;120,3)</f>
        <v>0</v>
      </c>
      <c r="M1412" t="str">
        <f t="shared" si="134"/>
        <v>Low</v>
      </c>
      <c r="N1412" t="str">
        <f t="shared" si="137"/>
        <v>Dec</v>
      </c>
      <c r="O1412">
        <f t="shared" si="138"/>
        <v>2025</v>
      </c>
    </row>
    <row r="1413" spans="1:15" x14ac:dyDescent="0.3">
      <c r="A1413">
        <v>203147</v>
      </c>
      <c r="B1413" t="s">
        <v>114</v>
      </c>
      <c r="C1413" s="2">
        <v>46002</v>
      </c>
      <c r="D1413" s="2">
        <f t="shared" si="136"/>
        <v>46032</v>
      </c>
      <c r="E1413" s="1">
        <f>D1413</f>
        <v>46032</v>
      </c>
      <c r="F1413">
        <v>1428</v>
      </c>
      <c r="G1413">
        <v>30</v>
      </c>
      <c r="H1413">
        <f t="shared" si="135"/>
        <v>0</v>
      </c>
      <c r="I1413" t="str">
        <f t="shared" si="133"/>
        <v>On Time</v>
      </c>
      <c r="J1413" cm="1">
        <f t="array" ref="J1413">_xlfn.IFS(H1413&lt;30,0,H1413&lt;60,1,H1413&lt;90,2,H1413&lt;120,3)</f>
        <v>0</v>
      </c>
      <c r="M1413" t="str">
        <f t="shared" si="134"/>
        <v>Low</v>
      </c>
      <c r="N1413" t="str">
        <f t="shared" si="137"/>
        <v>Dec</v>
      </c>
      <c r="O1413">
        <f t="shared" si="138"/>
        <v>2025</v>
      </c>
    </row>
    <row r="1414" spans="1:15" x14ac:dyDescent="0.3">
      <c r="A1414">
        <v>203148</v>
      </c>
      <c r="B1414" t="s">
        <v>115</v>
      </c>
      <c r="C1414" s="2">
        <v>46002</v>
      </c>
      <c r="D1414" s="2">
        <f t="shared" si="136"/>
        <v>46032</v>
      </c>
      <c r="E1414" s="1">
        <f>D1414+32</f>
        <v>46064</v>
      </c>
      <c r="F1414">
        <v>262</v>
      </c>
      <c r="G1414">
        <v>30</v>
      </c>
      <c r="H1414">
        <f t="shared" si="135"/>
        <v>0</v>
      </c>
      <c r="I1414" t="str">
        <f t="shared" si="133"/>
        <v>On Time</v>
      </c>
      <c r="J1414" cm="1">
        <f t="array" ref="J1414">_xlfn.IFS(H1414&lt;30,0,H1414&lt;60,1,H1414&lt;90,2,H1414&lt;120,3)</f>
        <v>0</v>
      </c>
      <c r="M1414" t="str">
        <f t="shared" si="134"/>
        <v>Low</v>
      </c>
      <c r="N1414" t="str">
        <f t="shared" si="137"/>
        <v>Dec</v>
      </c>
      <c r="O1414">
        <f t="shared" si="138"/>
        <v>2025</v>
      </c>
    </row>
    <row r="1415" spans="1:15" x14ac:dyDescent="0.3">
      <c r="A1415">
        <v>203149</v>
      </c>
      <c r="B1415" t="s">
        <v>116</v>
      </c>
      <c r="C1415" s="2">
        <v>46002</v>
      </c>
      <c r="D1415" s="2">
        <f t="shared" si="136"/>
        <v>46032</v>
      </c>
      <c r="E1415" s="1">
        <f>D1415+15</f>
        <v>46047</v>
      </c>
      <c r="F1415">
        <v>1471</v>
      </c>
      <c r="G1415">
        <v>30</v>
      </c>
      <c r="H1415">
        <f t="shared" si="135"/>
        <v>0</v>
      </c>
      <c r="I1415" t="str">
        <f t="shared" si="133"/>
        <v>On Time</v>
      </c>
      <c r="J1415" cm="1">
        <f t="array" ref="J1415">_xlfn.IFS(H1415&lt;30,0,H1415&lt;60,1,H1415&lt;90,2,H1415&lt;120,3)</f>
        <v>0</v>
      </c>
      <c r="M1415" t="str">
        <f t="shared" si="134"/>
        <v>Low</v>
      </c>
      <c r="N1415" t="str">
        <f t="shared" si="137"/>
        <v>Dec</v>
      </c>
      <c r="O1415">
        <f t="shared" si="138"/>
        <v>2025</v>
      </c>
    </row>
    <row r="1416" spans="1:15" x14ac:dyDescent="0.3">
      <c r="A1416">
        <v>203150</v>
      </c>
      <c r="B1416" t="s">
        <v>20</v>
      </c>
      <c r="C1416" s="2">
        <v>46002</v>
      </c>
      <c r="D1416" s="2">
        <f t="shared" si="136"/>
        <v>46032</v>
      </c>
      <c r="E1416" s="1">
        <f>D1416</f>
        <v>46032</v>
      </c>
      <c r="F1416">
        <v>692</v>
      </c>
      <c r="G1416">
        <v>30</v>
      </c>
      <c r="H1416">
        <f t="shared" si="135"/>
        <v>0</v>
      </c>
      <c r="I1416" t="str">
        <f t="shared" si="133"/>
        <v>On Time</v>
      </c>
      <c r="J1416" cm="1">
        <f t="array" ref="J1416">_xlfn.IFS(H1416&lt;30,0,H1416&lt;60,1,H1416&lt;90,2,H1416&lt;120,3)</f>
        <v>0</v>
      </c>
      <c r="M1416" t="str">
        <f t="shared" si="134"/>
        <v>Low</v>
      </c>
      <c r="N1416" t="str">
        <f t="shared" si="137"/>
        <v>Dec</v>
      </c>
      <c r="O1416">
        <f t="shared" si="138"/>
        <v>2025</v>
      </c>
    </row>
    <row r="1417" spans="1:15" x14ac:dyDescent="0.3">
      <c r="A1417">
        <v>203151</v>
      </c>
      <c r="B1417" t="s">
        <v>21</v>
      </c>
      <c r="C1417" s="2">
        <v>46002</v>
      </c>
      <c r="D1417" s="2">
        <f t="shared" si="136"/>
        <v>46032</v>
      </c>
      <c r="E1417" s="1">
        <f>D1417-2</f>
        <v>46030</v>
      </c>
      <c r="F1417">
        <v>1423</v>
      </c>
      <c r="G1417">
        <v>30</v>
      </c>
      <c r="H1417">
        <f t="shared" si="135"/>
        <v>0</v>
      </c>
      <c r="I1417" t="str">
        <f t="shared" si="133"/>
        <v>On Time</v>
      </c>
      <c r="J1417" cm="1">
        <f t="array" ref="J1417">_xlfn.IFS(H1417&lt;30,0,H1417&lt;60,1,H1417&lt;90,2,H1417&lt;120,3)</f>
        <v>0</v>
      </c>
      <c r="M1417" t="str">
        <f t="shared" si="134"/>
        <v>Low</v>
      </c>
      <c r="N1417" t="str">
        <f t="shared" si="137"/>
        <v>Dec</v>
      </c>
      <c r="O1417">
        <f t="shared" si="138"/>
        <v>2025</v>
      </c>
    </row>
    <row r="1418" spans="1:15" x14ac:dyDescent="0.3">
      <c r="A1418">
        <v>203152</v>
      </c>
      <c r="B1418" t="s">
        <v>22</v>
      </c>
      <c r="C1418" s="2">
        <v>46002</v>
      </c>
      <c r="D1418" s="2">
        <f t="shared" si="136"/>
        <v>46032</v>
      </c>
      <c r="E1418" s="1">
        <f>D1418</f>
        <v>46032</v>
      </c>
      <c r="F1418">
        <v>3007</v>
      </c>
      <c r="G1418">
        <v>30</v>
      </c>
      <c r="H1418">
        <f t="shared" si="135"/>
        <v>0</v>
      </c>
      <c r="I1418" t="str">
        <f t="shared" si="133"/>
        <v>On Time</v>
      </c>
      <c r="J1418" cm="1">
        <f t="array" ref="J1418">_xlfn.IFS(H1418&lt;30,0,H1418&lt;60,1,H1418&lt;90,2,H1418&lt;120,3)</f>
        <v>0</v>
      </c>
      <c r="M1418" t="str">
        <f t="shared" si="134"/>
        <v>Low</v>
      </c>
      <c r="N1418" t="str">
        <f t="shared" si="137"/>
        <v>Dec</v>
      </c>
      <c r="O1418">
        <f t="shared" si="138"/>
        <v>2025</v>
      </c>
    </row>
    <row r="1419" spans="1:15" x14ac:dyDescent="0.3">
      <c r="A1419">
        <v>203153</v>
      </c>
      <c r="B1419" t="s">
        <v>23</v>
      </c>
      <c r="C1419" s="2">
        <v>46002</v>
      </c>
      <c r="D1419" s="2">
        <f t="shared" si="136"/>
        <v>46047</v>
      </c>
      <c r="E1419" s="1">
        <f>D1419+2</f>
        <v>46049</v>
      </c>
      <c r="F1419">
        <v>141</v>
      </c>
      <c r="G1419">
        <v>45</v>
      </c>
      <c r="H1419">
        <f t="shared" si="135"/>
        <v>0</v>
      </c>
      <c r="I1419" t="str">
        <f t="shared" si="133"/>
        <v>On Time</v>
      </c>
      <c r="J1419" cm="1">
        <f t="array" ref="J1419">_xlfn.IFS(H1419&lt;30,0,H1419&lt;60,1,H1419&lt;90,2,H1419&lt;120,3)</f>
        <v>0</v>
      </c>
      <c r="M1419" t="str">
        <f t="shared" si="134"/>
        <v>Low</v>
      </c>
      <c r="N1419" t="str">
        <f t="shared" si="137"/>
        <v>Dec</v>
      </c>
      <c r="O1419">
        <f t="shared" si="138"/>
        <v>2025</v>
      </c>
    </row>
    <row r="1420" spans="1:15" x14ac:dyDescent="0.3">
      <c r="A1420">
        <v>203154</v>
      </c>
      <c r="B1420" t="s">
        <v>24</v>
      </c>
      <c r="C1420" s="2">
        <v>46002</v>
      </c>
      <c r="D1420" s="2">
        <f t="shared" si="136"/>
        <v>46047</v>
      </c>
      <c r="E1420" s="1">
        <f>D1420+2</f>
        <v>46049</v>
      </c>
      <c r="F1420">
        <v>3696</v>
      </c>
      <c r="G1420">
        <v>45</v>
      </c>
      <c r="H1420">
        <f t="shared" si="135"/>
        <v>0</v>
      </c>
      <c r="I1420" t="str">
        <f t="shared" si="133"/>
        <v>On Time</v>
      </c>
      <c r="J1420" cm="1">
        <f t="array" ref="J1420">_xlfn.IFS(H1420&lt;30,0,H1420&lt;60,1,H1420&lt;90,2,H1420&lt;120,3)</f>
        <v>0</v>
      </c>
      <c r="M1420" t="str">
        <f t="shared" si="134"/>
        <v>Low</v>
      </c>
      <c r="N1420" t="str">
        <f t="shared" si="137"/>
        <v>Dec</v>
      </c>
      <c r="O1420">
        <f t="shared" si="138"/>
        <v>2025</v>
      </c>
    </row>
    <row r="1421" spans="1:15" x14ac:dyDescent="0.3">
      <c r="A1421">
        <v>203155</v>
      </c>
      <c r="B1421" t="s">
        <v>25</v>
      </c>
      <c r="C1421" s="2">
        <v>46002</v>
      </c>
      <c r="D1421" s="2">
        <f t="shared" si="136"/>
        <v>46062</v>
      </c>
      <c r="E1421" s="1">
        <f>D1421+2</f>
        <v>46064</v>
      </c>
      <c r="F1421">
        <v>2144</v>
      </c>
      <c r="G1421">
        <v>60</v>
      </c>
      <c r="H1421">
        <f t="shared" si="135"/>
        <v>0</v>
      </c>
      <c r="I1421" t="str">
        <f t="shared" si="133"/>
        <v>On Time</v>
      </c>
      <c r="J1421" cm="1">
        <f t="array" ref="J1421">_xlfn.IFS(H1421&lt;30,0,H1421&lt;60,1,H1421&lt;90,2,H1421&lt;120,3)</f>
        <v>0</v>
      </c>
      <c r="M1421" t="str">
        <f t="shared" si="134"/>
        <v>Low</v>
      </c>
      <c r="N1421" t="str">
        <f t="shared" si="137"/>
        <v>Dec</v>
      </c>
      <c r="O1421">
        <f t="shared" si="138"/>
        <v>2025</v>
      </c>
    </row>
    <row r="1422" spans="1:15" x14ac:dyDescent="0.3">
      <c r="A1422">
        <v>203156</v>
      </c>
      <c r="B1422" t="s">
        <v>26</v>
      </c>
      <c r="C1422" s="2">
        <v>46002</v>
      </c>
      <c r="D1422" s="2">
        <f t="shared" si="136"/>
        <v>46032</v>
      </c>
      <c r="E1422" s="1">
        <f>D1422</f>
        <v>46032</v>
      </c>
      <c r="F1422">
        <v>4553</v>
      </c>
      <c r="G1422">
        <v>30</v>
      </c>
      <c r="H1422">
        <f t="shared" si="135"/>
        <v>0</v>
      </c>
      <c r="I1422" t="str">
        <f t="shared" si="133"/>
        <v>On Time</v>
      </c>
      <c r="J1422" cm="1">
        <f t="array" ref="J1422">_xlfn.IFS(H1422&lt;30,0,H1422&lt;60,1,H1422&lt;90,2,H1422&lt;120,3)</f>
        <v>0</v>
      </c>
      <c r="M1422" t="str">
        <f t="shared" si="134"/>
        <v>Low</v>
      </c>
      <c r="N1422" t="str">
        <f t="shared" si="137"/>
        <v>Dec</v>
      </c>
      <c r="O1422">
        <f t="shared" si="138"/>
        <v>2025</v>
      </c>
    </row>
    <row r="1423" spans="1:15" x14ac:dyDescent="0.3">
      <c r="A1423">
        <v>203157</v>
      </c>
      <c r="B1423" t="s">
        <v>27</v>
      </c>
      <c r="C1423" s="2">
        <v>46002</v>
      </c>
      <c r="D1423" s="2">
        <f t="shared" si="136"/>
        <v>46062</v>
      </c>
      <c r="E1423" s="1">
        <f>D1423+20</f>
        <v>46082</v>
      </c>
      <c r="F1423">
        <v>2153</v>
      </c>
      <c r="G1423">
        <v>60</v>
      </c>
      <c r="H1423">
        <f t="shared" si="135"/>
        <v>0</v>
      </c>
      <c r="I1423" t="str">
        <f t="shared" si="133"/>
        <v>On Time</v>
      </c>
      <c r="J1423" cm="1">
        <f t="array" ref="J1423">_xlfn.IFS(H1423&lt;30,0,H1423&lt;60,1,H1423&lt;90,2,H1423&lt;120,3)</f>
        <v>0</v>
      </c>
      <c r="M1423" t="str">
        <f t="shared" si="134"/>
        <v>Low</v>
      </c>
      <c r="N1423" t="str">
        <f t="shared" si="137"/>
        <v>Dec</v>
      </c>
      <c r="O1423">
        <f t="shared" si="138"/>
        <v>2025</v>
      </c>
    </row>
    <row r="1424" spans="1:15" x14ac:dyDescent="0.3">
      <c r="A1424">
        <v>203158</v>
      </c>
      <c r="B1424" t="s">
        <v>28</v>
      </c>
      <c r="C1424" s="2">
        <v>46002</v>
      </c>
      <c r="D1424" s="2">
        <f t="shared" si="136"/>
        <v>46032</v>
      </c>
      <c r="E1424" s="1">
        <f>D1424</f>
        <v>46032</v>
      </c>
      <c r="F1424">
        <v>1834</v>
      </c>
      <c r="G1424">
        <v>30</v>
      </c>
      <c r="H1424">
        <f t="shared" si="135"/>
        <v>0</v>
      </c>
      <c r="I1424" t="str">
        <f t="shared" si="133"/>
        <v>On Time</v>
      </c>
      <c r="J1424" cm="1">
        <f t="array" ref="J1424">_xlfn.IFS(H1424&lt;30,0,H1424&lt;60,1,H1424&lt;90,2,H1424&lt;120,3)</f>
        <v>0</v>
      </c>
      <c r="M1424" t="str">
        <f t="shared" si="134"/>
        <v>Low</v>
      </c>
      <c r="N1424" t="str">
        <f t="shared" si="137"/>
        <v>Dec</v>
      </c>
      <c r="O1424">
        <f t="shared" si="138"/>
        <v>2025</v>
      </c>
    </row>
    <row r="1425" spans="1:15" x14ac:dyDescent="0.3">
      <c r="A1425">
        <v>203159</v>
      </c>
      <c r="B1425" t="s">
        <v>29</v>
      </c>
      <c r="C1425" s="2">
        <v>46002</v>
      </c>
      <c r="D1425" s="2">
        <f t="shared" si="136"/>
        <v>46032</v>
      </c>
      <c r="E1425" s="1">
        <f>D1425+1</f>
        <v>46033</v>
      </c>
      <c r="F1425">
        <v>4759</v>
      </c>
      <c r="G1425">
        <v>30</v>
      </c>
      <c r="H1425">
        <f t="shared" si="135"/>
        <v>0</v>
      </c>
      <c r="I1425" t="str">
        <f t="shared" si="133"/>
        <v>On Time</v>
      </c>
      <c r="J1425" cm="1">
        <f t="array" ref="J1425">_xlfn.IFS(H1425&lt;30,0,H1425&lt;60,1,H1425&lt;90,2,H1425&lt;120,3)</f>
        <v>0</v>
      </c>
      <c r="M1425" t="str">
        <f t="shared" si="134"/>
        <v>Low</v>
      </c>
      <c r="N1425" t="str">
        <f t="shared" si="137"/>
        <v>Dec</v>
      </c>
      <c r="O1425">
        <f t="shared" si="138"/>
        <v>2025</v>
      </c>
    </row>
    <row r="1426" spans="1:15" x14ac:dyDescent="0.3">
      <c r="A1426">
        <v>203160</v>
      </c>
      <c r="B1426" t="s">
        <v>30</v>
      </c>
      <c r="C1426" s="2">
        <v>46002</v>
      </c>
      <c r="D1426" s="2">
        <f t="shared" si="136"/>
        <v>46032</v>
      </c>
      <c r="E1426" s="1">
        <f>D1426</f>
        <v>46032</v>
      </c>
      <c r="F1426">
        <v>3443</v>
      </c>
      <c r="G1426">
        <v>30</v>
      </c>
      <c r="H1426">
        <f t="shared" si="135"/>
        <v>0</v>
      </c>
      <c r="I1426" t="str">
        <f t="shared" si="133"/>
        <v>On Time</v>
      </c>
      <c r="J1426" cm="1">
        <f t="array" ref="J1426">_xlfn.IFS(H1426&lt;30,0,H1426&lt;60,1,H1426&lt;90,2,H1426&lt;120,3)</f>
        <v>0</v>
      </c>
      <c r="M1426" t="str">
        <f t="shared" si="134"/>
        <v>Low</v>
      </c>
      <c r="N1426" t="str">
        <f t="shared" si="137"/>
        <v>Dec</v>
      </c>
      <c r="O1426">
        <f t="shared" si="138"/>
        <v>2025</v>
      </c>
    </row>
    <row r="1427" spans="1:15" x14ac:dyDescent="0.3">
      <c r="A1427">
        <v>203106</v>
      </c>
      <c r="B1427" t="s">
        <v>98</v>
      </c>
      <c r="C1427" s="2">
        <v>46001</v>
      </c>
      <c r="D1427" s="2">
        <f t="shared" si="136"/>
        <v>46031</v>
      </c>
      <c r="E1427" s="1">
        <f>D1427-1</f>
        <v>46030</v>
      </c>
      <c r="F1427">
        <v>2551</v>
      </c>
      <c r="G1427">
        <v>30</v>
      </c>
      <c r="H1427">
        <f t="shared" si="135"/>
        <v>0</v>
      </c>
      <c r="I1427" t="str">
        <f t="shared" si="133"/>
        <v>On Time</v>
      </c>
      <c r="J1427" cm="1">
        <f t="array" ref="J1427">_xlfn.IFS(H1427&lt;30,0,H1427&lt;60,1,H1427&lt;90,2,H1427&lt;120,3)</f>
        <v>0</v>
      </c>
      <c r="M1427" t="str">
        <f t="shared" si="134"/>
        <v>Low</v>
      </c>
      <c r="N1427" t="str">
        <f t="shared" si="137"/>
        <v>Dec</v>
      </c>
      <c r="O1427">
        <f t="shared" si="138"/>
        <v>2025</v>
      </c>
    </row>
    <row r="1428" spans="1:15" x14ac:dyDescent="0.3">
      <c r="A1428">
        <v>203107</v>
      </c>
      <c r="B1428" t="s">
        <v>99</v>
      </c>
      <c r="C1428" s="2">
        <v>46001</v>
      </c>
      <c r="D1428" s="2">
        <f t="shared" si="136"/>
        <v>46031</v>
      </c>
      <c r="E1428" s="1">
        <f>D1428</f>
        <v>46031</v>
      </c>
      <c r="F1428">
        <v>1198</v>
      </c>
      <c r="G1428">
        <v>30</v>
      </c>
      <c r="H1428">
        <f t="shared" si="135"/>
        <v>0</v>
      </c>
      <c r="I1428" t="str">
        <f t="shared" si="133"/>
        <v>On Time</v>
      </c>
      <c r="J1428" cm="1">
        <f t="array" ref="J1428">_xlfn.IFS(H1428&lt;30,0,H1428&lt;60,1,H1428&lt;90,2,H1428&lt;120,3)</f>
        <v>0</v>
      </c>
      <c r="M1428" t="str">
        <f t="shared" si="134"/>
        <v>Low</v>
      </c>
      <c r="N1428" t="str">
        <f t="shared" si="137"/>
        <v>Dec</v>
      </c>
      <c r="O1428">
        <f t="shared" si="138"/>
        <v>2025</v>
      </c>
    </row>
    <row r="1429" spans="1:15" x14ac:dyDescent="0.3">
      <c r="A1429">
        <v>203108</v>
      </c>
      <c r="B1429" t="s">
        <v>100</v>
      </c>
      <c r="C1429" s="2">
        <v>46001</v>
      </c>
      <c r="D1429" s="2">
        <f t="shared" si="136"/>
        <v>46031</v>
      </c>
      <c r="E1429" s="1">
        <f>D1429+1</f>
        <v>46032</v>
      </c>
      <c r="F1429">
        <v>2427</v>
      </c>
      <c r="G1429">
        <v>30</v>
      </c>
      <c r="H1429">
        <f t="shared" si="135"/>
        <v>0</v>
      </c>
      <c r="I1429" t="str">
        <f t="shared" si="133"/>
        <v>On Time</v>
      </c>
      <c r="J1429" cm="1">
        <f t="array" ref="J1429">_xlfn.IFS(H1429&lt;30,0,H1429&lt;60,1,H1429&lt;90,2,H1429&lt;120,3)</f>
        <v>0</v>
      </c>
      <c r="M1429" t="str">
        <f t="shared" si="134"/>
        <v>Low</v>
      </c>
      <c r="N1429" t="str">
        <f t="shared" si="137"/>
        <v>Dec</v>
      </c>
      <c r="O1429">
        <f t="shared" si="138"/>
        <v>2025</v>
      </c>
    </row>
    <row r="1430" spans="1:15" x14ac:dyDescent="0.3">
      <c r="A1430">
        <v>203109</v>
      </c>
      <c r="B1430" t="s">
        <v>101</v>
      </c>
      <c r="C1430" s="2">
        <v>46001</v>
      </c>
      <c r="D1430" s="2">
        <f t="shared" si="136"/>
        <v>46031</v>
      </c>
      <c r="E1430" s="1">
        <f>D1430+35</f>
        <v>46066</v>
      </c>
      <c r="F1430">
        <v>10950</v>
      </c>
      <c r="G1430">
        <v>30</v>
      </c>
      <c r="H1430">
        <f t="shared" si="135"/>
        <v>0</v>
      </c>
      <c r="I1430" t="str">
        <f t="shared" ref="I1430:I1493" si="139">IF(H1430=0,"On Time",IF(H1430&lt;=15,"Paid Late","Seriously Late"))</f>
        <v>On Time</v>
      </c>
      <c r="J1430" cm="1">
        <f t="array" ref="J1430">_xlfn.IFS(H1430&lt;30,0,H1430&lt;60,1,H1430&lt;90,2,H1430&lt;120,3)</f>
        <v>0</v>
      </c>
      <c r="M1430" t="str">
        <f t="shared" ref="M1430:M1493" si="140">IF(H1430&gt;30,"High",IF(H1430&gt;10,"Medium","Low"))</f>
        <v>Low</v>
      </c>
      <c r="N1430" t="str">
        <f t="shared" si="137"/>
        <v>Dec</v>
      </c>
      <c r="O1430">
        <f t="shared" si="138"/>
        <v>2025</v>
      </c>
    </row>
    <row r="1431" spans="1:15" x14ac:dyDescent="0.3">
      <c r="A1431">
        <v>203110</v>
      </c>
      <c r="B1431" t="s">
        <v>102</v>
      </c>
      <c r="C1431" s="2">
        <v>46001</v>
      </c>
      <c r="D1431" s="2">
        <f t="shared" si="136"/>
        <v>46031</v>
      </c>
      <c r="E1431" s="1">
        <f>D1431+86</f>
        <v>46117</v>
      </c>
      <c r="F1431">
        <v>2458</v>
      </c>
      <c r="G1431">
        <v>30</v>
      </c>
      <c r="H1431">
        <f t="shared" si="135"/>
        <v>0</v>
      </c>
      <c r="I1431" t="str">
        <f t="shared" si="139"/>
        <v>On Time</v>
      </c>
      <c r="J1431" cm="1">
        <f t="array" ref="J1431">_xlfn.IFS(H1431&lt;30,0,H1431&lt;60,1,H1431&lt;90,2,H1431&lt;120,3)</f>
        <v>0</v>
      </c>
      <c r="M1431" t="str">
        <f t="shared" si="140"/>
        <v>Low</v>
      </c>
      <c r="N1431" t="str">
        <f t="shared" si="137"/>
        <v>Dec</v>
      </c>
      <c r="O1431">
        <f t="shared" si="138"/>
        <v>2025</v>
      </c>
    </row>
    <row r="1432" spans="1:15" x14ac:dyDescent="0.3">
      <c r="A1432">
        <v>203111</v>
      </c>
      <c r="B1432" t="s">
        <v>38</v>
      </c>
      <c r="C1432" s="2">
        <v>46001</v>
      </c>
      <c r="D1432" s="2">
        <f t="shared" si="136"/>
        <v>46031</v>
      </c>
      <c r="E1432" s="1">
        <f>D1432+5</f>
        <v>46036</v>
      </c>
      <c r="F1432">
        <v>4070</v>
      </c>
      <c r="G1432">
        <v>30</v>
      </c>
      <c r="H1432">
        <f t="shared" si="135"/>
        <v>0</v>
      </c>
      <c r="I1432" t="str">
        <f t="shared" si="139"/>
        <v>On Time</v>
      </c>
      <c r="J1432" cm="1">
        <f t="array" ref="J1432">_xlfn.IFS(H1432&lt;30,0,H1432&lt;60,1,H1432&lt;90,2,H1432&lt;120,3)</f>
        <v>0</v>
      </c>
      <c r="M1432" t="str">
        <f t="shared" si="140"/>
        <v>Low</v>
      </c>
      <c r="N1432" t="str">
        <f t="shared" si="137"/>
        <v>Dec</v>
      </c>
      <c r="O1432">
        <f t="shared" si="138"/>
        <v>2025</v>
      </c>
    </row>
    <row r="1433" spans="1:15" x14ac:dyDescent="0.3">
      <c r="A1433">
        <v>203112</v>
      </c>
      <c r="B1433" t="s">
        <v>39</v>
      </c>
      <c r="C1433" s="2">
        <v>46001</v>
      </c>
      <c r="D1433" s="2">
        <f t="shared" si="136"/>
        <v>46031</v>
      </c>
      <c r="E1433" s="1">
        <f>D1433</f>
        <v>46031</v>
      </c>
      <c r="F1433">
        <v>1847</v>
      </c>
      <c r="G1433">
        <v>30</v>
      </c>
      <c r="H1433">
        <f t="shared" si="135"/>
        <v>0</v>
      </c>
      <c r="I1433" t="str">
        <f t="shared" si="139"/>
        <v>On Time</v>
      </c>
      <c r="J1433" cm="1">
        <f t="array" ref="J1433">_xlfn.IFS(H1433&lt;30,0,H1433&lt;60,1,H1433&lt;90,2,H1433&lt;120,3)</f>
        <v>0</v>
      </c>
      <c r="M1433" t="str">
        <f t="shared" si="140"/>
        <v>Low</v>
      </c>
      <c r="N1433" t="str">
        <f t="shared" si="137"/>
        <v>Dec</v>
      </c>
      <c r="O1433">
        <f t="shared" si="138"/>
        <v>2025</v>
      </c>
    </row>
    <row r="1434" spans="1:15" x14ac:dyDescent="0.3">
      <c r="A1434">
        <v>203113</v>
      </c>
      <c r="B1434" t="s">
        <v>40</v>
      </c>
      <c r="C1434" s="2">
        <v>46001</v>
      </c>
      <c r="D1434" s="2">
        <f t="shared" si="136"/>
        <v>46031</v>
      </c>
      <c r="E1434" s="1">
        <f>D1434-1</f>
        <v>46030</v>
      </c>
      <c r="F1434">
        <v>2705</v>
      </c>
      <c r="G1434">
        <v>30</v>
      </c>
      <c r="H1434">
        <f t="shared" si="135"/>
        <v>0</v>
      </c>
      <c r="I1434" t="str">
        <f t="shared" si="139"/>
        <v>On Time</v>
      </c>
      <c r="J1434" cm="1">
        <f t="array" ref="J1434">_xlfn.IFS(H1434&lt;30,0,H1434&lt;60,1,H1434&lt;90,2,H1434&lt;120,3)</f>
        <v>0</v>
      </c>
      <c r="M1434" t="str">
        <f t="shared" si="140"/>
        <v>Low</v>
      </c>
      <c r="N1434" t="str">
        <f t="shared" si="137"/>
        <v>Dec</v>
      </c>
      <c r="O1434">
        <f t="shared" si="138"/>
        <v>2025</v>
      </c>
    </row>
    <row r="1435" spans="1:15" x14ac:dyDescent="0.3">
      <c r="A1435">
        <v>203114</v>
      </c>
      <c r="B1435" t="s">
        <v>41</v>
      </c>
      <c r="C1435" s="2">
        <v>46001</v>
      </c>
      <c r="D1435" s="2">
        <f t="shared" si="136"/>
        <v>46031</v>
      </c>
      <c r="E1435" s="1">
        <f>D1435</f>
        <v>46031</v>
      </c>
      <c r="F1435">
        <v>477</v>
      </c>
      <c r="G1435">
        <v>30</v>
      </c>
      <c r="H1435">
        <f t="shared" si="135"/>
        <v>0</v>
      </c>
      <c r="I1435" t="str">
        <f t="shared" si="139"/>
        <v>On Time</v>
      </c>
      <c r="J1435" cm="1">
        <f t="array" ref="J1435">_xlfn.IFS(H1435&lt;30,0,H1435&lt;60,1,H1435&lt;90,2,H1435&lt;120,3)</f>
        <v>0</v>
      </c>
      <c r="M1435" t="str">
        <f t="shared" si="140"/>
        <v>Low</v>
      </c>
      <c r="N1435" t="str">
        <f t="shared" si="137"/>
        <v>Dec</v>
      </c>
      <c r="O1435">
        <f t="shared" si="138"/>
        <v>2025</v>
      </c>
    </row>
    <row r="1436" spans="1:15" x14ac:dyDescent="0.3">
      <c r="A1436">
        <v>203115</v>
      </c>
      <c r="B1436" t="s">
        <v>42</v>
      </c>
      <c r="C1436" s="2">
        <v>46001</v>
      </c>
      <c r="D1436" s="2">
        <f t="shared" si="136"/>
        <v>46031</v>
      </c>
      <c r="E1436" s="1">
        <f>D1436+32</f>
        <v>46063</v>
      </c>
      <c r="F1436">
        <v>2369</v>
      </c>
      <c r="G1436">
        <v>30</v>
      </c>
      <c r="H1436">
        <f t="shared" si="135"/>
        <v>0</v>
      </c>
      <c r="I1436" t="str">
        <f t="shared" si="139"/>
        <v>On Time</v>
      </c>
      <c r="J1436" cm="1">
        <f t="array" ref="J1436">_xlfn.IFS(H1436&lt;30,0,H1436&lt;60,1,H1436&lt;90,2,H1436&lt;120,3)</f>
        <v>0</v>
      </c>
      <c r="M1436" t="str">
        <f t="shared" si="140"/>
        <v>Low</v>
      </c>
      <c r="N1436" t="str">
        <f t="shared" si="137"/>
        <v>Dec</v>
      </c>
      <c r="O1436">
        <f t="shared" si="138"/>
        <v>2025</v>
      </c>
    </row>
    <row r="1437" spans="1:15" x14ac:dyDescent="0.3">
      <c r="A1437">
        <v>203116</v>
      </c>
      <c r="B1437" t="s">
        <v>43</v>
      </c>
      <c r="C1437" s="2">
        <v>46001</v>
      </c>
      <c r="D1437" s="2">
        <f t="shared" si="136"/>
        <v>46031</v>
      </c>
      <c r="E1437" s="1">
        <f>D1437+15</f>
        <v>46046</v>
      </c>
      <c r="F1437">
        <v>11933</v>
      </c>
      <c r="G1437">
        <v>30</v>
      </c>
      <c r="H1437">
        <f t="shared" si="135"/>
        <v>0</v>
      </c>
      <c r="I1437" t="str">
        <f t="shared" si="139"/>
        <v>On Time</v>
      </c>
      <c r="J1437" cm="1">
        <f t="array" ref="J1437">_xlfn.IFS(H1437&lt;30,0,H1437&lt;60,1,H1437&lt;90,2,H1437&lt;120,3)</f>
        <v>0</v>
      </c>
      <c r="M1437" t="str">
        <f t="shared" si="140"/>
        <v>Low</v>
      </c>
      <c r="N1437" t="str">
        <f t="shared" si="137"/>
        <v>Dec</v>
      </c>
      <c r="O1437">
        <f t="shared" si="138"/>
        <v>2025</v>
      </c>
    </row>
    <row r="1438" spans="1:15" x14ac:dyDescent="0.3">
      <c r="A1438">
        <v>203117</v>
      </c>
      <c r="B1438" t="s">
        <v>44</v>
      </c>
      <c r="C1438" s="2">
        <v>46001</v>
      </c>
      <c r="D1438" s="2">
        <f t="shared" si="136"/>
        <v>46046</v>
      </c>
      <c r="E1438" s="1">
        <f>D1438-2</f>
        <v>46044</v>
      </c>
      <c r="F1438">
        <v>3965</v>
      </c>
      <c r="G1438">
        <v>45</v>
      </c>
      <c r="H1438">
        <f t="shared" si="135"/>
        <v>0</v>
      </c>
      <c r="I1438" t="str">
        <f t="shared" si="139"/>
        <v>On Time</v>
      </c>
      <c r="J1438" cm="1">
        <f t="array" ref="J1438">_xlfn.IFS(H1438&lt;30,0,H1438&lt;60,1,H1438&lt;90,2,H1438&lt;120,3)</f>
        <v>0</v>
      </c>
      <c r="M1438" t="str">
        <f t="shared" si="140"/>
        <v>Low</v>
      </c>
      <c r="N1438" t="str">
        <f t="shared" si="137"/>
        <v>Dec</v>
      </c>
      <c r="O1438">
        <f t="shared" si="138"/>
        <v>2025</v>
      </c>
    </row>
    <row r="1439" spans="1:15" x14ac:dyDescent="0.3">
      <c r="A1439">
        <v>203118</v>
      </c>
      <c r="B1439" t="s">
        <v>96</v>
      </c>
      <c r="C1439" s="2">
        <v>46001</v>
      </c>
      <c r="D1439" s="2">
        <f t="shared" si="136"/>
        <v>46061</v>
      </c>
      <c r="E1439" s="1">
        <f>D1439-2</f>
        <v>46059</v>
      </c>
      <c r="F1439">
        <v>4115</v>
      </c>
      <c r="G1439">
        <v>60</v>
      </c>
      <c r="H1439">
        <f t="shared" si="135"/>
        <v>0</v>
      </c>
      <c r="I1439" t="str">
        <f t="shared" si="139"/>
        <v>On Time</v>
      </c>
      <c r="J1439" cm="1">
        <f t="array" ref="J1439">_xlfn.IFS(H1439&lt;30,0,H1439&lt;60,1,H1439&lt;90,2,H1439&lt;120,3)</f>
        <v>0</v>
      </c>
      <c r="M1439" t="str">
        <f t="shared" si="140"/>
        <v>Low</v>
      </c>
      <c r="N1439" t="str">
        <f t="shared" si="137"/>
        <v>Dec</v>
      </c>
      <c r="O1439">
        <f t="shared" si="138"/>
        <v>2025</v>
      </c>
    </row>
    <row r="1440" spans="1:15" x14ac:dyDescent="0.3">
      <c r="A1440">
        <v>203119</v>
      </c>
      <c r="B1440" t="s">
        <v>97</v>
      </c>
      <c r="C1440" s="2">
        <v>46001</v>
      </c>
      <c r="D1440" s="2">
        <f t="shared" si="136"/>
        <v>46031</v>
      </c>
      <c r="E1440" s="1">
        <f>D1440</f>
        <v>46031</v>
      </c>
      <c r="F1440">
        <v>18791</v>
      </c>
      <c r="G1440">
        <v>30</v>
      </c>
      <c r="H1440">
        <f t="shared" si="135"/>
        <v>0</v>
      </c>
      <c r="I1440" t="str">
        <f t="shared" si="139"/>
        <v>On Time</v>
      </c>
      <c r="J1440" cm="1">
        <f t="array" ref="J1440">_xlfn.IFS(H1440&lt;30,0,H1440&lt;60,1,H1440&lt;90,2,H1440&lt;120,3)</f>
        <v>0</v>
      </c>
      <c r="M1440" t="str">
        <f t="shared" si="140"/>
        <v>Low</v>
      </c>
      <c r="N1440" t="str">
        <f t="shared" si="137"/>
        <v>Dec</v>
      </c>
      <c r="O1440">
        <f t="shared" si="138"/>
        <v>2025</v>
      </c>
    </row>
    <row r="1441" spans="1:15" x14ac:dyDescent="0.3">
      <c r="A1441">
        <v>203120</v>
      </c>
      <c r="B1441" t="s">
        <v>98</v>
      </c>
      <c r="C1441" s="2">
        <v>46001</v>
      </c>
      <c r="D1441" s="2">
        <f t="shared" si="136"/>
        <v>46031</v>
      </c>
      <c r="E1441" s="1">
        <f>D1441+2</f>
        <v>46033</v>
      </c>
      <c r="F1441">
        <v>541</v>
      </c>
      <c r="G1441">
        <v>30</v>
      </c>
      <c r="H1441">
        <f t="shared" si="135"/>
        <v>0</v>
      </c>
      <c r="I1441" t="str">
        <f t="shared" si="139"/>
        <v>On Time</v>
      </c>
      <c r="J1441" cm="1">
        <f t="array" ref="J1441">_xlfn.IFS(H1441&lt;30,0,H1441&lt;60,1,H1441&lt;90,2,H1441&lt;120,3)</f>
        <v>0</v>
      </c>
      <c r="M1441" t="str">
        <f t="shared" si="140"/>
        <v>Low</v>
      </c>
      <c r="N1441" t="str">
        <f t="shared" si="137"/>
        <v>Dec</v>
      </c>
      <c r="O1441">
        <f t="shared" si="138"/>
        <v>2025</v>
      </c>
    </row>
    <row r="1442" spans="1:15" x14ac:dyDescent="0.3">
      <c r="A1442">
        <v>203121</v>
      </c>
      <c r="B1442" t="s">
        <v>99</v>
      </c>
      <c r="C1442" s="2">
        <v>46001</v>
      </c>
      <c r="D1442" s="2">
        <f t="shared" si="136"/>
        <v>46031</v>
      </c>
      <c r="E1442" s="1">
        <f>D1442+2</f>
        <v>46033</v>
      </c>
      <c r="F1442">
        <v>156</v>
      </c>
      <c r="G1442">
        <v>30</v>
      </c>
      <c r="H1442">
        <f t="shared" si="135"/>
        <v>0</v>
      </c>
      <c r="I1442" t="str">
        <f t="shared" si="139"/>
        <v>On Time</v>
      </c>
      <c r="J1442" cm="1">
        <f t="array" ref="J1442">_xlfn.IFS(H1442&lt;30,0,H1442&lt;60,1,H1442&lt;90,2,H1442&lt;120,3)</f>
        <v>0</v>
      </c>
      <c r="M1442" t="str">
        <f t="shared" si="140"/>
        <v>Low</v>
      </c>
      <c r="N1442" t="str">
        <f t="shared" si="137"/>
        <v>Dec</v>
      </c>
      <c r="O1442">
        <f t="shared" si="138"/>
        <v>2025</v>
      </c>
    </row>
    <row r="1443" spans="1:15" x14ac:dyDescent="0.3">
      <c r="A1443">
        <v>203122</v>
      </c>
      <c r="B1443" t="s">
        <v>100</v>
      </c>
      <c r="C1443" s="2">
        <v>46001</v>
      </c>
      <c r="D1443" s="2">
        <f t="shared" si="136"/>
        <v>46031</v>
      </c>
      <c r="E1443" s="1">
        <f>D1443+2</f>
        <v>46033</v>
      </c>
      <c r="F1443">
        <v>1058</v>
      </c>
      <c r="G1443">
        <v>30</v>
      </c>
      <c r="H1443">
        <f t="shared" si="135"/>
        <v>0</v>
      </c>
      <c r="I1443" t="str">
        <f t="shared" si="139"/>
        <v>On Time</v>
      </c>
      <c r="J1443" cm="1">
        <f t="array" ref="J1443">_xlfn.IFS(H1443&lt;30,0,H1443&lt;60,1,H1443&lt;90,2,H1443&lt;120,3)</f>
        <v>0</v>
      </c>
      <c r="M1443" t="str">
        <f t="shared" si="140"/>
        <v>Low</v>
      </c>
      <c r="N1443" t="str">
        <f t="shared" si="137"/>
        <v>Dec</v>
      </c>
      <c r="O1443">
        <f t="shared" si="138"/>
        <v>2025</v>
      </c>
    </row>
    <row r="1444" spans="1:15" x14ac:dyDescent="0.3">
      <c r="A1444">
        <v>203123</v>
      </c>
      <c r="B1444" t="s">
        <v>101</v>
      </c>
      <c r="C1444" s="2">
        <v>46001</v>
      </c>
      <c r="D1444" s="2">
        <f t="shared" si="136"/>
        <v>46031</v>
      </c>
      <c r="E1444" s="1">
        <f>D1444</f>
        <v>46031</v>
      </c>
      <c r="F1444">
        <v>1856</v>
      </c>
      <c r="G1444">
        <v>30</v>
      </c>
      <c r="H1444">
        <f t="shared" si="135"/>
        <v>0</v>
      </c>
      <c r="I1444" t="str">
        <f t="shared" si="139"/>
        <v>On Time</v>
      </c>
      <c r="J1444" cm="1">
        <f t="array" ref="J1444">_xlfn.IFS(H1444&lt;30,0,H1444&lt;60,1,H1444&lt;90,2,H1444&lt;120,3)</f>
        <v>0</v>
      </c>
      <c r="M1444" t="str">
        <f t="shared" si="140"/>
        <v>Low</v>
      </c>
      <c r="N1444" t="str">
        <f t="shared" si="137"/>
        <v>Dec</v>
      </c>
      <c r="O1444">
        <f t="shared" si="138"/>
        <v>2025</v>
      </c>
    </row>
    <row r="1445" spans="1:15" x14ac:dyDescent="0.3">
      <c r="A1445">
        <v>203124</v>
      </c>
      <c r="B1445" t="s">
        <v>102</v>
      </c>
      <c r="C1445" s="2">
        <v>46001</v>
      </c>
      <c r="D1445" s="2">
        <f t="shared" si="136"/>
        <v>46031</v>
      </c>
      <c r="E1445" s="1">
        <f>D1445+20</f>
        <v>46051</v>
      </c>
      <c r="F1445">
        <v>3435</v>
      </c>
      <c r="G1445">
        <v>30</v>
      </c>
      <c r="H1445">
        <f t="shared" si="135"/>
        <v>0</v>
      </c>
      <c r="I1445" t="str">
        <f t="shared" si="139"/>
        <v>On Time</v>
      </c>
      <c r="J1445" cm="1">
        <f t="array" ref="J1445">_xlfn.IFS(H1445&lt;30,0,H1445&lt;60,1,H1445&lt;90,2,H1445&lt;120,3)</f>
        <v>0</v>
      </c>
      <c r="M1445" t="str">
        <f t="shared" si="140"/>
        <v>Low</v>
      </c>
      <c r="N1445" t="str">
        <f t="shared" si="137"/>
        <v>Dec</v>
      </c>
      <c r="O1445">
        <f t="shared" si="138"/>
        <v>2025</v>
      </c>
    </row>
    <row r="1446" spans="1:15" x14ac:dyDescent="0.3">
      <c r="A1446">
        <v>203125</v>
      </c>
      <c r="B1446" t="s">
        <v>103</v>
      </c>
      <c r="C1446" s="2">
        <v>46001</v>
      </c>
      <c r="D1446" s="2">
        <f t="shared" si="136"/>
        <v>46031</v>
      </c>
      <c r="E1446" s="1">
        <f>D1446</f>
        <v>46031</v>
      </c>
      <c r="F1446">
        <v>19288</v>
      </c>
      <c r="G1446">
        <v>30</v>
      </c>
      <c r="H1446">
        <f t="shared" ref="H1446:H1509" si="141">MAX(0,P1411-D1446)</f>
        <v>0</v>
      </c>
      <c r="I1446" t="str">
        <f t="shared" si="139"/>
        <v>On Time</v>
      </c>
      <c r="J1446" cm="1">
        <f t="array" ref="J1446">_xlfn.IFS(H1446&lt;30,0,H1446&lt;60,1,H1446&lt;90,2,H1446&lt;120,3)</f>
        <v>0</v>
      </c>
      <c r="M1446" t="str">
        <f t="shared" si="140"/>
        <v>Low</v>
      </c>
      <c r="N1446" t="str">
        <f t="shared" si="137"/>
        <v>Dec</v>
      </c>
      <c r="O1446">
        <f t="shared" si="138"/>
        <v>2025</v>
      </c>
    </row>
    <row r="1447" spans="1:15" x14ac:dyDescent="0.3">
      <c r="A1447">
        <v>203126</v>
      </c>
      <c r="B1447" t="s">
        <v>104</v>
      </c>
      <c r="C1447" s="2">
        <v>46001</v>
      </c>
      <c r="D1447" s="2">
        <f t="shared" si="136"/>
        <v>46031</v>
      </c>
      <c r="E1447" s="1">
        <f>D1447+1</f>
        <v>46032</v>
      </c>
      <c r="F1447">
        <v>4906</v>
      </c>
      <c r="G1447">
        <v>30</v>
      </c>
      <c r="H1447">
        <f t="shared" si="141"/>
        <v>0</v>
      </c>
      <c r="I1447" t="str">
        <f t="shared" si="139"/>
        <v>On Time</v>
      </c>
      <c r="J1447" cm="1">
        <f t="array" ref="J1447">_xlfn.IFS(H1447&lt;30,0,H1447&lt;60,1,H1447&lt;90,2,H1447&lt;120,3)</f>
        <v>0</v>
      </c>
      <c r="M1447" t="str">
        <f t="shared" si="140"/>
        <v>Low</v>
      </c>
      <c r="N1447" t="str">
        <f t="shared" si="137"/>
        <v>Dec</v>
      </c>
      <c r="O1447">
        <f t="shared" si="138"/>
        <v>2025</v>
      </c>
    </row>
    <row r="1448" spans="1:15" x14ac:dyDescent="0.3">
      <c r="A1448">
        <v>203127</v>
      </c>
      <c r="B1448" t="s">
        <v>105</v>
      </c>
      <c r="C1448" s="2">
        <v>46001</v>
      </c>
      <c r="D1448" s="2">
        <f t="shared" si="136"/>
        <v>46031</v>
      </c>
      <c r="E1448" s="1">
        <f>D1448</f>
        <v>46031</v>
      </c>
      <c r="F1448">
        <v>851</v>
      </c>
      <c r="G1448">
        <v>30</v>
      </c>
      <c r="H1448">
        <f t="shared" si="141"/>
        <v>0</v>
      </c>
      <c r="I1448" t="str">
        <f t="shared" si="139"/>
        <v>On Time</v>
      </c>
      <c r="J1448" cm="1">
        <f t="array" ref="J1448">_xlfn.IFS(H1448&lt;30,0,H1448&lt;60,1,H1448&lt;90,2,H1448&lt;120,3)</f>
        <v>0</v>
      </c>
      <c r="M1448" t="str">
        <f t="shared" si="140"/>
        <v>Low</v>
      </c>
      <c r="N1448" t="str">
        <f t="shared" si="137"/>
        <v>Dec</v>
      </c>
      <c r="O1448">
        <f t="shared" si="138"/>
        <v>2025</v>
      </c>
    </row>
    <row r="1449" spans="1:15" x14ac:dyDescent="0.3">
      <c r="A1449">
        <v>203128</v>
      </c>
      <c r="B1449" t="s">
        <v>106</v>
      </c>
      <c r="C1449" s="2">
        <v>46001</v>
      </c>
      <c r="D1449" s="2">
        <f t="shared" si="136"/>
        <v>46031</v>
      </c>
      <c r="E1449" s="1">
        <f>D1449</f>
        <v>46031</v>
      </c>
      <c r="F1449">
        <v>1399</v>
      </c>
      <c r="G1449">
        <v>30</v>
      </c>
      <c r="H1449">
        <f t="shared" si="141"/>
        <v>0</v>
      </c>
      <c r="I1449" t="str">
        <f t="shared" si="139"/>
        <v>On Time</v>
      </c>
      <c r="J1449" cm="1">
        <f t="array" ref="J1449">_xlfn.IFS(H1449&lt;30,0,H1449&lt;60,1,H1449&lt;90,2,H1449&lt;120,3)</f>
        <v>0</v>
      </c>
      <c r="M1449" t="str">
        <f t="shared" si="140"/>
        <v>Low</v>
      </c>
      <c r="N1449" t="str">
        <f t="shared" si="137"/>
        <v>Dec</v>
      </c>
      <c r="O1449">
        <f t="shared" si="138"/>
        <v>2025</v>
      </c>
    </row>
    <row r="1450" spans="1:15" x14ac:dyDescent="0.3">
      <c r="A1450">
        <v>203129</v>
      </c>
      <c r="B1450" t="s">
        <v>107</v>
      </c>
      <c r="C1450" s="2">
        <v>46001</v>
      </c>
      <c r="D1450" s="2">
        <f t="shared" si="136"/>
        <v>46031</v>
      </c>
      <c r="E1450" s="1">
        <f>D1450+5</f>
        <v>46036</v>
      </c>
      <c r="F1450">
        <v>3366</v>
      </c>
      <c r="G1450">
        <v>30</v>
      </c>
      <c r="H1450">
        <f t="shared" si="141"/>
        <v>0</v>
      </c>
      <c r="I1450" t="str">
        <f t="shared" si="139"/>
        <v>On Time</v>
      </c>
      <c r="J1450" cm="1">
        <f t="array" ref="J1450">_xlfn.IFS(H1450&lt;30,0,H1450&lt;60,1,H1450&lt;90,2,H1450&lt;120,3)</f>
        <v>0</v>
      </c>
      <c r="M1450" t="str">
        <f t="shared" si="140"/>
        <v>Low</v>
      </c>
      <c r="N1450" t="str">
        <f t="shared" si="137"/>
        <v>Dec</v>
      </c>
      <c r="O1450">
        <f t="shared" si="138"/>
        <v>2025</v>
      </c>
    </row>
    <row r="1451" spans="1:15" x14ac:dyDescent="0.3">
      <c r="A1451">
        <v>203130</v>
      </c>
      <c r="B1451" t="s">
        <v>56</v>
      </c>
      <c r="C1451" s="2">
        <v>46001</v>
      </c>
      <c r="D1451" s="2">
        <f t="shared" si="136"/>
        <v>46046</v>
      </c>
      <c r="E1451" s="1">
        <f>D1451+2</f>
        <v>46048</v>
      </c>
      <c r="F1451">
        <v>421</v>
      </c>
      <c r="G1451">
        <v>45</v>
      </c>
      <c r="H1451">
        <f t="shared" si="141"/>
        <v>0</v>
      </c>
      <c r="I1451" t="str">
        <f t="shared" si="139"/>
        <v>On Time</v>
      </c>
      <c r="J1451" cm="1">
        <f t="array" ref="J1451">_xlfn.IFS(H1451&lt;30,0,H1451&lt;60,1,H1451&lt;90,2,H1451&lt;120,3)</f>
        <v>0</v>
      </c>
      <c r="M1451" t="str">
        <f t="shared" si="140"/>
        <v>Low</v>
      </c>
      <c r="N1451" t="str">
        <f t="shared" si="137"/>
        <v>Dec</v>
      </c>
      <c r="O1451">
        <f t="shared" si="138"/>
        <v>2025</v>
      </c>
    </row>
    <row r="1452" spans="1:15" x14ac:dyDescent="0.3">
      <c r="A1452">
        <v>203087</v>
      </c>
      <c r="B1452" t="s">
        <v>27</v>
      </c>
      <c r="C1452" s="2">
        <v>46000</v>
      </c>
      <c r="D1452" s="2">
        <f t="shared" si="136"/>
        <v>46060</v>
      </c>
      <c r="E1452" s="1">
        <f>D1452+2</f>
        <v>46062</v>
      </c>
      <c r="F1452">
        <v>1904</v>
      </c>
      <c r="G1452">
        <v>60</v>
      </c>
      <c r="H1452">
        <f t="shared" si="141"/>
        <v>0</v>
      </c>
      <c r="I1452" t="str">
        <f t="shared" si="139"/>
        <v>On Time</v>
      </c>
      <c r="J1452" cm="1">
        <f t="array" ref="J1452">_xlfn.IFS(H1452&lt;30,0,H1452&lt;60,1,H1452&lt;90,2,H1452&lt;120,3)</f>
        <v>0</v>
      </c>
      <c r="M1452" t="str">
        <f t="shared" si="140"/>
        <v>Low</v>
      </c>
      <c r="N1452" t="str">
        <f t="shared" si="137"/>
        <v>Dec</v>
      </c>
      <c r="O1452">
        <f t="shared" si="138"/>
        <v>2025</v>
      </c>
    </row>
    <row r="1453" spans="1:15" x14ac:dyDescent="0.3">
      <c r="A1453">
        <v>203088</v>
      </c>
      <c r="B1453" t="s">
        <v>28</v>
      </c>
      <c r="C1453" s="2">
        <v>46000</v>
      </c>
      <c r="D1453" s="2">
        <f t="shared" si="136"/>
        <v>46030</v>
      </c>
      <c r="E1453" s="1">
        <f>D1453+2</f>
        <v>46032</v>
      </c>
      <c r="F1453">
        <v>1415</v>
      </c>
      <c r="G1453">
        <v>30</v>
      </c>
      <c r="H1453">
        <f t="shared" si="141"/>
        <v>0</v>
      </c>
      <c r="I1453" t="str">
        <f t="shared" si="139"/>
        <v>On Time</v>
      </c>
      <c r="J1453" cm="1">
        <f t="array" ref="J1453">_xlfn.IFS(H1453&lt;30,0,H1453&lt;60,1,H1453&lt;90,2,H1453&lt;120,3)</f>
        <v>0</v>
      </c>
      <c r="M1453" t="str">
        <f t="shared" si="140"/>
        <v>Low</v>
      </c>
      <c r="N1453" t="str">
        <f t="shared" si="137"/>
        <v>Dec</v>
      </c>
      <c r="O1453">
        <f t="shared" si="138"/>
        <v>2025</v>
      </c>
    </row>
    <row r="1454" spans="1:15" x14ac:dyDescent="0.3">
      <c r="A1454">
        <v>203089</v>
      </c>
      <c r="B1454" t="s">
        <v>29</v>
      </c>
      <c r="C1454" s="2">
        <v>46000</v>
      </c>
      <c r="D1454" s="2">
        <f t="shared" si="136"/>
        <v>46030</v>
      </c>
      <c r="E1454" s="1">
        <f>D1454+2</f>
        <v>46032</v>
      </c>
      <c r="F1454">
        <v>4717</v>
      </c>
      <c r="G1454">
        <v>30</v>
      </c>
      <c r="H1454">
        <f t="shared" si="141"/>
        <v>0</v>
      </c>
      <c r="I1454" t="str">
        <f t="shared" si="139"/>
        <v>On Time</v>
      </c>
      <c r="J1454" cm="1">
        <f t="array" ref="J1454">_xlfn.IFS(H1454&lt;30,0,H1454&lt;60,1,H1454&lt;90,2,H1454&lt;120,3)</f>
        <v>0</v>
      </c>
      <c r="M1454" t="str">
        <f t="shared" si="140"/>
        <v>Low</v>
      </c>
      <c r="N1454" t="str">
        <f t="shared" si="137"/>
        <v>Dec</v>
      </c>
      <c r="O1454">
        <f t="shared" si="138"/>
        <v>2025</v>
      </c>
    </row>
    <row r="1455" spans="1:15" x14ac:dyDescent="0.3">
      <c r="A1455">
        <v>203090</v>
      </c>
      <c r="B1455" t="s">
        <v>75</v>
      </c>
      <c r="C1455" s="2">
        <v>46000</v>
      </c>
      <c r="D1455" s="2">
        <f t="shared" si="136"/>
        <v>46060</v>
      </c>
      <c r="E1455" s="1">
        <f>D1455</f>
        <v>46060</v>
      </c>
      <c r="F1455">
        <v>1844</v>
      </c>
      <c r="G1455">
        <v>60</v>
      </c>
      <c r="H1455">
        <f t="shared" si="141"/>
        <v>0</v>
      </c>
      <c r="I1455" t="str">
        <f t="shared" si="139"/>
        <v>On Time</v>
      </c>
      <c r="J1455" cm="1">
        <f t="array" ref="J1455">_xlfn.IFS(H1455&lt;30,0,H1455&lt;60,1,H1455&lt;90,2,H1455&lt;120,3)</f>
        <v>0</v>
      </c>
      <c r="M1455" t="str">
        <f t="shared" si="140"/>
        <v>Low</v>
      </c>
      <c r="N1455" t="str">
        <f t="shared" si="137"/>
        <v>Dec</v>
      </c>
      <c r="O1455">
        <f t="shared" si="138"/>
        <v>2025</v>
      </c>
    </row>
    <row r="1456" spans="1:15" x14ac:dyDescent="0.3">
      <c r="A1456">
        <v>203091</v>
      </c>
      <c r="B1456" t="s">
        <v>76</v>
      </c>
      <c r="C1456" s="2">
        <v>46000</v>
      </c>
      <c r="D1456" s="2">
        <f t="shared" si="136"/>
        <v>46030</v>
      </c>
      <c r="E1456" s="1">
        <f>D1456+20</f>
        <v>46050</v>
      </c>
      <c r="F1456">
        <v>277</v>
      </c>
      <c r="G1456">
        <v>30</v>
      </c>
      <c r="H1456">
        <f t="shared" si="141"/>
        <v>0</v>
      </c>
      <c r="I1456" t="str">
        <f t="shared" si="139"/>
        <v>On Time</v>
      </c>
      <c r="J1456" cm="1">
        <f t="array" ref="J1456">_xlfn.IFS(H1456&lt;30,0,H1456&lt;60,1,H1456&lt;90,2,H1456&lt;120,3)</f>
        <v>0</v>
      </c>
      <c r="M1456" t="str">
        <f t="shared" si="140"/>
        <v>Low</v>
      </c>
      <c r="N1456" t="str">
        <f t="shared" si="137"/>
        <v>Dec</v>
      </c>
      <c r="O1456">
        <f t="shared" si="138"/>
        <v>2025</v>
      </c>
    </row>
    <row r="1457" spans="1:15" x14ac:dyDescent="0.3">
      <c r="A1457">
        <v>203092</v>
      </c>
      <c r="B1457" t="s">
        <v>77</v>
      </c>
      <c r="C1457" s="2">
        <v>46000</v>
      </c>
      <c r="D1457" s="2">
        <f t="shared" si="136"/>
        <v>46030</v>
      </c>
      <c r="E1457" s="1">
        <f>D1457</f>
        <v>46030</v>
      </c>
      <c r="F1457">
        <v>2339</v>
      </c>
      <c r="G1457">
        <v>30</v>
      </c>
      <c r="H1457">
        <f t="shared" si="141"/>
        <v>0</v>
      </c>
      <c r="I1457" t="str">
        <f t="shared" si="139"/>
        <v>On Time</v>
      </c>
      <c r="J1457" cm="1">
        <f t="array" ref="J1457">_xlfn.IFS(H1457&lt;30,0,H1457&lt;60,1,H1457&lt;90,2,H1457&lt;120,3)</f>
        <v>0</v>
      </c>
      <c r="M1457" t="str">
        <f t="shared" si="140"/>
        <v>Low</v>
      </c>
      <c r="N1457" t="str">
        <f t="shared" si="137"/>
        <v>Dec</v>
      </c>
      <c r="O1457">
        <f t="shared" si="138"/>
        <v>2025</v>
      </c>
    </row>
    <row r="1458" spans="1:15" x14ac:dyDescent="0.3">
      <c r="A1458">
        <v>203093</v>
      </c>
      <c r="B1458" t="s">
        <v>78</v>
      </c>
      <c r="C1458" s="2">
        <v>46000</v>
      </c>
      <c r="D1458" s="2">
        <f t="shared" si="136"/>
        <v>46030</v>
      </c>
      <c r="E1458" s="1">
        <f>D1458+1</f>
        <v>46031</v>
      </c>
      <c r="F1458">
        <v>740</v>
      </c>
      <c r="G1458">
        <v>30</v>
      </c>
      <c r="H1458">
        <f t="shared" si="141"/>
        <v>0</v>
      </c>
      <c r="I1458" t="str">
        <f t="shared" si="139"/>
        <v>On Time</v>
      </c>
      <c r="J1458" cm="1">
        <f t="array" ref="J1458">_xlfn.IFS(H1458&lt;30,0,H1458&lt;60,1,H1458&lt;90,2,H1458&lt;120,3)</f>
        <v>0</v>
      </c>
      <c r="M1458" t="str">
        <f t="shared" si="140"/>
        <v>Low</v>
      </c>
      <c r="N1458" t="str">
        <f t="shared" si="137"/>
        <v>Dec</v>
      </c>
      <c r="O1458">
        <f t="shared" si="138"/>
        <v>2025</v>
      </c>
    </row>
    <row r="1459" spans="1:15" x14ac:dyDescent="0.3">
      <c r="A1459">
        <v>203094</v>
      </c>
      <c r="B1459" t="s">
        <v>79</v>
      </c>
      <c r="C1459" s="2">
        <v>46000</v>
      </c>
      <c r="D1459" s="2">
        <f t="shared" si="136"/>
        <v>46030</v>
      </c>
      <c r="E1459" s="1">
        <f>D1459</f>
        <v>46030</v>
      </c>
      <c r="F1459">
        <v>17265</v>
      </c>
      <c r="G1459">
        <v>30</v>
      </c>
      <c r="H1459">
        <f t="shared" si="141"/>
        <v>0</v>
      </c>
      <c r="I1459" t="str">
        <f t="shared" si="139"/>
        <v>On Time</v>
      </c>
      <c r="J1459" cm="1">
        <f t="array" ref="J1459">_xlfn.IFS(H1459&lt;30,0,H1459&lt;60,1,H1459&lt;90,2,H1459&lt;120,3)</f>
        <v>0</v>
      </c>
      <c r="M1459" t="str">
        <f t="shared" si="140"/>
        <v>Low</v>
      </c>
      <c r="N1459" t="str">
        <f t="shared" si="137"/>
        <v>Dec</v>
      </c>
      <c r="O1459">
        <f t="shared" si="138"/>
        <v>2025</v>
      </c>
    </row>
    <row r="1460" spans="1:15" x14ac:dyDescent="0.3">
      <c r="A1460">
        <v>203095</v>
      </c>
      <c r="B1460" t="s">
        <v>80</v>
      </c>
      <c r="C1460" s="2">
        <v>46000</v>
      </c>
      <c r="D1460" s="2">
        <f t="shared" si="136"/>
        <v>46030</v>
      </c>
      <c r="E1460" s="1">
        <f>D1460</f>
        <v>46030</v>
      </c>
      <c r="F1460">
        <v>3036</v>
      </c>
      <c r="G1460">
        <v>30</v>
      </c>
      <c r="H1460">
        <f t="shared" si="141"/>
        <v>0</v>
      </c>
      <c r="I1460" t="str">
        <f t="shared" si="139"/>
        <v>On Time</v>
      </c>
      <c r="J1460" cm="1">
        <f t="array" ref="J1460">_xlfn.IFS(H1460&lt;30,0,H1460&lt;60,1,H1460&lt;90,2,H1460&lt;120,3)</f>
        <v>0</v>
      </c>
      <c r="M1460" t="str">
        <f t="shared" si="140"/>
        <v>Low</v>
      </c>
      <c r="N1460" t="str">
        <f t="shared" si="137"/>
        <v>Dec</v>
      </c>
      <c r="O1460">
        <f t="shared" si="138"/>
        <v>2025</v>
      </c>
    </row>
    <row r="1461" spans="1:15" x14ac:dyDescent="0.3">
      <c r="A1461">
        <v>203096</v>
      </c>
      <c r="B1461" t="s">
        <v>81</v>
      </c>
      <c r="C1461" s="2">
        <v>46000</v>
      </c>
      <c r="D1461" s="2">
        <f t="shared" si="136"/>
        <v>46030</v>
      </c>
      <c r="E1461" s="1">
        <f>D1461+5</f>
        <v>46035</v>
      </c>
      <c r="F1461">
        <v>2286</v>
      </c>
      <c r="G1461">
        <v>30</v>
      </c>
      <c r="H1461">
        <f t="shared" si="141"/>
        <v>0</v>
      </c>
      <c r="I1461" t="str">
        <f t="shared" si="139"/>
        <v>On Time</v>
      </c>
      <c r="J1461" cm="1">
        <f t="array" ref="J1461">_xlfn.IFS(H1461&lt;30,0,H1461&lt;60,1,H1461&lt;90,2,H1461&lt;120,3)</f>
        <v>0</v>
      </c>
      <c r="M1461" t="str">
        <f t="shared" si="140"/>
        <v>Low</v>
      </c>
      <c r="N1461" t="str">
        <f t="shared" si="137"/>
        <v>Dec</v>
      </c>
      <c r="O1461">
        <f t="shared" si="138"/>
        <v>2025</v>
      </c>
    </row>
    <row r="1462" spans="1:15" x14ac:dyDescent="0.3">
      <c r="A1462">
        <v>203097</v>
      </c>
      <c r="B1462" t="s">
        <v>82</v>
      </c>
      <c r="C1462" s="2">
        <v>46000</v>
      </c>
      <c r="D1462" s="2">
        <f t="shared" si="136"/>
        <v>46045</v>
      </c>
      <c r="E1462" s="1">
        <f>D1462+2</f>
        <v>46047</v>
      </c>
      <c r="F1462">
        <v>1178</v>
      </c>
      <c r="G1462">
        <v>45</v>
      </c>
      <c r="H1462">
        <f t="shared" si="141"/>
        <v>0</v>
      </c>
      <c r="I1462" t="str">
        <f t="shared" si="139"/>
        <v>On Time</v>
      </c>
      <c r="J1462" cm="1">
        <f t="array" ref="J1462">_xlfn.IFS(H1462&lt;30,0,H1462&lt;60,1,H1462&lt;90,2,H1462&lt;120,3)</f>
        <v>0</v>
      </c>
      <c r="M1462" t="str">
        <f t="shared" si="140"/>
        <v>Low</v>
      </c>
      <c r="N1462" t="str">
        <f t="shared" si="137"/>
        <v>Dec</v>
      </c>
      <c r="O1462">
        <f t="shared" si="138"/>
        <v>2025</v>
      </c>
    </row>
    <row r="1463" spans="1:15" x14ac:dyDescent="0.3">
      <c r="A1463">
        <v>203098</v>
      </c>
      <c r="B1463" t="s">
        <v>83</v>
      </c>
      <c r="C1463" s="2">
        <v>46000</v>
      </c>
      <c r="D1463" s="2">
        <f t="shared" si="136"/>
        <v>46045</v>
      </c>
      <c r="E1463" s="1">
        <f>D1463</f>
        <v>46045</v>
      </c>
      <c r="F1463">
        <v>2609</v>
      </c>
      <c r="G1463">
        <v>45</v>
      </c>
      <c r="H1463">
        <f t="shared" si="141"/>
        <v>0</v>
      </c>
      <c r="I1463" t="str">
        <f t="shared" si="139"/>
        <v>On Time</v>
      </c>
      <c r="J1463" cm="1">
        <f t="array" ref="J1463">_xlfn.IFS(H1463&lt;30,0,H1463&lt;60,1,H1463&lt;90,2,H1463&lt;120,3)</f>
        <v>0</v>
      </c>
      <c r="M1463" t="str">
        <f t="shared" si="140"/>
        <v>Low</v>
      </c>
      <c r="N1463" t="str">
        <f t="shared" si="137"/>
        <v>Dec</v>
      </c>
      <c r="O1463">
        <f t="shared" si="138"/>
        <v>2025</v>
      </c>
    </row>
    <row r="1464" spans="1:15" x14ac:dyDescent="0.3">
      <c r="A1464">
        <v>203099</v>
      </c>
      <c r="B1464" t="s">
        <v>84</v>
      </c>
      <c r="C1464" s="2">
        <v>46000</v>
      </c>
      <c r="D1464" s="2">
        <f t="shared" si="136"/>
        <v>46060</v>
      </c>
      <c r="E1464" s="1">
        <f>D1464</f>
        <v>46060</v>
      </c>
      <c r="F1464">
        <v>1955</v>
      </c>
      <c r="G1464">
        <v>60</v>
      </c>
      <c r="H1464">
        <f t="shared" si="141"/>
        <v>0</v>
      </c>
      <c r="I1464" t="str">
        <f t="shared" si="139"/>
        <v>On Time</v>
      </c>
      <c r="J1464" cm="1">
        <f t="array" ref="J1464">_xlfn.IFS(H1464&lt;30,0,H1464&lt;60,1,H1464&lt;90,2,H1464&lt;120,3)</f>
        <v>0</v>
      </c>
      <c r="M1464" t="str">
        <f t="shared" si="140"/>
        <v>Low</v>
      </c>
      <c r="N1464" t="str">
        <f t="shared" si="137"/>
        <v>Dec</v>
      </c>
      <c r="O1464">
        <f t="shared" si="138"/>
        <v>2025</v>
      </c>
    </row>
    <row r="1465" spans="1:15" x14ac:dyDescent="0.3">
      <c r="A1465">
        <v>203100</v>
      </c>
      <c r="B1465" t="s">
        <v>92</v>
      </c>
      <c r="C1465" s="2">
        <v>46000</v>
      </c>
      <c r="D1465" s="2">
        <f t="shared" si="136"/>
        <v>46030</v>
      </c>
      <c r="E1465" s="1">
        <f>D1465</f>
        <v>46030</v>
      </c>
      <c r="F1465">
        <v>4098</v>
      </c>
      <c r="G1465">
        <v>30</v>
      </c>
      <c r="H1465">
        <f t="shared" si="141"/>
        <v>0</v>
      </c>
      <c r="I1465" t="str">
        <f t="shared" si="139"/>
        <v>On Time</v>
      </c>
      <c r="J1465" cm="1">
        <f t="array" ref="J1465">_xlfn.IFS(H1465&lt;30,0,H1465&lt;60,1,H1465&lt;90,2,H1465&lt;120,3)</f>
        <v>0</v>
      </c>
      <c r="M1465" t="str">
        <f t="shared" si="140"/>
        <v>Low</v>
      </c>
      <c r="N1465" t="str">
        <f t="shared" si="137"/>
        <v>Dec</v>
      </c>
      <c r="O1465">
        <f t="shared" si="138"/>
        <v>2025</v>
      </c>
    </row>
    <row r="1466" spans="1:15" x14ac:dyDescent="0.3">
      <c r="A1466">
        <v>203101</v>
      </c>
      <c r="B1466" t="s">
        <v>93</v>
      </c>
      <c r="C1466" s="2">
        <v>46000</v>
      </c>
      <c r="D1466" s="2">
        <f t="shared" si="136"/>
        <v>46030</v>
      </c>
      <c r="E1466" s="1">
        <f>D1466+60</f>
        <v>46090</v>
      </c>
      <c r="F1466">
        <v>18844</v>
      </c>
      <c r="G1466">
        <v>30</v>
      </c>
      <c r="H1466">
        <f t="shared" si="141"/>
        <v>0</v>
      </c>
      <c r="I1466" t="str">
        <f t="shared" si="139"/>
        <v>On Time</v>
      </c>
      <c r="J1466" cm="1">
        <f t="array" ref="J1466">_xlfn.IFS(H1466&lt;30,0,H1466&lt;60,1,H1466&lt;90,2,H1466&lt;120,3)</f>
        <v>0</v>
      </c>
      <c r="M1466" t="str">
        <f t="shared" si="140"/>
        <v>Low</v>
      </c>
      <c r="N1466" t="str">
        <f t="shared" si="137"/>
        <v>Dec</v>
      </c>
      <c r="O1466">
        <f t="shared" si="138"/>
        <v>2025</v>
      </c>
    </row>
    <row r="1467" spans="1:15" x14ac:dyDescent="0.3">
      <c r="A1467">
        <v>203102</v>
      </c>
      <c r="B1467" t="s">
        <v>94</v>
      </c>
      <c r="C1467" s="2">
        <v>46000</v>
      </c>
      <c r="D1467" s="2">
        <f t="shared" si="136"/>
        <v>46030</v>
      </c>
      <c r="E1467" s="1">
        <f>D1467</f>
        <v>46030</v>
      </c>
      <c r="F1467">
        <v>2351</v>
      </c>
      <c r="G1467">
        <v>30</v>
      </c>
      <c r="H1467">
        <f t="shared" si="141"/>
        <v>0</v>
      </c>
      <c r="I1467" t="str">
        <f t="shared" si="139"/>
        <v>On Time</v>
      </c>
      <c r="J1467" cm="1">
        <f t="array" ref="J1467">_xlfn.IFS(H1467&lt;30,0,H1467&lt;60,1,H1467&lt;90,2,H1467&lt;120,3)</f>
        <v>0</v>
      </c>
      <c r="M1467" t="str">
        <f t="shared" si="140"/>
        <v>Low</v>
      </c>
      <c r="N1467" t="str">
        <f t="shared" si="137"/>
        <v>Dec</v>
      </c>
      <c r="O1467">
        <f t="shared" si="138"/>
        <v>2025</v>
      </c>
    </row>
    <row r="1468" spans="1:15" x14ac:dyDescent="0.3">
      <c r="A1468">
        <v>203103</v>
      </c>
      <c r="B1468" t="s">
        <v>95</v>
      </c>
      <c r="C1468" s="2">
        <v>46000</v>
      </c>
      <c r="D1468" s="2">
        <f t="shared" si="136"/>
        <v>46045</v>
      </c>
      <c r="E1468" s="1">
        <f>D1468</f>
        <v>46045</v>
      </c>
      <c r="F1468">
        <v>1601</v>
      </c>
      <c r="G1468">
        <v>45</v>
      </c>
      <c r="H1468">
        <f t="shared" si="141"/>
        <v>0</v>
      </c>
      <c r="I1468" t="str">
        <f t="shared" si="139"/>
        <v>On Time</v>
      </c>
      <c r="J1468" cm="1">
        <f t="array" ref="J1468">_xlfn.IFS(H1468&lt;30,0,H1468&lt;60,1,H1468&lt;90,2,H1468&lt;120,3)</f>
        <v>0</v>
      </c>
      <c r="M1468" t="str">
        <f t="shared" si="140"/>
        <v>Low</v>
      </c>
      <c r="N1468" t="str">
        <f t="shared" si="137"/>
        <v>Dec</v>
      </c>
      <c r="O1468">
        <f t="shared" si="138"/>
        <v>2025</v>
      </c>
    </row>
    <row r="1469" spans="1:15" x14ac:dyDescent="0.3">
      <c r="A1469">
        <v>203104</v>
      </c>
      <c r="B1469" t="s">
        <v>96</v>
      </c>
      <c r="C1469" s="2">
        <v>46000</v>
      </c>
      <c r="D1469" s="2">
        <f t="shared" si="136"/>
        <v>46060</v>
      </c>
      <c r="E1469" s="1">
        <f>D1469+3</f>
        <v>46063</v>
      </c>
      <c r="F1469">
        <v>3197</v>
      </c>
      <c r="G1469">
        <v>60</v>
      </c>
      <c r="H1469">
        <f t="shared" si="141"/>
        <v>0</v>
      </c>
      <c r="I1469" t="str">
        <f t="shared" si="139"/>
        <v>On Time</v>
      </c>
      <c r="J1469" cm="1">
        <f t="array" ref="J1469">_xlfn.IFS(H1469&lt;30,0,H1469&lt;60,1,H1469&lt;90,2,H1469&lt;120,3)</f>
        <v>0</v>
      </c>
      <c r="M1469" t="str">
        <f t="shared" si="140"/>
        <v>Low</v>
      </c>
      <c r="N1469" t="str">
        <f t="shared" si="137"/>
        <v>Dec</v>
      </c>
      <c r="O1469">
        <f t="shared" si="138"/>
        <v>2025</v>
      </c>
    </row>
    <row r="1470" spans="1:15" x14ac:dyDescent="0.3">
      <c r="A1470">
        <v>203105</v>
      </c>
      <c r="B1470" t="s">
        <v>97</v>
      </c>
      <c r="C1470" s="2">
        <v>46000</v>
      </c>
      <c r="D1470" s="2">
        <f t="shared" si="136"/>
        <v>46030</v>
      </c>
      <c r="E1470" s="1">
        <f>D1470+1</f>
        <v>46031</v>
      </c>
      <c r="F1470">
        <v>3335</v>
      </c>
      <c r="G1470">
        <v>30</v>
      </c>
      <c r="H1470">
        <f t="shared" si="141"/>
        <v>0</v>
      </c>
      <c r="I1470" t="str">
        <f t="shared" si="139"/>
        <v>On Time</v>
      </c>
      <c r="J1470" cm="1">
        <f t="array" ref="J1470">_xlfn.IFS(H1470&lt;30,0,H1470&lt;60,1,H1470&lt;90,2,H1470&lt;120,3)</f>
        <v>0</v>
      </c>
      <c r="M1470" t="str">
        <f t="shared" si="140"/>
        <v>Low</v>
      </c>
      <c r="N1470" t="str">
        <f t="shared" si="137"/>
        <v>Dec</v>
      </c>
      <c r="O1470">
        <f t="shared" si="138"/>
        <v>2025</v>
      </c>
    </row>
    <row r="1471" spans="1:15" x14ac:dyDescent="0.3">
      <c r="A1471">
        <v>203062</v>
      </c>
      <c r="B1471" t="s">
        <v>46</v>
      </c>
      <c r="C1471" s="2">
        <v>45999</v>
      </c>
      <c r="D1471" s="2">
        <f t="shared" si="136"/>
        <v>46059</v>
      </c>
      <c r="E1471" s="1">
        <f>D1471</f>
        <v>46059</v>
      </c>
      <c r="F1471">
        <v>4877</v>
      </c>
      <c r="G1471">
        <v>60</v>
      </c>
      <c r="H1471">
        <f t="shared" si="141"/>
        <v>0</v>
      </c>
      <c r="I1471" t="str">
        <f t="shared" si="139"/>
        <v>On Time</v>
      </c>
      <c r="J1471" cm="1">
        <f t="array" ref="J1471">_xlfn.IFS(H1471&lt;30,0,H1471&lt;60,1,H1471&lt;90,2,H1471&lt;120,3)</f>
        <v>0</v>
      </c>
      <c r="M1471" t="str">
        <f t="shared" si="140"/>
        <v>Low</v>
      </c>
      <c r="N1471" t="str">
        <f t="shared" si="137"/>
        <v>Dec</v>
      </c>
      <c r="O1471">
        <f t="shared" si="138"/>
        <v>2025</v>
      </c>
    </row>
    <row r="1472" spans="1:15" x14ac:dyDescent="0.3">
      <c r="A1472">
        <v>203063</v>
      </c>
      <c r="B1472" t="s">
        <v>47</v>
      </c>
      <c r="C1472" s="2">
        <v>45999</v>
      </c>
      <c r="D1472" s="2">
        <f t="shared" si="136"/>
        <v>46059</v>
      </c>
      <c r="E1472" s="1">
        <f>D1472+5</f>
        <v>46064</v>
      </c>
      <c r="F1472">
        <v>3475</v>
      </c>
      <c r="G1472">
        <v>60</v>
      </c>
      <c r="H1472">
        <f t="shared" si="141"/>
        <v>0</v>
      </c>
      <c r="I1472" t="str">
        <f t="shared" si="139"/>
        <v>On Time</v>
      </c>
      <c r="J1472" cm="1">
        <f t="array" ref="J1472">_xlfn.IFS(H1472&lt;30,0,H1472&lt;60,1,H1472&lt;90,2,H1472&lt;120,3)</f>
        <v>0</v>
      </c>
      <c r="M1472" t="str">
        <f t="shared" si="140"/>
        <v>Low</v>
      </c>
      <c r="N1472" t="str">
        <f t="shared" si="137"/>
        <v>Dec</v>
      </c>
      <c r="O1472">
        <f t="shared" si="138"/>
        <v>2025</v>
      </c>
    </row>
    <row r="1473" spans="1:15" x14ac:dyDescent="0.3">
      <c r="A1473">
        <v>203064</v>
      </c>
      <c r="B1473" t="s">
        <v>48</v>
      </c>
      <c r="C1473" s="2">
        <v>45999</v>
      </c>
      <c r="D1473" s="2">
        <f t="shared" si="136"/>
        <v>46044</v>
      </c>
      <c r="E1473" s="1">
        <f>D1473+2</f>
        <v>46046</v>
      </c>
      <c r="F1473">
        <v>4821</v>
      </c>
      <c r="G1473">
        <v>45</v>
      </c>
      <c r="H1473">
        <f t="shared" si="141"/>
        <v>0</v>
      </c>
      <c r="I1473" t="str">
        <f t="shared" si="139"/>
        <v>On Time</v>
      </c>
      <c r="J1473" cm="1">
        <f t="array" ref="J1473">_xlfn.IFS(H1473&lt;30,0,H1473&lt;60,1,H1473&lt;90,2,H1473&lt;120,3)</f>
        <v>0</v>
      </c>
      <c r="M1473" t="str">
        <f t="shared" si="140"/>
        <v>Low</v>
      </c>
      <c r="N1473" t="str">
        <f t="shared" si="137"/>
        <v>Dec</v>
      </c>
      <c r="O1473">
        <f t="shared" si="138"/>
        <v>2025</v>
      </c>
    </row>
    <row r="1474" spans="1:15" x14ac:dyDescent="0.3">
      <c r="A1474">
        <v>203065</v>
      </c>
      <c r="B1474" t="s">
        <v>49</v>
      </c>
      <c r="C1474" s="2">
        <v>45999</v>
      </c>
      <c r="D1474" s="2">
        <f t="shared" ref="D1474:D1537" si="142">C1474+G1474</f>
        <v>46029</v>
      </c>
      <c r="E1474" s="1">
        <f>D1474+5</f>
        <v>46034</v>
      </c>
      <c r="F1474">
        <v>3255</v>
      </c>
      <c r="G1474">
        <v>30</v>
      </c>
      <c r="H1474">
        <f t="shared" si="141"/>
        <v>0</v>
      </c>
      <c r="I1474" t="str">
        <f t="shared" si="139"/>
        <v>On Time</v>
      </c>
      <c r="J1474" cm="1">
        <f t="array" ref="J1474">_xlfn.IFS(H1474&lt;30,0,H1474&lt;60,1,H1474&lt;90,2,H1474&lt;120,3)</f>
        <v>0</v>
      </c>
      <c r="M1474" t="str">
        <f t="shared" si="140"/>
        <v>Low</v>
      </c>
      <c r="N1474" t="str">
        <f t="shared" ref="N1474:N1537" si="143">TEXT(C1474,"mmm")</f>
        <v>Dec</v>
      </c>
      <c r="O1474">
        <f t="shared" ref="O1474:O1537" si="144">YEAR(C1474)</f>
        <v>2025</v>
      </c>
    </row>
    <row r="1475" spans="1:15" x14ac:dyDescent="0.3">
      <c r="A1475">
        <v>203066</v>
      </c>
      <c r="B1475" t="s">
        <v>50</v>
      </c>
      <c r="C1475" s="2">
        <v>45999</v>
      </c>
      <c r="D1475" s="2">
        <f t="shared" si="142"/>
        <v>46029</v>
      </c>
      <c r="E1475" s="1">
        <f>D1475</f>
        <v>46029</v>
      </c>
      <c r="F1475">
        <v>550</v>
      </c>
      <c r="G1475">
        <v>30</v>
      </c>
      <c r="H1475">
        <f t="shared" si="141"/>
        <v>0</v>
      </c>
      <c r="I1475" t="str">
        <f t="shared" si="139"/>
        <v>On Time</v>
      </c>
      <c r="J1475" cm="1">
        <f t="array" ref="J1475">_xlfn.IFS(H1475&lt;30,0,H1475&lt;60,1,H1475&lt;90,2,H1475&lt;120,3)</f>
        <v>0</v>
      </c>
      <c r="M1475" t="str">
        <f t="shared" si="140"/>
        <v>Low</v>
      </c>
      <c r="N1475" t="str">
        <f t="shared" si="143"/>
        <v>Dec</v>
      </c>
      <c r="O1475">
        <f t="shared" si="144"/>
        <v>2025</v>
      </c>
    </row>
    <row r="1476" spans="1:15" x14ac:dyDescent="0.3">
      <c r="A1476">
        <v>203067</v>
      </c>
      <c r="B1476" t="s">
        <v>51</v>
      </c>
      <c r="C1476" s="2">
        <v>45999</v>
      </c>
      <c r="D1476" s="2">
        <f t="shared" si="142"/>
        <v>46029</v>
      </c>
      <c r="E1476" s="1">
        <f>D1476</f>
        <v>46029</v>
      </c>
      <c r="F1476">
        <v>4359</v>
      </c>
      <c r="G1476">
        <v>30</v>
      </c>
      <c r="H1476">
        <f t="shared" si="141"/>
        <v>0</v>
      </c>
      <c r="I1476" t="str">
        <f t="shared" si="139"/>
        <v>On Time</v>
      </c>
      <c r="J1476" cm="1">
        <f t="array" ref="J1476">_xlfn.IFS(H1476&lt;30,0,H1476&lt;60,1,H1476&lt;90,2,H1476&lt;120,3)</f>
        <v>0</v>
      </c>
      <c r="M1476" t="str">
        <f t="shared" si="140"/>
        <v>Low</v>
      </c>
      <c r="N1476" t="str">
        <f t="shared" si="143"/>
        <v>Dec</v>
      </c>
      <c r="O1476">
        <f t="shared" si="144"/>
        <v>2025</v>
      </c>
    </row>
    <row r="1477" spans="1:15" x14ac:dyDescent="0.3">
      <c r="A1477">
        <v>203068</v>
      </c>
      <c r="B1477" t="s">
        <v>52</v>
      </c>
      <c r="C1477" s="2">
        <v>45999</v>
      </c>
      <c r="D1477" s="2">
        <f t="shared" si="142"/>
        <v>46029</v>
      </c>
      <c r="E1477" s="1">
        <f>D1477+62</f>
        <v>46091</v>
      </c>
      <c r="F1477">
        <v>4487</v>
      </c>
      <c r="G1477">
        <v>30</v>
      </c>
      <c r="H1477">
        <f t="shared" si="141"/>
        <v>0</v>
      </c>
      <c r="I1477" t="str">
        <f t="shared" si="139"/>
        <v>On Time</v>
      </c>
      <c r="J1477" cm="1">
        <f t="array" ref="J1477">_xlfn.IFS(H1477&lt;30,0,H1477&lt;60,1,H1477&lt;90,2,H1477&lt;120,3)</f>
        <v>0</v>
      </c>
      <c r="M1477" t="str">
        <f t="shared" si="140"/>
        <v>Low</v>
      </c>
      <c r="N1477" t="str">
        <f t="shared" si="143"/>
        <v>Dec</v>
      </c>
      <c r="O1477">
        <f t="shared" si="144"/>
        <v>2025</v>
      </c>
    </row>
    <row r="1478" spans="1:15" x14ac:dyDescent="0.3">
      <c r="A1478">
        <v>203069</v>
      </c>
      <c r="B1478" t="s">
        <v>53</v>
      </c>
      <c r="C1478" s="2">
        <v>45999</v>
      </c>
      <c r="D1478" s="2">
        <f t="shared" si="142"/>
        <v>46029</v>
      </c>
      <c r="E1478" s="1">
        <f>D1478</f>
        <v>46029</v>
      </c>
      <c r="F1478">
        <v>3453</v>
      </c>
      <c r="G1478">
        <v>30</v>
      </c>
      <c r="H1478">
        <f t="shared" si="141"/>
        <v>0</v>
      </c>
      <c r="I1478" t="str">
        <f t="shared" si="139"/>
        <v>On Time</v>
      </c>
      <c r="J1478" cm="1">
        <f t="array" ref="J1478">_xlfn.IFS(H1478&lt;30,0,H1478&lt;60,1,H1478&lt;90,2,H1478&lt;120,3)</f>
        <v>0</v>
      </c>
      <c r="M1478" t="str">
        <f t="shared" si="140"/>
        <v>Low</v>
      </c>
      <c r="N1478" t="str">
        <f t="shared" si="143"/>
        <v>Dec</v>
      </c>
      <c r="O1478">
        <f t="shared" si="144"/>
        <v>2025</v>
      </c>
    </row>
    <row r="1479" spans="1:15" x14ac:dyDescent="0.3">
      <c r="A1479">
        <v>203070</v>
      </c>
      <c r="B1479" t="s">
        <v>54</v>
      </c>
      <c r="C1479" s="2">
        <v>45999</v>
      </c>
      <c r="D1479" s="2">
        <f t="shared" si="142"/>
        <v>46029</v>
      </c>
      <c r="F1479">
        <v>4836</v>
      </c>
      <c r="G1479">
        <v>30</v>
      </c>
      <c r="H1479">
        <f t="shared" si="141"/>
        <v>0</v>
      </c>
      <c r="I1479" t="str">
        <f t="shared" si="139"/>
        <v>On Time</v>
      </c>
      <c r="J1479" cm="1">
        <f t="array" ref="J1479">_xlfn.IFS(H1479&lt;30,0,H1479&lt;60,1,H1479&lt;90,2,H1479&lt;120,3)</f>
        <v>0</v>
      </c>
      <c r="M1479" t="str">
        <f t="shared" si="140"/>
        <v>Low</v>
      </c>
      <c r="N1479" t="str">
        <f t="shared" si="143"/>
        <v>Dec</v>
      </c>
      <c r="O1479">
        <f t="shared" si="144"/>
        <v>2025</v>
      </c>
    </row>
    <row r="1480" spans="1:15" x14ac:dyDescent="0.3">
      <c r="A1480">
        <v>203071</v>
      </c>
      <c r="B1480" t="s">
        <v>36</v>
      </c>
      <c r="C1480" s="2">
        <v>45999</v>
      </c>
      <c r="D1480" s="2">
        <f t="shared" si="142"/>
        <v>46029</v>
      </c>
      <c r="E1480" s="1">
        <f>D1480+3</f>
        <v>46032</v>
      </c>
      <c r="F1480">
        <v>720</v>
      </c>
      <c r="G1480">
        <v>30</v>
      </c>
      <c r="H1480">
        <f t="shared" si="141"/>
        <v>0</v>
      </c>
      <c r="I1480" t="str">
        <f t="shared" si="139"/>
        <v>On Time</v>
      </c>
      <c r="J1480" cm="1">
        <f t="array" ref="J1480">_xlfn.IFS(H1480&lt;30,0,H1480&lt;60,1,H1480&lt;90,2,H1480&lt;120,3)</f>
        <v>0</v>
      </c>
      <c r="M1480" t="str">
        <f t="shared" si="140"/>
        <v>Low</v>
      </c>
      <c r="N1480" t="str">
        <f t="shared" si="143"/>
        <v>Dec</v>
      </c>
      <c r="O1480">
        <f t="shared" si="144"/>
        <v>2025</v>
      </c>
    </row>
    <row r="1481" spans="1:15" x14ac:dyDescent="0.3">
      <c r="A1481">
        <v>203072</v>
      </c>
      <c r="B1481" t="s">
        <v>37</v>
      </c>
      <c r="C1481" s="2">
        <v>45999</v>
      </c>
      <c r="D1481" s="2">
        <f t="shared" si="142"/>
        <v>46029</v>
      </c>
      <c r="E1481" s="1">
        <f>D1481+1</f>
        <v>46030</v>
      </c>
      <c r="F1481">
        <v>3162</v>
      </c>
      <c r="G1481">
        <v>30</v>
      </c>
      <c r="H1481">
        <f t="shared" si="141"/>
        <v>0</v>
      </c>
      <c r="I1481" t="str">
        <f t="shared" si="139"/>
        <v>On Time</v>
      </c>
      <c r="J1481" cm="1">
        <f t="array" ref="J1481">_xlfn.IFS(H1481&lt;30,0,H1481&lt;60,1,H1481&lt;90,2,H1481&lt;120,3)</f>
        <v>0</v>
      </c>
      <c r="M1481" t="str">
        <f t="shared" si="140"/>
        <v>Low</v>
      </c>
      <c r="N1481" t="str">
        <f t="shared" si="143"/>
        <v>Dec</v>
      </c>
      <c r="O1481">
        <f t="shared" si="144"/>
        <v>2025</v>
      </c>
    </row>
    <row r="1482" spans="1:15" x14ac:dyDescent="0.3">
      <c r="A1482">
        <v>203073</v>
      </c>
      <c r="B1482" t="s">
        <v>38</v>
      </c>
      <c r="C1482" s="2">
        <v>45999</v>
      </c>
      <c r="D1482" s="2">
        <f t="shared" si="142"/>
        <v>46029</v>
      </c>
      <c r="E1482" s="1">
        <f>D1482-1</f>
        <v>46028</v>
      </c>
      <c r="F1482">
        <v>2393</v>
      </c>
      <c r="G1482">
        <v>30</v>
      </c>
      <c r="H1482">
        <f t="shared" si="141"/>
        <v>0</v>
      </c>
      <c r="I1482" t="str">
        <f t="shared" si="139"/>
        <v>On Time</v>
      </c>
      <c r="J1482" cm="1">
        <f t="array" ref="J1482">_xlfn.IFS(H1482&lt;30,0,H1482&lt;60,1,H1482&lt;90,2,H1482&lt;120,3)</f>
        <v>0</v>
      </c>
      <c r="M1482" t="str">
        <f t="shared" si="140"/>
        <v>Low</v>
      </c>
      <c r="N1482" t="str">
        <f t="shared" si="143"/>
        <v>Dec</v>
      </c>
      <c r="O1482">
        <f t="shared" si="144"/>
        <v>2025</v>
      </c>
    </row>
    <row r="1483" spans="1:15" x14ac:dyDescent="0.3">
      <c r="A1483">
        <v>203074</v>
      </c>
      <c r="B1483" t="s">
        <v>39</v>
      </c>
      <c r="C1483" s="2">
        <v>45999</v>
      </c>
      <c r="D1483" s="2">
        <f t="shared" si="142"/>
        <v>46029</v>
      </c>
      <c r="E1483" s="1">
        <f>D1483</f>
        <v>46029</v>
      </c>
      <c r="F1483">
        <v>646</v>
      </c>
      <c r="G1483">
        <v>30</v>
      </c>
      <c r="H1483">
        <f t="shared" si="141"/>
        <v>0</v>
      </c>
      <c r="I1483" t="str">
        <f t="shared" si="139"/>
        <v>On Time</v>
      </c>
      <c r="J1483" cm="1">
        <f t="array" ref="J1483">_xlfn.IFS(H1483&lt;30,0,H1483&lt;60,1,H1483&lt;90,2,H1483&lt;120,3)</f>
        <v>0</v>
      </c>
      <c r="M1483" t="str">
        <f t="shared" si="140"/>
        <v>Low</v>
      </c>
      <c r="N1483" t="str">
        <f t="shared" si="143"/>
        <v>Dec</v>
      </c>
      <c r="O1483">
        <f t="shared" si="144"/>
        <v>2025</v>
      </c>
    </row>
    <row r="1484" spans="1:15" x14ac:dyDescent="0.3">
      <c r="A1484">
        <v>203075</v>
      </c>
      <c r="B1484" t="s">
        <v>40</v>
      </c>
      <c r="C1484" s="2">
        <v>45999</v>
      </c>
      <c r="D1484" s="2">
        <f t="shared" si="142"/>
        <v>46029</v>
      </c>
      <c r="E1484" s="1">
        <f>D1484-5</f>
        <v>46024</v>
      </c>
      <c r="F1484">
        <v>4776</v>
      </c>
      <c r="G1484">
        <v>30</v>
      </c>
      <c r="H1484">
        <f t="shared" si="141"/>
        <v>0</v>
      </c>
      <c r="I1484" t="str">
        <f t="shared" si="139"/>
        <v>On Time</v>
      </c>
      <c r="J1484" cm="1">
        <f t="array" ref="J1484">_xlfn.IFS(H1484&lt;30,0,H1484&lt;60,1,H1484&lt;90,2,H1484&lt;120,3)</f>
        <v>0</v>
      </c>
      <c r="M1484" t="str">
        <f t="shared" si="140"/>
        <v>Low</v>
      </c>
      <c r="N1484" t="str">
        <f t="shared" si="143"/>
        <v>Dec</v>
      </c>
      <c r="O1484">
        <f t="shared" si="144"/>
        <v>2025</v>
      </c>
    </row>
    <row r="1485" spans="1:15" x14ac:dyDescent="0.3">
      <c r="A1485">
        <v>203076</v>
      </c>
      <c r="B1485" t="s">
        <v>41</v>
      </c>
      <c r="C1485" s="2">
        <v>45999</v>
      </c>
      <c r="D1485" s="2">
        <f t="shared" si="142"/>
        <v>46029</v>
      </c>
      <c r="E1485" s="1">
        <f>D1485+35</f>
        <v>46064</v>
      </c>
      <c r="F1485">
        <v>1026</v>
      </c>
      <c r="G1485">
        <v>30</v>
      </c>
      <c r="H1485">
        <f t="shared" si="141"/>
        <v>0</v>
      </c>
      <c r="I1485" t="str">
        <f t="shared" si="139"/>
        <v>On Time</v>
      </c>
      <c r="J1485" cm="1">
        <f t="array" ref="J1485">_xlfn.IFS(H1485&lt;30,0,H1485&lt;60,1,H1485&lt;90,2,H1485&lt;120,3)</f>
        <v>0</v>
      </c>
      <c r="M1485" t="str">
        <f t="shared" si="140"/>
        <v>Low</v>
      </c>
      <c r="N1485" t="str">
        <f t="shared" si="143"/>
        <v>Dec</v>
      </c>
      <c r="O1485">
        <f t="shared" si="144"/>
        <v>2025</v>
      </c>
    </row>
    <row r="1486" spans="1:15" x14ac:dyDescent="0.3">
      <c r="A1486">
        <v>203077</v>
      </c>
      <c r="B1486" t="s">
        <v>42</v>
      </c>
      <c r="C1486" s="2">
        <v>45999</v>
      </c>
      <c r="D1486" s="2">
        <f t="shared" si="142"/>
        <v>46029</v>
      </c>
      <c r="E1486" s="1">
        <f>D1486+75</f>
        <v>46104</v>
      </c>
      <c r="F1486">
        <v>2824</v>
      </c>
      <c r="G1486">
        <v>30</v>
      </c>
      <c r="H1486">
        <f t="shared" si="141"/>
        <v>0</v>
      </c>
      <c r="I1486" t="str">
        <f t="shared" si="139"/>
        <v>On Time</v>
      </c>
      <c r="J1486" cm="1">
        <f t="array" ref="J1486">_xlfn.IFS(H1486&lt;30,0,H1486&lt;60,1,H1486&lt;90,2,H1486&lt;120,3)</f>
        <v>0</v>
      </c>
      <c r="M1486" t="str">
        <f t="shared" si="140"/>
        <v>Low</v>
      </c>
      <c r="N1486" t="str">
        <f t="shared" si="143"/>
        <v>Dec</v>
      </c>
      <c r="O1486">
        <f t="shared" si="144"/>
        <v>2025</v>
      </c>
    </row>
    <row r="1487" spans="1:15" x14ac:dyDescent="0.3">
      <c r="A1487">
        <v>203078</v>
      </c>
      <c r="B1487" t="s">
        <v>43</v>
      </c>
      <c r="C1487" s="2">
        <v>45999</v>
      </c>
      <c r="D1487" s="2">
        <f t="shared" si="142"/>
        <v>46029</v>
      </c>
      <c r="E1487" s="1">
        <f>D1487+5</f>
        <v>46034</v>
      </c>
      <c r="F1487">
        <v>1186</v>
      </c>
      <c r="G1487">
        <v>30</v>
      </c>
      <c r="H1487">
        <f t="shared" si="141"/>
        <v>0</v>
      </c>
      <c r="I1487" t="str">
        <f t="shared" si="139"/>
        <v>On Time</v>
      </c>
      <c r="J1487" cm="1">
        <f t="array" ref="J1487">_xlfn.IFS(H1487&lt;30,0,H1487&lt;60,1,H1487&lt;90,2,H1487&lt;120,3)</f>
        <v>0</v>
      </c>
      <c r="M1487" t="str">
        <f t="shared" si="140"/>
        <v>Low</v>
      </c>
      <c r="N1487" t="str">
        <f t="shared" si="143"/>
        <v>Dec</v>
      </c>
      <c r="O1487">
        <f t="shared" si="144"/>
        <v>2025</v>
      </c>
    </row>
    <row r="1488" spans="1:15" x14ac:dyDescent="0.3">
      <c r="A1488">
        <v>203079</v>
      </c>
      <c r="B1488" t="s">
        <v>44</v>
      </c>
      <c r="C1488" s="2">
        <v>45999</v>
      </c>
      <c r="D1488" s="2">
        <f t="shared" si="142"/>
        <v>46044</v>
      </c>
      <c r="E1488" s="1">
        <f>D1488</f>
        <v>46044</v>
      </c>
      <c r="F1488">
        <v>1602</v>
      </c>
      <c r="G1488">
        <v>45</v>
      </c>
      <c r="H1488">
        <f t="shared" si="141"/>
        <v>0</v>
      </c>
      <c r="I1488" t="str">
        <f t="shared" si="139"/>
        <v>On Time</v>
      </c>
      <c r="J1488" cm="1">
        <f t="array" ref="J1488">_xlfn.IFS(H1488&lt;30,0,H1488&lt;60,1,H1488&lt;90,2,H1488&lt;120,3)</f>
        <v>0</v>
      </c>
      <c r="M1488" t="str">
        <f t="shared" si="140"/>
        <v>Low</v>
      </c>
      <c r="N1488" t="str">
        <f t="shared" si="143"/>
        <v>Dec</v>
      </c>
      <c r="O1488">
        <f t="shared" si="144"/>
        <v>2025</v>
      </c>
    </row>
    <row r="1489" spans="1:15" x14ac:dyDescent="0.3">
      <c r="A1489">
        <v>203080</v>
      </c>
      <c r="B1489" t="s">
        <v>20</v>
      </c>
      <c r="C1489" s="2">
        <v>45999</v>
      </c>
      <c r="D1489" s="2">
        <f t="shared" si="142"/>
        <v>46029</v>
      </c>
      <c r="E1489" s="1">
        <f>D1489-1</f>
        <v>46028</v>
      </c>
      <c r="F1489">
        <v>1922</v>
      </c>
      <c r="G1489">
        <v>30</v>
      </c>
      <c r="H1489">
        <f t="shared" si="141"/>
        <v>0</v>
      </c>
      <c r="I1489" t="str">
        <f t="shared" si="139"/>
        <v>On Time</v>
      </c>
      <c r="J1489" cm="1">
        <f t="array" ref="J1489">_xlfn.IFS(H1489&lt;30,0,H1489&lt;60,1,H1489&lt;90,2,H1489&lt;120,3)</f>
        <v>0</v>
      </c>
      <c r="M1489" t="str">
        <f t="shared" si="140"/>
        <v>Low</v>
      </c>
      <c r="N1489" t="str">
        <f t="shared" si="143"/>
        <v>Dec</v>
      </c>
      <c r="O1489">
        <f t="shared" si="144"/>
        <v>2025</v>
      </c>
    </row>
    <row r="1490" spans="1:15" x14ac:dyDescent="0.3">
      <c r="A1490">
        <v>203081</v>
      </c>
      <c r="B1490" t="s">
        <v>21</v>
      </c>
      <c r="C1490" s="2">
        <v>45999</v>
      </c>
      <c r="D1490" s="2">
        <f t="shared" si="142"/>
        <v>46029</v>
      </c>
      <c r="E1490" s="1">
        <f>D1490</f>
        <v>46029</v>
      </c>
      <c r="F1490">
        <v>3549</v>
      </c>
      <c r="G1490">
        <v>30</v>
      </c>
      <c r="H1490">
        <f t="shared" si="141"/>
        <v>0</v>
      </c>
      <c r="I1490" t="str">
        <f t="shared" si="139"/>
        <v>On Time</v>
      </c>
      <c r="J1490" cm="1">
        <f t="array" ref="J1490">_xlfn.IFS(H1490&lt;30,0,H1490&lt;60,1,H1490&lt;90,2,H1490&lt;120,3)</f>
        <v>0</v>
      </c>
      <c r="M1490" t="str">
        <f t="shared" si="140"/>
        <v>Low</v>
      </c>
      <c r="N1490" t="str">
        <f t="shared" si="143"/>
        <v>Dec</v>
      </c>
      <c r="O1490">
        <f t="shared" si="144"/>
        <v>2025</v>
      </c>
    </row>
    <row r="1491" spans="1:15" x14ac:dyDescent="0.3">
      <c r="A1491">
        <v>203082</v>
      </c>
      <c r="B1491" t="s">
        <v>22</v>
      </c>
      <c r="C1491" s="2">
        <v>45999</v>
      </c>
      <c r="D1491" s="2">
        <f t="shared" si="142"/>
        <v>46029</v>
      </c>
      <c r="E1491" s="1">
        <f>D1491+32</f>
        <v>46061</v>
      </c>
      <c r="F1491">
        <v>2724</v>
      </c>
      <c r="G1491">
        <v>30</v>
      </c>
      <c r="H1491">
        <f t="shared" si="141"/>
        <v>0</v>
      </c>
      <c r="I1491" t="str">
        <f t="shared" si="139"/>
        <v>On Time</v>
      </c>
      <c r="J1491" cm="1">
        <f t="array" ref="J1491">_xlfn.IFS(H1491&lt;30,0,H1491&lt;60,1,H1491&lt;90,2,H1491&lt;120,3)</f>
        <v>0</v>
      </c>
      <c r="M1491" t="str">
        <f t="shared" si="140"/>
        <v>Low</v>
      </c>
      <c r="N1491" t="str">
        <f t="shared" si="143"/>
        <v>Dec</v>
      </c>
      <c r="O1491">
        <f t="shared" si="144"/>
        <v>2025</v>
      </c>
    </row>
    <row r="1492" spans="1:15" x14ac:dyDescent="0.3">
      <c r="A1492">
        <v>203083</v>
      </c>
      <c r="B1492" t="s">
        <v>23</v>
      </c>
      <c r="C1492" s="2">
        <v>45999</v>
      </c>
      <c r="D1492" s="2">
        <f t="shared" si="142"/>
        <v>46044</v>
      </c>
      <c r="E1492" s="1">
        <f>D1492+15</f>
        <v>46059</v>
      </c>
      <c r="F1492">
        <v>842</v>
      </c>
      <c r="G1492">
        <v>45</v>
      </c>
      <c r="H1492">
        <f t="shared" si="141"/>
        <v>0</v>
      </c>
      <c r="I1492" t="str">
        <f t="shared" si="139"/>
        <v>On Time</v>
      </c>
      <c r="J1492" cm="1">
        <f t="array" ref="J1492">_xlfn.IFS(H1492&lt;30,0,H1492&lt;60,1,H1492&lt;90,2,H1492&lt;120,3)</f>
        <v>0</v>
      </c>
      <c r="M1492" t="str">
        <f t="shared" si="140"/>
        <v>Low</v>
      </c>
      <c r="N1492" t="str">
        <f t="shared" si="143"/>
        <v>Dec</v>
      </c>
      <c r="O1492">
        <f t="shared" si="144"/>
        <v>2025</v>
      </c>
    </row>
    <row r="1493" spans="1:15" x14ac:dyDescent="0.3">
      <c r="A1493">
        <v>203084</v>
      </c>
      <c r="B1493" t="s">
        <v>24</v>
      </c>
      <c r="C1493" s="2">
        <v>45999</v>
      </c>
      <c r="D1493" s="2">
        <f t="shared" si="142"/>
        <v>46044</v>
      </c>
      <c r="E1493" s="1">
        <f>D1493</f>
        <v>46044</v>
      </c>
      <c r="F1493">
        <v>3779</v>
      </c>
      <c r="G1493">
        <v>45</v>
      </c>
      <c r="H1493">
        <f t="shared" si="141"/>
        <v>0</v>
      </c>
      <c r="I1493" t="str">
        <f t="shared" si="139"/>
        <v>On Time</v>
      </c>
      <c r="J1493" cm="1">
        <f t="array" ref="J1493">_xlfn.IFS(H1493&lt;30,0,H1493&lt;60,1,H1493&lt;90,2,H1493&lt;120,3)</f>
        <v>0</v>
      </c>
      <c r="M1493" t="str">
        <f t="shared" si="140"/>
        <v>Low</v>
      </c>
      <c r="N1493" t="str">
        <f t="shared" si="143"/>
        <v>Dec</v>
      </c>
      <c r="O1493">
        <f t="shared" si="144"/>
        <v>2025</v>
      </c>
    </row>
    <row r="1494" spans="1:15" x14ac:dyDescent="0.3">
      <c r="A1494">
        <v>203085</v>
      </c>
      <c r="B1494" t="s">
        <v>25</v>
      </c>
      <c r="C1494" s="2">
        <v>45999</v>
      </c>
      <c r="D1494" s="2">
        <f t="shared" si="142"/>
        <v>46059</v>
      </c>
      <c r="E1494" s="1">
        <f>D1494-2</f>
        <v>46057</v>
      </c>
      <c r="F1494">
        <v>1153</v>
      </c>
      <c r="G1494">
        <v>60</v>
      </c>
      <c r="H1494">
        <f t="shared" si="141"/>
        <v>0</v>
      </c>
      <c r="I1494" t="str">
        <f t="shared" ref="I1494:I1557" si="145">IF(H1494=0,"On Time",IF(H1494&lt;=15,"Paid Late","Seriously Late"))</f>
        <v>On Time</v>
      </c>
      <c r="J1494" cm="1">
        <f t="array" ref="J1494">_xlfn.IFS(H1494&lt;30,0,H1494&lt;60,1,H1494&lt;90,2,H1494&lt;120,3)</f>
        <v>0</v>
      </c>
      <c r="M1494" t="str">
        <f t="shared" ref="M1494:M1557" si="146">IF(H1494&gt;30,"High",IF(H1494&gt;10,"Medium","Low"))</f>
        <v>Low</v>
      </c>
      <c r="N1494" t="str">
        <f t="shared" si="143"/>
        <v>Dec</v>
      </c>
      <c r="O1494">
        <f t="shared" si="144"/>
        <v>2025</v>
      </c>
    </row>
    <row r="1495" spans="1:15" x14ac:dyDescent="0.3">
      <c r="A1495">
        <v>203086</v>
      </c>
      <c r="B1495" t="s">
        <v>26</v>
      </c>
      <c r="C1495" s="2">
        <v>45999</v>
      </c>
      <c r="D1495" s="2">
        <f t="shared" si="142"/>
        <v>46029</v>
      </c>
      <c r="E1495" s="1">
        <f>D1495</f>
        <v>46029</v>
      </c>
      <c r="F1495">
        <v>4699</v>
      </c>
      <c r="G1495">
        <v>30</v>
      </c>
      <c r="H1495">
        <f t="shared" si="141"/>
        <v>0</v>
      </c>
      <c r="I1495" t="str">
        <f t="shared" si="145"/>
        <v>On Time</v>
      </c>
      <c r="J1495" cm="1">
        <f t="array" ref="J1495">_xlfn.IFS(H1495&lt;30,0,H1495&lt;60,1,H1495&lt;90,2,H1495&lt;120,3)</f>
        <v>0</v>
      </c>
      <c r="M1495" t="str">
        <f t="shared" si="146"/>
        <v>Low</v>
      </c>
      <c r="N1495" t="str">
        <f t="shared" si="143"/>
        <v>Dec</v>
      </c>
      <c r="O1495">
        <f t="shared" si="144"/>
        <v>2025</v>
      </c>
    </row>
    <row r="1496" spans="1:15" x14ac:dyDescent="0.3">
      <c r="A1496">
        <v>203031</v>
      </c>
      <c r="B1496" t="s">
        <v>100</v>
      </c>
      <c r="C1496" s="2">
        <v>45996</v>
      </c>
      <c r="D1496" s="2">
        <f t="shared" si="142"/>
        <v>46026</v>
      </c>
      <c r="E1496" s="1">
        <f>D1496+2</f>
        <v>46028</v>
      </c>
      <c r="F1496">
        <v>18234</v>
      </c>
      <c r="G1496">
        <v>30</v>
      </c>
      <c r="H1496">
        <f t="shared" si="141"/>
        <v>0</v>
      </c>
      <c r="I1496" t="str">
        <f t="shared" si="145"/>
        <v>On Time</v>
      </c>
      <c r="J1496" cm="1">
        <f t="array" ref="J1496">_xlfn.IFS(H1496&lt;30,0,H1496&lt;60,1,H1496&lt;90,2,H1496&lt;120,3)</f>
        <v>0</v>
      </c>
      <c r="M1496" t="str">
        <f t="shared" si="146"/>
        <v>Low</v>
      </c>
      <c r="N1496" t="str">
        <f t="shared" si="143"/>
        <v>Dec</v>
      </c>
      <c r="O1496">
        <f t="shared" si="144"/>
        <v>2025</v>
      </c>
    </row>
    <row r="1497" spans="1:15" x14ac:dyDescent="0.3">
      <c r="A1497">
        <v>203032</v>
      </c>
      <c r="B1497" t="s">
        <v>101</v>
      </c>
      <c r="C1497" s="2">
        <v>45996</v>
      </c>
      <c r="D1497" s="2">
        <f t="shared" si="142"/>
        <v>46026</v>
      </c>
      <c r="E1497" s="1">
        <f>D1497</f>
        <v>46026</v>
      </c>
      <c r="F1497">
        <v>712</v>
      </c>
      <c r="G1497">
        <v>30</v>
      </c>
      <c r="H1497">
        <f t="shared" si="141"/>
        <v>0</v>
      </c>
      <c r="I1497" t="str">
        <f t="shared" si="145"/>
        <v>On Time</v>
      </c>
      <c r="J1497" cm="1">
        <f t="array" ref="J1497">_xlfn.IFS(H1497&lt;30,0,H1497&lt;60,1,H1497&lt;90,2,H1497&lt;120,3)</f>
        <v>0</v>
      </c>
      <c r="M1497" t="str">
        <f t="shared" si="146"/>
        <v>Low</v>
      </c>
      <c r="N1497" t="str">
        <f t="shared" si="143"/>
        <v>Dec</v>
      </c>
      <c r="O1497">
        <f t="shared" si="144"/>
        <v>2025</v>
      </c>
    </row>
    <row r="1498" spans="1:15" x14ac:dyDescent="0.3">
      <c r="A1498">
        <v>203033</v>
      </c>
      <c r="B1498" t="s">
        <v>102</v>
      </c>
      <c r="C1498" s="2">
        <v>45996</v>
      </c>
      <c r="D1498" s="2">
        <f t="shared" si="142"/>
        <v>46026</v>
      </c>
      <c r="E1498" s="1">
        <f>D1498</f>
        <v>46026</v>
      </c>
      <c r="F1498">
        <v>829</v>
      </c>
      <c r="G1498">
        <v>30</v>
      </c>
      <c r="H1498">
        <f t="shared" si="141"/>
        <v>0</v>
      </c>
      <c r="I1498" t="str">
        <f t="shared" si="145"/>
        <v>On Time</v>
      </c>
      <c r="J1498" cm="1">
        <f t="array" ref="J1498">_xlfn.IFS(H1498&lt;30,0,H1498&lt;60,1,H1498&lt;90,2,H1498&lt;120,3)</f>
        <v>0</v>
      </c>
      <c r="M1498" t="str">
        <f t="shared" si="146"/>
        <v>Low</v>
      </c>
      <c r="N1498" t="str">
        <f t="shared" si="143"/>
        <v>Dec</v>
      </c>
      <c r="O1498">
        <f t="shared" si="144"/>
        <v>2025</v>
      </c>
    </row>
    <row r="1499" spans="1:15" x14ac:dyDescent="0.3">
      <c r="A1499">
        <v>203034</v>
      </c>
      <c r="B1499" t="s">
        <v>103</v>
      </c>
      <c r="C1499" s="2">
        <v>45996</v>
      </c>
      <c r="D1499" s="2">
        <f t="shared" si="142"/>
        <v>46026</v>
      </c>
      <c r="E1499" s="1">
        <f>D1499</f>
        <v>46026</v>
      </c>
      <c r="F1499">
        <v>3215</v>
      </c>
      <c r="G1499">
        <v>30</v>
      </c>
      <c r="H1499">
        <f t="shared" si="141"/>
        <v>0</v>
      </c>
      <c r="I1499" t="str">
        <f t="shared" si="145"/>
        <v>On Time</v>
      </c>
      <c r="J1499" cm="1">
        <f t="array" ref="J1499">_xlfn.IFS(H1499&lt;30,0,H1499&lt;60,1,H1499&lt;90,2,H1499&lt;120,3)</f>
        <v>0</v>
      </c>
      <c r="M1499" t="str">
        <f t="shared" si="146"/>
        <v>Low</v>
      </c>
      <c r="N1499" t="str">
        <f t="shared" si="143"/>
        <v>Dec</v>
      </c>
      <c r="O1499">
        <f t="shared" si="144"/>
        <v>2025</v>
      </c>
    </row>
    <row r="1500" spans="1:15" x14ac:dyDescent="0.3">
      <c r="A1500">
        <v>203035</v>
      </c>
      <c r="B1500" t="s">
        <v>104</v>
      </c>
      <c r="C1500" s="2">
        <v>45996</v>
      </c>
      <c r="D1500" s="2">
        <f t="shared" si="142"/>
        <v>46026</v>
      </c>
      <c r="E1500" s="1">
        <f>D1500+60</f>
        <v>46086</v>
      </c>
      <c r="F1500">
        <v>4724</v>
      </c>
      <c r="G1500">
        <v>30</v>
      </c>
      <c r="H1500">
        <f t="shared" si="141"/>
        <v>0</v>
      </c>
      <c r="I1500" t="str">
        <f t="shared" si="145"/>
        <v>On Time</v>
      </c>
      <c r="J1500" cm="1">
        <f t="array" ref="J1500">_xlfn.IFS(H1500&lt;30,0,H1500&lt;60,1,H1500&lt;90,2,H1500&lt;120,3)</f>
        <v>0</v>
      </c>
      <c r="M1500" t="str">
        <f t="shared" si="146"/>
        <v>Low</v>
      </c>
      <c r="N1500" t="str">
        <f t="shared" si="143"/>
        <v>Dec</v>
      </c>
      <c r="O1500">
        <f t="shared" si="144"/>
        <v>2025</v>
      </c>
    </row>
    <row r="1501" spans="1:15" x14ac:dyDescent="0.3">
      <c r="A1501">
        <v>203036</v>
      </c>
      <c r="B1501" t="s">
        <v>105</v>
      </c>
      <c r="C1501" s="2">
        <v>45996</v>
      </c>
      <c r="D1501" s="2">
        <f t="shared" si="142"/>
        <v>46026</v>
      </c>
      <c r="E1501" s="1">
        <f>D1501</f>
        <v>46026</v>
      </c>
      <c r="F1501">
        <v>107</v>
      </c>
      <c r="G1501">
        <v>30</v>
      </c>
      <c r="H1501">
        <f t="shared" si="141"/>
        <v>0</v>
      </c>
      <c r="I1501" t="str">
        <f t="shared" si="145"/>
        <v>On Time</v>
      </c>
      <c r="J1501" cm="1">
        <f t="array" ref="J1501">_xlfn.IFS(H1501&lt;30,0,H1501&lt;60,1,H1501&lt;90,2,H1501&lt;120,3)</f>
        <v>0</v>
      </c>
      <c r="M1501" t="str">
        <f t="shared" si="146"/>
        <v>Low</v>
      </c>
      <c r="N1501" t="str">
        <f t="shared" si="143"/>
        <v>Dec</v>
      </c>
      <c r="O1501">
        <f t="shared" si="144"/>
        <v>2025</v>
      </c>
    </row>
    <row r="1502" spans="1:15" x14ac:dyDescent="0.3">
      <c r="A1502">
        <v>203037</v>
      </c>
      <c r="B1502" t="s">
        <v>106</v>
      </c>
      <c r="C1502" s="2">
        <v>45996</v>
      </c>
      <c r="D1502" s="2">
        <f t="shared" si="142"/>
        <v>46026</v>
      </c>
      <c r="E1502" s="1">
        <f>D1502</f>
        <v>46026</v>
      </c>
      <c r="F1502">
        <v>1169</v>
      </c>
      <c r="G1502">
        <v>30</v>
      </c>
      <c r="H1502">
        <f t="shared" si="141"/>
        <v>0</v>
      </c>
      <c r="I1502" t="str">
        <f t="shared" si="145"/>
        <v>On Time</v>
      </c>
      <c r="J1502" cm="1">
        <f t="array" ref="J1502">_xlfn.IFS(H1502&lt;30,0,H1502&lt;60,1,H1502&lt;90,2,H1502&lt;120,3)</f>
        <v>0</v>
      </c>
      <c r="M1502" t="str">
        <f t="shared" si="146"/>
        <v>Low</v>
      </c>
      <c r="N1502" t="str">
        <f t="shared" si="143"/>
        <v>Dec</v>
      </c>
      <c r="O1502">
        <f t="shared" si="144"/>
        <v>2025</v>
      </c>
    </row>
    <row r="1503" spans="1:15" x14ac:dyDescent="0.3">
      <c r="A1503">
        <v>203038</v>
      </c>
      <c r="B1503" t="s">
        <v>107</v>
      </c>
      <c r="C1503" s="2">
        <v>45996</v>
      </c>
      <c r="D1503" s="2">
        <f t="shared" si="142"/>
        <v>46026</v>
      </c>
      <c r="E1503" s="1">
        <f>D1503+3</f>
        <v>46029</v>
      </c>
      <c r="F1503">
        <v>1587</v>
      </c>
      <c r="G1503">
        <v>30</v>
      </c>
      <c r="H1503">
        <f t="shared" si="141"/>
        <v>0</v>
      </c>
      <c r="I1503" t="str">
        <f t="shared" si="145"/>
        <v>On Time</v>
      </c>
      <c r="J1503" cm="1">
        <f t="array" ref="J1503">_xlfn.IFS(H1503&lt;30,0,H1503&lt;60,1,H1503&lt;90,2,H1503&lt;120,3)</f>
        <v>0</v>
      </c>
      <c r="M1503" t="str">
        <f t="shared" si="146"/>
        <v>Low</v>
      </c>
      <c r="N1503" t="str">
        <f t="shared" si="143"/>
        <v>Dec</v>
      </c>
      <c r="O1503">
        <f t="shared" si="144"/>
        <v>2025</v>
      </c>
    </row>
    <row r="1504" spans="1:15" x14ac:dyDescent="0.3">
      <c r="A1504">
        <v>203039</v>
      </c>
      <c r="B1504" t="s">
        <v>108</v>
      </c>
      <c r="C1504" s="2">
        <v>45996</v>
      </c>
      <c r="D1504" s="2">
        <f t="shared" si="142"/>
        <v>46026</v>
      </c>
      <c r="E1504" s="1">
        <f>D1504+1</f>
        <v>46027</v>
      </c>
      <c r="F1504">
        <v>2041</v>
      </c>
      <c r="G1504">
        <v>30</v>
      </c>
      <c r="H1504">
        <f t="shared" si="141"/>
        <v>0</v>
      </c>
      <c r="I1504" t="str">
        <f t="shared" si="145"/>
        <v>On Time</v>
      </c>
      <c r="J1504" cm="1">
        <f t="array" ref="J1504">_xlfn.IFS(H1504&lt;30,0,H1504&lt;60,1,H1504&lt;90,2,H1504&lt;120,3)</f>
        <v>0</v>
      </c>
      <c r="M1504" t="str">
        <f t="shared" si="146"/>
        <v>Low</v>
      </c>
      <c r="N1504" t="str">
        <f t="shared" si="143"/>
        <v>Dec</v>
      </c>
      <c r="O1504">
        <f t="shared" si="144"/>
        <v>2025</v>
      </c>
    </row>
    <row r="1505" spans="1:15" x14ac:dyDescent="0.3">
      <c r="A1505">
        <v>203040</v>
      </c>
      <c r="B1505" t="s">
        <v>85</v>
      </c>
      <c r="C1505" s="2">
        <v>45996</v>
      </c>
      <c r="D1505" s="2">
        <f t="shared" si="142"/>
        <v>46056</v>
      </c>
      <c r="E1505" s="1">
        <f>D1505-1</f>
        <v>46055</v>
      </c>
      <c r="F1505">
        <v>3003</v>
      </c>
      <c r="G1505">
        <v>60</v>
      </c>
      <c r="H1505">
        <f t="shared" si="141"/>
        <v>0</v>
      </c>
      <c r="I1505" t="str">
        <f t="shared" si="145"/>
        <v>On Time</v>
      </c>
      <c r="J1505" cm="1">
        <f t="array" ref="J1505">_xlfn.IFS(H1505&lt;30,0,H1505&lt;60,1,H1505&lt;90,2,H1505&lt;120,3)</f>
        <v>0</v>
      </c>
      <c r="M1505" t="str">
        <f t="shared" si="146"/>
        <v>Low</v>
      </c>
      <c r="N1505" t="str">
        <f t="shared" si="143"/>
        <v>Dec</v>
      </c>
      <c r="O1505">
        <f t="shared" si="144"/>
        <v>2025</v>
      </c>
    </row>
    <row r="1506" spans="1:15" x14ac:dyDescent="0.3">
      <c r="A1506">
        <v>203041</v>
      </c>
      <c r="B1506" t="s">
        <v>86</v>
      </c>
      <c r="C1506" s="2">
        <v>45996</v>
      </c>
      <c r="D1506" s="2">
        <f t="shared" si="142"/>
        <v>46026</v>
      </c>
      <c r="E1506" s="1">
        <f>D1506</f>
        <v>46026</v>
      </c>
      <c r="F1506">
        <v>3183</v>
      </c>
      <c r="G1506">
        <v>30</v>
      </c>
      <c r="H1506">
        <f t="shared" si="141"/>
        <v>0</v>
      </c>
      <c r="I1506" t="str">
        <f t="shared" si="145"/>
        <v>On Time</v>
      </c>
      <c r="J1506" cm="1">
        <f t="array" ref="J1506">_xlfn.IFS(H1506&lt;30,0,H1506&lt;60,1,H1506&lt;90,2,H1506&lt;120,3)</f>
        <v>0</v>
      </c>
      <c r="M1506" t="str">
        <f t="shared" si="146"/>
        <v>Low</v>
      </c>
      <c r="N1506" t="str">
        <f t="shared" si="143"/>
        <v>Dec</v>
      </c>
      <c r="O1506">
        <f t="shared" si="144"/>
        <v>2025</v>
      </c>
    </row>
    <row r="1507" spans="1:15" x14ac:dyDescent="0.3">
      <c r="A1507">
        <v>203042</v>
      </c>
      <c r="B1507" t="s">
        <v>87</v>
      </c>
      <c r="C1507" s="2">
        <v>45996</v>
      </c>
      <c r="D1507" s="2">
        <f t="shared" si="142"/>
        <v>46026</v>
      </c>
      <c r="E1507" s="1">
        <f>D1507+1</f>
        <v>46027</v>
      </c>
      <c r="F1507">
        <v>1774</v>
      </c>
      <c r="G1507">
        <v>30</v>
      </c>
      <c r="H1507">
        <f t="shared" si="141"/>
        <v>0</v>
      </c>
      <c r="I1507" t="str">
        <f t="shared" si="145"/>
        <v>On Time</v>
      </c>
      <c r="J1507" cm="1">
        <f t="array" ref="J1507">_xlfn.IFS(H1507&lt;30,0,H1507&lt;60,1,H1507&lt;90,2,H1507&lt;120,3)</f>
        <v>0</v>
      </c>
      <c r="M1507" t="str">
        <f t="shared" si="146"/>
        <v>Low</v>
      </c>
      <c r="N1507" t="str">
        <f t="shared" si="143"/>
        <v>Dec</v>
      </c>
      <c r="O1507">
        <f t="shared" si="144"/>
        <v>2025</v>
      </c>
    </row>
    <row r="1508" spans="1:15" x14ac:dyDescent="0.3">
      <c r="A1508">
        <v>203043</v>
      </c>
      <c r="B1508" t="s">
        <v>88</v>
      </c>
      <c r="C1508" s="2">
        <v>45996</v>
      </c>
      <c r="D1508" s="2">
        <f t="shared" si="142"/>
        <v>46026</v>
      </c>
      <c r="E1508" s="1">
        <f>D1508+35</f>
        <v>46061</v>
      </c>
      <c r="F1508">
        <v>4610</v>
      </c>
      <c r="G1508">
        <v>30</v>
      </c>
      <c r="H1508">
        <f t="shared" si="141"/>
        <v>0</v>
      </c>
      <c r="I1508" t="str">
        <f t="shared" si="145"/>
        <v>On Time</v>
      </c>
      <c r="J1508" cm="1">
        <f t="array" ref="J1508">_xlfn.IFS(H1508&lt;30,0,H1508&lt;60,1,H1508&lt;90,2,H1508&lt;120,3)</f>
        <v>0</v>
      </c>
      <c r="M1508" t="str">
        <f t="shared" si="146"/>
        <v>Low</v>
      </c>
      <c r="N1508" t="str">
        <f t="shared" si="143"/>
        <v>Dec</v>
      </c>
      <c r="O1508">
        <f t="shared" si="144"/>
        <v>2025</v>
      </c>
    </row>
    <row r="1509" spans="1:15" x14ac:dyDescent="0.3">
      <c r="A1509">
        <v>203044</v>
      </c>
      <c r="B1509" t="s">
        <v>89</v>
      </c>
      <c r="C1509" s="2">
        <v>45996</v>
      </c>
      <c r="D1509" s="2">
        <f t="shared" si="142"/>
        <v>46026</v>
      </c>
      <c r="E1509" s="1">
        <f>D1509+75</f>
        <v>46101</v>
      </c>
      <c r="F1509">
        <v>1411</v>
      </c>
      <c r="G1509">
        <v>30</v>
      </c>
      <c r="H1509">
        <f t="shared" si="141"/>
        <v>0</v>
      </c>
      <c r="I1509" t="str">
        <f t="shared" si="145"/>
        <v>On Time</v>
      </c>
      <c r="J1509" cm="1">
        <f t="array" ref="J1509">_xlfn.IFS(H1509&lt;30,0,H1509&lt;60,1,H1509&lt;90,2,H1509&lt;120,3)</f>
        <v>0</v>
      </c>
      <c r="M1509" t="str">
        <f t="shared" si="146"/>
        <v>Low</v>
      </c>
      <c r="N1509" t="str">
        <f t="shared" si="143"/>
        <v>Dec</v>
      </c>
      <c r="O1509">
        <f t="shared" si="144"/>
        <v>2025</v>
      </c>
    </row>
    <row r="1510" spans="1:15" x14ac:dyDescent="0.3">
      <c r="A1510">
        <v>203045</v>
      </c>
      <c r="B1510" t="s">
        <v>90</v>
      </c>
      <c r="C1510" s="2">
        <v>45996</v>
      </c>
      <c r="D1510" s="2">
        <f t="shared" si="142"/>
        <v>46026</v>
      </c>
      <c r="E1510" s="1">
        <f>D1510+5</f>
        <v>46031</v>
      </c>
      <c r="F1510">
        <v>1765</v>
      </c>
      <c r="G1510">
        <v>30</v>
      </c>
      <c r="H1510">
        <f t="shared" ref="H1510:H1573" si="147">MAX(0,P1475-D1510)</f>
        <v>0</v>
      </c>
      <c r="I1510" t="str">
        <f t="shared" si="145"/>
        <v>On Time</v>
      </c>
      <c r="J1510" cm="1">
        <f t="array" ref="J1510">_xlfn.IFS(H1510&lt;30,0,H1510&lt;60,1,H1510&lt;90,2,H1510&lt;120,3)</f>
        <v>0</v>
      </c>
      <c r="M1510" t="str">
        <f t="shared" si="146"/>
        <v>Low</v>
      </c>
      <c r="N1510" t="str">
        <f t="shared" si="143"/>
        <v>Dec</v>
      </c>
      <c r="O1510">
        <f t="shared" si="144"/>
        <v>2025</v>
      </c>
    </row>
    <row r="1511" spans="1:15" x14ac:dyDescent="0.3">
      <c r="A1511">
        <v>203046</v>
      </c>
      <c r="B1511" t="s">
        <v>91</v>
      </c>
      <c r="C1511" s="2">
        <v>45996</v>
      </c>
      <c r="D1511" s="2">
        <f t="shared" si="142"/>
        <v>46026</v>
      </c>
      <c r="E1511" s="1">
        <f>D1511</f>
        <v>46026</v>
      </c>
      <c r="F1511">
        <v>2578</v>
      </c>
      <c r="G1511">
        <v>30</v>
      </c>
      <c r="H1511">
        <f t="shared" si="147"/>
        <v>0</v>
      </c>
      <c r="I1511" t="str">
        <f t="shared" si="145"/>
        <v>On Time</v>
      </c>
      <c r="J1511" cm="1">
        <f t="array" ref="J1511">_xlfn.IFS(H1511&lt;30,0,H1511&lt;60,1,H1511&lt;90,2,H1511&lt;120,3)</f>
        <v>0</v>
      </c>
      <c r="M1511" t="str">
        <f t="shared" si="146"/>
        <v>Low</v>
      </c>
      <c r="N1511" t="str">
        <f t="shared" si="143"/>
        <v>Dec</v>
      </c>
      <c r="O1511">
        <f t="shared" si="144"/>
        <v>2025</v>
      </c>
    </row>
    <row r="1512" spans="1:15" x14ac:dyDescent="0.3">
      <c r="A1512">
        <v>203047</v>
      </c>
      <c r="B1512" t="s">
        <v>92</v>
      </c>
      <c r="C1512" s="2">
        <v>45996</v>
      </c>
      <c r="D1512" s="2">
        <f t="shared" si="142"/>
        <v>46026</v>
      </c>
      <c r="E1512" s="1">
        <f>D1512-1</f>
        <v>46025</v>
      </c>
      <c r="F1512">
        <v>1442</v>
      </c>
      <c r="G1512">
        <v>30</v>
      </c>
      <c r="H1512">
        <f t="shared" si="147"/>
        <v>0</v>
      </c>
      <c r="I1512" t="str">
        <f t="shared" si="145"/>
        <v>On Time</v>
      </c>
      <c r="J1512" cm="1">
        <f t="array" ref="J1512">_xlfn.IFS(H1512&lt;30,0,H1512&lt;60,1,H1512&lt;90,2,H1512&lt;120,3)</f>
        <v>0</v>
      </c>
      <c r="M1512" t="str">
        <f t="shared" si="146"/>
        <v>Low</v>
      </c>
      <c r="N1512" t="str">
        <f t="shared" si="143"/>
        <v>Dec</v>
      </c>
      <c r="O1512">
        <f t="shared" si="144"/>
        <v>2025</v>
      </c>
    </row>
    <row r="1513" spans="1:15" x14ac:dyDescent="0.3">
      <c r="A1513">
        <v>203048</v>
      </c>
      <c r="B1513" t="s">
        <v>93</v>
      </c>
      <c r="C1513" s="2">
        <v>45996</v>
      </c>
      <c r="D1513" s="2">
        <f t="shared" si="142"/>
        <v>46026</v>
      </c>
      <c r="E1513" s="1">
        <f>D1513</f>
        <v>46026</v>
      </c>
      <c r="F1513">
        <v>1477</v>
      </c>
      <c r="G1513">
        <v>30</v>
      </c>
      <c r="H1513">
        <f t="shared" si="147"/>
        <v>0</v>
      </c>
      <c r="I1513" t="str">
        <f t="shared" si="145"/>
        <v>On Time</v>
      </c>
      <c r="J1513" cm="1">
        <f t="array" ref="J1513">_xlfn.IFS(H1513&lt;30,0,H1513&lt;60,1,H1513&lt;90,2,H1513&lt;120,3)</f>
        <v>0</v>
      </c>
      <c r="M1513" t="str">
        <f t="shared" si="146"/>
        <v>Low</v>
      </c>
      <c r="N1513" t="str">
        <f t="shared" si="143"/>
        <v>Dec</v>
      </c>
      <c r="O1513">
        <f t="shared" si="144"/>
        <v>2025</v>
      </c>
    </row>
    <row r="1514" spans="1:15" x14ac:dyDescent="0.3">
      <c r="A1514">
        <v>203049</v>
      </c>
      <c r="B1514" t="s">
        <v>94</v>
      </c>
      <c r="C1514" s="2">
        <v>45996</v>
      </c>
      <c r="D1514" s="2">
        <f t="shared" si="142"/>
        <v>46026</v>
      </c>
      <c r="E1514" s="1">
        <f>D1514+32</f>
        <v>46058</v>
      </c>
      <c r="F1514">
        <v>3725</v>
      </c>
      <c r="G1514">
        <v>30</v>
      </c>
      <c r="H1514">
        <f t="shared" si="147"/>
        <v>0</v>
      </c>
      <c r="I1514" t="str">
        <f t="shared" si="145"/>
        <v>On Time</v>
      </c>
      <c r="J1514" cm="1">
        <f t="array" ref="J1514">_xlfn.IFS(H1514&lt;30,0,H1514&lt;60,1,H1514&lt;90,2,H1514&lt;120,3)</f>
        <v>0</v>
      </c>
      <c r="M1514" t="str">
        <f t="shared" si="146"/>
        <v>Low</v>
      </c>
      <c r="N1514" t="str">
        <f t="shared" si="143"/>
        <v>Dec</v>
      </c>
      <c r="O1514">
        <f t="shared" si="144"/>
        <v>2025</v>
      </c>
    </row>
    <row r="1515" spans="1:15" x14ac:dyDescent="0.3">
      <c r="A1515">
        <v>203050</v>
      </c>
      <c r="B1515" t="s">
        <v>95</v>
      </c>
      <c r="C1515" s="2">
        <v>45996</v>
      </c>
      <c r="D1515" s="2">
        <f t="shared" si="142"/>
        <v>46041</v>
      </c>
      <c r="E1515" s="1">
        <f>D1515+15</f>
        <v>46056</v>
      </c>
      <c r="F1515">
        <v>2783</v>
      </c>
      <c r="G1515">
        <v>45</v>
      </c>
      <c r="H1515">
        <f t="shared" si="147"/>
        <v>0</v>
      </c>
      <c r="I1515" t="str">
        <f t="shared" si="145"/>
        <v>On Time</v>
      </c>
      <c r="J1515" cm="1">
        <f t="array" ref="J1515">_xlfn.IFS(H1515&lt;30,0,H1515&lt;60,1,H1515&lt;90,2,H1515&lt;120,3)</f>
        <v>0</v>
      </c>
      <c r="M1515" t="str">
        <f t="shared" si="146"/>
        <v>Low</v>
      </c>
      <c r="N1515" t="str">
        <f t="shared" si="143"/>
        <v>Dec</v>
      </c>
      <c r="O1515">
        <f t="shared" si="144"/>
        <v>2025</v>
      </c>
    </row>
    <row r="1516" spans="1:15" x14ac:dyDescent="0.3">
      <c r="A1516">
        <v>203051</v>
      </c>
      <c r="B1516" t="s">
        <v>68</v>
      </c>
      <c r="C1516" s="2">
        <v>45996</v>
      </c>
      <c r="D1516" s="2">
        <f t="shared" si="142"/>
        <v>46026</v>
      </c>
      <c r="E1516" s="1">
        <f>D1516-2</f>
        <v>46024</v>
      </c>
      <c r="F1516">
        <v>1606</v>
      </c>
      <c r="G1516">
        <v>30</v>
      </c>
      <c r="H1516">
        <f t="shared" si="147"/>
        <v>0</v>
      </c>
      <c r="I1516" t="str">
        <f t="shared" si="145"/>
        <v>On Time</v>
      </c>
      <c r="J1516" cm="1">
        <f t="array" ref="J1516">_xlfn.IFS(H1516&lt;30,0,H1516&lt;60,1,H1516&lt;90,2,H1516&lt;120,3)</f>
        <v>0</v>
      </c>
      <c r="M1516" t="str">
        <f t="shared" si="146"/>
        <v>Low</v>
      </c>
      <c r="N1516" t="str">
        <f t="shared" si="143"/>
        <v>Dec</v>
      </c>
      <c r="O1516">
        <f t="shared" si="144"/>
        <v>2025</v>
      </c>
    </row>
    <row r="1517" spans="1:15" x14ac:dyDescent="0.3">
      <c r="A1517">
        <v>203052</v>
      </c>
      <c r="B1517" t="s">
        <v>69</v>
      </c>
      <c r="C1517" s="2">
        <v>45996</v>
      </c>
      <c r="D1517" s="2">
        <f t="shared" si="142"/>
        <v>46026</v>
      </c>
      <c r="E1517" s="1">
        <f>D1517-2</f>
        <v>46024</v>
      </c>
      <c r="F1517">
        <v>3985</v>
      </c>
      <c r="G1517">
        <v>30</v>
      </c>
      <c r="H1517">
        <f t="shared" si="147"/>
        <v>0</v>
      </c>
      <c r="I1517" t="str">
        <f t="shared" si="145"/>
        <v>On Time</v>
      </c>
      <c r="J1517" cm="1">
        <f t="array" ref="J1517">_xlfn.IFS(H1517&lt;30,0,H1517&lt;60,1,H1517&lt;90,2,H1517&lt;120,3)</f>
        <v>0</v>
      </c>
      <c r="M1517" t="str">
        <f t="shared" si="146"/>
        <v>Low</v>
      </c>
      <c r="N1517" t="str">
        <f t="shared" si="143"/>
        <v>Dec</v>
      </c>
      <c r="O1517">
        <f t="shared" si="144"/>
        <v>2025</v>
      </c>
    </row>
    <row r="1518" spans="1:15" x14ac:dyDescent="0.3">
      <c r="A1518">
        <v>203053</v>
      </c>
      <c r="B1518" t="s">
        <v>70</v>
      </c>
      <c r="C1518" s="2">
        <v>45996</v>
      </c>
      <c r="D1518" s="2">
        <f t="shared" si="142"/>
        <v>46026</v>
      </c>
      <c r="E1518" s="1">
        <f>D1518</f>
        <v>46026</v>
      </c>
      <c r="F1518">
        <v>13125</v>
      </c>
      <c r="G1518">
        <v>30</v>
      </c>
      <c r="H1518">
        <f t="shared" si="147"/>
        <v>0</v>
      </c>
      <c r="I1518" t="str">
        <f t="shared" si="145"/>
        <v>On Time</v>
      </c>
      <c r="J1518" cm="1">
        <f t="array" ref="J1518">_xlfn.IFS(H1518&lt;30,0,H1518&lt;60,1,H1518&lt;90,2,H1518&lt;120,3)</f>
        <v>0</v>
      </c>
      <c r="M1518" t="str">
        <f t="shared" si="146"/>
        <v>Low</v>
      </c>
      <c r="N1518" t="str">
        <f t="shared" si="143"/>
        <v>Dec</v>
      </c>
      <c r="O1518">
        <f t="shared" si="144"/>
        <v>2025</v>
      </c>
    </row>
    <row r="1519" spans="1:15" x14ac:dyDescent="0.3">
      <c r="A1519">
        <v>203054</v>
      </c>
      <c r="B1519" t="s">
        <v>71</v>
      </c>
      <c r="C1519" s="2">
        <v>45996</v>
      </c>
      <c r="D1519" s="2">
        <f t="shared" si="142"/>
        <v>46026</v>
      </c>
      <c r="E1519" s="1">
        <f>D1519+2</f>
        <v>46028</v>
      </c>
      <c r="F1519">
        <v>3809</v>
      </c>
      <c r="G1519">
        <v>30</v>
      </c>
      <c r="H1519">
        <f t="shared" si="147"/>
        <v>0</v>
      </c>
      <c r="I1519" t="str">
        <f t="shared" si="145"/>
        <v>On Time</v>
      </c>
      <c r="J1519" cm="1">
        <f t="array" ref="J1519">_xlfn.IFS(H1519&lt;30,0,H1519&lt;60,1,H1519&lt;90,2,H1519&lt;120,3)</f>
        <v>0</v>
      </c>
      <c r="M1519" t="str">
        <f t="shared" si="146"/>
        <v>Low</v>
      </c>
      <c r="N1519" t="str">
        <f t="shared" si="143"/>
        <v>Dec</v>
      </c>
      <c r="O1519">
        <f t="shared" si="144"/>
        <v>2025</v>
      </c>
    </row>
    <row r="1520" spans="1:15" x14ac:dyDescent="0.3">
      <c r="A1520">
        <v>203055</v>
      </c>
      <c r="B1520" t="s">
        <v>72</v>
      </c>
      <c r="C1520" s="2">
        <v>45996</v>
      </c>
      <c r="D1520" s="2">
        <f t="shared" si="142"/>
        <v>46026</v>
      </c>
      <c r="E1520" s="1">
        <f>D1520+2</f>
        <v>46028</v>
      </c>
      <c r="F1520">
        <v>2662</v>
      </c>
      <c r="G1520">
        <v>30</v>
      </c>
      <c r="H1520">
        <f t="shared" si="147"/>
        <v>0</v>
      </c>
      <c r="I1520" t="str">
        <f t="shared" si="145"/>
        <v>On Time</v>
      </c>
      <c r="J1520" cm="1">
        <f t="array" ref="J1520">_xlfn.IFS(H1520&lt;30,0,H1520&lt;60,1,H1520&lt;90,2,H1520&lt;120,3)</f>
        <v>0</v>
      </c>
      <c r="M1520" t="str">
        <f t="shared" si="146"/>
        <v>Low</v>
      </c>
      <c r="N1520" t="str">
        <f t="shared" si="143"/>
        <v>Dec</v>
      </c>
      <c r="O1520">
        <f t="shared" si="144"/>
        <v>2025</v>
      </c>
    </row>
    <row r="1521" spans="1:15" x14ac:dyDescent="0.3">
      <c r="A1521">
        <v>203056</v>
      </c>
      <c r="B1521" t="s">
        <v>73</v>
      </c>
      <c r="C1521" s="2">
        <v>45996</v>
      </c>
      <c r="D1521" s="2">
        <f t="shared" si="142"/>
        <v>46041</v>
      </c>
      <c r="E1521" s="1">
        <f>D1521+2</f>
        <v>46043</v>
      </c>
      <c r="F1521">
        <v>4067</v>
      </c>
      <c r="G1521">
        <v>45</v>
      </c>
      <c r="H1521">
        <f t="shared" si="147"/>
        <v>0</v>
      </c>
      <c r="I1521" t="str">
        <f t="shared" si="145"/>
        <v>On Time</v>
      </c>
      <c r="J1521" cm="1">
        <f t="array" ref="J1521">_xlfn.IFS(H1521&lt;30,0,H1521&lt;60,1,H1521&lt;90,2,H1521&lt;120,3)</f>
        <v>0</v>
      </c>
      <c r="M1521" t="str">
        <f t="shared" si="146"/>
        <v>Low</v>
      </c>
      <c r="N1521" t="str">
        <f t="shared" si="143"/>
        <v>Dec</v>
      </c>
      <c r="O1521">
        <f t="shared" si="144"/>
        <v>2025</v>
      </c>
    </row>
    <row r="1522" spans="1:15" x14ac:dyDescent="0.3">
      <c r="A1522">
        <v>203057</v>
      </c>
      <c r="B1522" t="s">
        <v>74</v>
      </c>
      <c r="C1522" s="2">
        <v>45996</v>
      </c>
      <c r="D1522" s="2">
        <f t="shared" si="142"/>
        <v>46041</v>
      </c>
      <c r="E1522" s="1">
        <f>D1522</f>
        <v>46041</v>
      </c>
      <c r="F1522">
        <v>1471</v>
      </c>
      <c r="G1522">
        <v>45</v>
      </c>
      <c r="H1522">
        <f t="shared" si="147"/>
        <v>0</v>
      </c>
      <c r="I1522" t="str">
        <f t="shared" si="145"/>
        <v>On Time</v>
      </c>
      <c r="J1522" cm="1">
        <f t="array" ref="J1522">_xlfn.IFS(H1522&lt;30,0,H1522&lt;60,1,H1522&lt;90,2,H1522&lt;120,3)</f>
        <v>0</v>
      </c>
      <c r="M1522" t="str">
        <f t="shared" si="146"/>
        <v>Low</v>
      </c>
      <c r="N1522" t="str">
        <f t="shared" si="143"/>
        <v>Dec</v>
      </c>
      <c r="O1522">
        <f t="shared" si="144"/>
        <v>2025</v>
      </c>
    </row>
    <row r="1523" spans="1:15" x14ac:dyDescent="0.3">
      <c r="A1523">
        <v>203058</v>
      </c>
      <c r="B1523" t="s">
        <v>75</v>
      </c>
      <c r="C1523" s="2">
        <v>45996</v>
      </c>
      <c r="D1523" s="2">
        <f t="shared" si="142"/>
        <v>46056</v>
      </c>
      <c r="E1523" s="1">
        <f>D1523+20</f>
        <v>46076</v>
      </c>
      <c r="F1523">
        <v>3246</v>
      </c>
      <c r="G1523">
        <v>60</v>
      </c>
      <c r="H1523">
        <f t="shared" si="147"/>
        <v>0</v>
      </c>
      <c r="I1523" t="str">
        <f t="shared" si="145"/>
        <v>On Time</v>
      </c>
      <c r="J1523" cm="1">
        <f t="array" ref="J1523">_xlfn.IFS(H1523&lt;30,0,H1523&lt;60,1,H1523&lt;90,2,H1523&lt;120,3)</f>
        <v>0</v>
      </c>
      <c r="M1523" t="str">
        <f t="shared" si="146"/>
        <v>Low</v>
      </c>
      <c r="N1523" t="str">
        <f t="shared" si="143"/>
        <v>Dec</v>
      </c>
      <c r="O1523">
        <f t="shared" si="144"/>
        <v>2025</v>
      </c>
    </row>
    <row r="1524" spans="1:15" x14ac:dyDescent="0.3">
      <c r="A1524">
        <v>203059</v>
      </c>
      <c r="B1524" t="s">
        <v>76</v>
      </c>
      <c r="C1524" s="2">
        <v>45996</v>
      </c>
      <c r="D1524" s="2">
        <f t="shared" si="142"/>
        <v>46026</v>
      </c>
      <c r="E1524" s="1">
        <f>D1524</f>
        <v>46026</v>
      </c>
      <c r="F1524">
        <v>4221</v>
      </c>
      <c r="G1524">
        <v>30</v>
      </c>
      <c r="H1524">
        <f t="shared" si="147"/>
        <v>0</v>
      </c>
      <c r="I1524" t="str">
        <f t="shared" si="145"/>
        <v>On Time</v>
      </c>
      <c r="J1524" cm="1">
        <f t="array" ref="J1524">_xlfn.IFS(H1524&lt;30,0,H1524&lt;60,1,H1524&lt;90,2,H1524&lt;120,3)</f>
        <v>0</v>
      </c>
      <c r="M1524" t="str">
        <f t="shared" si="146"/>
        <v>Low</v>
      </c>
      <c r="N1524" t="str">
        <f t="shared" si="143"/>
        <v>Dec</v>
      </c>
      <c r="O1524">
        <f t="shared" si="144"/>
        <v>2025</v>
      </c>
    </row>
    <row r="1525" spans="1:15" x14ac:dyDescent="0.3">
      <c r="A1525">
        <v>203060</v>
      </c>
      <c r="B1525" t="s">
        <v>44</v>
      </c>
      <c r="C1525" s="2">
        <v>45996</v>
      </c>
      <c r="D1525" s="2">
        <f t="shared" si="142"/>
        <v>46041</v>
      </c>
      <c r="E1525" s="1">
        <f>D1525+1</f>
        <v>46042</v>
      </c>
      <c r="F1525">
        <v>299</v>
      </c>
      <c r="G1525">
        <v>45</v>
      </c>
      <c r="H1525">
        <f t="shared" si="147"/>
        <v>0</v>
      </c>
      <c r="I1525" t="str">
        <f t="shared" si="145"/>
        <v>On Time</v>
      </c>
      <c r="J1525" cm="1">
        <f t="array" ref="J1525">_xlfn.IFS(H1525&lt;30,0,H1525&lt;60,1,H1525&lt;90,2,H1525&lt;120,3)</f>
        <v>0</v>
      </c>
      <c r="M1525" t="str">
        <f t="shared" si="146"/>
        <v>Low</v>
      </c>
      <c r="N1525" t="str">
        <f t="shared" si="143"/>
        <v>Dec</v>
      </c>
      <c r="O1525">
        <f t="shared" si="144"/>
        <v>2025</v>
      </c>
    </row>
    <row r="1526" spans="1:15" x14ac:dyDescent="0.3">
      <c r="A1526">
        <v>203061</v>
      </c>
      <c r="B1526" t="s">
        <v>45</v>
      </c>
      <c r="C1526" s="2">
        <v>45996</v>
      </c>
      <c r="D1526" s="2">
        <f t="shared" si="142"/>
        <v>46041</v>
      </c>
      <c r="E1526" s="1">
        <f>D1526</f>
        <v>46041</v>
      </c>
      <c r="F1526">
        <v>315</v>
      </c>
      <c r="G1526">
        <v>45</v>
      </c>
      <c r="H1526">
        <f t="shared" si="147"/>
        <v>0</v>
      </c>
      <c r="I1526" t="str">
        <f t="shared" si="145"/>
        <v>On Time</v>
      </c>
      <c r="J1526" cm="1">
        <f t="array" ref="J1526">_xlfn.IFS(H1526&lt;30,0,H1526&lt;60,1,H1526&lt;90,2,H1526&lt;120,3)</f>
        <v>0</v>
      </c>
      <c r="M1526" t="str">
        <f t="shared" si="146"/>
        <v>Low</v>
      </c>
      <c r="N1526" t="str">
        <f t="shared" si="143"/>
        <v>Dec</v>
      </c>
      <c r="O1526">
        <f t="shared" si="144"/>
        <v>2025</v>
      </c>
    </row>
    <row r="1527" spans="1:15" x14ac:dyDescent="0.3">
      <c r="A1527">
        <v>203003</v>
      </c>
      <c r="B1527" t="s">
        <v>37</v>
      </c>
      <c r="C1527" s="2">
        <v>45993</v>
      </c>
      <c r="D1527" s="2">
        <f t="shared" si="142"/>
        <v>46023</v>
      </c>
      <c r="E1527" s="1">
        <f>D1527</f>
        <v>46023</v>
      </c>
      <c r="F1527">
        <v>3311</v>
      </c>
      <c r="G1527">
        <v>30</v>
      </c>
      <c r="H1527">
        <f t="shared" si="147"/>
        <v>0</v>
      </c>
      <c r="I1527" t="str">
        <f t="shared" si="145"/>
        <v>On Time</v>
      </c>
      <c r="J1527" cm="1">
        <f t="array" ref="J1527">_xlfn.IFS(H1527&lt;30,0,H1527&lt;60,1,H1527&lt;90,2,H1527&lt;120,3)</f>
        <v>0</v>
      </c>
      <c r="M1527" t="str">
        <f t="shared" si="146"/>
        <v>Low</v>
      </c>
      <c r="N1527" t="str">
        <f t="shared" si="143"/>
        <v>Dec</v>
      </c>
      <c r="O1527">
        <f t="shared" si="144"/>
        <v>2025</v>
      </c>
    </row>
    <row r="1528" spans="1:15" x14ac:dyDescent="0.3">
      <c r="A1528">
        <v>203004</v>
      </c>
      <c r="B1528" t="s">
        <v>38</v>
      </c>
      <c r="C1528" s="2">
        <v>45993</v>
      </c>
      <c r="D1528" s="2">
        <f t="shared" si="142"/>
        <v>46023</v>
      </c>
      <c r="E1528" s="1">
        <f>D1528+2</f>
        <v>46025</v>
      </c>
      <c r="F1528">
        <v>4851</v>
      </c>
      <c r="G1528">
        <v>30</v>
      </c>
      <c r="H1528">
        <f t="shared" si="147"/>
        <v>0</v>
      </c>
      <c r="I1528" t="str">
        <f t="shared" si="145"/>
        <v>On Time</v>
      </c>
      <c r="J1528" cm="1">
        <f t="array" ref="J1528">_xlfn.IFS(H1528&lt;30,0,H1528&lt;60,1,H1528&lt;90,2,H1528&lt;120,3)</f>
        <v>0</v>
      </c>
      <c r="M1528" t="str">
        <f t="shared" si="146"/>
        <v>Low</v>
      </c>
      <c r="N1528" t="str">
        <f t="shared" si="143"/>
        <v>Dec</v>
      </c>
      <c r="O1528">
        <f t="shared" si="144"/>
        <v>2025</v>
      </c>
    </row>
    <row r="1529" spans="1:15" x14ac:dyDescent="0.3">
      <c r="A1529">
        <v>203005</v>
      </c>
      <c r="B1529" t="s">
        <v>39</v>
      </c>
      <c r="C1529" s="2">
        <v>45993</v>
      </c>
      <c r="D1529" s="2">
        <f t="shared" si="142"/>
        <v>46023</v>
      </c>
      <c r="E1529" s="1">
        <f>D1529+3</f>
        <v>46026</v>
      </c>
      <c r="F1529">
        <v>271</v>
      </c>
      <c r="G1529">
        <v>30</v>
      </c>
      <c r="H1529">
        <f t="shared" si="147"/>
        <v>0</v>
      </c>
      <c r="I1529" t="str">
        <f t="shared" si="145"/>
        <v>On Time</v>
      </c>
      <c r="J1529" cm="1">
        <f t="array" ref="J1529">_xlfn.IFS(H1529&lt;30,0,H1529&lt;60,1,H1529&lt;90,2,H1529&lt;120,3)</f>
        <v>0</v>
      </c>
      <c r="M1529" t="str">
        <f t="shared" si="146"/>
        <v>Low</v>
      </c>
      <c r="N1529" t="str">
        <f t="shared" si="143"/>
        <v>Dec</v>
      </c>
      <c r="O1529">
        <f t="shared" si="144"/>
        <v>2025</v>
      </c>
    </row>
    <row r="1530" spans="1:15" x14ac:dyDescent="0.3">
      <c r="A1530">
        <v>203006</v>
      </c>
      <c r="B1530" t="s">
        <v>40</v>
      </c>
      <c r="C1530" s="2">
        <v>45993</v>
      </c>
      <c r="D1530" s="2">
        <f t="shared" si="142"/>
        <v>46023</v>
      </c>
      <c r="E1530" s="1">
        <f>D1530+1</f>
        <v>46024</v>
      </c>
      <c r="F1530">
        <v>2696</v>
      </c>
      <c r="G1530">
        <v>30</v>
      </c>
      <c r="H1530">
        <f t="shared" si="147"/>
        <v>0</v>
      </c>
      <c r="I1530" t="str">
        <f t="shared" si="145"/>
        <v>On Time</v>
      </c>
      <c r="J1530" cm="1">
        <f t="array" ref="J1530">_xlfn.IFS(H1530&lt;30,0,H1530&lt;60,1,H1530&lt;90,2,H1530&lt;120,3)</f>
        <v>0</v>
      </c>
      <c r="M1530" t="str">
        <f t="shared" si="146"/>
        <v>Low</v>
      </c>
      <c r="N1530" t="str">
        <f t="shared" si="143"/>
        <v>Dec</v>
      </c>
      <c r="O1530">
        <f t="shared" si="144"/>
        <v>2025</v>
      </c>
    </row>
    <row r="1531" spans="1:15" x14ac:dyDescent="0.3">
      <c r="A1531">
        <v>203007</v>
      </c>
      <c r="B1531" t="s">
        <v>41</v>
      </c>
      <c r="C1531" s="2">
        <v>45993</v>
      </c>
      <c r="D1531" s="2">
        <f t="shared" si="142"/>
        <v>46023</v>
      </c>
      <c r="E1531" s="1">
        <f>D1531-1</f>
        <v>46022</v>
      </c>
      <c r="F1531">
        <v>3545</v>
      </c>
      <c r="G1531">
        <v>30</v>
      </c>
      <c r="H1531">
        <f t="shared" si="147"/>
        <v>0</v>
      </c>
      <c r="I1531" t="str">
        <f t="shared" si="145"/>
        <v>On Time</v>
      </c>
      <c r="J1531" cm="1">
        <f t="array" ref="J1531">_xlfn.IFS(H1531&lt;30,0,H1531&lt;60,1,H1531&lt;90,2,H1531&lt;120,3)</f>
        <v>0</v>
      </c>
      <c r="M1531" t="str">
        <f t="shared" si="146"/>
        <v>Low</v>
      </c>
      <c r="N1531" t="str">
        <f t="shared" si="143"/>
        <v>Dec</v>
      </c>
      <c r="O1531">
        <f t="shared" si="144"/>
        <v>2025</v>
      </c>
    </row>
    <row r="1532" spans="1:15" x14ac:dyDescent="0.3">
      <c r="A1532">
        <v>203008</v>
      </c>
      <c r="B1532" t="s">
        <v>42</v>
      </c>
      <c r="C1532" s="2">
        <v>45993</v>
      </c>
      <c r="D1532" s="2">
        <f t="shared" si="142"/>
        <v>46023</v>
      </c>
      <c r="E1532" s="1">
        <f>D1532</f>
        <v>46023</v>
      </c>
      <c r="F1532">
        <v>2294</v>
      </c>
      <c r="G1532">
        <v>30</v>
      </c>
      <c r="H1532">
        <f t="shared" si="147"/>
        <v>0</v>
      </c>
      <c r="I1532" t="str">
        <f t="shared" si="145"/>
        <v>On Time</v>
      </c>
      <c r="J1532" cm="1">
        <f t="array" ref="J1532">_xlfn.IFS(H1532&lt;30,0,H1532&lt;60,1,H1532&lt;90,2,H1532&lt;120,3)</f>
        <v>0</v>
      </c>
      <c r="M1532" t="str">
        <f t="shared" si="146"/>
        <v>Low</v>
      </c>
      <c r="N1532" t="str">
        <f t="shared" si="143"/>
        <v>Dec</v>
      </c>
      <c r="O1532">
        <f t="shared" si="144"/>
        <v>2025</v>
      </c>
    </row>
    <row r="1533" spans="1:15" x14ac:dyDescent="0.3">
      <c r="A1533">
        <v>203009</v>
      </c>
      <c r="B1533" t="s">
        <v>43</v>
      </c>
      <c r="C1533" s="2">
        <v>45993</v>
      </c>
      <c r="D1533" s="2">
        <f t="shared" si="142"/>
        <v>46023</v>
      </c>
      <c r="E1533" s="1">
        <f>D1533-5</f>
        <v>46018</v>
      </c>
      <c r="F1533">
        <v>3063</v>
      </c>
      <c r="G1533">
        <v>30</v>
      </c>
      <c r="H1533">
        <f t="shared" si="147"/>
        <v>0</v>
      </c>
      <c r="I1533" t="str">
        <f t="shared" si="145"/>
        <v>On Time</v>
      </c>
      <c r="J1533" cm="1">
        <f t="array" ref="J1533">_xlfn.IFS(H1533&lt;30,0,H1533&lt;60,1,H1533&lt;90,2,H1533&lt;120,3)</f>
        <v>0</v>
      </c>
      <c r="M1533" t="str">
        <f t="shared" si="146"/>
        <v>Low</v>
      </c>
      <c r="N1533" t="str">
        <f t="shared" si="143"/>
        <v>Dec</v>
      </c>
      <c r="O1533">
        <f t="shared" si="144"/>
        <v>2025</v>
      </c>
    </row>
    <row r="1534" spans="1:15" x14ac:dyDescent="0.3">
      <c r="A1534">
        <v>203010</v>
      </c>
      <c r="B1534" t="s">
        <v>25</v>
      </c>
      <c r="C1534" s="2">
        <v>45993</v>
      </c>
      <c r="D1534" s="2">
        <f t="shared" si="142"/>
        <v>46053</v>
      </c>
      <c r="E1534" s="1">
        <f>D1534+35</f>
        <v>46088</v>
      </c>
      <c r="F1534">
        <v>1293</v>
      </c>
      <c r="G1534">
        <v>60</v>
      </c>
      <c r="H1534">
        <f t="shared" si="147"/>
        <v>0</v>
      </c>
      <c r="I1534" t="str">
        <f t="shared" si="145"/>
        <v>On Time</v>
      </c>
      <c r="J1534" cm="1">
        <f t="array" ref="J1534">_xlfn.IFS(H1534&lt;30,0,H1534&lt;60,1,H1534&lt;90,2,H1534&lt;120,3)</f>
        <v>0</v>
      </c>
      <c r="M1534" t="str">
        <f t="shared" si="146"/>
        <v>Low</v>
      </c>
      <c r="N1534" t="str">
        <f t="shared" si="143"/>
        <v>Dec</v>
      </c>
      <c r="O1534">
        <f t="shared" si="144"/>
        <v>2025</v>
      </c>
    </row>
    <row r="1535" spans="1:15" x14ac:dyDescent="0.3">
      <c r="A1535">
        <v>203011</v>
      </c>
      <c r="B1535" t="s">
        <v>26</v>
      </c>
      <c r="C1535" s="2">
        <v>45993</v>
      </c>
      <c r="D1535" s="2">
        <f t="shared" si="142"/>
        <v>46023</v>
      </c>
      <c r="E1535" s="1">
        <f>D1535+75</f>
        <v>46098</v>
      </c>
      <c r="F1535">
        <v>1051</v>
      </c>
      <c r="G1535">
        <v>30</v>
      </c>
      <c r="H1535">
        <f t="shared" si="147"/>
        <v>0</v>
      </c>
      <c r="I1535" t="str">
        <f t="shared" si="145"/>
        <v>On Time</v>
      </c>
      <c r="J1535" cm="1">
        <f t="array" ref="J1535">_xlfn.IFS(H1535&lt;30,0,H1535&lt;60,1,H1535&lt;90,2,H1535&lt;120,3)</f>
        <v>0</v>
      </c>
      <c r="M1535" t="str">
        <f t="shared" si="146"/>
        <v>Low</v>
      </c>
      <c r="N1535" t="str">
        <f t="shared" si="143"/>
        <v>Dec</v>
      </c>
      <c r="O1535">
        <f t="shared" si="144"/>
        <v>2025</v>
      </c>
    </row>
    <row r="1536" spans="1:15" x14ac:dyDescent="0.3">
      <c r="A1536">
        <v>203012</v>
      </c>
      <c r="B1536" t="s">
        <v>27</v>
      </c>
      <c r="C1536" s="2">
        <v>45993</v>
      </c>
      <c r="D1536" s="2">
        <f t="shared" si="142"/>
        <v>46053</v>
      </c>
      <c r="E1536" s="1">
        <f>D1536+5</f>
        <v>46058</v>
      </c>
      <c r="F1536">
        <v>3994</v>
      </c>
      <c r="G1536">
        <v>60</v>
      </c>
      <c r="H1536">
        <f t="shared" si="147"/>
        <v>0</v>
      </c>
      <c r="I1536" t="str">
        <f t="shared" si="145"/>
        <v>On Time</v>
      </c>
      <c r="J1536" cm="1">
        <f t="array" ref="J1536">_xlfn.IFS(H1536&lt;30,0,H1536&lt;60,1,H1536&lt;90,2,H1536&lt;120,3)</f>
        <v>0</v>
      </c>
      <c r="M1536" t="str">
        <f t="shared" si="146"/>
        <v>Low</v>
      </c>
      <c r="N1536" t="str">
        <f t="shared" si="143"/>
        <v>Dec</v>
      </c>
      <c r="O1536">
        <f t="shared" si="144"/>
        <v>2025</v>
      </c>
    </row>
    <row r="1537" spans="1:15" x14ac:dyDescent="0.3">
      <c r="A1537">
        <v>203013</v>
      </c>
      <c r="B1537" t="s">
        <v>28</v>
      </c>
      <c r="C1537" s="2">
        <v>45993</v>
      </c>
      <c r="D1537" s="2">
        <f t="shared" si="142"/>
        <v>46023</v>
      </c>
      <c r="E1537" s="1">
        <f>D1537</f>
        <v>46023</v>
      </c>
      <c r="F1537">
        <v>2828</v>
      </c>
      <c r="G1537">
        <v>30</v>
      </c>
      <c r="H1537">
        <f t="shared" si="147"/>
        <v>0</v>
      </c>
      <c r="I1537" t="str">
        <f t="shared" si="145"/>
        <v>On Time</v>
      </c>
      <c r="J1537" cm="1">
        <f t="array" ref="J1537">_xlfn.IFS(H1537&lt;30,0,H1537&lt;60,1,H1537&lt;90,2,H1537&lt;120,3)</f>
        <v>0</v>
      </c>
      <c r="M1537" t="str">
        <f t="shared" si="146"/>
        <v>Low</v>
      </c>
      <c r="N1537" t="str">
        <f t="shared" si="143"/>
        <v>Dec</v>
      </c>
      <c r="O1537">
        <f t="shared" si="144"/>
        <v>2025</v>
      </c>
    </row>
    <row r="1538" spans="1:15" x14ac:dyDescent="0.3">
      <c r="A1538">
        <v>203014</v>
      </c>
      <c r="B1538" t="s">
        <v>29</v>
      </c>
      <c r="C1538" s="2">
        <v>45993</v>
      </c>
      <c r="D1538" s="2">
        <f t="shared" ref="D1538:D1601" si="148">C1538+G1538</f>
        <v>46023</v>
      </c>
      <c r="E1538" s="1">
        <f>D1538-1</f>
        <v>46022</v>
      </c>
      <c r="F1538">
        <v>1006</v>
      </c>
      <c r="G1538">
        <v>30</v>
      </c>
      <c r="H1538">
        <f t="shared" si="147"/>
        <v>0</v>
      </c>
      <c r="I1538" t="str">
        <f t="shared" si="145"/>
        <v>On Time</v>
      </c>
      <c r="J1538" cm="1">
        <f t="array" ref="J1538">_xlfn.IFS(H1538&lt;30,0,H1538&lt;60,1,H1538&lt;90,2,H1538&lt;120,3)</f>
        <v>0</v>
      </c>
      <c r="M1538" t="str">
        <f t="shared" si="146"/>
        <v>Low</v>
      </c>
      <c r="N1538" t="str">
        <f t="shared" ref="N1538:N1601" si="149">TEXT(C1538,"mmm")</f>
        <v>Dec</v>
      </c>
      <c r="O1538">
        <f t="shared" ref="O1538:O1601" si="150">YEAR(C1538)</f>
        <v>2025</v>
      </c>
    </row>
    <row r="1539" spans="1:15" x14ac:dyDescent="0.3">
      <c r="A1539">
        <v>203015</v>
      </c>
      <c r="B1539" t="s">
        <v>30</v>
      </c>
      <c r="C1539" s="2">
        <v>45993</v>
      </c>
      <c r="D1539" s="2">
        <f t="shared" si="148"/>
        <v>46023</v>
      </c>
      <c r="E1539" s="1">
        <f>D1539</f>
        <v>46023</v>
      </c>
      <c r="F1539">
        <v>12461</v>
      </c>
      <c r="G1539">
        <v>30</v>
      </c>
      <c r="H1539">
        <f t="shared" si="147"/>
        <v>0</v>
      </c>
      <c r="I1539" t="str">
        <f t="shared" si="145"/>
        <v>On Time</v>
      </c>
      <c r="J1539" cm="1">
        <f t="array" ref="J1539">_xlfn.IFS(H1539&lt;30,0,H1539&lt;60,1,H1539&lt;90,2,H1539&lt;120,3)</f>
        <v>0</v>
      </c>
      <c r="M1539" t="str">
        <f t="shared" si="146"/>
        <v>Low</v>
      </c>
      <c r="N1539" t="str">
        <f t="shared" si="149"/>
        <v>Dec</v>
      </c>
      <c r="O1539">
        <f t="shared" si="150"/>
        <v>2025</v>
      </c>
    </row>
    <row r="1540" spans="1:15" x14ac:dyDescent="0.3">
      <c r="A1540">
        <v>203016</v>
      </c>
      <c r="B1540" t="s">
        <v>31</v>
      </c>
      <c r="C1540" s="2">
        <v>45993</v>
      </c>
      <c r="D1540" s="2">
        <f t="shared" si="148"/>
        <v>46038</v>
      </c>
      <c r="E1540" s="1">
        <f>D1540+32</f>
        <v>46070</v>
      </c>
      <c r="F1540">
        <v>3069</v>
      </c>
      <c r="G1540">
        <v>45</v>
      </c>
      <c r="H1540">
        <f t="shared" si="147"/>
        <v>0</v>
      </c>
      <c r="I1540" t="str">
        <f t="shared" si="145"/>
        <v>On Time</v>
      </c>
      <c r="J1540" cm="1">
        <f t="array" ref="J1540">_xlfn.IFS(H1540&lt;30,0,H1540&lt;60,1,H1540&lt;90,2,H1540&lt;120,3)</f>
        <v>0</v>
      </c>
      <c r="M1540" t="str">
        <f t="shared" si="146"/>
        <v>Low</v>
      </c>
      <c r="N1540" t="str">
        <f t="shared" si="149"/>
        <v>Dec</v>
      </c>
      <c r="O1540">
        <f t="shared" si="150"/>
        <v>2025</v>
      </c>
    </row>
    <row r="1541" spans="1:15" x14ac:dyDescent="0.3">
      <c r="A1541">
        <v>203017</v>
      </c>
      <c r="B1541" t="s">
        <v>39</v>
      </c>
      <c r="C1541" s="2">
        <v>45993</v>
      </c>
      <c r="D1541" s="2">
        <f t="shared" si="148"/>
        <v>46023</v>
      </c>
      <c r="E1541" s="1">
        <f>D1541+15</f>
        <v>46038</v>
      </c>
      <c r="F1541">
        <v>3844</v>
      </c>
      <c r="G1541">
        <v>30</v>
      </c>
      <c r="H1541">
        <f t="shared" si="147"/>
        <v>0</v>
      </c>
      <c r="I1541" t="str">
        <f t="shared" si="145"/>
        <v>On Time</v>
      </c>
      <c r="J1541" cm="1">
        <f t="array" ref="J1541">_xlfn.IFS(H1541&lt;30,0,H1541&lt;60,1,H1541&lt;90,2,H1541&lt;120,3)</f>
        <v>0</v>
      </c>
      <c r="M1541" t="str">
        <f t="shared" si="146"/>
        <v>Low</v>
      </c>
      <c r="N1541" t="str">
        <f t="shared" si="149"/>
        <v>Dec</v>
      </c>
      <c r="O1541">
        <f t="shared" si="150"/>
        <v>2025</v>
      </c>
    </row>
    <row r="1542" spans="1:15" x14ac:dyDescent="0.3">
      <c r="A1542">
        <v>203018</v>
      </c>
      <c r="B1542" t="s">
        <v>40</v>
      </c>
      <c r="C1542" s="2">
        <v>45993</v>
      </c>
      <c r="D1542" s="2">
        <f t="shared" si="148"/>
        <v>46023</v>
      </c>
      <c r="E1542" s="1">
        <f>D1542</f>
        <v>46023</v>
      </c>
      <c r="F1542">
        <v>4466</v>
      </c>
      <c r="G1542">
        <v>30</v>
      </c>
      <c r="H1542">
        <f t="shared" si="147"/>
        <v>0</v>
      </c>
      <c r="I1542" t="str">
        <f t="shared" si="145"/>
        <v>On Time</v>
      </c>
      <c r="J1542" cm="1">
        <f t="array" ref="J1542">_xlfn.IFS(H1542&lt;30,0,H1542&lt;60,1,H1542&lt;90,2,H1542&lt;120,3)</f>
        <v>0</v>
      </c>
      <c r="M1542" t="str">
        <f t="shared" si="146"/>
        <v>Low</v>
      </c>
      <c r="N1542" t="str">
        <f t="shared" si="149"/>
        <v>Dec</v>
      </c>
      <c r="O1542">
        <f t="shared" si="150"/>
        <v>2025</v>
      </c>
    </row>
    <row r="1543" spans="1:15" x14ac:dyDescent="0.3">
      <c r="A1543">
        <v>203019</v>
      </c>
      <c r="B1543" t="s">
        <v>41</v>
      </c>
      <c r="C1543" s="2">
        <v>45993</v>
      </c>
      <c r="D1543" s="2">
        <f t="shared" si="148"/>
        <v>46023</v>
      </c>
      <c r="E1543" s="1">
        <f>D1543-2</f>
        <v>46021</v>
      </c>
      <c r="F1543">
        <v>4676</v>
      </c>
      <c r="G1543">
        <v>30</v>
      </c>
      <c r="H1543">
        <f t="shared" si="147"/>
        <v>0</v>
      </c>
      <c r="I1543" t="str">
        <f t="shared" si="145"/>
        <v>On Time</v>
      </c>
      <c r="J1543" cm="1">
        <f t="array" ref="J1543">_xlfn.IFS(H1543&lt;30,0,H1543&lt;60,1,H1543&lt;90,2,H1543&lt;120,3)</f>
        <v>0</v>
      </c>
      <c r="M1543" t="str">
        <f t="shared" si="146"/>
        <v>Low</v>
      </c>
      <c r="N1543" t="str">
        <f t="shared" si="149"/>
        <v>Dec</v>
      </c>
      <c r="O1543">
        <f t="shared" si="150"/>
        <v>2025</v>
      </c>
    </row>
    <row r="1544" spans="1:15" x14ac:dyDescent="0.3">
      <c r="A1544">
        <v>203020</v>
      </c>
      <c r="B1544" t="s">
        <v>42</v>
      </c>
      <c r="C1544" s="2">
        <v>45993</v>
      </c>
      <c r="D1544" s="2">
        <f t="shared" si="148"/>
        <v>46023</v>
      </c>
      <c r="E1544" s="1">
        <f>D1544</f>
        <v>46023</v>
      </c>
      <c r="F1544">
        <v>1051</v>
      </c>
      <c r="G1544">
        <v>30</v>
      </c>
      <c r="H1544">
        <f t="shared" si="147"/>
        <v>0</v>
      </c>
      <c r="I1544" t="str">
        <f t="shared" si="145"/>
        <v>On Time</v>
      </c>
      <c r="J1544" cm="1">
        <f t="array" ref="J1544">_xlfn.IFS(H1544&lt;30,0,H1544&lt;60,1,H1544&lt;90,2,H1544&lt;120,3)</f>
        <v>0</v>
      </c>
      <c r="M1544" t="str">
        <f t="shared" si="146"/>
        <v>Low</v>
      </c>
      <c r="N1544" t="str">
        <f t="shared" si="149"/>
        <v>Dec</v>
      </c>
      <c r="O1544">
        <f t="shared" si="150"/>
        <v>2025</v>
      </c>
    </row>
    <row r="1545" spans="1:15" x14ac:dyDescent="0.3">
      <c r="A1545">
        <v>203021</v>
      </c>
      <c r="B1545" t="s">
        <v>43</v>
      </c>
      <c r="C1545" s="2">
        <v>45993</v>
      </c>
      <c r="D1545" s="2">
        <f t="shared" si="148"/>
        <v>46023</v>
      </c>
      <c r="E1545" s="1">
        <f>D1545+2</f>
        <v>46025</v>
      </c>
      <c r="F1545">
        <v>2584</v>
      </c>
      <c r="G1545">
        <v>30</v>
      </c>
      <c r="H1545">
        <f t="shared" si="147"/>
        <v>0</v>
      </c>
      <c r="I1545" t="str">
        <f t="shared" si="145"/>
        <v>On Time</v>
      </c>
      <c r="J1545" cm="1">
        <f t="array" ref="J1545">_xlfn.IFS(H1545&lt;30,0,H1545&lt;60,1,H1545&lt;90,2,H1545&lt;120,3)</f>
        <v>0</v>
      </c>
      <c r="M1545" t="str">
        <f t="shared" si="146"/>
        <v>Low</v>
      </c>
      <c r="N1545" t="str">
        <f t="shared" si="149"/>
        <v>Dec</v>
      </c>
      <c r="O1545">
        <f t="shared" si="150"/>
        <v>2025</v>
      </c>
    </row>
    <row r="1546" spans="1:15" x14ac:dyDescent="0.3">
      <c r="A1546">
        <v>203022</v>
      </c>
      <c r="B1546" t="s">
        <v>44</v>
      </c>
      <c r="C1546" s="2">
        <v>45993</v>
      </c>
      <c r="D1546" s="2">
        <f t="shared" si="148"/>
        <v>46038</v>
      </c>
      <c r="E1546" s="1">
        <f>D1546+2</f>
        <v>46040</v>
      </c>
      <c r="F1546">
        <v>950</v>
      </c>
      <c r="G1546">
        <v>45</v>
      </c>
      <c r="H1546">
        <f t="shared" si="147"/>
        <v>0</v>
      </c>
      <c r="I1546" t="str">
        <f t="shared" si="145"/>
        <v>On Time</v>
      </c>
      <c r="J1546" cm="1">
        <f t="array" ref="J1546">_xlfn.IFS(H1546&lt;30,0,H1546&lt;60,1,H1546&lt;90,2,H1546&lt;120,3)</f>
        <v>0</v>
      </c>
      <c r="M1546" t="str">
        <f t="shared" si="146"/>
        <v>Low</v>
      </c>
      <c r="N1546" t="str">
        <f t="shared" si="149"/>
        <v>Dec</v>
      </c>
      <c r="O1546">
        <f t="shared" si="150"/>
        <v>2025</v>
      </c>
    </row>
    <row r="1547" spans="1:15" x14ac:dyDescent="0.3">
      <c r="A1547">
        <v>203023</v>
      </c>
      <c r="B1547" t="s">
        <v>45</v>
      </c>
      <c r="C1547" s="2">
        <v>45993</v>
      </c>
      <c r="D1547" s="2">
        <f t="shared" si="148"/>
        <v>46038</v>
      </c>
      <c r="E1547" s="1">
        <f>D1547+2</f>
        <v>46040</v>
      </c>
      <c r="F1547">
        <v>2581</v>
      </c>
      <c r="G1547">
        <v>45</v>
      </c>
      <c r="H1547">
        <f t="shared" si="147"/>
        <v>0</v>
      </c>
      <c r="I1547" t="str">
        <f t="shared" si="145"/>
        <v>On Time</v>
      </c>
      <c r="J1547" cm="1">
        <f t="array" ref="J1547">_xlfn.IFS(H1547&lt;30,0,H1547&lt;60,1,H1547&lt;90,2,H1547&lt;120,3)</f>
        <v>0</v>
      </c>
      <c r="M1547" t="str">
        <f t="shared" si="146"/>
        <v>Low</v>
      </c>
      <c r="N1547" t="str">
        <f t="shared" si="149"/>
        <v>Dec</v>
      </c>
      <c r="O1547">
        <f t="shared" si="150"/>
        <v>2025</v>
      </c>
    </row>
    <row r="1548" spans="1:15" x14ac:dyDescent="0.3">
      <c r="A1548">
        <v>203024</v>
      </c>
      <c r="B1548" t="s">
        <v>46</v>
      </c>
      <c r="C1548" s="2">
        <v>45993</v>
      </c>
      <c r="D1548" s="2">
        <f t="shared" si="148"/>
        <v>46053</v>
      </c>
      <c r="E1548" s="1">
        <f>D1548</f>
        <v>46053</v>
      </c>
      <c r="F1548">
        <v>2161</v>
      </c>
      <c r="G1548">
        <v>60</v>
      </c>
      <c r="H1548">
        <f t="shared" si="147"/>
        <v>0</v>
      </c>
      <c r="I1548" t="str">
        <f t="shared" si="145"/>
        <v>On Time</v>
      </c>
      <c r="J1548" cm="1">
        <f t="array" ref="J1548">_xlfn.IFS(H1548&lt;30,0,H1548&lt;60,1,H1548&lt;90,2,H1548&lt;120,3)</f>
        <v>0</v>
      </c>
      <c r="M1548" t="str">
        <f t="shared" si="146"/>
        <v>Low</v>
      </c>
      <c r="N1548" t="str">
        <f t="shared" si="149"/>
        <v>Dec</v>
      </c>
      <c r="O1548">
        <f t="shared" si="150"/>
        <v>2025</v>
      </c>
    </row>
    <row r="1549" spans="1:15" x14ac:dyDescent="0.3">
      <c r="A1549">
        <v>203025</v>
      </c>
      <c r="B1549" t="s">
        <v>114</v>
      </c>
      <c r="C1549" s="2">
        <v>45993</v>
      </c>
      <c r="D1549" s="2">
        <f t="shared" si="148"/>
        <v>46023</v>
      </c>
      <c r="E1549" s="1">
        <f>D1549+20</f>
        <v>46043</v>
      </c>
      <c r="F1549">
        <v>4310</v>
      </c>
      <c r="G1549">
        <v>30</v>
      </c>
      <c r="H1549">
        <f t="shared" si="147"/>
        <v>0</v>
      </c>
      <c r="I1549" t="str">
        <f t="shared" si="145"/>
        <v>On Time</v>
      </c>
      <c r="J1549" cm="1">
        <f t="array" ref="J1549">_xlfn.IFS(H1549&lt;30,0,H1549&lt;60,1,H1549&lt;90,2,H1549&lt;120,3)</f>
        <v>0</v>
      </c>
      <c r="M1549" t="str">
        <f t="shared" si="146"/>
        <v>Low</v>
      </c>
      <c r="N1549" t="str">
        <f t="shared" si="149"/>
        <v>Dec</v>
      </c>
      <c r="O1549">
        <f t="shared" si="150"/>
        <v>2025</v>
      </c>
    </row>
    <row r="1550" spans="1:15" x14ac:dyDescent="0.3">
      <c r="A1550">
        <v>203026</v>
      </c>
      <c r="B1550" t="s">
        <v>115</v>
      </c>
      <c r="C1550" s="2">
        <v>45993</v>
      </c>
      <c r="D1550" s="2">
        <f t="shared" si="148"/>
        <v>46023</v>
      </c>
      <c r="E1550" s="1">
        <f>D1550</f>
        <v>46023</v>
      </c>
      <c r="F1550">
        <v>2303</v>
      </c>
      <c r="G1550">
        <v>30</v>
      </c>
      <c r="H1550">
        <f t="shared" si="147"/>
        <v>0</v>
      </c>
      <c r="I1550" t="str">
        <f t="shared" si="145"/>
        <v>On Time</v>
      </c>
      <c r="J1550" cm="1">
        <f t="array" ref="J1550">_xlfn.IFS(H1550&lt;30,0,H1550&lt;60,1,H1550&lt;90,2,H1550&lt;120,3)</f>
        <v>0</v>
      </c>
      <c r="M1550" t="str">
        <f t="shared" si="146"/>
        <v>Low</v>
      </c>
      <c r="N1550" t="str">
        <f t="shared" si="149"/>
        <v>Dec</v>
      </c>
      <c r="O1550">
        <f t="shared" si="150"/>
        <v>2025</v>
      </c>
    </row>
    <row r="1551" spans="1:15" x14ac:dyDescent="0.3">
      <c r="A1551">
        <v>203027</v>
      </c>
      <c r="B1551" t="s">
        <v>116</v>
      </c>
      <c r="C1551" s="2">
        <v>45993</v>
      </c>
      <c r="D1551" s="2">
        <f t="shared" si="148"/>
        <v>46023</v>
      </c>
      <c r="E1551" s="1">
        <f>D1551+1</f>
        <v>46024</v>
      </c>
      <c r="F1551">
        <v>1517</v>
      </c>
      <c r="G1551">
        <v>30</v>
      </c>
      <c r="H1551">
        <f t="shared" si="147"/>
        <v>0</v>
      </c>
      <c r="I1551" t="str">
        <f t="shared" si="145"/>
        <v>On Time</v>
      </c>
      <c r="J1551" cm="1">
        <f t="array" ref="J1551">_xlfn.IFS(H1551&lt;30,0,H1551&lt;60,1,H1551&lt;90,2,H1551&lt;120,3)</f>
        <v>0</v>
      </c>
      <c r="M1551" t="str">
        <f t="shared" si="146"/>
        <v>Low</v>
      </c>
      <c r="N1551" t="str">
        <f t="shared" si="149"/>
        <v>Dec</v>
      </c>
      <c r="O1551">
        <f t="shared" si="150"/>
        <v>2025</v>
      </c>
    </row>
    <row r="1552" spans="1:15" x14ac:dyDescent="0.3">
      <c r="A1552">
        <v>203028</v>
      </c>
      <c r="B1552" t="s">
        <v>117</v>
      </c>
      <c r="C1552" s="2">
        <v>45993</v>
      </c>
      <c r="D1552" s="2">
        <f t="shared" si="148"/>
        <v>46023</v>
      </c>
      <c r="E1552" s="1">
        <f>D1552</f>
        <v>46023</v>
      </c>
      <c r="F1552">
        <v>4928</v>
      </c>
      <c r="G1552">
        <v>30</v>
      </c>
      <c r="H1552">
        <f t="shared" si="147"/>
        <v>0</v>
      </c>
      <c r="I1552" t="str">
        <f t="shared" si="145"/>
        <v>On Time</v>
      </c>
      <c r="J1552" cm="1">
        <f t="array" ref="J1552">_xlfn.IFS(H1552&lt;30,0,H1552&lt;60,1,H1552&lt;90,2,H1552&lt;120,3)</f>
        <v>0</v>
      </c>
      <c r="M1552" t="str">
        <f t="shared" si="146"/>
        <v>Low</v>
      </c>
      <c r="N1552" t="str">
        <f t="shared" si="149"/>
        <v>Dec</v>
      </c>
      <c r="O1552">
        <f t="shared" si="150"/>
        <v>2025</v>
      </c>
    </row>
    <row r="1553" spans="1:15" x14ac:dyDescent="0.3">
      <c r="A1553">
        <v>203029</v>
      </c>
      <c r="B1553" t="s">
        <v>118</v>
      </c>
      <c r="C1553" s="2">
        <v>45993</v>
      </c>
      <c r="D1553" s="2">
        <f t="shared" si="148"/>
        <v>46023</v>
      </c>
      <c r="E1553" s="1">
        <f>D1553</f>
        <v>46023</v>
      </c>
      <c r="F1553">
        <v>104</v>
      </c>
      <c r="G1553">
        <v>30</v>
      </c>
      <c r="H1553">
        <f t="shared" si="147"/>
        <v>0</v>
      </c>
      <c r="I1553" t="str">
        <f t="shared" si="145"/>
        <v>On Time</v>
      </c>
      <c r="J1553" cm="1">
        <f t="array" ref="J1553">_xlfn.IFS(H1553&lt;30,0,H1553&lt;60,1,H1553&lt;90,2,H1553&lt;120,3)</f>
        <v>0</v>
      </c>
      <c r="M1553" t="str">
        <f t="shared" si="146"/>
        <v>Low</v>
      </c>
      <c r="N1553" t="str">
        <f t="shared" si="149"/>
        <v>Dec</v>
      </c>
      <c r="O1553">
        <f t="shared" si="150"/>
        <v>2025</v>
      </c>
    </row>
    <row r="1554" spans="1:15" x14ac:dyDescent="0.3">
      <c r="A1554">
        <v>203030</v>
      </c>
      <c r="B1554" t="s">
        <v>119</v>
      </c>
      <c r="C1554" s="2">
        <v>45993</v>
      </c>
      <c r="D1554" s="2">
        <f t="shared" si="148"/>
        <v>46023</v>
      </c>
      <c r="E1554" s="1">
        <f>D1554+5</f>
        <v>46028</v>
      </c>
      <c r="F1554">
        <v>18983</v>
      </c>
      <c r="G1554">
        <v>30</v>
      </c>
      <c r="H1554">
        <f t="shared" si="147"/>
        <v>0</v>
      </c>
      <c r="I1554" t="str">
        <f t="shared" si="145"/>
        <v>On Time</v>
      </c>
      <c r="J1554" cm="1">
        <f t="array" ref="J1554">_xlfn.IFS(H1554&lt;30,0,H1554&lt;60,1,H1554&lt;90,2,H1554&lt;120,3)</f>
        <v>0</v>
      </c>
      <c r="M1554" t="str">
        <f t="shared" si="146"/>
        <v>Low</v>
      </c>
      <c r="N1554" t="str">
        <f t="shared" si="149"/>
        <v>Dec</v>
      </c>
      <c r="O1554">
        <f t="shared" si="150"/>
        <v>2025</v>
      </c>
    </row>
    <row r="1555" spans="1:15" x14ac:dyDescent="0.3">
      <c r="A1555">
        <v>202978</v>
      </c>
      <c r="B1555" t="s">
        <v>89</v>
      </c>
      <c r="C1555" s="2">
        <v>45992</v>
      </c>
      <c r="D1555" s="2">
        <f t="shared" si="148"/>
        <v>46022</v>
      </c>
      <c r="E1555" s="1">
        <f>D1555+75</f>
        <v>46097</v>
      </c>
      <c r="F1555">
        <v>3073</v>
      </c>
      <c r="G1555">
        <v>30</v>
      </c>
      <c r="H1555">
        <f t="shared" si="147"/>
        <v>0</v>
      </c>
      <c r="I1555" t="str">
        <f t="shared" si="145"/>
        <v>On Time</v>
      </c>
      <c r="J1555" cm="1">
        <f t="array" ref="J1555">_xlfn.IFS(H1555&lt;30,0,H1555&lt;60,1,H1555&lt;90,2,H1555&lt;120,3)</f>
        <v>0</v>
      </c>
      <c r="M1555" t="str">
        <f t="shared" si="146"/>
        <v>Low</v>
      </c>
      <c r="N1555" t="str">
        <f t="shared" si="149"/>
        <v>Dec</v>
      </c>
      <c r="O1555">
        <f t="shared" si="150"/>
        <v>2025</v>
      </c>
    </row>
    <row r="1556" spans="1:15" x14ac:dyDescent="0.3">
      <c r="A1556">
        <v>202979</v>
      </c>
      <c r="B1556" t="s">
        <v>90</v>
      </c>
      <c r="C1556" s="2">
        <v>45992</v>
      </c>
      <c r="D1556" s="2">
        <f t="shared" si="148"/>
        <v>46022</v>
      </c>
      <c r="E1556" s="1">
        <f>D1556+5</f>
        <v>46027</v>
      </c>
      <c r="F1556">
        <v>1033</v>
      </c>
      <c r="G1556">
        <v>30</v>
      </c>
      <c r="H1556">
        <f t="shared" si="147"/>
        <v>0</v>
      </c>
      <c r="I1556" t="str">
        <f t="shared" si="145"/>
        <v>On Time</v>
      </c>
      <c r="J1556" cm="1">
        <f t="array" ref="J1556">_xlfn.IFS(H1556&lt;30,0,H1556&lt;60,1,H1556&lt;90,2,H1556&lt;120,3)</f>
        <v>0</v>
      </c>
      <c r="M1556" t="str">
        <f t="shared" si="146"/>
        <v>Low</v>
      </c>
      <c r="N1556" t="str">
        <f t="shared" si="149"/>
        <v>Dec</v>
      </c>
      <c r="O1556">
        <f t="shared" si="150"/>
        <v>2025</v>
      </c>
    </row>
    <row r="1557" spans="1:15" x14ac:dyDescent="0.3">
      <c r="A1557">
        <v>202980</v>
      </c>
      <c r="B1557" t="s">
        <v>91</v>
      </c>
      <c r="C1557" s="2">
        <v>45992</v>
      </c>
      <c r="D1557" s="2">
        <f t="shared" si="148"/>
        <v>46022</v>
      </c>
      <c r="E1557" s="1">
        <f>D1557</f>
        <v>46022</v>
      </c>
      <c r="F1557">
        <v>3370</v>
      </c>
      <c r="G1557">
        <v>30</v>
      </c>
      <c r="H1557">
        <f t="shared" si="147"/>
        <v>0</v>
      </c>
      <c r="I1557" t="str">
        <f t="shared" si="145"/>
        <v>On Time</v>
      </c>
      <c r="J1557" cm="1">
        <f t="array" ref="J1557">_xlfn.IFS(H1557&lt;30,0,H1557&lt;60,1,H1557&lt;90,2,H1557&lt;120,3)</f>
        <v>0</v>
      </c>
      <c r="M1557" t="str">
        <f t="shared" si="146"/>
        <v>Low</v>
      </c>
      <c r="N1557" t="str">
        <f t="shared" si="149"/>
        <v>Dec</v>
      </c>
      <c r="O1557">
        <f t="shared" si="150"/>
        <v>2025</v>
      </c>
    </row>
    <row r="1558" spans="1:15" x14ac:dyDescent="0.3">
      <c r="A1558">
        <v>202981</v>
      </c>
      <c r="B1558" t="s">
        <v>92</v>
      </c>
      <c r="C1558" s="2">
        <v>45992</v>
      </c>
      <c r="D1558" s="2">
        <f t="shared" si="148"/>
        <v>46022</v>
      </c>
      <c r="E1558" s="1">
        <f>D1558-1</f>
        <v>46021</v>
      </c>
      <c r="F1558">
        <v>1009</v>
      </c>
      <c r="G1558">
        <v>30</v>
      </c>
      <c r="H1558">
        <f t="shared" si="147"/>
        <v>0</v>
      </c>
      <c r="I1558" t="str">
        <f t="shared" ref="I1558:I1621" si="151">IF(H1558=0,"On Time",IF(H1558&lt;=15,"Paid Late","Seriously Late"))</f>
        <v>On Time</v>
      </c>
      <c r="J1558" cm="1">
        <f t="array" ref="J1558">_xlfn.IFS(H1558&lt;30,0,H1558&lt;60,1,H1558&lt;90,2,H1558&lt;120,3)</f>
        <v>0</v>
      </c>
      <c r="M1558" t="str">
        <f t="shared" ref="M1558:M1621" si="152">IF(H1558&gt;30,"High",IF(H1558&gt;10,"Medium","Low"))</f>
        <v>Low</v>
      </c>
      <c r="N1558" t="str">
        <f t="shared" si="149"/>
        <v>Dec</v>
      </c>
      <c r="O1558">
        <f t="shared" si="150"/>
        <v>2025</v>
      </c>
    </row>
    <row r="1559" spans="1:15" x14ac:dyDescent="0.3">
      <c r="A1559">
        <v>202982</v>
      </c>
      <c r="B1559" t="s">
        <v>93</v>
      </c>
      <c r="C1559" s="2">
        <v>45992</v>
      </c>
      <c r="D1559" s="2">
        <f t="shared" si="148"/>
        <v>46022</v>
      </c>
      <c r="E1559" s="1">
        <f>D1559</f>
        <v>46022</v>
      </c>
      <c r="F1559">
        <v>4691</v>
      </c>
      <c r="G1559">
        <v>30</v>
      </c>
      <c r="H1559">
        <f t="shared" si="147"/>
        <v>0</v>
      </c>
      <c r="I1559" t="str">
        <f t="shared" si="151"/>
        <v>On Time</v>
      </c>
      <c r="J1559" cm="1">
        <f t="array" ref="J1559">_xlfn.IFS(H1559&lt;30,0,H1559&lt;60,1,H1559&lt;90,2,H1559&lt;120,3)</f>
        <v>0</v>
      </c>
      <c r="M1559" t="str">
        <f t="shared" si="152"/>
        <v>Low</v>
      </c>
      <c r="N1559" t="str">
        <f t="shared" si="149"/>
        <v>Dec</v>
      </c>
      <c r="O1559">
        <f t="shared" si="150"/>
        <v>2025</v>
      </c>
    </row>
    <row r="1560" spans="1:15" x14ac:dyDescent="0.3">
      <c r="A1560">
        <v>202983</v>
      </c>
      <c r="B1560" t="s">
        <v>94</v>
      </c>
      <c r="C1560" s="2">
        <v>45992</v>
      </c>
      <c r="D1560" s="2">
        <f t="shared" si="148"/>
        <v>46022</v>
      </c>
      <c r="E1560" s="1">
        <f>D1560+32</f>
        <v>46054</v>
      </c>
      <c r="F1560">
        <v>3758</v>
      </c>
      <c r="G1560">
        <v>30</v>
      </c>
      <c r="H1560">
        <f t="shared" si="147"/>
        <v>0</v>
      </c>
      <c r="I1560" t="str">
        <f t="shared" si="151"/>
        <v>On Time</v>
      </c>
      <c r="J1560" cm="1">
        <f t="array" ref="J1560">_xlfn.IFS(H1560&lt;30,0,H1560&lt;60,1,H1560&lt;90,2,H1560&lt;120,3)</f>
        <v>0</v>
      </c>
      <c r="M1560" t="str">
        <f t="shared" si="152"/>
        <v>Low</v>
      </c>
      <c r="N1560" t="str">
        <f t="shared" si="149"/>
        <v>Dec</v>
      </c>
      <c r="O1560">
        <f t="shared" si="150"/>
        <v>2025</v>
      </c>
    </row>
    <row r="1561" spans="1:15" x14ac:dyDescent="0.3">
      <c r="A1561">
        <v>202984</v>
      </c>
      <c r="B1561" t="s">
        <v>95</v>
      </c>
      <c r="C1561" s="2">
        <v>45992</v>
      </c>
      <c r="D1561" s="2">
        <f t="shared" si="148"/>
        <v>46037</v>
      </c>
      <c r="E1561" s="1">
        <f>D1561+15</f>
        <v>46052</v>
      </c>
      <c r="F1561">
        <v>1443</v>
      </c>
      <c r="G1561">
        <v>45</v>
      </c>
      <c r="H1561">
        <f t="shared" si="147"/>
        <v>0</v>
      </c>
      <c r="I1561" t="str">
        <f t="shared" si="151"/>
        <v>On Time</v>
      </c>
      <c r="J1561" cm="1">
        <f t="array" ref="J1561">_xlfn.IFS(H1561&lt;30,0,H1561&lt;60,1,H1561&lt;90,2,H1561&lt;120,3)</f>
        <v>0</v>
      </c>
      <c r="M1561" t="str">
        <f t="shared" si="152"/>
        <v>Low</v>
      </c>
      <c r="N1561" t="str">
        <f t="shared" si="149"/>
        <v>Dec</v>
      </c>
      <c r="O1561">
        <f t="shared" si="150"/>
        <v>2025</v>
      </c>
    </row>
    <row r="1562" spans="1:15" x14ac:dyDescent="0.3">
      <c r="A1562">
        <v>202985</v>
      </c>
      <c r="B1562" t="s">
        <v>68</v>
      </c>
      <c r="C1562" s="2">
        <v>45992</v>
      </c>
      <c r="D1562" s="2">
        <f t="shared" si="148"/>
        <v>46022</v>
      </c>
      <c r="E1562" s="1">
        <f>D1562-2</f>
        <v>46020</v>
      </c>
      <c r="F1562">
        <v>12324</v>
      </c>
      <c r="G1562">
        <v>30</v>
      </c>
      <c r="H1562">
        <f t="shared" si="147"/>
        <v>0</v>
      </c>
      <c r="I1562" t="str">
        <f t="shared" si="151"/>
        <v>On Time</v>
      </c>
      <c r="J1562" cm="1">
        <f t="array" ref="J1562">_xlfn.IFS(H1562&lt;30,0,H1562&lt;60,1,H1562&lt;90,2,H1562&lt;120,3)</f>
        <v>0</v>
      </c>
      <c r="M1562" t="str">
        <f t="shared" si="152"/>
        <v>Low</v>
      </c>
      <c r="N1562" t="str">
        <f t="shared" si="149"/>
        <v>Dec</v>
      </c>
      <c r="O1562">
        <f t="shared" si="150"/>
        <v>2025</v>
      </c>
    </row>
    <row r="1563" spans="1:15" x14ac:dyDescent="0.3">
      <c r="A1563">
        <v>202986</v>
      </c>
      <c r="B1563" t="s">
        <v>69</v>
      </c>
      <c r="C1563" s="2">
        <v>45992</v>
      </c>
      <c r="D1563" s="2">
        <f t="shared" si="148"/>
        <v>46022</v>
      </c>
      <c r="E1563" s="1">
        <f>D1563-2</f>
        <v>46020</v>
      </c>
      <c r="F1563">
        <v>10858</v>
      </c>
      <c r="G1563">
        <v>30</v>
      </c>
      <c r="H1563">
        <f t="shared" si="147"/>
        <v>0</v>
      </c>
      <c r="I1563" t="str">
        <f t="shared" si="151"/>
        <v>On Time</v>
      </c>
      <c r="J1563" cm="1">
        <f t="array" ref="J1563">_xlfn.IFS(H1563&lt;30,0,H1563&lt;60,1,H1563&lt;90,2,H1563&lt;120,3)</f>
        <v>0</v>
      </c>
      <c r="M1563" t="str">
        <f t="shared" si="152"/>
        <v>Low</v>
      </c>
      <c r="N1563" t="str">
        <f t="shared" si="149"/>
        <v>Dec</v>
      </c>
      <c r="O1563">
        <f t="shared" si="150"/>
        <v>2025</v>
      </c>
    </row>
    <row r="1564" spans="1:15" x14ac:dyDescent="0.3">
      <c r="A1564">
        <v>202987</v>
      </c>
      <c r="B1564" t="s">
        <v>70</v>
      </c>
      <c r="C1564" s="2">
        <v>45992</v>
      </c>
      <c r="D1564" s="2">
        <f t="shared" si="148"/>
        <v>46022</v>
      </c>
      <c r="E1564" s="1">
        <f>D1564</f>
        <v>46022</v>
      </c>
      <c r="F1564">
        <v>2824</v>
      </c>
      <c r="G1564">
        <v>30</v>
      </c>
      <c r="H1564">
        <f t="shared" si="147"/>
        <v>0</v>
      </c>
      <c r="I1564" t="str">
        <f t="shared" si="151"/>
        <v>On Time</v>
      </c>
      <c r="J1564" cm="1">
        <f t="array" ref="J1564">_xlfn.IFS(H1564&lt;30,0,H1564&lt;60,1,H1564&lt;90,2,H1564&lt;120,3)</f>
        <v>0</v>
      </c>
      <c r="M1564" t="str">
        <f t="shared" si="152"/>
        <v>Low</v>
      </c>
      <c r="N1564" t="str">
        <f t="shared" si="149"/>
        <v>Dec</v>
      </c>
      <c r="O1564">
        <f t="shared" si="150"/>
        <v>2025</v>
      </c>
    </row>
    <row r="1565" spans="1:15" x14ac:dyDescent="0.3">
      <c r="A1565">
        <v>202988</v>
      </c>
      <c r="B1565" t="s">
        <v>71</v>
      </c>
      <c r="C1565" s="2">
        <v>45992</v>
      </c>
      <c r="D1565" s="2">
        <f t="shared" si="148"/>
        <v>46022</v>
      </c>
      <c r="E1565" s="1">
        <f>D1565+2</f>
        <v>46024</v>
      </c>
      <c r="F1565">
        <v>2565</v>
      </c>
      <c r="G1565">
        <v>30</v>
      </c>
      <c r="H1565">
        <f t="shared" si="147"/>
        <v>0</v>
      </c>
      <c r="I1565" t="str">
        <f t="shared" si="151"/>
        <v>On Time</v>
      </c>
      <c r="J1565" cm="1">
        <f t="array" ref="J1565">_xlfn.IFS(H1565&lt;30,0,H1565&lt;60,1,H1565&lt;90,2,H1565&lt;120,3)</f>
        <v>0</v>
      </c>
      <c r="M1565" t="str">
        <f t="shared" si="152"/>
        <v>Low</v>
      </c>
      <c r="N1565" t="str">
        <f t="shared" si="149"/>
        <v>Dec</v>
      </c>
      <c r="O1565">
        <f t="shared" si="150"/>
        <v>2025</v>
      </c>
    </row>
    <row r="1566" spans="1:15" x14ac:dyDescent="0.3">
      <c r="A1566">
        <v>202989</v>
      </c>
      <c r="B1566" t="s">
        <v>72</v>
      </c>
      <c r="C1566" s="2">
        <v>45992</v>
      </c>
      <c r="D1566" s="2">
        <f t="shared" si="148"/>
        <v>46022</v>
      </c>
      <c r="E1566" s="1">
        <f>D1566+2</f>
        <v>46024</v>
      </c>
      <c r="F1566">
        <v>1953</v>
      </c>
      <c r="G1566">
        <v>30</v>
      </c>
      <c r="H1566">
        <f t="shared" si="147"/>
        <v>0</v>
      </c>
      <c r="I1566" t="str">
        <f t="shared" si="151"/>
        <v>On Time</v>
      </c>
      <c r="J1566" cm="1">
        <f t="array" ref="J1566">_xlfn.IFS(H1566&lt;30,0,H1566&lt;60,1,H1566&lt;90,2,H1566&lt;120,3)</f>
        <v>0</v>
      </c>
      <c r="M1566" t="str">
        <f t="shared" si="152"/>
        <v>Low</v>
      </c>
      <c r="N1566" t="str">
        <f t="shared" si="149"/>
        <v>Dec</v>
      </c>
      <c r="O1566">
        <f t="shared" si="150"/>
        <v>2025</v>
      </c>
    </row>
    <row r="1567" spans="1:15" x14ac:dyDescent="0.3">
      <c r="A1567">
        <v>202990</v>
      </c>
      <c r="B1567" t="s">
        <v>73</v>
      </c>
      <c r="C1567" s="2">
        <v>45992</v>
      </c>
      <c r="D1567" s="2">
        <f t="shared" si="148"/>
        <v>46037</v>
      </c>
      <c r="E1567" s="1">
        <f>D1567+2</f>
        <v>46039</v>
      </c>
      <c r="F1567">
        <v>12936</v>
      </c>
      <c r="G1567">
        <v>45</v>
      </c>
      <c r="H1567">
        <f t="shared" si="147"/>
        <v>0</v>
      </c>
      <c r="I1567" t="str">
        <f t="shared" si="151"/>
        <v>On Time</v>
      </c>
      <c r="J1567" cm="1">
        <f t="array" ref="J1567">_xlfn.IFS(H1567&lt;30,0,H1567&lt;60,1,H1567&lt;90,2,H1567&lt;120,3)</f>
        <v>0</v>
      </c>
      <c r="M1567" t="str">
        <f t="shared" si="152"/>
        <v>Low</v>
      </c>
      <c r="N1567" t="str">
        <f t="shared" si="149"/>
        <v>Dec</v>
      </c>
      <c r="O1567">
        <f t="shared" si="150"/>
        <v>2025</v>
      </c>
    </row>
    <row r="1568" spans="1:15" x14ac:dyDescent="0.3">
      <c r="A1568">
        <v>202991</v>
      </c>
      <c r="B1568" t="s">
        <v>74</v>
      </c>
      <c r="C1568" s="2">
        <v>45992</v>
      </c>
      <c r="D1568" s="2">
        <f t="shared" si="148"/>
        <v>46037</v>
      </c>
      <c r="E1568" s="1">
        <f>D1568</f>
        <v>46037</v>
      </c>
      <c r="F1568">
        <v>4385</v>
      </c>
      <c r="G1568">
        <v>45</v>
      </c>
      <c r="H1568">
        <f t="shared" si="147"/>
        <v>0</v>
      </c>
      <c r="I1568" t="str">
        <f t="shared" si="151"/>
        <v>On Time</v>
      </c>
      <c r="J1568" cm="1">
        <f t="array" ref="J1568">_xlfn.IFS(H1568&lt;30,0,H1568&lt;60,1,H1568&lt;90,2,H1568&lt;120,3)</f>
        <v>0</v>
      </c>
      <c r="M1568" t="str">
        <f t="shared" si="152"/>
        <v>Low</v>
      </c>
      <c r="N1568" t="str">
        <f t="shared" si="149"/>
        <v>Dec</v>
      </c>
      <c r="O1568">
        <f t="shared" si="150"/>
        <v>2025</v>
      </c>
    </row>
    <row r="1569" spans="1:15" x14ac:dyDescent="0.3">
      <c r="A1569">
        <v>202992</v>
      </c>
      <c r="B1569" t="s">
        <v>45</v>
      </c>
      <c r="C1569" s="2">
        <v>45992</v>
      </c>
      <c r="D1569" s="2">
        <f t="shared" si="148"/>
        <v>46037</v>
      </c>
      <c r="E1569" s="1">
        <f>D1569+20</f>
        <v>46057</v>
      </c>
      <c r="F1569">
        <v>4970</v>
      </c>
      <c r="G1569">
        <v>45</v>
      </c>
      <c r="H1569">
        <f t="shared" si="147"/>
        <v>0</v>
      </c>
      <c r="I1569" t="str">
        <f t="shared" si="151"/>
        <v>On Time</v>
      </c>
      <c r="J1569" cm="1">
        <f t="array" ref="J1569">_xlfn.IFS(H1569&lt;30,0,H1569&lt;60,1,H1569&lt;90,2,H1569&lt;120,3)</f>
        <v>0</v>
      </c>
      <c r="M1569" t="str">
        <f t="shared" si="152"/>
        <v>Low</v>
      </c>
      <c r="N1569" t="str">
        <f t="shared" si="149"/>
        <v>Dec</v>
      </c>
      <c r="O1569">
        <f t="shared" si="150"/>
        <v>2025</v>
      </c>
    </row>
    <row r="1570" spans="1:15" x14ac:dyDescent="0.3">
      <c r="A1570">
        <v>202993</v>
      </c>
      <c r="B1570" t="s">
        <v>46</v>
      </c>
      <c r="C1570" s="2">
        <v>45992</v>
      </c>
      <c r="D1570" s="2">
        <f t="shared" si="148"/>
        <v>46052</v>
      </c>
      <c r="E1570" s="1">
        <f>D1570</f>
        <v>46052</v>
      </c>
      <c r="F1570">
        <v>3195</v>
      </c>
      <c r="G1570">
        <v>60</v>
      </c>
      <c r="H1570">
        <f t="shared" si="147"/>
        <v>0</v>
      </c>
      <c r="I1570" t="str">
        <f t="shared" si="151"/>
        <v>On Time</v>
      </c>
      <c r="J1570" cm="1">
        <f t="array" ref="J1570">_xlfn.IFS(H1570&lt;30,0,H1570&lt;60,1,H1570&lt;90,2,H1570&lt;120,3)</f>
        <v>0</v>
      </c>
      <c r="M1570" t="str">
        <f t="shared" si="152"/>
        <v>Low</v>
      </c>
      <c r="N1570" t="str">
        <f t="shared" si="149"/>
        <v>Dec</v>
      </c>
      <c r="O1570">
        <f t="shared" si="150"/>
        <v>2025</v>
      </c>
    </row>
    <row r="1571" spans="1:15" x14ac:dyDescent="0.3">
      <c r="A1571">
        <v>202994</v>
      </c>
      <c r="B1571" t="s">
        <v>47</v>
      </c>
      <c r="C1571" s="2">
        <v>45992</v>
      </c>
      <c r="D1571" s="2">
        <f t="shared" si="148"/>
        <v>46052</v>
      </c>
      <c r="E1571" s="1">
        <f>D1571+1</f>
        <v>46053</v>
      </c>
      <c r="F1571">
        <v>3597</v>
      </c>
      <c r="G1571">
        <v>60</v>
      </c>
      <c r="H1571">
        <f t="shared" si="147"/>
        <v>0</v>
      </c>
      <c r="I1571" t="str">
        <f t="shared" si="151"/>
        <v>On Time</v>
      </c>
      <c r="J1571" cm="1">
        <f t="array" ref="J1571">_xlfn.IFS(H1571&lt;30,0,H1571&lt;60,1,H1571&lt;90,2,H1571&lt;120,3)</f>
        <v>0</v>
      </c>
      <c r="M1571" t="str">
        <f t="shared" si="152"/>
        <v>Low</v>
      </c>
      <c r="N1571" t="str">
        <f t="shared" si="149"/>
        <v>Dec</v>
      </c>
      <c r="O1571">
        <f t="shared" si="150"/>
        <v>2025</v>
      </c>
    </row>
    <row r="1572" spans="1:15" x14ac:dyDescent="0.3">
      <c r="A1572">
        <v>202995</v>
      </c>
      <c r="B1572" t="s">
        <v>48</v>
      </c>
      <c r="C1572" s="2">
        <v>45992</v>
      </c>
      <c r="D1572" s="2">
        <f t="shared" si="148"/>
        <v>46037</v>
      </c>
      <c r="E1572" s="1">
        <f>D1572</f>
        <v>46037</v>
      </c>
      <c r="F1572">
        <v>2571</v>
      </c>
      <c r="G1572">
        <v>45</v>
      </c>
      <c r="H1572">
        <f t="shared" si="147"/>
        <v>0</v>
      </c>
      <c r="I1572" t="str">
        <f t="shared" si="151"/>
        <v>On Time</v>
      </c>
      <c r="J1572" cm="1">
        <f t="array" ref="J1572">_xlfn.IFS(H1572&lt;30,0,H1572&lt;60,1,H1572&lt;90,2,H1572&lt;120,3)</f>
        <v>0</v>
      </c>
      <c r="M1572" t="str">
        <f t="shared" si="152"/>
        <v>Low</v>
      </c>
      <c r="N1572" t="str">
        <f t="shared" si="149"/>
        <v>Dec</v>
      </c>
      <c r="O1572">
        <f t="shared" si="150"/>
        <v>2025</v>
      </c>
    </row>
    <row r="1573" spans="1:15" x14ac:dyDescent="0.3">
      <c r="A1573">
        <v>202996</v>
      </c>
      <c r="B1573" t="s">
        <v>49</v>
      </c>
      <c r="C1573" s="2">
        <v>45992</v>
      </c>
      <c r="D1573" s="2">
        <f t="shared" si="148"/>
        <v>46022</v>
      </c>
      <c r="E1573" s="1">
        <f>D1573</f>
        <v>46022</v>
      </c>
      <c r="F1573">
        <v>4214</v>
      </c>
      <c r="G1573">
        <v>30</v>
      </c>
      <c r="H1573">
        <f t="shared" si="147"/>
        <v>0</v>
      </c>
      <c r="I1573" t="str">
        <f t="shared" si="151"/>
        <v>On Time</v>
      </c>
      <c r="J1573" cm="1">
        <f t="array" ref="J1573">_xlfn.IFS(H1573&lt;30,0,H1573&lt;60,1,H1573&lt;90,2,H1573&lt;120,3)</f>
        <v>0</v>
      </c>
      <c r="M1573" t="str">
        <f t="shared" si="152"/>
        <v>Low</v>
      </c>
      <c r="N1573" t="str">
        <f t="shared" si="149"/>
        <v>Dec</v>
      </c>
      <c r="O1573">
        <f t="shared" si="150"/>
        <v>2025</v>
      </c>
    </row>
    <row r="1574" spans="1:15" x14ac:dyDescent="0.3">
      <c r="A1574">
        <v>202997</v>
      </c>
      <c r="B1574" t="s">
        <v>50</v>
      </c>
      <c r="C1574" s="2">
        <v>45992</v>
      </c>
      <c r="D1574" s="2">
        <f t="shared" si="148"/>
        <v>46022</v>
      </c>
      <c r="E1574" s="1">
        <f>D1574+5</f>
        <v>46027</v>
      </c>
      <c r="F1574">
        <v>4020</v>
      </c>
      <c r="G1574">
        <v>30</v>
      </c>
      <c r="H1574">
        <f t="shared" ref="H1574:H1637" si="153">MAX(0,P1539-D1574)</f>
        <v>0</v>
      </c>
      <c r="I1574" t="str">
        <f t="shared" si="151"/>
        <v>On Time</v>
      </c>
      <c r="J1574" cm="1">
        <f t="array" ref="J1574">_xlfn.IFS(H1574&lt;30,0,H1574&lt;60,1,H1574&lt;90,2,H1574&lt;120,3)</f>
        <v>0</v>
      </c>
      <c r="M1574" t="str">
        <f t="shared" si="152"/>
        <v>Low</v>
      </c>
      <c r="N1574" t="str">
        <f t="shared" si="149"/>
        <v>Dec</v>
      </c>
      <c r="O1574">
        <f t="shared" si="150"/>
        <v>2025</v>
      </c>
    </row>
    <row r="1575" spans="1:15" x14ac:dyDescent="0.3">
      <c r="A1575">
        <v>202998</v>
      </c>
      <c r="B1575" t="s">
        <v>51</v>
      </c>
      <c r="C1575" s="2">
        <v>45992</v>
      </c>
      <c r="D1575" s="2">
        <f t="shared" si="148"/>
        <v>46022</v>
      </c>
      <c r="E1575" s="1">
        <f>D1575+2</f>
        <v>46024</v>
      </c>
      <c r="F1575">
        <v>443</v>
      </c>
      <c r="G1575">
        <v>30</v>
      </c>
      <c r="H1575">
        <f t="shared" si="153"/>
        <v>0</v>
      </c>
      <c r="I1575" t="str">
        <f t="shared" si="151"/>
        <v>On Time</v>
      </c>
      <c r="J1575" cm="1">
        <f t="array" ref="J1575">_xlfn.IFS(H1575&lt;30,0,H1575&lt;60,1,H1575&lt;90,2,H1575&lt;120,3)</f>
        <v>0</v>
      </c>
      <c r="M1575" t="str">
        <f t="shared" si="152"/>
        <v>Low</v>
      </c>
      <c r="N1575" t="str">
        <f t="shared" si="149"/>
        <v>Dec</v>
      </c>
      <c r="O1575">
        <f t="shared" si="150"/>
        <v>2025</v>
      </c>
    </row>
    <row r="1576" spans="1:15" x14ac:dyDescent="0.3">
      <c r="A1576">
        <v>202999</v>
      </c>
      <c r="B1576" t="s">
        <v>52</v>
      </c>
      <c r="C1576" s="2">
        <v>45992</v>
      </c>
      <c r="D1576" s="2">
        <f t="shared" si="148"/>
        <v>46022</v>
      </c>
      <c r="E1576" s="1">
        <f>D1576+5</f>
        <v>46027</v>
      </c>
      <c r="F1576">
        <v>3801</v>
      </c>
      <c r="G1576">
        <v>30</v>
      </c>
      <c r="H1576">
        <f t="shared" si="153"/>
        <v>0</v>
      </c>
      <c r="I1576" t="str">
        <f t="shared" si="151"/>
        <v>On Time</v>
      </c>
      <c r="J1576" cm="1">
        <f t="array" ref="J1576">_xlfn.IFS(H1576&lt;30,0,H1576&lt;60,1,H1576&lt;90,2,H1576&lt;120,3)</f>
        <v>0</v>
      </c>
      <c r="M1576" t="str">
        <f t="shared" si="152"/>
        <v>Low</v>
      </c>
      <c r="N1576" t="str">
        <f t="shared" si="149"/>
        <v>Dec</v>
      </c>
      <c r="O1576">
        <f t="shared" si="150"/>
        <v>2025</v>
      </c>
    </row>
    <row r="1577" spans="1:15" x14ac:dyDescent="0.3">
      <c r="A1577">
        <v>203000</v>
      </c>
      <c r="B1577" t="s">
        <v>53</v>
      </c>
      <c r="C1577" s="2">
        <v>45992</v>
      </c>
      <c r="D1577" s="2">
        <f t="shared" si="148"/>
        <v>46022</v>
      </c>
      <c r="E1577" s="1">
        <f>D1577</f>
        <v>46022</v>
      </c>
      <c r="F1577">
        <v>2687</v>
      </c>
      <c r="G1577">
        <v>30</v>
      </c>
      <c r="H1577">
        <f t="shared" si="153"/>
        <v>0</v>
      </c>
      <c r="I1577" t="str">
        <f t="shared" si="151"/>
        <v>On Time</v>
      </c>
      <c r="J1577" cm="1">
        <f t="array" ref="J1577">_xlfn.IFS(H1577&lt;30,0,H1577&lt;60,1,H1577&lt;90,2,H1577&lt;120,3)</f>
        <v>0</v>
      </c>
      <c r="M1577" t="str">
        <f t="shared" si="152"/>
        <v>Low</v>
      </c>
      <c r="N1577" t="str">
        <f t="shared" si="149"/>
        <v>Dec</v>
      </c>
      <c r="O1577">
        <f t="shared" si="150"/>
        <v>2025</v>
      </c>
    </row>
    <row r="1578" spans="1:15" x14ac:dyDescent="0.3">
      <c r="A1578">
        <v>203001</v>
      </c>
      <c r="B1578" t="s">
        <v>54</v>
      </c>
      <c r="C1578" s="2">
        <v>45992</v>
      </c>
      <c r="D1578" s="2">
        <f t="shared" si="148"/>
        <v>46022</v>
      </c>
      <c r="E1578" s="1">
        <f>D1578</f>
        <v>46022</v>
      </c>
      <c r="F1578">
        <v>888</v>
      </c>
      <c r="G1578">
        <v>30</v>
      </c>
      <c r="H1578">
        <f t="shared" si="153"/>
        <v>0</v>
      </c>
      <c r="I1578" t="str">
        <f t="shared" si="151"/>
        <v>On Time</v>
      </c>
      <c r="J1578" cm="1">
        <f t="array" ref="J1578">_xlfn.IFS(H1578&lt;30,0,H1578&lt;60,1,H1578&lt;90,2,H1578&lt;120,3)</f>
        <v>0</v>
      </c>
      <c r="M1578" t="str">
        <f t="shared" si="152"/>
        <v>Low</v>
      </c>
      <c r="N1578" t="str">
        <f t="shared" si="149"/>
        <v>Dec</v>
      </c>
      <c r="O1578">
        <f t="shared" si="150"/>
        <v>2025</v>
      </c>
    </row>
    <row r="1579" spans="1:15" x14ac:dyDescent="0.3">
      <c r="A1579">
        <v>203002</v>
      </c>
      <c r="B1579" t="s">
        <v>36</v>
      </c>
      <c r="C1579" s="2">
        <v>45992</v>
      </c>
      <c r="D1579" s="2">
        <f t="shared" si="148"/>
        <v>46022</v>
      </c>
      <c r="E1579" s="1">
        <f>D1579+60</f>
        <v>46082</v>
      </c>
      <c r="F1579">
        <v>531</v>
      </c>
      <c r="G1579">
        <v>30</v>
      </c>
      <c r="H1579">
        <f t="shared" si="153"/>
        <v>0</v>
      </c>
      <c r="I1579" t="str">
        <f t="shared" si="151"/>
        <v>On Time</v>
      </c>
      <c r="J1579" cm="1">
        <f t="array" ref="J1579">_xlfn.IFS(H1579&lt;30,0,H1579&lt;60,1,H1579&lt;90,2,H1579&lt;120,3)</f>
        <v>0</v>
      </c>
      <c r="M1579" t="str">
        <f t="shared" si="152"/>
        <v>Low</v>
      </c>
      <c r="N1579" t="str">
        <f t="shared" si="149"/>
        <v>Dec</v>
      </c>
      <c r="O1579">
        <f t="shared" si="150"/>
        <v>2025</v>
      </c>
    </row>
    <row r="1580" spans="1:15" x14ac:dyDescent="0.3">
      <c r="A1580">
        <v>202952</v>
      </c>
      <c r="B1580" t="s">
        <v>118</v>
      </c>
      <c r="C1580" s="2">
        <v>45991</v>
      </c>
      <c r="D1580" s="2">
        <f t="shared" si="148"/>
        <v>46021</v>
      </c>
      <c r="E1580" s="1">
        <f>D1580</f>
        <v>46021</v>
      </c>
      <c r="F1580">
        <v>2224</v>
      </c>
      <c r="G1580">
        <v>30</v>
      </c>
      <c r="H1580">
        <f t="shared" si="153"/>
        <v>0</v>
      </c>
      <c r="I1580" t="str">
        <f t="shared" si="151"/>
        <v>On Time</v>
      </c>
      <c r="J1580" cm="1">
        <f t="array" ref="J1580">_xlfn.IFS(H1580&lt;30,0,H1580&lt;60,1,H1580&lt;90,2,H1580&lt;120,3)</f>
        <v>0</v>
      </c>
      <c r="M1580" t="str">
        <f t="shared" si="152"/>
        <v>Low</v>
      </c>
      <c r="N1580" t="str">
        <f t="shared" si="149"/>
        <v>Nov</v>
      </c>
      <c r="O1580">
        <f t="shared" si="150"/>
        <v>2025</v>
      </c>
    </row>
    <row r="1581" spans="1:15" x14ac:dyDescent="0.3">
      <c r="A1581">
        <v>202953</v>
      </c>
      <c r="B1581" t="s">
        <v>119</v>
      </c>
      <c r="C1581" s="2">
        <v>45991</v>
      </c>
      <c r="D1581" s="2">
        <f t="shared" si="148"/>
        <v>46021</v>
      </c>
      <c r="E1581" s="1">
        <f>D1581-2</f>
        <v>46019</v>
      </c>
      <c r="F1581">
        <v>409</v>
      </c>
      <c r="G1581">
        <v>30</v>
      </c>
      <c r="H1581">
        <f t="shared" si="153"/>
        <v>0</v>
      </c>
      <c r="I1581" t="str">
        <f t="shared" si="151"/>
        <v>On Time</v>
      </c>
      <c r="J1581" cm="1">
        <f t="array" ref="J1581">_xlfn.IFS(H1581&lt;30,0,H1581&lt;60,1,H1581&lt;90,2,H1581&lt;120,3)</f>
        <v>0</v>
      </c>
      <c r="M1581" t="str">
        <f t="shared" si="152"/>
        <v>Low</v>
      </c>
      <c r="N1581" t="str">
        <f t="shared" si="149"/>
        <v>Nov</v>
      </c>
      <c r="O1581">
        <f t="shared" si="150"/>
        <v>2025</v>
      </c>
    </row>
    <row r="1582" spans="1:15" x14ac:dyDescent="0.3">
      <c r="A1582">
        <v>202954</v>
      </c>
      <c r="B1582" t="s">
        <v>31</v>
      </c>
      <c r="C1582" s="2">
        <v>45991</v>
      </c>
      <c r="D1582" s="2">
        <f t="shared" si="148"/>
        <v>46036</v>
      </c>
      <c r="E1582" s="1">
        <f>D1582</f>
        <v>46036</v>
      </c>
      <c r="F1582">
        <v>3112</v>
      </c>
      <c r="G1582">
        <v>45</v>
      </c>
      <c r="H1582">
        <f t="shared" si="153"/>
        <v>0</v>
      </c>
      <c r="I1582" t="str">
        <f t="shared" si="151"/>
        <v>On Time</v>
      </c>
      <c r="J1582" cm="1">
        <f t="array" ref="J1582">_xlfn.IFS(H1582&lt;30,0,H1582&lt;60,1,H1582&lt;90,2,H1582&lt;120,3)</f>
        <v>0</v>
      </c>
      <c r="M1582" t="str">
        <f t="shared" si="152"/>
        <v>Low</v>
      </c>
      <c r="N1582" t="str">
        <f t="shared" si="149"/>
        <v>Nov</v>
      </c>
      <c r="O1582">
        <f t="shared" si="150"/>
        <v>2025</v>
      </c>
    </row>
    <row r="1583" spans="1:15" x14ac:dyDescent="0.3">
      <c r="A1583">
        <v>202955</v>
      </c>
      <c r="B1583" t="s">
        <v>32</v>
      </c>
      <c r="C1583" s="2">
        <v>45991</v>
      </c>
      <c r="D1583" s="2">
        <f t="shared" si="148"/>
        <v>46036</v>
      </c>
      <c r="E1583" s="1">
        <f>D1583+2</f>
        <v>46038</v>
      </c>
      <c r="F1583">
        <v>3612</v>
      </c>
      <c r="G1583">
        <v>45</v>
      </c>
      <c r="H1583">
        <f t="shared" si="153"/>
        <v>0</v>
      </c>
      <c r="I1583" t="str">
        <f t="shared" si="151"/>
        <v>On Time</v>
      </c>
      <c r="J1583" cm="1">
        <f t="array" ref="J1583">_xlfn.IFS(H1583&lt;30,0,H1583&lt;60,1,H1583&lt;90,2,H1583&lt;120,3)</f>
        <v>0</v>
      </c>
      <c r="M1583" t="str">
        <f t="shared" si="152"/>
        <v>Low</v>
      </c>
      <c r="N1583" t="str">
        <f t="shared" si="149"/>
        <v>Nov</v>
      </c>
      <c r="O1583">
        <f t="shared" si="150"/>
        <v>2025</v>
      </c>
    </row>
    <row r="1584" spans="1:15" x14ac:dyDescent="0.3">
      <c r="A1584">
        <v>202956</v>
      </c>
      <c r="B1584" t="s">
        <v>33</v>
      </c>
      <c r="C1584" s="2">
        <v>45991</v>
      </c>
      <c r="D1584" s="2">
        <f t="shared" si="148"/>
        <v>46021</v>
      </c>
      <c r="E1584" s="1">
        <f>D1584+2</f>
        <v>46023</v>
      </c>
      <c r="F1584">
        <v>2469</v>
      </c>
      <c r="G1584">
        <v>30</v>
      </c>
      <c r="H1584">
        <f t="shared" si="153"/>
        <v>0</v>
      </c>
      <c r="I1584" t="str">
        <f t="shared" si="151"/>
        <v>On Time</v>
      </c>
      <c r="J1584" cm="1">
        <f t="array" ref="J1584">_xlfn.IFS(H1584&lt;30,0,H1584&lt;60,1,H1584&lt;90,2,H1584&lt;120,3)</f>
        <v>0</v>
      </c>
      <c r="M1584" t="str">
        <f t="shared" si="152"/>
        <v>Low</v>
      </c>
      <c r="N1584" t="str">
        <f t="shared" si="149"/>
        <v>Nov</v>
      </c>
      <c r="O1584">
        <f t="shared" si="150"/>
        <v>2025</v>
      </c>
    </row>
    <row r="1585" spans="1:15" x14ac:dyDescent="0.3">
      <c r="A1585">
        <v>202957</v>
      </c>
      <c r="B1585" t="s">
        <v>34</v>
      </c>
      <c r="C1585" s="2">
        <v>45991</v>
      </c>
      <c r="D1585" s="2">
        <f t="shared" si="148"/>
        <v>46051</v>
      </c>
      <c r="E1585" s="1">
        <f>D1585+2</f>
        <v>46053</v>
      </c>
      <c r="F1585">
        <v>1572</v>
      </c>
      <c r="G1585">
        <v>60</v>
      </c>
      <c r="H1585">
        <f t="shared" si="153"/>
        <v>0</v>
      </c>
      <c r="I1585" t="str">
        <f t="shared" si="151"/>
        <v>On Time</v>
      </c>
      <c r="J1585" cm="1">
        <f t="array" ref="J1585">_xlfn.IFS(H1585&lt;30,0,H1585&lt;60,1,H1585&lt;90,2,H1585&lt;120,3)</f>
        <v>0</v>
      </c>
      <c r="M1585" t="str">
        <f t="shared" si="152"/>
        <v>Low</v>
      </c>
      <c r="N1585" t="str">
        <f t="shared" si="149"/>
        <v>Nov</v>
      </c>
      <c r="O1585">
        <f t="shared" si="150"/>
        <v>2025</v>
      </c>
    </row>
    <row r="1586" spans="1:15" x14ac:dyDescent="0.3">
      <c r="A1586">
        <v>202958</v>
      </c>
      <c r="B1586" t="s">
        <v>35</v>
      </c>
      <c r="C1586" s="2">
        <v>45991</v>
      </c>
      <c r="D1586" s="2">
        <f t="shared" si="148"/>
        <v>46036</v>
      </c>
      <c r="E1586" s="1">
        <f>D1586</f>
        <v>46036</v>
      </c>
      <c r="F1586">
        <v>4215</v>
      </c>
      <c r="G1586">
        <v>45</v>
      </c>
      <c r="H1586">
        <f t="shared" si="153"/>
        <v>0</v>
      </c>
      <c r="I1586" t="str">
        <f t="shared" si="151"/>
        <v>On Time</v>
      </c>
      <c r="J1586" cm="1">
        <f t="array" ref="J1586">_xlfn.IFS(H1586&lt;30,0,H1586&lt;60,1,H1586&lt;90,2,H1586&lt;120,3)</f>
        <v>0</v>
      </c>
      <c r="M1586" t="str">
        <f t="shared" si="152"/>
        <v>Low</v>
      </c>
      <c r="N1586" t="str">
        <f t="shared" si="149"/>
        <v>Nov</v>
      </c>
      <c r="O1586">
        <f t="shared" si="150"/>
        <v>2025</v>
      </c>
    </row>
    <row r="1587" spans="1:15" x14ac:dyDescent="0.3">
      <c r="A1587">
        <v>202959</v>
      </c>
      <c r="B1587" t="s">
        <v>36</v>
      </c>
      <c r="C1587" s="2">
        <v>45991</v>
      </c>
      <c r="D1587" s="2">
        <f t="shared" si="148"/>
        <v>46021</v>
      </c>
      <c r="E1587" s="1">
        <f>D1587+20</f>
        <v>46041</v>
      </c>
      <c r="F1587">
        <v>14861</v>
      </c>
      <c r="G1587">
        <v>30</v>
      </c>
      <c r="H1587">
        <f t="shared" si="153"/>
        <v>0</v>
      </c>
      <c r="I1587" t="str">
        <f t="shared" si="151"/>
        <v>On Time</v>
      </c>
      <c r="J1587" cm="1">
        <f t="array" ref="J1587">_xlfn.IFS(H1587&lt;30,0,H1587&lt;60,1,H1587&lt;90,2,H1587&lt;120,3)</f>
        <v>0</v>
      </c>
      <c r="M1587" t="str">
        <f t="shared" si="152"/>
        <v>Low</v>
      </c>
      <c r="N1587" t="str">
        <f t="shared" si="149"/>
        <v>Nov</v>
      </c>
      <c r="O1587">
        <f t="shared" si="150"/>
        <v>2025</v>
      </c>
    </row>
    <row r="1588" spans="1:15" x14ac:dyDescent="0.3">
      <c r="A1588">
        <v>202960</v>
      </c>
      <c r="B1588" t="s">
        <v>64</v>
      </c>
      <c r="C1588" s="2">
        <v>45991</v>
      </c>
      <c r="D1588" s="2">
        <f t="shared" si="148"/>
        <v>46021</v>
      </c>
      <c r="E1588" s="1">
        <f>D1588</f>
        <v>46021</v>
      </c>
      <c r="F1588">
        <v>5554</v>
      </c>
      <c r="G1588">
        <v>30</v>
      </c>
      <c r="H1588">
        <f t="shared" si="153"/>
        <v>0</v>
      </c>
      <c r="I1588" t="str">
        <f t="shared" si="151"/>
        <v>On Time</v>
      </c>
      <c r="J1588" cm="1">
        <f t="array" ref="J1588">_xlfn.IFS(H1588&lt;30,0,H1588&lt;60,1,H1588&lt;90,2,H1588&lt;120,3)</f>
        <v>0</v>
      </c>
      <c r="M1588" t="str">
        <f t="shared" si="152"/>
        <v>Low</v>
      </c>
      <c r="N1588" t="str">
        <f t="shared" si="149"/>
        <v>Nov</v>
      </c>
      <c r="O1588">
        <f t="shared" si="150"/>
        <v>2025</v>
      </c>
    </row>
    <row r="1589" spans="1:15" x14ac:dyDescent="0.3">
      <c r="A1589">
        <v>202961</v>
      </c>
      <c r="B1589" t="s">
        <v>45</v>
      </c>
      <c r="C1589" s="2">
        <v>45991</v>
      </c>
      <c r="D1589" s="2">
        <f t="shared" si="148"/>
        <v>46036</v>
      </c>
      <c r="E1589" s="1">
        <f>D1589+1</f>
        <v>46037</v>
      </c>
      <c r="F1589">
        <v>4564</v>
      </c>
      <c r="G1589">
        <v>45</v>
      </c>
      <c r="H1589">
        <f t="shared" si="153"/>
        <v>0</v>
      </c>
      <c r="I1589" t="str">
        <f t="shared" si="151"/>
        <v>On Time</v>
      </c>
      <c r="J1589" cm="1">
        <f t="array" ref="J1589">_xlfn.IFS(H1589&lt;30,0,H1589&lt;60,1,H1589&lt;90,2,H1589&lt;120,3)</f>
        <v>0</v>
      </c>
      <c r="M1589" t="str">
        <f t="shared" si="152"/>
        <v>Low</v>
      </c>
      <c r="N1589" t="str">
        <f t="shared" si="149"/>
        <v>Nov</v>
      </c>
      <c r="O1589">
        <f t="shared" si="150"/>
        <v>2025</v>
      </c>
    </row>
    <row r="1590" spans="1:15" x14ac:dyDescent="0.3">
      <c r="A1590">
        <v>202962</v>
      </c>
      <c r="B1590" t="s">
        <v>46</v>
      </c>
      <c r="C1590" s="2">
        <v>45991</v>
      </c>
      <c r="D1590" s="2">
        <f t="shared" si="148"/>
        <v>46051</v>
      </c>
      <c r="E1590" s="1">
        <f>D1590</f>
        <v>46051</v>
      </c>
      <c r="F1590">
        <v>2636</v>
      </c>
      <c r="G1590">
        <v>60</v>
      </c>
      <c r="H1590">
        <f t="shared" si="153"/>
        <v>0</v>
      </c>
      <c r="I1590" t="str">
        <f t="shared" si="151"/>
        <v>On Time</v>
      </c>
      <c r="J1590" cm="1">
        <f t="array" ref="J1590">_xlfn.IFS(H1590&lt;30,0,H1590&lt;60,1,H1590&lt;90,2,H1590&lt;120,3)</f>
        <v>0</v>
      </c>
      <c r="M1590" t="str">
        <f t="shared" si="152"/>
        <v>Low</v>
      </c>
      <c r="N1590" t="str">
        <f t="shared" si="149"/>
        <v>Nov</v>
      </c>
      <c r="O1590">
        <f t="shared" si="150"/>
        <v>2025</v>
      </c>
    </row>
    <row r="1591" spans="1:15" x14ac:dyDescent="0.3">
      <c r="A1591">
        <v>202963</v>
      </c>
      <c r="B1591" t="s">
        <v>114</v>
      </c>
      <c r="C1591" s="2">
        <v>45991</v>
      </c>
      <c r="D1591" s="2">
        <f t="shared" si="148"/>
        <v>46021</v>
      </c>
      <c r="E1591" s="1">
        <f>D1591</f>
        <v>46021</v>
      </c>
      <c r="F1591">
        <v>2727</v>
      </c>
      <c r="G1591">
        <v>30</v>
      </c>
      <c r="H1591">
        <f t="shared" si="153"/>
        <v>0</v>
      </c>
      <c r="I1591" t="str">
        <f t="shared" si="151"/>
        <v>On Time</v>
      </c>
      <c r="J1591" cm="1">
        <f t="array" ref="J1591">_xlfn.IFS(H1591&lt;30,0,H1591&lt;60,1,H1591&lt;90,2,H1591&lt;120,3)</f>
        <v>0</v>
      </c>
      <c r="M1591" t="str">
        <f t="shared" si="152"/>
        <v>Low</v>
      </c>
      <c r="N1591" t="str">
        <f t="shared" si="149"/>
        <v>Nov</v>
      </c>
      <c r="O1591">
        <f t="shared" si="150"/>
        <v>2025</v>
      </c>
    </row>
    <row r="1592" spans="1:15" x14ac:dyDescent="0.3">
      <c r="A1592">
        <v>202964</v>
      </c>
      <c r="B1592" t="s">
        <v>115</v>
      </c>
      <c r="C1592" s="2">
        <v>45991</v>
      </c>
      <c r="D1592" s="2">
        <f t="shared" si="148"/>
        <v>46021</v>
      </c>
      <c r="E1592" s="1">
        <f>D1592+5</f>
        <v>46026</v>
      </c>
      <c r="F1592">
        <v>3571</v>
      </c>
      <c r="G1592">
        <v>30</v>
      </c>
      <c r="H1592">
        <f t="shared" si="153"/>
        <v>0</v>
      </c>
      <c r="I1592" t="str">
        <f t="shared" si="151"/>
        <v>On Time</v>
      </c>
      <c r="J1592" cm="1">
        <f t="array" ref="J1592">_xlfn.IFS(H1592&lt;30,0,H1592&lt;60,1,H1592&lt;90,2,H1592&lt;120,3)</f>
        <v>0</v>
      </c>
      <c r="M1592" t="str">
        <f t="shared" si="152"/>
        <v>Low</v>
      </c>
      <c r="N1592" t="str">
        <f t="shared" si="149"/>
        <v>Nov</v>
      </c>
      <c r="O1592">
        <f t="shared" si="150"/>
        <v>2025</v>
      </c>
    </row>
    <row r="1593" spans="1:15" x14ac:dyDescent="0.3">
      <c r="A1593">
        <v>202965</v>
      </c>
      <c r="B1593" t="s">
        <v>116</v>
      </c>
      <c r="C1593" s="2">
        <v>45991</v>
      </c>
      <c r="D1593" s="2">
        <f t="shared" si="148"/>
        <v>46021</v>
      </c>
      <c r="E1593" s="1">
        <f>D1593+2</f>
        <v>46023</v>
      </c>
      <c r="F1593">
        <v>2172</v>
      </c>
      <c r="G1593">
        <v>30</v>
      </c>
      <c r="H1593">
        <f t="shared" si="153"/>
        <v>0</v>
      </c>
      <c r="I1593" t="str">
        <f t="shared" si="151"/>
        <v>On Time</v>
      </c>
      <c r="J1593" cm="1">
        <f t="array" ref="J1593">_xlfn.IFS(H1593&lt;30,0,H1593&lt;60,1,H1593&lt;90,2,H1593&lt;120,3)</f>
        <v>0</v>
      </c>
      <c r="M1593" t="str">
        <f t="shared" si="152"/>
        <v>Low</v>
      </c>
      <c r="N1593" t="str">
        <f t="shared" si="149"/>
        <v>Nov</v>
      </c>
      <c r="O1593">
        <f t="shared" si="150"/>
        <v>2025</v>
      </c>
    </row>
    <row r="1594" spans="1:15" x14ac:dyDescent="0.3">
      <c r="A1594">
        <v>202966</v>
      </c>
      <c r="B1594" t="s">
        <v>117</v>
      </c>
      <c r="C1594" s="2">
        <v>45991</v>
      </c>
      <c r="D1594" s="2">
        <f t="shared" si="148"/>
        <v>46021</v>
      </c>
      <c r="E1594" s="1">
        <f>D1594</f>
        <v>46021</v>
      </c>
      <c r="F1594">
        <v>4821</v>
      </c>
      <c r="G1594">
        <v>30</v>
      </c>
      <c r="H1594">
        <f t="shared" si="153"/>
        <v>0</v>
      </c>
      <c r="I1594" t="str">
        <f t="shared" si="151"/>
        <v>On Time</v>
      </c>
      <c r="J1594" cm="1">
        <f t="array" ref="J1594">_xlfn.IFS(H1594&lt;30,0,H1594&lt;60,1,H1594&lt;90,2,H1594&lt;120,3)</f>
        <v>0</v>
      </c>
      <c r="M1594" t="str">
        <f t="shared" si="152"/>
        <v>Low</v>
      </c>
      <c r="N1594" t="str">
        <f t="shared" si="149"/>
        <v>Nov</v>
      </c>
      <c r="O1594">
        <f t="shared" si="150"/>
        <v>2025</v>
      </c>
    </row>
    <row r="1595" spans="1:15" x14ac:dyDescent="0.3">
      <c r="A1595">
        <v>202967</v>
      </c>
      <c r="B1595" t="s">
        <v>118</v>
      </c>
      <c r="C1595" s="2">
        <v>45991</v>
      </c>
      <c r="D1595" s="2">
        <f t="shared" si="148"/>
        <v>46021</v>
      </c>
      <c r="E1595" s="1">
        <f>D1595</f>
        <v>46021</v>
      </c>
      <c r="F1595">
        <v>4599</v>
      </c>
      <c r="G1595">
        <v>30</v>
      </c>
      <c r="H1595">
        <f t="shared" si="153"/>
        <v>0</v>
      </c>
      <c r="I1595" t="str">
        <f t="shared" si="151"/>
        <v>On Time</v>
      </c>
      <c r="J1595" cm="1">
        <f t="array" ref="J1595">_xlfn.IFS(H1595&lt;30,0,H1595&lt;60,1,H1595&lt;90,2,H1595&lt;120,3)</f>
        <v>0</v>
      </c>
      <c r="M1595" t="str">
        <f t="shared" si="152"/>
        <v>Low</v>
      </c>
      <c r="N1595" t="str">
        <f t="shared" si="149"/>
        <v>Nov</v>
      </c>
      <c r="O1595">
        <f t="shared" si="150"/>
        <v>2025</v>
      </c>
    </row>
    <row r="1596" spans="1:15" x14ac:dyDescent="0.3">
      <c r="A1596">
        <v>202968</v>
      </c>
      <c r="B1596" t="s">
        <v>119</v>
      </c>
      <c r="C1596" s="2">
        <v>45991</v>
      </c>
      <c r="D1596" s="2">
        <f t="shared" si="148"/>
        <v>46021</v>
      </c>
      <c r="E1596" s="1">
        <f>D1596</f>
        <v>46021</v>
      </c>
      <c r="F1596">
        <v>749</v>
      </c>
      <c r="G1596">
        <v>30</v>
      </c>
      <c r="H1596">
        <f t="shared" si="153"/>
        <v>0</v>
      </c>
      <c r="I1596" t="str">
        <f t="shared" si="151"/>
        <v>On Time</v>
      </c>
      <c r="J1596" cm="1">
        <f t="array" ref="J1596">_xlfn.IFS(H1596&lt;30,0,H1596&lt;60,1,H1596&lt;90,2,H1596&lt;120,3)</f>
        <v>0</v>
      </c>
      <c r="M1596" t="str">
        <f t="shared" si="152"/>
        <v>Low</v>
      </c>
      <c r="N1596" t="str">
        <f t="shared" si="149"/>
        <v>Nov</v>
      </c>
      <c r="O1596">
        <f t="shared" si="150"/>
        <v>2025</v>
      </c>
    </row>
    <row r="1597" spans="1:15" x14ac:dyDescent="0.3">
      <c r="A1597">
        <v>202969</v>
      </c>
      <c r="B1597" t="s">
        <v>100</v>
      </c>
      <c r="C1597" s="2">
        <v>45991</v>
      </c>
      <c r="D1597" s="2">
        <f t="shared" si="148"/>
        <v>46021</v>
      </c>
      <c r="E1597" s="1">
        <f>D1597+60</f>
        <v>46081</v>
      </c>
      <c r="F1597">
        <v>4291</v>
      </c>
      <c r="G1597">
        <v>30</v>
      </c>
      <c r="H1597">
        <f t="shared" si="153"/>
        <v>0</v>
      </c>
      <c r="I1597" t="str">
        <f t="shared" si="151"/>
        <v>On Time</v>
      </c>
      <c r="J1597" cm="1">
        <f t="array" ref="J1597">_xlfn.IFS(H1597&lt;30,0,H1597&lt;60,1,H1597&lt;90,2,H1597&lt;120,3)</f>
        <v>0</v>
      </c>
      <c r="M1597" t="str">
        <f t="shared" si="152"/>
        <v>Low</v>
      </c>
      <c r="N1597" t="str">
        <f t="shared" si="149"/>
        <v>Nov</v>
      </c>
      <c r="O1597">
        <f t="shared" si="150"/>
        <v>2025</v>
      </c>
    </row>
    <row r="1598" spans="1:15" x14ac:dyDescent="0.3">
      <c r="A1598">
        <v>202970</v>
      </c>
      <c r="B1598" t="s">
        <v>101</v>
      </c>
      <c r="C1598" s="2">
        <v>45991</v>
      </c>
      <c r="D1598" s="2">
        <f t="shared" si="148"/>
        <v>46021</v>
      </c>
      <c r="E1598" s="1">
        <f>D1598</f>
        <v>46021</v>
      </c>
      <c r="F1598">
        <v>174</v>
      </c>
      <c r="G1598">
        <v>30</v>
      </c>
      <c r="H1598">
        <f t="shared" si="153"/>
        <v>0</v>
      </c>
      <c r="I1598" t="str">
        <f t="shared" si="151"/>
        <v>On Time</v>
      </c>
      <c r="J1598" cm="1">
        <f t="array" ref="J1598">_xlfn.IFS(H1598&lt;30,0,H1598&lt;60,1,H1598&lt;90,2,H1598&lt;120,3)</f>
        <v>0</v>
      </c>
      <c r="M1598" t="str">
        <f t="shared" si="152"/>
        <v>Low</v>
      </c>
      <c r="N1598" t="str">
        <f t="shared" si="149"/>
        <v>Nov</v>
      </c>
      <c r="O1598">
        <f t="shared" si="150"/>
        <v>2025</v>
      </c>
    </row>
    <row r="1599" spans="1:15" x14ac:dyDescent="0.3">
      <c r="A1599">
        <v>202971</v>
      </c>
      <c r="B1599" t="s">
        <v>102</v>
      </c>
      <c r="C1599" s="2">
        <v>45991</v>
      </c>
      <c r="D1599" s="2">
        <f t="shared" si="148"/>
        <v>46021</v>
      </c>
      <c r="E1599" s="1">
        <f>D1599</f>
        <v>46021</v>
      </c>
      <c r="F1599">
        <v>2512</v>
      </c>
      <c r="G1599">
        <v>30</v>
      </c>
      <c r="H1599">
        <f t="shared" si="153"/>
        <v>0</v>
      </c>
      <c r="I1599" t="str">
        <f t="shared" si="151"/>
        <v>On Time</v>
      </c>
      <c r="J1599" cm="1">
        <f t="array" ref="J1599">_xlfn.IFS(H1599&lt;30,0,H1599&lt;60,1,H1599&lt;90,2,H1599&lt;120,3)</f>
        <v>0</v>
      </c>
      <c r="M1599" t="str">
        <f t="shared" si="152"/>
        <v>Low</v>
      </c>
      <c r="N1599" t="str">
        <f t="shared" si="149"/>
        <v>Nov</v>
      </c>
      <c r="O1599">
        <f t="shared" si="150"/>
        <v>2025</v>
      </c>
    </row>
    <row r="1600" spans="1:15" x14ac:dyDescent="0.3">
      <c r="A1600">
        <v>202972</v>
      </c>
      <c r="B1600" t="s">
        <v>103</v>
      </c>
      <c r="C1600" s="2">
        <v>45991</v>
      </c>
      <c r="D1600" s="2">
        <f t="shared" si="148"/>
        <v>46021</v>
      </c>
      <c r="E1600" s="1">
        <f>D1600+3</f>
        <v>46024</v>
      </c>
      <c r="F1600">
        <v>1001</v>
      </c>
      <c r="G1600">
        <v>30</v>
      </c>
      <c r="H1600">
        <f t="shared" si="153"/>
        <v>0</v>
      </c>
      <c r="I1600" t="str">
        <f t="shared" si="151"/>
        <v>On Time</v>
      </c>
      <c r="J1600" cm="1">
        <f t="array" ref="J1600">_xlfn.IFS(H1600&lt;30,0,H1600&lt;60,1,H1600&lt;90,2,H1600&lt;120,3)</f>
        <v>0</v>
      </c>
      <c r="M1600" t="str">
        <f t="shared" si="152"/>
        <v>Low</v>
      </c>
      <c r="N1600" t="str">
        <f t="shared" si="149"/>
        <v>Nov</v>
      </c>
      <c r="O1600">
        <f t="shared" si="150"/>
        <v>2025</v>
      </c>
    </row>
    <row r="1601" spans="1:15" x14ac:dyDescent="0.3">
      <c r="A1601">
        <v>202973</v>
      </c>
      <c r="B1601" t="s">
        <v>104</v>
      </c>
      <c r="C1601" s="2">
        <v>45991</v>
      </c>
      <c r="D1601" s="2">
        <f t="shared" si="148"/>
        <v>46021</v>
      </c>
      <c r="E1601" s="1">
        <f>D1601+1</f>
        <v>46022</v>
      </c>
      <c r="F1601">
        <v>1655</v>
      </c>
      <c r="G1601">
        <v>30</v>
      </c>
      <c r="H1601">
        <f t="shared" si="153"/>
        <v>0</v>
      </c>
      <c r="I1601" t="str">
        <f t="shared" si="151"/>
        <v>On Time</v>
      </c>
      <c r="J1601" cm="1">
        <f t="array" ref="J1601">_xlfn.IFS(H1601&lt;30,0,H1601&lt;60,1,H1601&lt;90,2,H1601&lt;120,3)</f>
        <v>0</v>
      </c>
      <c r="M1601" t="str">
        <f t="shared" si="152"/>
        <v>Low</v>
      </c>
      <c r="N1601" t="str">
        <f t="shared" si="149"/>
        <v>Nov</v>
      </c>
      <c r="O1601">
        <f t="shared" si="150"/>
        <v>2025</v>
      </c>
    </row>
    <row r="1602" spans="1:15" x14ac:dyDescent="0.3">
      <c r="A1602">
        <v>202974</v>
      </c>
      <c r="B1602" t="s">
        <v>105</v>
      </c>
      <c r="C1602" s="2">
        <v>45991</v>
      </c>
      <c r="D1602" s="2">
        <f t="shared" ref="D1602:D1665" si="154">C1602+G1602</f>
        <v>46021</v>
      </c>
      <c r="E1602" s="1">
        <f>D1602-1</f>
        <v>46020</v>
      </c>
      <c r="F1602">
        <v>2243</v>
      </c>
      <c r="G1602">
        <v>30</v>
      </c>
      <c r="H1602">
        <f t="shared" si="153"/>
        <v>0</v>
      </c>
      <c r="I1602" t="str">
        <f t="shared" si="151"/>
        <v>On Time</v>
      </c>
      <c r="J1602" cm="1">
        <f t="array" ref="J1602">_xlfn.IFS(H1602&lt;30,0,H1602&lt;60,1,H1602&lt;90,2,H1602&lt;120,3)</f>
        <v>0</v>
      </c>
      <c r="M1602" t="str">
        <f t="shared" si="152"/>
        <v>Low</v>
      </c>
      <c r="N1602" t="str">
        <f t="shared" ref="N1602:N1665" si="155">TEXT(C1602,"mmm")</f>
        <v>Nov</v>
      </c>
      <c r="O1602">
        <f t="shared" ref="O1602:O1665" si="156">YEAR(C1602)</f>
        <v>2025</v>
      </c>
    </row>
    <row r="1603" spans="1:15" x14ac:dyDescent="0.3">
      <c r="A1603">
        <v>202975</v>
      </c>
      <c r="B1603" t="s">
        <v>86</v>
      </c>
      <c r="C1603" s="2">
        <v>45991</v>
      </c>
      <c r="D1603" s="2">
        <f t="shared" si="154"/>
        <v>46021</v>
      </c>
      <c r="E1603" s="1">
        <f>D1603</f>
        <v>46021</v>
      </c>
      <c r="F1603">
        <v>4532</v>
      </c>
      <c r="G1603">
        <v>30</v>
      </c>
      <c r="H1603">
        <f t="shared" si="153"/>
        <v>0</v>
      </c>
      <c r="I1603" t="str">
        <f t="shared" si="151"/>
        <v>On Time</v>
      </c>
      <c r="J1603" cm="1">
        <f t="array" ref="J1603">_xlfn.IFS(H1603&lt;30,0,H1603&lt;60,1,H1603&lt;90,2,H1603&lt;120,3)</f>
        <v>0</v>
      </c>
      <c r="M1603" t="str">
        <f t="shared" si="152"/>
        <v>Low</v>
      </c>
      <c r="N1603" t="str">
        <f t="shared" si="155"/>
        <v>Nov</v>
      </c>
      <c r="O1603">
        <f t="shared" si="156"/>
        <v>2025</v>
      </c>
    </row>
    <row r="1604" spans="1:15" x14ac:dyDescent="0.3">
      <c r="A1604">
        <v>202976</v>
      </c>
      <c r="B1604" t="s">
        <v>87</v>
      </c>
      <c r="C1604" s="2">
        <v>45991</v>
      </c>
      <c r="D1604" s="2">
        <f t="shared" si="154"/>
        <v>46021</v>
      </c>
      <c r="E1604" s="1">
        <f>D1604+1</f>
        <v>46022</v>
      </c>
      <c r="F1604">
        <v>4330</v>
      </c>
      <c r="G1604">
        <v>30</v>
      </c>
      <c r="H1604">
        <f t="shared" si="153"/>
        <v>0</v>
      </c>
      <c r="I1604" t="str">
        <f t="shared" si="151"/>
        <v>On Time</v>
      </c>
      <c r="J1604" cm="1">
        <f t="array" ref="J1604">_xlfn.IFS(H1604&lt;30,0,H1604&lt;60,1,H1604&lt;90,2,H1604&lt;120,3)</f>
        <v>0</v>
      </c>
      <c r="M1604" t="str">
        <f t="shared" si="152"/>
        <v>Low</v>
      </c>
      <c r="N1604" t="str">
        <f t="shared" si="155"/>
        <v>Nov</v>
      </c>
      <c r="O1604">
        <f t="shared" si="156"/>
        <v>2025</v>
      </c>
    </row>
    <row r="1605" spans="1:15" x14ac:dyDescent="0.3">
      <c r="A1605">
        <v>202977</v>
      </c>
      <c r="B1605" t="s">
        <v>88</v>
      </c>
      <c r="C1605" s="2">
        <v>45991</v>
      </c>
      <c r="D1605" s="2">
        <f t="shared" si="154"/>
        <v>46021</v>
      </c>
      <c r="E1605" s="1">
        <f>D1605+35</f>
        <v>46056</v>
      </c>
      <c r="F1605">
        <v>4164</v>
      </c>
      <c r="G1605">
        <v>30</v>
      </c>
      <c r="H1605">
        <f t="shared" si="153"/>
        <v>0</v>
      </c>
      <c r="I1605" t="str">
        <f t="shared" si="151"/>
        <v>On Time</v>
      </c>
      <c r="J1605" cm="1">
        <f t="array" ref="J1605">_xlfn.IFS(H1605&lt;30,0,H1605&lt;60,1,H1605&lt;90,2,H1605&lt;120,3)</f>
        <v>0</v>
      </c>
      <c r="M1605" t="str">
        <f t="shared" si="152"/>
        <v>Low</v>
      </c>
      <c r="N1605" t="str">
        <f t="shared" si="155"/>
        <v>Nov</v>
      </c>
      <c r="O1605">
        <f t="shared" si="156"/>
        <v>2025</v>
      </c>
    </row>
    <row r="1606" spans="1:15" x14ac:dyDescent="0.3">
      <c r="A1606">
        <v>202929</v>
      </c>
      <c r="B1606" t="s">
        <v>33</v>
      </c>
      <c r="C1606" s="2">
        <v>45990</v>
      </c>
      <c r="D1606" s="2">
        <f t="shared" si="154"/>
        <v>46020</v>
      </c>
      <c r="E1606" s="1">
        <f>D1606</f>
        <v>46020</v>
      </c>
      <c r="F1606">
        <v>700</v>
      </c>
      <c r="G1606">
        <v>30</v>
      </c>
      <c r="H1606">
        <f t="shared" si="153"/>
        <v>0</v>
      </c>
      <c r="I1606" t="str">
        <f t="shared" si="151"/>
        <v>On Time</v>
      </c>
      <c r="J1606" cm="1">
        <f t="array" ref="J1606">_xlfn.IFS(H1606&lt;30,0,H1606&lt;60,1,H1606&lt;90,2,H1606&lt;120,3)</f>
        <v>0</v>
      </c>
      <c r="M1606" t="str">
        <f t="shared" si="152"/>
        <v>Low</v>
      </c>
      <c r="N1606" t="str">
        <f t="shared" si="155"/>
        <v>Nov</v>
      </c>
      <c r="O1606">
        <f t="shared" si="156"/>
        <v>2025</v>
      </c>
    </row>
    <row r="1607" spans="1:15" x14ac:dyDescent="0.3">
      <c r="A1607">
        <v>202930</v>
      </c>
      <c r="B1607" t="s">
        <v>34</v>
      </c>
      <c r="C1607" s="2">
        <v>45990</v>
      </c>
      <c r="D1607" s="2">
        <f t="shared" si="154"/>
        <v>46050</v>
      </c>
      <c r="E1607" s="1">
        <f>D1607</f>
        <v>46050</v>
      </c>
      <c r="F1607">
        <v>1644</v>
      </c>
      <c r="G1607">
        <v>60</v>
      </c>
      <c r="H1607">
        <f t="shared" si="153"/>
        <v>0</v>
      </c>
      <c r="I1607" t="str">
        <f t="shared" si="151"/>
        <v>On Time</v>
      </c>
      <c r="J1607" cm="1">
        <f t="array" ref="J1607">_xlfn.IFS(H1607&lt;30,0,H1607&lt;60,1,H1607&lt;90,2,H1607&lt;120,3)</f>
        <v>0</v>
      </c>
      <c r="M1607" t="str">
        <f t="shared" si="152"/>
        <v>Low</v>
      </c>
      <c r="N1607" t="str">
        <f t="shared" si="155"/>
        <v>Nov</v>
      </c>
      <c r="O1607">
        <f t="shared" si="156"/>
        <v>2025</v>
      </c>
    </row>
    <row r="1608" spans="1:15" x14ac:dyDescent="0.3">
      <c r="A1608">
        <v>202931</v>
      </c>
      <c r="B1608" t="s">
        <v>35</v>
      </c>
      <c r="C1608" s="2">
        <v>45990</v>
      </c>
      <c r="D1608" s="2">
        <f t="shared" si="154"/>
        <v>46035</v>
      </c>
      <c r="E1608" s="1">
        <f>D1608+5</f>
        <v>46040</v>
      </c>
      <c r="F1608">
        <v>4493</v>
      </c>
      <c r="G1608">
        <v>45</v>
      </c>
      <c r="H1608">
        <f t="shared" si="153"/>
        <v>0</v>
      </c>
      <c r="I1608" t="str">
        <f t="shared" si="151"/>
        <v>On Time</v>
      </c>
      <c r="J1608" cm="1">
        <f t="array" ref="J1608">_xlfn.IFS(H1608&lt;30,0,H1608&lt;60,1,H1608&lt;90,2,H1608&lt;120,3)</f>
        <v>0</v>
      </c>
      <c r="M1608" t="str">
        <f t="shared" si="152"/>
        <v>Low</v>
      </c>
      <c r="N1608" t="str">
        <f t="shared" si="155"/>
        <v>Nov</v>
      </c>
      <c r="O1608">
        <f t="shared" si="156"/>
        <v>2025</v>
      </c>
    </row>
    <row r="1609" spans="1:15" x14ac:dyDescent="0.3">
      <c r="A1609">
        <v>202932</v>
      </c>
      <c r="B1609" t="s">
        <v>36</v>
      </c>
      <c r="C1609" s="2">
        <v>45990</v>
      </c>
      <c r="D1609" s="2">
        <f t="shared" si="154"/>
        <v>46020</v>
      </c>
      <c r="E1609" s="1">
        <f>D1609+2</f>
        <v>46022</v>
      </c>
      <c r="F1609">
        <v>4098</v>
      </c>
      <c r="G1609">
        <v>30</v>
      </c>
      <c r="H1609">
        <f t="shared" si="153"/>
        <v>0</v>
      </c>
      <c r="I1609" t="str">
        <f t="shared" si="151"/>
        <v>On Time</v>
      </c>
      <c r="J1609" cm="1">
        <f t="array" ref="J1609">_xlfn.IFS(H1609&lt;30,0,H1609&lt;60,1,H1609&lt;90,2,H1609&lt;120,3)</f>
        <v>0</v>
      </c>
      <c r="M1609" t="str">
        <f t="shared" si="152"/>
        <v>Low</v>
      </c>
      <c r="N1609" t="str">
        <f t="shared" si="155"/>
        <v>Nov</v>
      </c>
      <c r="O1609">
        <f t="shared" si="156"/>
        <v>2025</v>
      </c>
    </row>
    <row r="1610" spans="1:15" x14ac:dyDescent="0.3">
      <c r="A1610">
        <v>202933</v>
      </c>
      <c r="B1610" t="s">
        <v>64</v>
      </c>
      <c r="C1610" s="2">
        <v>45990</v>
      </c>
      <c r="D1610" s="2">
        <f t="shared" si="154"/>
        <v>46020</v>
      </c>
      <c r="E1610" s="1">
        <f>D1610+5</f>
        <v>46025</v>
      </c>
      <c r="F1610">
        <v>146</v>
      </c>
      <c r="G1610">
        <v>30</v>
      </c>
      <c r="H1610">
        <f t="shared" si="153"/>
        <v>0</v>
      </c>
      <c r="I1610" t="str">
        <f t="shared" si="151"/>
        <v>On Time</v>
      </c>
      <c r="J1610" cm="1">
        <f t="array" ref="J1610">_xlfn.IFS(H1610&lt;30,0,H1610&lt;60,1,H1610&lt;90,2,H1610&lt;120,3)</f>
        <v>0</v>
      </c>
      <c r="M1610" t="str">
        <f t="shared" si="152"/>
        <v>Low</v>
      </c>
      <c r="N1610" t="str">
        <f t="shared" si="155"/>
        <v>Nov</v>
      </c>
      <c r="O1610">
        <f t="shared" si="156"/>
        <v>2025</v>
      </c>
    </row>
    <row r="1611" spans="1:15" x14ac:dyDescent="0.3">
      <c r="A1611">
        <v>202934</v>
      </c>
      <c r="B1611" t="s">
        <v>65</v>
      </c>
      <c r="C1611" s="2">
        <v>45990</v>
      </c>
      <c r="D1611" s="2">
        <f t="shared" si="154"/>
        <v>46035</v>
      </c>
      <c r="E1611" s="1">
        <f>D1611</f>
        <v>46035</v>
      </c>
      <c r="F1611">
        <v>3423</v>
      </c>
      <c r="G1611">
        <v>45</v>
      </c>
      <c r="H1611">
        <f t="shared" si="153"/>
        <v>0</v>
      </c>
      <c r="I1611" t="str">
        <f t="shared" si="151"/>
        <v>On Time</v>
      </c>
      <c r="J1611" cm="1">
        <f t="array" ref="J1611">_xlfn.IFS(H1611&lt;30,0,H1611&lt;60,1,H1611&lt;90,2,H1611&lt;120,3)</f>
        <v>0</v>
      </c>
      <c r="M1611" t="str">
        <f t="shared" si="152"/>
        <v>Low</v>
      </c>
      <c r="N1611" t="str">
        <f t="shared" si="155"/>
        <v>Nov</v>
      </c>
      <c r="O1611">
        <f t="shared" si="156"/>
        <v>2025</v>
      </c>
    </row>
    <row r="1612" spans="1:15" x14ac:dyDescent="0.3">
      <c r="A1612">
        <v>202935</v>
      </c>
      <c r="B1612" t="s">
        <v>66</v>
      </c>
      <c r="C1612" s="2">
        <v>45990</v>
      </c>
      <c r="D1612" s="2">
        <f t="shared" si="154"/>
        <v>46050</v>
      </c>
      <c r="E1612" s="1">
        <f>D1612</f>
        <v>46050</v>
      </c>
      <c r="F1612">
        <v>2600</v>
      </c>
      <c r="G1612">
        <v>60</v>
      </c>
      <c r="H1612">
        <f t="shared" si="153"/>
        <v>0</v>
      </c>
      <c r="I1612" t="str">
        <f t="shared" si="151"/>
        <v>On Time</v>
      </c>
      <c r="J1612" cm="1">
        <f t="array" ref="J1612">_xlfn.IFS(H1612&lt;30,0,H1612&lt;60,1,H1612&lt;90,2,H1612&lt;120,3)</f>
        <v>0</v>
      </c>
      <c r="M1612" t="str">
        <f t="shared" si="152"/>
        <v>Low</v>
      </c>
      <c r="N1612" t="str">
        <f t="shared" si="155"/>
        <v>Nov</v>
      </c>
      <c r="O1612">
        <f t="shared" si="156"/>
        <v>2025</v>
      </c>
    </row>
    <row r="1613" spans="1:15" x14ac:dyDescent="0.3">
      <c r="A1613">
        <v>202936</v>
      </c>
      <c r="B1613" t="s">
        <v>67</v>
      </c>
      <c r="C1613" s="2">
        <v>45990</v>
      </c>
      <c r="D1613" s="2">
        <f t="shared" si="154"/>
        <v>46020</v>
      </c>
      <c r="E1613" s="1">
        <f>D1613+60</f>
        <v>46080</v>
      </c>
      <c r="F1613">
        <v>4954</v>
      </c>
      <c r="G1613">
        <v>30</v>
      </c>
      <c r="H1613">
        <f t="shared" si="153"/>
        <v>0</v>
      </c>
      <c r="I1613" t="str">
        <f t="shared" si="151"/>
        <v>On Time</v>
      </c>
      <c r="J1613" cm="1">
        <f t="array" ref="J1613">_xlfn.IFS(H1613&lt;30,0,H1613&lt;60,1,H1613&lt;90,2,H1613&lt;120,3)</f>
        <v>0</v>
      </c>
      <c r="M1613" t="str">
        <f t="shared" si="152"/>
        <v>Low</v>
      </c>
      <c r="N1613" t="str">
        <f t="shared" si="155"/>
        <v>Nov</v>
      </c>
      <c r="O1613">
        <f t="shared" si="156"/>
        <v>2025</v>
      </c>
    </row>
    <row r="1614" spans="1:15" x14ac:dyDescent="0.3">
      <c r="A1614">
        <v>202937</v>
      </c>
      <c r="B1614" t="s">
        <v>68</v>
      </c>
      <c r="C1614" s="2">
        <v>45990</v>
      </c>
      <c r="D1614" s="2">
        <f t="shared" si="154"/>
        <v>46020</v>
      </c>
      <c r="E1614" s="1">
        <f>D1614</f>
        <v>46020</v>
      </c>
      <c r="F1614">
        <v>825</v>
      </c>
      <c r="G1614">
        <v>30</v>
      </c>
      <c r="H1614">
        <f t="shared" si="153"/>
        <v>0</v>
      </c>
      <c r="I1614" t="str">
        <f t="shared" si="151"/>
        <v>On Time</v>
      </c>
      <c r="J1614" cm="1">
        <f t="array" ref="J1614">_xlfn.IFS(H1614&lt;30,0,H1614&lt;60,1,H1614&lt;90,2,H1614&lt;120,3)</f>
        <v>0</v>
      </c>
      <c r="M1614" t="str">
        <f t="shared" si="152"/>
        <v>Low</v>
      </c>
      <c r="N1614" t="str">
        <f t="shared" si="155"/>
        <v>Nov</v>
      </c>
      <c r="O1614">
        <f t="shared" si="156"/>
        <v>2025</v>
      </c>
    </row>
    <row r="1615" spans="1:15" x14ac:dyDescent="0.3">
      <c r="A1615">
        <v>202938</v>
      </c>
      <c r="B1615" t="s">
        <v>69</v>
      </c>
      <c r="C1615" s="2">
        <v>45990</v>
      </c>
      <c r="D1615" s="2">
        <f t="shared" si="154"/>
        <v>46020</v>
      </c>
      <c r="E1615" s="1">
        <f>D1615+3</f>
        <v>46023</v>
      </c>
      <c r="F1615">
        <v>18822</v>
      </c>
      <c r="G1615">
        <v>30</v>
      </c>
      <c r="H1615">
        <f t="shared" si="153"/>
        <v>0</v>
      </c>
      <c r="I1615" t="str">
        <f t="shared" si="151"/>
        <v>On Time</v>
      </c>
      <c r="J1615" cm="1">
        <f t="array" ref="J1615">_xlfn.IFS(H1615&lt;30,0,H1615&lt;60,1,H1615&lt;90,2,H1615&lt;120,3)</f>
        <v>0</v>
      </c>
      <c r="M1615" t="str">
        <f t="shared" si="152"/>
        <v>Low</v>
      </c>
      <c r="N1615" t="str">
        <f t="shared" si="155"/>
        <v>Nov</v>
      </c>
      <c r="O1615">
        <f t="shared" si="156"/>
        <v>2025</v>
      </c>
    </row>
    <row r="1616" spans="1:15" x14ac:dyDescent="0.3">
      <c r="A1616">
        <v>202939</v>
      </c>
      <c r="B1616" t="s">
        <v>70</v>
      </c>
      <c r="C1616" s="2">
        <v>45990</v>
      </c>
      <c r="D1616" s="2">
        <f t="shared" si="154"/>
        <v>46020</v>
      </c>
      <c r="E1616" s="1">
        <f>D1616+3</f>
        <v>46023</v>
      </c>
      <c r="F1616">
        <v>656</v>
      </c>
      <c r="G1616">
        <v>30</v>
      </c>
      <c r="H1616">
        <f t="shared" si="153"/>
        <v>0</v>
      </c>
      <c r="I1616" t="str">
        <f t="shared" si="151"/>
        <v>On Time</v>
      </c>
      <c r="J1616" cm="1">
        <f t="array" ref="J1616">_xlfn.IFS(H1616&lt;30,0,H1616&lt;60,1,H1616&lt;90,2,H1616&lt;120,3)</f>
        <v>0</v>
      </c>
      <c r="M1616" t="str">
        <f t="shared" si="152"/>
        <v>Low</v>
      </c>
      <c r="N1616" t="str">
        <f t="shared" si="155"/>
        <v>Nov</v>
      </c>
      <c r="O1616">
        <f t="shared" si="156"/>
        <v>2025</v>
      </c>
    </row>
    <row r="1617" spans="1:15" x14ac:dyDescent="0.3">
      <c r="A1617">
        <v>202940</v>
      </c>
      <c r="B1617" t="s">
        <v>71</v>
      </c>
      <c r="C1617" s="2">
        <v>45990</v>
      </c>
      <c r="D1617" s="2">
        <f t="shared" si="154"/>
        <v>46020</v>
      </c>
      <c r="E1617" s="1">
        <f>D1617+1</f>
        <v>46021</v>
      </c>
      <c r="F1617">
        <v>4183</v>
      </c>
      <c r="G1617">
        <v>30</v>
      </c>
      <c r="H1617">
        <f t="shared" si="153"/>
        <v>0</v>
      </c>
      <c r="I1617" t="str">
        <f t="shared" si="151"/>
        <v>On Time</v>
      </c>
      <c r="J1617" cm="1">
        <f t="array" ref="J1617">_xlfn.IFS(H1617&lt;30,0,H1617&lt;60,1,H1617&lt;90,2,H1617&lt;120,3)</f>
        <v>0</v>
      </c>
      <c r="M1617" t="str">
        <f t="shared" si="152"/>
        <v>Low</v>
      </c>
      <c r="N1617" t="str">
        <f t="shared" si="155"/>
        <v>Nov</v>
      </c>
      <c r="O1617">
        <f t="shared" si="156"/>
        <v>2025</v>
      </c>
    </row>
    <row r="1618" spans="1:15" x14ac:dyDescent="0.3">
      <c r="A1618">
        <v>202941</v>
      </c>
      <c r="B1618" t="s">
        <v>72</v>
      </c>
      <c r="C1618" s="2">
        <v>45990</v>
      </c>
      <c r="D1618" s="2">
        <f t="shared" si="154"/>
        <v>46020</v>
      </c>
      <c r="E1618" s="1">
        <f>D1618-1</f>
        <v>46019</v>
      </c>
      <c r="F1618">
        <v>2626</v>
      </c>
      <c r="G1618">
        <v>30</v>
      </c>
      <c r="H1618">
        <f t="shared" si="153"/>
        <v>0</v>
      </c>
      <c r="I1618" t="str">
        <f t="shared" si="151"/>
        <v>On Time</v>
      </c>
      <c r="J1618" cm="1">
        <f t="array" ref="J1618">_xlfn.IFS(H1618&lt;30,0,H1618&lt;60,1,H1618&lt;90,2,H1618&lt;120,3)</f>
        <v>0</v>
      </c>
      <c r="M1618" t="str">
        <f t="shared" si="152"/>
        <v>Low</v>
      </c>
      <c r="N1618" t="str">
        <f t="shared" si="155"/>
        <v>Nov</v>
      </c>
      <c r="O1618">
        <f t="shared" si="156"/>
        <v>2025</v>
      </c>
    </row>
    <row r="1619" spans="1:15" x14ac:dyDescent="0.3">
      <c r="A1619">
        <v>202942</v>
      </c>
      <c r="B1619" t="s">
        <v>73</v>
      </c>
      <c r="C1619" s="2">
        <v>45990</v>
      </c>
      <c r="D1619" s="2">
        <f t="shared" si="154"/>
        <v>46035</v>
      </c>
      <c r="E1619" s="1">
        <f>D1619</f>
        <v>46035</v>
      </c>
      <c r="F1619">
        <v>4118</v>
      </c>
      <c r="G1619">
        <v>45</v>
      </c>
      <c r="H1619">
        <f t="shared" si="153"/>
        <v>0</v>
      </c>
      <c r="I1619" t="str">
        <f t="shared" si="151"/>
        <v>On Time</v>
      </c>
      <c r="J1619" cm="1">
        <f t="array" ref="J1619">_xlfn.IFS(H1619&lt;30,0,H1619&lt;60,1,H1619&lt;90,2,H1619&lt;120,3)</f>
        <v>0</v>
      </c>
      <c r="M1619" t="str">
        <f t="shared" si="152"/>
        <v>Low</v>
      </c>
      <c r="N1619" t="str">
        <f t="shared" si="155"/>
        <v>Nov</v>
      </c>
      <c r="O1619">
        <f t="shared" si="156"/>
        <v>2025</v>
      </c>
    </row>
    <row r="1620" spans="1:15" x14ac:dyDescent="0.3">
      <c r="A1620">
        <v>202943</v>
      </c>
      <c r="B1620" t="s">
        <v>101</v>
      </c>
      <c r="C1620" s="2">
        <v>45990</v>
      </c>
      <c r="D1620" s="2">
        <f t="shared" si="154"/>
        <v>46020</v>
      </c>
      <c r="E1620" s="1">
        <f>D1620-5</f>
        <v>46015</v>
      </c>
      <c r="F1620">
        <v>1402</v>
      </c>
      <c r="G1620">
        <v>30</v>
      </c>
      <c r="H1620">
        <f t="shared" si="153"/>
        <v>0</v>
      </c>
      <c r="I1620" t="str">
        <f t="shared" si="151"/>
        <v>On Time</v>
      </c>
      <c r="J1620" cm="1">
        <f t="array" ref="J1620">_xlfn.IFS(H1620&lt;30,0,H1620&lt;60,1,H1620&lt;90,2,H1620&lt;120,3)</f>
        <v>0</v>
      </c>
      <c r="M1620" t="str">
        <f t="shared" si="152"/>
        <v>Low</v>
      </c>
      <c r="N1620" t="str">
        <f t="shared" si="155"/>
        <v>Nov</v>
      </c>
      <c r="O1620">
        <f t="shared" si="156"/>
        <v>2025</v>
      </c>
    </row>
    <row r="1621" spans="1:15" x14ac:dyDescent="0.3">
      <c r="A1621">
        <v>202944</v>
      </c>
      <c r="B1621" t="s">
        <v>102</v>
      </c>
      <c r="C1621" s="2">
        <v>45990</v>
      </c>
      <c r="D1621" s="2">
        <f t="shared" si="154"/>
        <v>46020</v>
      </c>
      <c r="E1621" s="1">
        <f>D1621+35</f>
        <v>46055</v>
      </c>
      <c r="F1621">
        <v>13955</v>
      </c>
      <c r="G1621">
        <v>30</v>
      </c>
      <c r="H1621">
        <f t="shared" si="153"/>
        <v>0</v>
      </c>
      <c r="I1621" t="str">
        <f t="shared" si="151"/>
        <v>On Time</v>
      </c>
      <c r="J1621" cm="1">
        <f t="array" ref="J1621">_xlfn.IFS(H1621&lt;30,0,H1621&lt;60,1,H1621&lt;90,2,H1621&lt;120,3)</f>
        <v>0</v>
      </c>
      <c r="M1621" t="str">
        <f t="shared" si="152"/>
        <v>Low</v>
      </c>
      <c r="N1621" t="str">
        <f t="shared" si="155"/>
        <v>Nov</v>
      </c>
      <c r="O1621">
        <f t="shared" si="156"/>
        <v>2025</v>
      </c>
    </row>
    <row r="1622" spans="1:15" x14ac:dyDescent="0.3">
      <c r="A1622">
        <v>202945</v>
      </c>
      <c r="B1622" t="s">
        <v>103</v>
      </c>
      <c r="C1622" s="2">
        <v>45990</v>
      </c>
      <c r="D1622" s="2">
        <f t="shared" si="154"/>
        <v>46020</v>
      </c>
      <c r="E1622" s="1">
        <f>D1622+75</f>
        <v>46095</v>
      </c>
      <c r="F1622">
        <v>15410</v>
      </c>
      <c r="G1622">
        <v>30</v>
      </c>
      <c r="H1622">
        <f t="shared" si="153"/>
        <v>0</v>
      </c>
      <c r="I1622" t="str">
        <f t="shared" ref="I1622:I1685" si="157">IF(H1622=0,"On Time",IF(H1622&lt;=15,"Paid Late","Seriously Late"))</f>
        <v>On Time</v>
      </c>
      <c r="J1622" cm="1">
        <f t="array" ref="J1622">_xlfn.IFS(H1622&lt;30,0,H1622&lt;60,1,H1622&lt;90,2,H1622&lt;120,3)</f>
        <v>0</v>
      </c>
      <c r="M1622" t="str">
        <f t="shared" ref="M1622:M1685" si="158">IF(H1622&gt;30,"High",IF(H1622&gt;10,"Medium","Low"))</f>
        <v>Low</v>
      </c>
      <c r="N1622" t="str">
        <f t="shared" si="155"/>
        <v>Nov</v>
      </c>
      <c r="O1622">
        <f t="shared" si="156"/>
        <v>2025</v>
      </c>
    </row>
    <row r="1623" spans="1:15" x14ac:dyDescent="0.3">
      <c r="A1623">
        <v>202946</v>
      </c>
      <c r="B1623" t="s">
        <v>104</v>
      </c>
      <c r="C1623" s="2">
        <v>45990</v>
      </c>
      <c r="D1623" s="2">
        <f t="shared" si="154"/>
        <v>46020</v>
      </c>
      <c r="E1623" s="1">
        <f>D1623+5</f>
        <v>46025</v>
      </c>
      <c r="F1623">
        <v>572</v>
      </c>
      <c r="G1623">
        <v>30</v>
      </c>
      <c r="H1623">
        <f t="shared" si="153"/>
        <v>0</v>
      </c>
      <c r="I1623" t="str">
        <f t="shared" si="157"/>
        <v>On Time</v>
      </c>
      <c r="J1623" cm="1">
        <f t="array" ref="J1623">_xlfn.IFS(H1623&lt;30,0,H1623&lt;60,1,H1623&lt;90,2,H1623&lt;120,3)</f>
        <v>0</v>
      </c>
      <c r="M1623" t="str">
        <f t="shared" si="158"/>
        <v>Low</v>
      </c>
      <c r="N1623" t="str">
        <f t="shared" si="155"/>
        <v>Nov</v>
      </c>
      <c r="O1623">
        <f t="shared" si="156"/>
        <v>2025</v>
      </c>
    </row>
    <row r="1624" spans="1:15" x14ac:dyDescent="0.3">
      <c r="A1624">
        <v>202947</v>
      </c>
      <c r="B1624" t="s">
        <v>105</v>
      </c>
      <c r="C1624" s="2">
        <v>45990</v>
      </c>
      <c r="D1624" s="2">
        <f t="shared" si="154"/>
        <v>46020</v>
      </c>
      <c r="E1624" s="1">
        <f>D1624</f>
        <v>46020</v>
      </c>
      <c r="F1624">
        <v>2314</v>
      </c>
      <c r="G1624">
        <v>30</v>
      </c>
      <c r="H1624">
        <f t="shared" si="153"/>
        <v>0</v>
      </c>
      <c r="I1624" t="str">
        <f t="shared" si="157"/>
        <v>On Time</v>
      </c>
      <c r="J1624" cm="1">
        <f t="array" ref="J1624">_xlfn.IFS(H1624&lt;30,0,H1624&lt;60,1,H1624&lt;90,2,H1624&lt;120,3)</f>
        <v>0</v>
      </c>
      <c r="M1624" t="str">
        <f t="shared" si="158"/>
        <v>Low</v>
      </c>
      <c r="N1624" t="str">
        <f t="shared" si="155"/>
        <v>Nov</v>
      </c>
      <c r="O1624">
        <f t="shared" si="156"/>
        <v>2025</v>
      </c>
    </row>
    <row r="1625" spans="1:15" x14ac:dyDescent="0.3">
      <c r="A1625">
        <v>202948</v>
      </c>
      <c r="B1625" t="s">
        <v>114</v>
      </c>
      <c r="C1625" s="2">
        <v>45990</v>
      </c>
      <c r="D1625" s="2">
        <f t="shared" si="154"/>
        <v>46020</v>
      </c>
      <c r="E1625" s="1">
        <f>D1625-1</f>
        <v>46019</v>
      </c>
      <c r="F1625">
        <v>3715</v>
      </c>
      <c r="G1625">
        <v>30</v>
      </c>
      <c r="H1625">
        <f t="shared" si="153"/>
        <v>0</v>
      </c>
      <c r="I1625" t="str">
        <f t="shared" si="157"/>
        <v>On Time</v>
      </c>
      <c r="J1625" cm="1">
        <f t="array" ref="J1625">_xlfn.IFS(H1625&lt;30,0,H1625&lt;60,1,H1625&lt;90,2,H1625&lt;120,3)</f>
        <v>0</v>
      </c>
      <c r="M1625" t="str">
        <f t="shared" si="158"/>
        <v>Low</v>
      </c>
      <c r="N1625" t="str">
        <f t="shared" si="155"/>
        <v>Nov</v>
      </c>
      <c r="O1625">
        <f t="shared" si="156"/>
        <v>2025</v>
      </c>
    </row>
    <row r="1626" spans="1:15" x14ac:dyDescent="0.3">
      <c r="A1626">
        <v>202949</v>
      </c>
      <c r="B1626" t="s">
        <v>115</v>
      </c>
      <c r="C1626" s="2">
        <v>45990</v>
      </c>
      <c r="D1626" s="2">
        <f t="shared" si="154"/>
        <v>46020</v>
      </c>
      <c r="E1626" s="1">
        <f>D1626</f>
        <v>46020</v>
      </c>
      <c r="F1626">
        <v>3597</v>
      </c>
      <c r="G1626">
        <v>30</v>
      </c>
      <c r="H1626">
        <f t="shared" si="153"/>
        <v>0</v>
      </c>
      <c r="I1626" t="str">
        <f t="shared" si="157"/>
        <v>On Time</v>
      </c>
      <c r="J1626" cm="1">
        <f t="array" ref="J1626">_xlfn.IFS(H1626&lt;30,0,H1626&lt;60,1,H1626&lt;90,2,H1626&lt;120,3)</f>
        <v>0</v>
      </c>
      <c r="M1626" t="str">
        <f t="shared" si="158"/>
        <v>Low</v>
      </c>
      <c r="N1626" t="str">
        <f t="shared" si="155"/>
        <v>Nov</v>
      </c>
      <c r="O1626">
        <f t="shared" si="156"/>
        <v>2025</v>
      </c>
    </row>
    <row r="1627" spans="1:15" x14ac:dyDescent="0.3">
      <c r="A1627">
        <v>202950</v>
      </c>
      <c r="B1627" t="s">
        <v>116</v>
      </c>
      <c r="C1627" s="2">
        <v>45990</v>
      </c>
      <c r="D1627" s="2">
        <f t="shared" si="154"/>
        <v>46020</v>
      </c>
      <c r="E1627" s="1">
        <f>D1627+32</f>
        <v>46052</v>
      </c>
      <c r="F1627">
        <v>10275</v>
      </c>
      <c r="G1627">
        <v>30</v>
      </c>
      <c r="H1627">
        <f t="shared" si="153"/>
        <v>0</v>
      </c>
      <c r="I1627" t="str">
        <f t="shared" si="157"/>
        <v>On Time</v>
      </c>
      <c r="J1627" cm="1">
        <f t="array" ref="J1627">_xlfn.IFS(H1627&lt;30,0,H1627&lt;60,1,H1627&lt;90,2,H1627&lt;120,3)</f>
        <v>0</v>
      </c>
      <c r="M1627" t="str">
        <f t="shared" si="158"/>
        <v>Low</v>
      </c>
      <c r="N1627" t="str">
        <f t="shared" si="155"/>
        <v>Nov</v>
      </c>
      <c r="O1627">
        <f t="shared" si="156"/>
        <v>2025</v>
      </c>
    </row>
    <row r="1628" spans="1:15" x14ac:dyDescent="0.3">
      <c r="A1628">
        <v>202951</v>
      </c>
      <c r="B1628" t="s">
        <v>117</v>
      </c>
      <c r="C1628" s="2">
        <v>45990</v>
      </c>
      <c r="D1628" s="2">
        <f t="shared" si="154"/>
        <v>46020</v>
      </c>
      <c r="E1628" s="1">
        <f>D1628+15</f>
        <v>46035</v>
      </c>
      <c r="F1628">
        <v>3182</v>
      </c>
      <c r="G1628">
        <v>30</v>
      </c>
      <c r="H1628">
        <f t="shared" si="153"/>
        <v>0</v>
      </c>
      <c r="I1628" t="str">
        <f t="shared" si="157"/>
        <v>On Time</v>
      </c>
      <c r="J1628" cm="1">
        <f t="array" ref="J1628">_xlfn.IFS(H1628&lt;30,0,H1628&lt;60,1,H1628&lt;90,2,H1628&lt;120,3)</f>
        <v>0</v>
      </c>
      <c r="M1628" t="str">
        <f t="shared" si="158"/>
        <v>Low</v>
      </c>
      <c r="N1628" t="str">
        <f t="shared" si="155"/>
        <v>Nov</v>
      </c>
      <c r="O1628">
        <f t="shared" si="156"/>
        <v>2025</v>
      </c>
    </row>
    <row r="1629" spans="1:15" x14ac:dyDescent="0.3">
      <c r="A1629">
        <v>202905</v>
      </c>
      <c r="B1629" t="s">
        <v>62</v>
      </c>
      <c r="C1629" s="2">
        <v>45989</v>
      </c>
      <c r="D1629" s="2">
        <f t="shared" si="154"/>
        <v>46019</v>
      </c>
      <c r="E1629" s="1">
        <f>D1629</f>
        <v>46019</v>
      </c>
      <c r="F1629">
        <v>4253</v>
      </c>
      <c r="G1629">
        <v>30</v>
      </c>
      <c r="H1629">
        <f t="shared" si="153"/>
        <v>0</v>
      </c>
      <c r="I1629" t="str">
        <f t="shared" si="157"/>
        <v>On Time</v>
      </c>
      <c r="J1629" cm="1">
        <f t="array" ref="J1629">_xlfn.IFS(H1629&lt;30,0,H1629&lt;60,1,H1629&lt;90,2,H1629&lt;120,3)</f>
        <v>0</v>
      </c>
      <c r="M1629" t="str">
        <f t="shared" si="158"/>
        <v>Low</v>
      </c>
      <c r="N1629" t="str">
        <f t="shared" si="155"/>
        <v>Nov</v>
      </c>
      <c r="O1629">
        <f t="shared" si="156"/>
        <v>2025</v>
      </c>
    </row>
    <row r="1630" spans="1:15" x14ac:dyDescent="0.3">
      <c r="A1630">
        <v>202906</v>
      </c>
      <c r="B1630" t="s">
        <v>63</v>
      </c>
      <c r="C1630" s="2">
        <v>45989</v>
      </c>
      <c r="D1630" s="2">
        <f t="shared" si="154"/>
        <v>46019</v>
      </c>
      <c r="E1630" s="1">
        <f>D1630+3</f>
        <v>46022</v>
      </c>
      <c r="F1630">
        <v>291</v>
      </c>
      <c r="G1630">
        <v>30</v>
      </c>
      <c r="H1630">
        <f t="shared" si="153"/>
        <v>0</v>
      </c>
      <c r="I1630" t="str">
        <f t="shared" si="157"/>
        <v>On Time</v>
      </c>
      <c r="J1630" cm="1">
        <f t="array" ref="J1630">_xlfn.IFS(H1630&lt;30,0,H1630&lt;60,1,H1630&lt;90,2,H1630&lt;120,3)</f>
        <v>0</v>
      </c>
      <c r="M1630" t="str">
        <f t="shared" si="158"/>
        <v>Low</v>
      </c>
      <c r="N1630" t="str">
        <f t="shared" si="155"/>
        <v>Nov</v>
      </c>
      <c r="O1630">
        <f t="shared" si="156"/>
        <v>2025</v>
      </c>
    </row>
    <row r="1631" spans="1:15" x14ac:dyDescent="0.3">
      <c r="A1631">
        <v>202907</v>
      </c>
      <c r="B1631" t="s">
        <v>64</v>
      </c>
      <c r="C1631" s="2">
        <v>45989</v>
      </c>
      <c r="D1631" s="2">
        <f t="shared" si="154"/>
        <v>46019</v>
      </c>
      <c r="E1631" s="1">
        <f>D1631+1</f>
        <v>46020</v>
      </c>
      <c r="F1631">
        <v>955</v>
      </c>
      <c r="G1631">
        <v>30</v>
      </c>
      <c r="H1631">
        <f t="shared" si="153"/>
        <v>0</v>
      </c>
      <c r="I1631" t="str">
        <f t="shared" si="157"/>
        <v>On Time</v>
      </c>
      <c r="J1631" cm="1">
        <f t="array" ref="J1631">_xlfn.IFS(H1631&lt;30,0,H1631&lt;60,1,H1631&lt;90,2,H1631&lt;120,3)</f>
        <v>0</v>
      </c>
      <c r="M1631" t="str">
        <f t="shared" si="158"/>
        <v>Low</v>
      </c>
      <c r="N1631" t="str">
        <f t="shared" si="155"/>
        <v>Nov</v>
      </c>
      <c r="O1631">
        <f t="shared" si="156"/>
        <v>2025</v>
      </c>
    </row>
    <row r="1632" spans="1:15" x14ac:dyDescent="0.3">
      <c r="A1632">
        <v>202908</v>
      </c>
      <c r="B1632" t="s">
        <v>65</v>
      </c>
      <c r="C1632" s="2">
        <v>45989</v>
      </c>
      <c r="D1632" s="2">
        <f t="shared" si="154"/>
        <v>46034</v>
      </c>
      <c r="E1632" s="1">
        <f>D1632-1</f>
        <v>46033</v>
      </c>
      <c r="F1632">
        <v>4603</v>
      </c>
      <c r="G1632">
        <v>45</v>
      </c>
      <c r="H1632">
        <f t="shared" si="153"/>
        <v>0</v>
      </c>
      <c r="I1632" t="str">
        <f t="shared" si="157"/>
        <v>On Time</v>
      </c>
      <c r="J1632" cm="1">
        <f t="array" ref="J1632">_xlfn.IFS(H1632&lt;30,0,H1632&lt;60,1,H1632&lt;90,2,H1632&lt;120,3)</f>
        <v>0</v>
      </c>
      <c r="M1632" t="str">
        <f t="shared" si="158"/>
        <v>Low</v>
      </c>
      <c r="N1632" t="str">
        <f t="shared" si="155"/>
        <v>Nov</v>
      </c>
      <c r="O1632">
        <f t="shared" si="156"/>
        <v>2025</v>
      </c>
    </row>
    <row r="1633" spans="1:15" x14ac:dyDescent="0.3">
      <c r="A1633">
        <v>202909</v>
      </c>
      <c r="B1633" t="s">
        <v>94</v>
      </c>
      <c r="C1633" s="2">
        <v>45989</v>
      </c>
      <c r="D1633" s="2">
        <f t="shared" si="154"/>
        <v>46019</v>
      </c>
      <c r="E1633" s="1">
        <f>D1633</f>
        <v>46019</v>
      </c>
      <c r="F1633">
        <v>4727</v>
      </c>
      <c r="G1633">
        <v>30</v>
      </c>
      <c r="H1633">
        <f t="shared" si="153"/>
        <v>0</v>
      </c>
      <c r="I1633" t="str">
        <f t="shared" si="157"/>
        <v>On Time</v>
      </c>
      <c r="J1633" cm="1">
        <f t="array" ref="J1633">_xlfn.IFS(H1633&lt;30,0,H1633&lt;60,1,H1633&lt;90,2,H1633&lt;120,3)</f>
        <v>0</v>
      </c>
      <c r="M1633" t="str">
        <f t="shared" si="158"/>
        <v>Low</v>
      </c>
      <c r="N1633" t="str">
        <f t="shared" si="155"/>
        <v>Nov</v>
      </c>
      <c r="O1633">
        <f t="shared" si="156"/>
        <v>2025</v>
      </c>
    </row>
    <row r="1634" spans="1:15" x14ac:dyDescent="0.3">
      <c r="A1634">
        <v>202910</v>
      </c>
      <c r="B1634" t="s">
        <v>95</v>
      </c>
      <c r="C1634" s="2">
        <v>45989</v>
      </c>
      <c r="D1634" s="2">
        <f t="shared" si="154"/>
        <v>46034</v>
      </c>
      <c r="E1634" s="1">
        <f>D1634+1</f>
        <v>46035</v>
      </c>
      <c r="F1634">
        <v>1254</v>
      </c>
      <c r="G1634">
        <v>45</v>
      </c>
      <c r="H1634">
        <f t="shared" si="153"/>
        <v>0</v>
      </c>
      <c r="I1634" t="str">
        <f t="shared" si="157"/>
        <v>On Time</v>
      </c>
      <c r="J1634" cm="1">
        <f t="array" ref="J1634">_xlfn.IFS(H1634&lt;30,0,H1634&lt;60,1,H1634&lt;90,2,H1634&lt;120,3)</f>
        <v>0</v>
      </c>
      <c r="M1634" t="str">
        <f t="shared" si="158"/>
        <v>Low</v>
      </c>
      <c r="N1634" t="str">
        <f t="shared" si="155"/>
        <v>Nov</v>
      </c>
      <c r="O1634">
        <f t="shared" si="156"/>
        <v>2025</v>
      </c>
    </row>
    <row r="1635" spans="1:15" x14ac:dyDescent="0.3">
      <c r="A1635">
        <v>202911</v>
      </c>
      <c r="B1635" t="s">
        <v>96</v>
      </c>
      <c r="C1635" s="2">
        <v>45989</v>
      </c>
      <c r="D1635" s="2">
        <f t="shared" si="154"/>
        <v>46049</v>
      </c>
      <c r="E1635" s="1">
        <f>D1635+35</f>
        <v>46084</v>
      </c>
      <c r="F1635">
        <v>1384</v>
      </c>
      <c r="G1635">
        <v>60</v>
      </c>
      <c r="H1635">
        <f t="shared" si="153"/>
        <v>0</v>
      </c>
      <c r="I1635" t="str">
        <f t="shared" si="157"/>
        <v>On Time</v>
      </c>
      <c r="J1635" cm="1">
        <f t="array" ref="J1635">_xlfn.IFS(H1635&lt;30,0,H1635&lt;60,1,H1635&lt;90,2,H1635&lt;120,3)</f>
        <v>0</v>
      </c>
      <c r="M1635" t="str">
        <f t="shared" si="158"/>
        <v>Low</v>
      </c>
      <c r="N1635" t="str">
        <f t="shared" si="155"/>
        <v>Nov</v>
      </c>
      <c r="O1635">
        <f t="shared" si="156"/>
        <v>2025</v>
      </c>
    </row>
    <row r="1636" spans="1:15" x14ac:dyDescent="0.3">
      <c r="A1636">
        <v>202912</v>
      </c>
      <c r="B1636" t="s">
        <v>97</v>
      </c>
      <c r="C1636" s="2">
        <v>45989</v>
      </c>
      <c r="D1636" s="2">
        <f t="shared" si="154"/>
        <v>46019</v>
      </c>
      <c r="E1636" s="1">
        <f>D1636+75</f>
        <v>46094</v>
      </c>
      <c r="F1636">
        <v>2789</v>
      </c>
      <c r="G1636">
        <v>30</v>
      </c>
      <c r="H1636">
        <f t="shared" si="153"/>
        <v>0</v>
      </c>
      <c r="I1636" t="str">
        <f t="shared" si="157"/>
        <v>On Time</v>
      </c>
      <c r="J1636" cm="1">
        <f t="array" ref="J1636">_xlfn.IFS(H1636&lt;30,0,H1636&lt;60,1,H1636&lt;90,2,H1636&lt;120,3)</f>
        <v>0</v>
      </c>
      <c r="M1636" t="str">
        <f t="shared" si="158"/>
        <v>Low</v>
      </c>
      <c r="N1636" t="str">
        <f t="shared" si="155"/>
        <v>Nov</v>
      </c>
      <c r="O1636">
        <f t="shared" si="156"/>
        <v>2025</v>
      </c>
    </row>
    <row r="1637" spans="1:15" x14ac:dyDescent="0.3">
      <c r="A1637">
        <v>202913</v>
      </c>
      <c r="B1637" t="s">
        <v>98</v>
      </c>
      <c r="C1637" s="2">
        <v>45989</v>
      </c>
      <c r="D1637" s="2">
        <f t="shared" si="154"/>
        <v>46019</v>
      </c>
      <c r="E1637" s="1">
        <f>D1637+5</f>
        <v>46024</v>
      </c>
      <c r="F1637">
        <v>4739</v>
      </c>
      <c r="G1637">
        <v>30</v>
      </c>
      <c r="H1637">
        <f t="shared" si="153"/>
        <v>0</v>
      </c>
      <c r="I1637" t="str">
        <f t="shared" si="157"/>
        <v>On Time</v>
      </c>
      <c r="J1637" cm="1">
        <f t="array" ref="J1637">_xlfn.IFS(H1637&lt;30,0,H1637&lt;60,1,H1637&lt;90,2,H1637&lt;120,3)</f>
        <v>0</v>
      </c>
      <c r="M1637" t="str">
        <f t="shared" si="158"/>
        <v>Low</v>
      </c>
      <c r="N1637" t="str">
        <f t="shared" si="155"/>
        <v>Nov</v>
      </c>
      <c r="O1637">
        <f t="shared" si="156"/>
        <v>2025</v>
      </c>
    </row>
    <row r="1638" spans="1:15" x14ac:dyDescent="0.3">
      <c r="A1638">
        <v>202914</v>
      </c>
      <c r="B1638" t="s">
        <v>99</v>
      </c>
      <c r="C1638" s="2">
        <v>45989</v>
      </c>
      <c r="D1638" s="2">
        <f t="shared" si="154"/>
        <v>46019</v>
      </c>
      <c r="E1638" s="1">
        <f>D1638</f>
        <v>46019</v>
      </c>
      <c r="F1638">
        <v>3032</v>
      </c>
      <c r="G1638">
        <v>30</v>
      </c>
      <c r="H1638">
        <f t="shared" ref="H1638:H1701" si="159">MAX(0,P1603-D1638)</f>
        <v>0</v>
      </c>
      <c r="I1638" t="str">
        <f t="shared" si="157"/>
        <v>On Time</v>
      </c>
      <c r="J1638" cm="1">
        <f t="array" ref="J1638">_xlfn.IFS(H1638&lt;30,0,H1638&lt;60,1,H1638&lt;90,2,H1638&lt;120,3)</f>
        <v>0</v>
      </c>
      <c r="M1638" t="str">
        <f t="shared" si="158"/>
        <v>Low</v>
      </c>
      <c r="N1638" t="str">
        <f t="shared" si="155"/>
        <v>Nov</v>
      </c>
      <c r="O1638">
        <f t="shared" si="156"/>
        <v>2025</v>
      </c>
    </row>
    <row r="1639" spans="1:15" x14ac:dyDescent="0.3">
      <c r="A1639">
        <v>202915</v>
      </c>
      <c r="B1639" t="s">
        <v>100</v>
      </c>
      <c r="C1639" s="2">
        <v>45989</v>
      </c>
      <c r="D1639" s="2">
        <f t="shared" si="154"/>
        <v>46019</v>
      </c>
      <c r="E1639" s="1">
        <f>D1639-1</f>
        <v>46018</v>
      </c>
      <c r="F1639">
        <v>1364</v>
      </c>
      <c r="G1639">
        <v>30</v>
      </c>
      <c r="H1639">
        <f t="shared" si="159"/>
        <v>0</v>
      </c>
      <c r="I1639" t="str">
        <f t="shared" si="157"/>
        <v>On Time</v>
      </c>
      <c r="J1639" cm="1">
        <f t="array" ref="J1639">_xlfn.IFS(H1639&lt;30,0,H1639&lt;60,1,H1639&lt;90,2,H1639&lt;120,3)</f>
        <v>0</v>
      </c>
      <c r="M1639" t="str">
        <f t="shared" si="158"/>
        <v>Low</v>
      </c>
      <c r="N1639" t="str">
        <f t="shared" si="155"/>
        <v>Nov</v>
      </c>
      <c r="O1639">
        <f t="shared" si="156"/>
        <v>2025</v>
      </c>
    </row>
    <row r="1640" spans="1:15" x14ac:dyDescent="0.3">
      <c r="A1640">
        <v>202916</v>
      </c>
      <c r="B1640" t="s">
        <v>101</v>
      </c>
      <c r="C1640" s="2">
        <v>45989</v>
      </c>
      <c r="D1640" s="2">
        <f t="shared" si="154"/>
        <v>46019</v>
      </c>
      <c r="E1640" s="1">
        <f>D1640</f>
        <v>46019</v>
      </c>
      <c r="F1640">
        <v>475</v>
      </c>
      <c r="G1640">
        <v>30</v>
      </c>
      <c r="H1640">
        <f t="shared" si="159"/>
        <v>0</v>
      </c>
      <c r="I1640" t="str">
        <f t="shared" si="157"/>
        <v>On Time</v>
      </c>
      <c r="J1640" cm="1">
        <f t="array" ref="J1640">_xlfn.IFS(H1640&lt;30,0,H1640&lt;60,1,H1640&lt;90,2,H1640&lt;120,3)</f>
        <v>0</v>
      </c>
      <c r="M1640" t="str">
        <f t="shared" si="158"/>
        <v>Low</v>
      </c>
      <c r="N1640" t="str">
        <f t="shared" si="155"/>
        <v>Nov</v>
      </c>
      <c r="O1640">
        <f t="shared" si="156"/>
        <v>2025</v>
      </c>
    </row>
    <row r="1641" spans="1:15" x14ac:dyDescent="0.3">
      <c r="A1641">
        <v>202917</v>
      </c>
      <c r="B1641" t="s">
        <v>102</v>
      </c>
      <c r="C1641" s="2">
        <v>45989</v>
      </c>
      <c r="D1641" s="2">
        <f t="shared" si="154"/>
        <v>46019</v>
      </c>
      <c r="E1641" s="1">
        <f>D1641+32</f>
        <v>46051</v>
      </c>
      <c r="F1641">
        <v>2736</v>
      </c>
      <c r="G1641">
        <v>30</v>
      </c>
      <c r="H1641">
        <f t="shared" si="159"/>
        <v>0</v>
      </c>
      <c r="I1641" t="str">
        <f t="shared" si="157"/>
        <v>On Time</v>
      </c>
      <c r="J1641" cm="1">
        <f t="array" ref="J1641">_xlfn.IFS(H1641&lt;30,0,H1641&lt;60,1,H1641&lt;90,2,H1641&lt;120,3)</f>
        <v>0</v>
      </c>
      <c r="M1641" t="str">
        <f t="shared" si="158"/>
        <v>Low</v>
      </c>
      <c r="N1641" t="str">
        <f t="shared" si="155"/>
        <v>Nov</v>
      </c>
      <c r="O1641">
        <f t="shared" si="156"/>
        <v>2025</v>
      </c>
    </row>
    <row r="1642" spans="1:15" x14ac:dyDescent="0.3">
      <c r="A1642">
        <v>202918</v>
      </c>
      <c r="B1642" t="s">
        <v>103</v>
      </c>
      <c r="C1642" s="2">
        <v>45989</v>
      </c>
      <c r="D1642" s="2">
        <f t="shared" si="154"/>
        <v>46019</v>
      </c>
      <c r="E1642" s="1">
        <f>D1642+15</f>
        <v>46034</v>
      </c>
      <c r="F1642">
        <v>13557</v>
      </c>
      <c r="G1642">
        <v>30</v>
      </c>
      <c r="H1642">
        <f t="shared" si="159"/>
        <v>0</v>
      </c>
      <c r="I1642" t="str">
        <f t="shared" si="157"/>
        <v>On Time</v>
      </c>
      <c r="J1642" cm="1">
        <f t="array" ref="J1642">_xlfn.IFS(H1642&lt;30,0,H1642&lt;60,1,H1642&lt;90,2,H1642&lt;120,3)</f>
        <v>0</v>
      </c>
      <c r="M1642" t="str">
        <f t="shared" si="158"/>
        <v>Low</v>
      </c>
      <c r="N1642" t="str">
        <f t="shared" si="155"/>
        <v>Nov</v>
      </c>
      <c r="O1642">
        <f t="shared" si="156"/>
        <v>2025</v>
      </c>
    </row>
    <row r="1643" spans="1:15" x14ac:dyDescent="0.3">
      <c r="A1643">
        <v>202919</v>
      </c>
      <c r="B1643" t="s">
        <v>104</v>
      </c>
      <c r="C1643" s="2">
        <v>45989</v>
      </c>
      <c r="D1643" s="2">
        <f t="shared" si="154"/>
        <v>46019</v>
      </c>
      <c r="E1643" s="1">
        <f>D1643-2</f>
        <v>46017</v>
      </c>
      <c r="F1643">
        <v>1996</v>
      </c>
      <c r="G1643">
        <v>30</v>
      </c>
      <c r="H1643">
        <f t="shared" si="159"/>
        <v>0</v>
      </c>
      <c r="I1643" t="str">
        <f t="shared" si="157"/>
        <v>On Time</v>
      </c>
      <c r="J1643" cm="1">
        <f t="array" ref="J1643">_xlfn.IFS(H1643&lt;30,0,H1643&lt;60,1,H1643&lt;90,2,H1643&lt;120,3)</f>
        <v>0</v>
      </c>
      <c r="M1643" t="str">
        <f t="shared" si="158"/>
        <v>Low</v>
      </c>
      <c r="N1643" t="str">
        <f t="shared" si="155"/>
        <v>Nov</v>
      </c>
      <c r="O1643">
        <f t="shared" si="156"/>
        <v>2025</v>
      </c>
    </row>
    <row r="1644" spans="1:15" x14ac:dyDescent="0.3">
      <c r="A1644">
        <v>202920</v>
      </c>
      <c r="B1644" t="s">
        <v>105</v>
      </c>
      <c r="C1644" s="2">
        <v>45989</v>
      </c>
      <c r="D1644" s="2">
        <f t="shared" si="154"/>
        <v>46019</v>
      </c>
      <c r="E1644" s="1">
        <f>D1644-2</f>
        <v>46017</v>
      </c>
      <c r="F1644">
        <v>4077</v>
      </c>
      <c r="G1644">
        <v>30</v>
      </c>
      <c r="H1644">
        <f t="shared" si="159"/>
        <v>0</v>
      </c>
      <c r="I1644" t="str">
        <f t="shared" si="157"/>
        <v>On Time</v>
      </c>
      <c r="J1644" cm="1">
        <f t="array" ref="J1644">_xlfn.IFS(H1644&lt;30,0,H1644&lt;60,1,H1644&lt;90,2,H1644&lt;120,3)</f>
        <v>0</v>
      </c>
      <c r="M1644" t="str">
        <f t="shared" si="158"/>
        <v>Low</v>
      </c>
      <c r="N1644" t="str">
        <f t="shared" si="155"/>
        <v>Nov</v>
      </c>
      <c r="O1644">
        <f t="shared" si="156"/>
        <v>2025</v>
      </c>
    </row>
    <row r="1645" spans="1:15" x14ac:dyDescent="0.3">
      <c r="A1645">
        <v>202921</v>
      </c>
      <c r="B1645" t="s">
        <v>114</v>
      </c>
      <c r="C1645" s="2">
        <v>45989</v>
      </c>
      <c r="D1645" s="2">
        <f t="shared" si="154"/>
        <v>46019</v>
      </c>
      <c r="E1645" s="1">
        <f>D1645</f>
        <v>46019</v>
      </c>
      <c r="F1645">
        <v>16165</v>
      </c>
      <c r="G1645">
        <v>30</v>
      </c>
      <c r="H1645">
        <f t="shared" si="159"/>
        <v>0</v>
      </c>
      <c r="I1645" t="str">
        <f t="shared" si="157"/>
        <v>On Time</v>
      </c>
      <c r="J1645" cm="1">
        <f t="array" ref="J1645">_xlfn.IFS(H1645&lt;30,0,H1645&lt;60,1,H1645&lt;90,2,H1645&lt;120,3)</f>
        <v>0</v>
      </c>
      <c r="M1645" t="str">
        <f t="shared" si="158"/>
        <v>Low</v>
      </c>
      <c r="N1645" t="str">
        <f t="shared" si="155"/>
        <v>Nov</v>
      </c>
      <c r="O1645">
        <f t="shared" si="156"/>
        <v>2025</v>
      </c>
    </row>
    <row r="1646" spans="1:15" x14ac:dyDescent="0.3">
      <c r="A1646">
        <v>202922</v>
      </c>
      <c r="B1646" t="s">
        <v>115</v>
      </c>
      <c r="C1646" s="2">
        <v>45989</v>
      </c>
      <c r="D1646" s="2">
        <f t="shared" si="154"/>
        <v>46019</v>
      </c>
      <c r="E1646" s="1">
        <f>D1646+2</f>
        <v>46021</v>
      </c>
      <c r="F1646">
        <v>247</v>
      </c>
      <c r="G1646">
        <v>30</v>
      </c>
      <c r="H1646">
        <f t="shared" si="159"/>
        <v>0</v>
      </c>
      <c r="I1646" t="str">
        <f t="shared" si="157"/>
        <v>On Time</v>
      </c>
      <c r="J1646" cm="1">
        <f t="array" ref="J1646">_xlfn.IFS(H1646&lt;30,0,H1646&lt;60,1,H1646&lt;90,2,H1646&lt;120,3)</f>
        <v>0</v>
      </c>
      <c r="M1646" t="str">
        <f t="shared" si="158"/>
        <v>Low</v>
      </c>
      <c r="N1646" t="str">
        <f t="shared" si="155"/>
        <v>Nov</v>
      </c>
      <c r="O1646">
        <f t="shared" si="156"/>
        <v>2025</v>
      </c>
    </row>
    <row r="1647" spans="1:15" x14ac:dyDescent="0.3">
      <c r="A1647">
        <v>202923</v>
      </c>
      <c r="B1647" t="s">
        <v>116</v>
      </c>
      <c r="C1647" s="2">
        <v>45989</v>
      </c>
      <c r="D1647" s="2">
        <f t="shared" si="154"/>
        <v>46019</v>
      </c>
      <c r="E1647" s="1">
        <f>D1647+2</f>
        <v>46021</v>
      </c>
      <c r="F1647">
        <v>1189</v>
      </c>
      <c r="G1647">
        <v>30</v>
      </c>
      <c r="H1647">
        <f t="shared" si="159"/>
        <v>0</v>
      </c>
      <c r="I1647" t="str">
        <f t="shared" si="157"/>
        <v>On Time</v>
      </c>
      <c r="J1647" cm="1">
        <f t="array" ref="J1647">_xlfn.IFS(H1647&lt;30,0,H1647&lt;60,1,H1647&lt;90,2,H1647&lt;120,3)</f>
        <v>0</v>
      </c>
      <c r="M1647" t="str">
        <f t="shared" si="158"/>
        <v>Low</v>
      </c>
      <c r="N1647" t="str">
        <f t="shared" si="155"/>
        <v>Nov</v>
      </c>
      <c r="O1647">
        <f t="shared" si="156"/>
        <v>2025</v>
      </c>
    </row>
    <row r="1648" spans="1:15" x14ac:dyDescent="0.3">
      <c r="A1648">
        <v>202924</v>
      </c>
      <c r="B1648" t="s">
        <v>117</v>
      </c>
      <c r="C1648" s="2">
        <v>45989</v>
      </c>
      <c r="D1648" s="2">
        <f t="shared" si="154"/>
        <v>46019</v>
      </c>
      <c r="E1648" s="1">
        <f>D1648+2</f>
        <v>46021</v>
      </c>
      <c r="F1648">
        <v>5754</v>
      </c>
      <c r="G1648">
        <v>30</v>
      </c>
      <c r="H1648">
        <f t="shared" si="159"/>
        <v>0</v>
      </c>
      <c r="I1648" t="str">
        <f t="shared" si="157"/>
        <v>On Time</v>
      </c>
      <c r="J1648" cm="1">
        <f t="array" ref="J1648">_xlfn.IFS(H1648&lt;30,0,H1648&lt;60,1,H1648&lt;90,2,H1648&lt;120,3)</f>
        <v>0</v>
      </c>
      <c r="M1648" t="str">
        <f t="shared" si="158"/>
        <v>Low</v>
      </c>
      <c r="N1648" t="str">
        <f t="shared" si="155"/>
        <v>Nov</v>
      </c>
      <c r="O1648">
        <f t="shared" si="156"/>
        <v>2025</v>
      </c>
    </row>
    <row r="1649" spans="1:15" x14ac:dyDescent="0.3">
      <c r="A1649">
        <v>202925</v>
      </c>
      <c r="B1649" t="s">
        <v>118</v>
      </c>
      <c r="C1649" s="2">
        <v>45989</v>
      </c>
      <c r="D1649" s="2">
        <f t="shared" si="154"/>
        <v>46019</v>
      </c>
      <c r="E1649" s="1">
        <f>D1649</f>
        <v>46019</v>
      </c>
      <c r="F1649">
        <v>2201</v>
      </c>
      <c r="G1649">
        <v>30</v>
      </c>
      <c r="H1649">
        <f t="shared" si="159"/>
        <v>0</v>
      </c>
      <c r="I1649" t="str">
        <f t="shared" si="157"/>
        <v>On Time</v>
      </c>
      <c r="J1649" cm="1">
        <f t="array" ref="J1649">_xlfn.IFS(H1649&lt;30,0,H1649&lt;60,1,H1649&lt;90,2,H1649&lt;120,3)</f>
        <v>0</v>
      </c>
      <c r="M1649" t="str">
        <f t="shared" si="158"/>
        <v>Low</v>
      </c>
      <c r="N1649" t="str">
        <f t="shared" si="155"/>
        <v>Nov</v>
      </c>
      <c r="O1649">
        <f t="shared" si="156"/>
        <v>2025</v>
      </c>
    </row>
    <row r="1650" spans="1:15" x14ac:dyDescent="0.3">
      <c r="A1650">
        <v>202926</v>
      </c>
      <c r="B1650" t="s">
        <v>119</v>
      </c>
      <c r="C1650" s="2">
        <v>45989</v>
      </c>
      <c r="D1650" s="2">
        <f t="shared" si="154"/>
        <v>46019</v>
      </c>
      <c r="E1650" s="1">
        <f>D1650+20</f>
        <v>46039</v>
      </c>
      <c r="F1650">
        <v>4578</v>
      </c>
      <c r="G1650">
        <v>30</v>
      </c>
      <c r="H1650">
        <f t="shared" si="159"/>
        <v>0</v>
      </c>
      <c r="I1650" t="str">
        <f t="shared" si="157"/>
        <v>On Time</v>
      </c>
      <c r="J1650" cm="1">
        <f t="array" ref="J1650">_xlfn.IFS(H1650&lt;30,0,H1650&lt;60,1,H1650&lt;90,2,H1650&lt;120,3)</f>
        <v>0</v>
      </c>
      <c r="M1650" t="str">
        <f t="shared" si="158"/>
        <v>Low</v>
      </c>
      <c r="N1650" t="str">
        <f t="shared" si="155"/>
        <v>Nov</v>
      </c>
      <c r="O1650">
        <f t="shared" si="156"/>
        <v>2025</v>
      </c>
    </row>
    <row r="1651" spans="1:15" x14ac:dyDescent="0.3">
      <c r="A1651">
        <v>202927</v>
      </c>
      <c r="B1651" t="s">
        <v>31</v>
      </c>
      <c r="C1651" s="2">
        <v>45989</v>
      </c>
      <c r="D1651" s="2">
        <f t="shared" si="154"/>
        <v>46034</v>
      </c>
      <c r="E1651" s="1">
        <f>D1651</f>
        <v>46034</v>
      </c>
      <c r="F1651">
        <v>12037</v>
      </c>
      <c r="G1651">
        <v>45</v>
      </c>
      <c r="H1651">
        <f t="shared" si="159"/>
        <v>0</v>
      </c>
      <c r="I1651" t="str">
        <f t="shared" si="157"/>
        <v>On Time</v>
      </c>
      <c r="J1651" cm="1">
        <f t="array" ref="J1651">_xlfn.IFS(H1651&lt;30,0,H1651&lt;60,1,H1651&lt;90,2,H1651&lt;120,3)</f>
        <v>0</v>
      </c>
      <c r="M1651" t="str">
        <f t="shared" si="158"/>
        <v>Low</v>
      </c>
      <c r="N1651" t="str">
        <f t="shared" si="155"/>
        <v>Nov</v>
      </c>
      <c r="O1651">
        <f t="shared" si="156"/>
        <v>2025</v>
      </c>
    </row>
    <row r="1652" spans="1:15" x14ac:dyDescent="0.3">
      <c r="A1652">
        <v>202928</v>
      </c>
      <c r="B1652" t="s">
        <v>32</v>
      </c>
      <c r="C1652" s="2">
        <v>45989</v>
      </c>
      <c r="D1652" s="2">
        <f t="shared" si="154"/>
        <v>46034</v>
      </c>
      <c r="E1652" s="1">
        <f>D1652+1</f>
        <v>46035</v>
      </c>
      <c r="F1652">
        <v>1026</v>
      </c>
      <c r="G1652">
        <v>45</v>
      </c>
      <c r="H1652">
        <f t="shared" si="159"/>
        <v>0</v>
      </c>
      <c r="I1652" t="str">
        <f t="shared" si="157"/>
        <v>On Time</v>
      </c>
      <c r="J1652" cm="1">
        <f t="array" ref="J1652">_xlfn.IFS(H1652&lt;30,0,H1652&lt;60,1,H1652&lt;90,2,H1652&lt;120,3)</f>
        <v>0</v>
      </c>
      <c r="M1652" t="str">
        <f t="shared" si="158"/>
        <v>Low</v>
      </c>
      <c r="N1652" t="str">
        <f t="shared" si="155"/>
        <v>Nov</v>
      </c>
      <c r="O1652">
        <f t="shared" si="156"/>
        <v>2025</v>
      </c>
    </row>
    <row r="1653" spans="1:15" x14ac:dyDescent="0.3">
      <c r="A1653">
        <v>202876</v>
      </c>
      <c r="B1653" t="s">
        <v>108</v>
      </c>
      <c r="C1653" s="2">
        <v>45986</v>
      </c>
      <c r="D1653" s="2">
        <f t="shared" si="154"/>
        <v>46016</v>
      </c>
      <c r="E1653" s="1">
        <f>D1653</f>
        <v>46016</v>
      </c>
      <c r="F1653">
        <v>645</v>
      </c>
      <c r="G1653">
        <v>30</v>
      </c>
      <c r="H1653">
        <f t="shared" si="159"/>
        <v>0</v>
      </c>
      <c r="I1653" t="str">
        <f t="shared" si="157"/>
        <v>On Time</v>
      </c>
      <c r="J1653" cm="1">
        <f t="array" ref="J1653">_xlfn.IFS(H1653&lt;30,0,H1653&lt;60,1,H1653&lt;90,2,H1653&lt;120,3)</f>
        <v>0</v>
      </c>
      <c r="M1653" t="str">
        <f t="shared" si="158"/>
        <v>Low</v>
      </c>
      <c r="N1653" t="str">
        <f t="shared" si="155"/>
        <v>Nov</v>
      </c>
      <c r="O1653">
        <f t="shared" si="156"/>
        <v>2025</v>
      </c>
    </row>
    <row r="1654" spans="1:15" x14ac:dyDescent="0.3">
      <c r="A1654">
        <v>202877</v>
      </c>
      <c r="B1654" t="s">
        <v>109</v>
      </c>
      <c r="C1654" s="2">
        <v>45986</v>
      </c>
      <c r="D1654" s="2">
        <f t="shared" si="154"/>
        <v>46016</v>
      </c>
      <c r="E1654" s="1">
        <f>D1654-5</f>
        <v>46011</v>
      </c>
      <c r="F1654">
        <v>1663</v>
      </c>
      <c r="G1654">
        <v>30</v>
      </c>
      <c r="H1654">
        <f t="shared" si="159"/>
        <v>0</v>
      </c>
      <c r="I1654" t="str">
        <f t="shared" si="157"/>
        <v>On Time</v>
      </c>
      <c r="J1654" cm="1">
        <f t="array" ref="J1654">_xlfn.IFS(H1654&lt;30,0,H1654&lt;60,1,H1654&lt;90,2,H1654&lt;120,3)</f>
        <v>0</v>
      </c>
      <c r="M1654" t="str">
        <f t="shared" si="158"/>
        <v>Low</v>
      </c>
      <c r="N1654" t="str">
        <f t="shared" si="155"/>
        <v>Nov</v>
      </c>
      <c r="O1654">
        <f t="shared" si="156"/>
        <v>2025</v>
      </c>
    </row>
    <row r="1655" spans="1:15" x14ac:dyDescent="0.3">
      <c r="A1655">
        <v>202878</v>
      </c>
      <c r="B1655" t="s">
        <v>110</v>
      </c>
      <c r="C1655" s="2">
        <v>45986</v>
      </c>
      <c r="D1655" s="2">
        <f t="shared" si="154"/>
        <v>46031</v>
      </c>
      <c r="E1655" s="1">
        <f>D1655+35</f>
        <v>46066</v>
      </c>
      <c r="F1655">
        <v>4359</v>
      </c>
      <c r="G1655">
        <v>45</v>
      </c>
      <c r="H1655">
        <f t="shared" si="159"/>
        <v>0</v>
      </c>
      <c r="I1655" t="str">
        <f t="shared" si="157"/>
        <v>On Time</v>
      </c>
      <c r="J1655" cm="1">
        <f t="array" ref="J1655">_xlfn.IFS(H1655&lt;30,0,H1655&lt;60,1,H1655&lt;90,2,H1655&lt;120,3)</f>
        <v>0</v>
      </c>
      <c r="M1655" t="str">
        <f t="shared" si="158"/>
        <v>Low</v>
      </c>
      <c r="N1655" t="str">
        <f t="shared" si="155"/>
        <v>Nov</v>
      </c>
      <c r="O1655">
        <f t="shared" si="156"/>
        <v>2025</v>
      </c>
    </row>
    <row r="1656" spans="1:15" x14ac:dyDescent="0.3">
      <c r="A1656">
        <v>202879</v>
      </c>
      <c r="B1656" t="s">
        <v>111</v>
      </c>
      <c r="C1656" s="2">
        <v>45986</v>
      </c>
      <c r="D1656" s="2">
        <f t="shared" si="154"/>
        <v>46046</v>
      </c>
      <c r="E1656" s="1">
        <f>D1656+75</f>
        <v>46121</v>
      </c>
      <c r="F1656">
        <v>4787</v>
      </c>
      <c r="G1656">
        <v>60</v>
      </c>
      <c r="H1656">
        <f t="shared" si="159"/>
        <v>0</v>
      </c>
      <c r="I1656" t="str">
        <f t="shared" si="157"/>
        <v>On Time</v>
      </c>
      <c r="J1656" cm="1">
        <f t="array" ref="J1656">_xlfn.IFS(H1656&lt;30,0,H1656&lt;60,1,H1656&lt;90,2,H1656&lt;120,3)</f>
        <v>0</v>
      </c>
      <c r="M1656" t="str">
        <f t="shared" si="158"/>
        <v>Low</v>
      </c>
      <c r="N1656" t="str">
        <f t="shared" si="155"/>
        <v>Nov</v>
      </c>
      <c r="O1656">
        <f t="shared" si="156"/>
        <v>2025</v>
      </c>
    </row>
    <row r="1657" spans="1:15" x14ac:dyDescent="0.3">
      <c r="A1657">
        <v>202880</v>
      </c>
      <c r="B1657" t="s">
        <v>112</v>
      </c>
      <c r="C1657" s="2">
        <v>45986</v>
      </c>
      <c r="D1657" s="2">
        <f t="shared" si="154"/>
        <v>46031</v>
      </c>
      <c r="E1657" s="1">
        <f>D1657+5</f>
        <v>46036</v>
      </c>
      <c r="F1657">
        <v>2998</v>
      </c>
      <c r="G1657">
        <v>45</v>
      </c>
      <c r="H1657">
        <f t="shared" si="159"/>
        <v>0</v>
      </c>
      <c r="I1657" t="str">
        <f t="shared" si="157"/>
        <v>On Time</v>
      </c>
      <c r="J1657" cm="1">
        <f t="array" ref="J1657">_xlfn.IFS(H1657&lt;30,0,H1657&lt;60,1,H1657&lt;90,2,H1657&lt;120,3)</f>
        <v>0</v>
      </c>
      <c r="M1657" t="str">
        <f t="shared" si="158"/>
        <v>Low</v>
      </c>
      <c r="N1657" t="str">
        <f t="shared" si="155"/>
        <v>Nov</v>
      </c>
      <c r="O1657">
        <f t="shared" si="156"/>
        <v>2025</v>
      </c>
    </row>
    <row r="1658" spans="1:15" x14ac:dyDescent="0.3">
      <c r="A1658">
        <v>202881</v>
      </c>
      <c r="B1658" t="s">
        <v>113</v>
      </c>
      <c r="C1658" s="2">
        <v>45986</v>
      </c>
      <c r="D1658" s="2">
        <f t="shared" si="154"/>
        <v>46031</v>
      </c>
      <c r="E1658" s="1">
        <f>D1658</f>
        <v>46031</v>
      </c>
      <c r="F1658">
        <v>2284</v>
      </c>
      <c r="G1658">
        <v>45</v>
      </c>
      <c r="H1658">
        <f t="shared" si="159"/>
        <v>0</v>
      </c>
      <c r="I1658" t="str">
        <f t="shared" si="157"/>
        <v>On Time</v>
      </c>
      <c r="J1658" cm="1">
        <f t="array" ref="J1658">_xlfn.IFS(H1658&lt;30,0,H1658&lt;60,1,H1658&lt;90,2,H1658&lt;120,3)</f>
        <v>0</v>
      </c>
      <c r="M1658" t="str">
        <f t="shared" si="158"/>
        <v>Low</v>
      </c>
      <c r="N1658" t="str">
        <f t="shared" si="155"/>
        <v>Nov</v>
      </c>
      <c r="O1658">
        <f t="shared" si="156"/>
        <v>2025</v>
      </c>
    </row>
    <row r="1659" spans="1:15" x14ac:dyDescent="0.3">
      <c r="A1659">
        <v>202882</v>
      </c>
      <c r="B1659" t="s">
        <v>114</v>
      </c>
      <c r="C1659" s="2">
        <v>45986</v>
      </c>
      <c r="D1659" s="2">
        <f t="shared" si="154"/>
        <v>46016</v>
      </c>
      <c r="E1659" s="1">
        <f>D1659-1</f>
        <v>46015</v>
      </c>
      <c r="F1659">
        <v>3053</v>
      </c>
      <c r="G1659">
        <v>30</v>
      </c>
      <c r="H1659">
        <f t="shared" si="159"/>
        <v>0</v>
      </c>
      <c r="I1659" t="str">
        <f t="shared" si="157"/>
        <v>On Time</v>
      </c>
      <c r="J1659" cm="1">
        <f t="array" ref="J1659">_xlfn.IFS(H1659&lt;30,0,H1659&lt;60,1,H1659&lt;90,2,H1659&lt;120,3)</f>
        <v>0</v>
      </c>
      <c r="M1659" t="str">
        <f t="shared" si="158"/>
        <v>Low</v>
      </c>
      <c r="N1659" t="str">
        <f t="shared" si="155"/>
        <v>Nov</v>
      </c>
      <c r="O1659">
        <f t="shared" si="156"/>
        <v>2025</v>
      </c>
    </row>
    <row r="1660" spans="1:15" x14ac:dyDescent="0.3">
      <c r="A1660">
        <v>202883</v>
      </c>
      <c r="B1660" t="s">
        <v>115</v>
      </c>
      <c r="C1660" s="2">
        <v>45986</v>
      </c>
      <c r="D1660" s="2">
        <f t="shared" si="154"/>
        <v>46016</v>
      </c>
      <c r="E1660" s="1">
        <f>D1660</f>
        <v>46016</v>
      </c>
      <c r="F1660">
        <v>2418</v>
      </c>
      <c r="G1660">
        <v>30</v>
      </c>
      <c r="H1660">
        <f t="shared" si="159"/>
        <v>0</v>
      </c>
      <c r="I1660" t="str">
        <f t="shared" si="157"/>
        <v>On Time</v>
      </c>
      <c r="J1660" cm="1">
        <f t="array" ref="J1660">_xlfn.IFS(H1660&lt;30,0,H1660&lt;60,1,H1660&lt;90,2,H1660&lt;120,3)</f>
        <v>0</v>
      </c>
      <c r="M1660" t="str">
        <f t="shared" si="158"/>
        <v>Low</v>
      </c>
      <c r="N1660" t="str">
        <f t="shared" si="155"/>
        <v>Nov</v>
      </c>
      <c r="O1660">
        <f t="shared" si="156"/>
        <v>2025</v>
      </c>
    </row>
    <row r="1661" spans="1:15" x14ac:dyDescent="0.3">
      <c r="A1661">
        <v>202884</v>
      </c>
      <c r="B1661" t="s">
        <v>116</v>
      </c>
      <c r="C1661" s="2">
        <v>45986</v>
      </c>
      <c r="D1661" s="2">
        <f t="shared" si="154"/>
        <v>46016</v>
      </c>
      <c r="E1661" s="1">
        <f>D1661+32</f>
        <v>46048</v>
      </c>
      <c r="F1661">
        <v>2148</v>
      </c>
      <c r="G1661">
        <v>30</v>
      </c>
      <c r="H1661">
        <f t="shared" si="159"/>
        <v>0</v>
      </c>
      <c r="I1661" t="str">
        <f t="shared" si="157"/>
        <v>On Time</v>
      </c>
      <c r="J1661" cm="1">
        <f t="array" ref="J1661">_xlfn.IFS(H1661&lt;30,0,H1661&lt;60,1,H1661&lt;90,2,H1661&lt;120,3)</f>
        <v>0</v>
      </c>
      <c r="M1661" t="str">
        <f t="shared" si="158"/>
        <v>Low</v>
      </c>
      <c r="N1661" t="str">
        <f t="shared" si="155"/>
        <v>Nov</v>
      </c>
      <c r="O1661">
        <f t="shared" si="156"/>
        <v>2025</v>
      </c>
    </row>
    <row r="1662" spans="1:15" x14ac:dyDescent="0.3">
      <c r="A1662">
        <v>202885</v>
      </c>
      <c r="B1662" t="s">
        <v>20</v>
      </c>
      <c r="C1662" s="2">
        <v>45986</v>
      </c>
      <c r="D1662" s="2">
        <f t="shared" si="154"/>
        <v>46016</v>
      </c>
      <c r="E1662" s="1">
        <f>D1662+15</f>
        <v>46031</v>
      </c>
      <c r="F1662">
        <v>4026</v>
      </c>
      <c r="G1662">
        <v>30</v>
      </c>
      <c r="H1662">
        <f t="shared" si="159"/>
        <v>0</v>
      </c>
      <c r="I1662" t="str">
        <f t="shared" si="157"/>
        <v>On Time</v>
      </c>
      <c r="J1662" cm="1">
        <f t="array" ref="J1662">_xlfn.IFS(H1662&lt;30,0,H1662&lt;60,1,H1662&lt;90,2,H1662&lt;120,3)</f>
        <v>0</v>
      </c>
      <c r="M1662" t="str">
        <f t="shared" si="158"/>
        <v>Low</v>
      </c>
      <c r="N1662" t="str">
        <f t="shared" si="155"/>
        <v>Nov</v>
      </c>
      <c r="O1662">
        <f t="shared" si="156"/>
        <v>2025</v>
      </c>
    </row>
    <row r="1663" spans="1:15" x14ac:dyDescent="0.3">
      <c r="A1663">
        <v>202886</v>
      </c>
      <c r="B1663" t="s">
        <v>21</v>
      </c>
      <c r="C1663" s="2">
        <v>45986</v>
      </c>
      <c r="D1663" s="2">
        <f t="shared" si="154"/>
        <v>46016</v>
      </c>
      <c r="E1663" s="1">
        <f>D1663</f>
        <v>46016</v>
      </c>
      <c r="F1663">
        <v>2392</v>
      </c>
      <c r="G1663">
        <v>30</v>
      </c>
      <c r="H1663">
        <f t="shared" si="159"/>
        <v>0</v>
      </c>
      <c r="I1663" t="str">
        <f t="shared" si="157"/>
        <v>On Time</v>
      </c>
      <c r="J1663" cm="1">
        <f t="array" ref="J1663">_xlfn.IFS(H1663&lt;30,0,H1663&lt;60,1,H1663&lt;90,2,H1663&lt;120,3)</f>
        <v>0</v>
      </c>
      <c r="M1663" t="str">
        <f t="shared" si="158"/>
        <v>Low</v>
      </c>
      <c r="N1663" t="str">
        <f t="shared" si="155"/>
        <v>Nov</v>
      </c>
      <c r="O1663">
        <f t="shared" si="156"/>
        <v>2025</v>
      </c>
    </row>
    <row r="1664" spans="1:15" x14ac:dyDescent="0.3">
      <c r="A1664">
        <v>202887</v>
      </c>
      <c r="B1664" t="s">
        <v>22</v>
      </c>
      <c r="C1664" s="2">
        <v>45986</v>
      </c>
      <c r="D1664" s="2">
        <f t="shared" si="154"/>
        <v>46016</v>
      </c>
      <c r="E1664" s="1">
        <f>D1664-2</f>
        <v>46014</v>
      </c>
      <c r="F1664">
        <v>3539</v>
      </c>
      <c r="G1664">
        <v>30</v>
      </c>
      <c r="H1664">
        <f t="shared" si="159"/>
        <v>0</v>
      </c>
      <c r="I1664" t="str">
        <f t="shared" si="157"/>
        <v>On Time</v>
      </c>
      <c r="J1664" cm="1">
        <f t="array" ref="J1664">_xlfn.IFS(H1664&lt;30,0,H1664&lt;60,1,H1664&lt;90,2,H1664&lt;120,3)</f>
        <v>0</v>
      </c>
      <c r="M1664" t="str">
        <f t="shared" si="158"/>
        <v>Low</v>
      </c>
      <c r="N1664" t="str">
        <f t="shared" si="155"/>
        <v>Nov</v>
      </c>
      <c r="O1664">
        <f t="shared" si="156"/>
        <v>2025</v>
      </c>
    </row>
    <row r="1665" spans="1:15" x14ac:dyDescent="0.3">
      <c r="A1665">
        <v>202888</v>
      </c>
      <c r="B1665" t="s">
        <v>23</v>
      </c>
      <c r="C1665" s="2">
        <v>45986</v>
      </c>
      <c r="D1665" s="2">
        <f t="shared" si="154"/>
        <v>46031</v>
      </c>
      <c r="E1665" s="1">
        <f>D1665</f>
        <v>46031</v>
      </c>
      <c r="F1665">
        <v>802</v>
      </c>
      <c r="G1665">
        <v>45</v>
      </c>
      <c r="H1665">
        <f t="shared" si="159"/>
        <v>0</v>
      </c>
      <c r="I1665" t="str">
        <f t="shared" si="157"/>
        <v>On Time</v>
      </c>
      <c r="J1665" cm="1">
        <f t="array" ref="J1665">_xlfn.IFS(H1665&lt;30,0,H1665&lt;60,1,H1665&lt;90,2,H1665&lt;120,3)</f>
        <v>0</v>
      </c>
      <c r="M1665" t="str">
        <f t="shared" si="158"/>
        <v>Low</v>
      </c>
      <c r="N1665" t="str">
        <f t="shared" si="155"/>
        <v>Nov</v>
      </c>
      <c r="O1665">
        <f t="shared" si="156"/>
        <v>2025</v>
      </c>
    </row>
    <row r="1666" spans="1:15" x14ac:dyDescent="0.3">
      <c r="A1666">
        <v>202889</v>
      </c>
      <c r="B1666" t="s">
        <v>24</v>
      </c>
      <c r="C1666" s="2">
        <v>45986</v>
      </c>
      <c r="D1666" s="2">
        <f t="shared" ref="D1666:D1729" si="160">C1666+G1666</f>
        <v>46031</v>
      </c>
      <c r="E1666" s="1">
        <f>D1666+2</f>
        <v>46033</v>
      </c>
      <c r="F1666">
        <v>2740</v>
      </c>
      <c r="G1666">
        <v>45</v>
      </c>
      <c r="H1666">
        <f t="shared" si="159"/>
        <v>0</v>
      </c>
      <c r="I1666" t="str">
        <f t="shared" si="157"/>
        <v>On Time</v>
      </c>
      <c r="J1666" cm="1">
        <f t="array" ref="J1666">_xlfn.IFS(H1666&lt;30,0,H1666&lt;60,1,H1666&lt;90,2,H1666&lt;120,3)</f>
        <v>0</v>
      </c>
      <c r="M1666" t="str">
        <f t="shared" si="158"/>
        <v>Low</v>
      </c>
      <c r="N1666" t="str">
        <f t="shared" ref="N1666:N1729" si="161">TEXT(C1666,"mmm")</f>
        <v>Nov</v>
      </c>
      <c r="O1666">
        <f t="shared" ref="O1666:O1729" si="162">YEAR(C1666)</f>
        <v>2025</v>
      </c>
    </row>
    <row r="1667" spans="1:15" x14ac:dyDescent="0.3">
      <c r="A1667">
        <v>202890</v>
      </c>
      <c r="B1667" t="s">
        <v>25</v>
      </c>
      <c r="C1667" s="2">
        <v>45986</v>
      </c>
      <c r="D1667" s="2">
        <f t="shared" si="160"/>
        <v>46046</v>
      </c>
      <c r="E1667" s="1">
        <f>D1667+2</f>
        <v>46048</v>
      </c>
      <c r="F1667">
        <v>4358</v>
      </c>
      <c r="G1667">
        <v>60</v>
      </c>
      <c r="H1667">
        <f t="shared" si="159"/>
        <v>0</v>
      </c>
      <c r="I1667" t="str">
        <f t="shared" si="157"/>
        <v>On Time</v>
      </c>
      <c r="J1667" cm="1">
        <f t="array" ref="J1667">_xlfn.IFS(H1667&lt;30,0,H1667&lt;60,1,H1667&lt;90,2,H1667&lt;120,3)</f>
        <v>0</v>
      </c>
      <c r="M1667" t="str">
        <f t="shared" si="158"/>
        <v>Low</v>
      </c>
      <c r="N1667" t="str">
        <f t="shared" si="161"/>
        <v>Nov</v>
      </c>
      <c r="O1667">
        <f t="shared" si="162"/>
        <v>2025</v>
      </c>
    </row>
    <row r="1668" spans="1:15" x14ac:dyDescent="0.3">
      <c r="A1668">
        <v>202891</v>
      </c>
      <c r="B1668" t="s">
        <v>26</v>
      </c>
      <c r="C1668" s="2">
        <v>45986</v>
      </c>
      <c r="D1668" s="2">
        <f t="shared" si="160"/>
        <v>46016</v>
      </c>
      <c r="E1668" s="1">
        <f>D1668+2</f>
        <v>46018</v>
      </c>
      <c r="F1668">
        <v>3277</v>
      </c>
      <c r="G1668">
        <v>30</v>
      </c>
      <c r="H1668">
        <f t="shared" si="159"/>
        <v>0</v>
      </c>
      <c r="I1668" t="str">
        <f t="shared" si="157"/>
        <v>On Time</v>
      </c>
      <c r="J1668" cm="1">
        <f t="array" ref="J1668">_xlfn.IFS(H1668&lt;30,0,H1668&lt;60,1,H1668&lt;90,2,H1668&lt;120,3)</f>
        <v>0</v>
      </c>
      <c r="M1668" t="str">
        <f t="shared" si="158"/>
        <v>Low</v>
      </c>
      <c r="N1668" t="str">
        <f t="shared" si="161"/>
        <v>Nov</v>
      </c>
      <c r="O1668">
        <f t="shared" si="162"/>
        <v>2025</v>
      </c>
    </row>
    <row r="1669" spans="1:15" x14ac:dyDescent="0.3">
      <c r="A1669">
        <v>202892</v>
      </c>
      <c r="B1669" t="s">
        <v>27</v>
      </c>
      <c r="C1669" s="2">
        <v>45986</v>
      </c>
      <c r="D1669" s="2">
        <f t="shared" si="160"/>
        <v>46046</v>
      </c>
      <c r="E1669" s="1">
        <f>D1669</f>
        <v>46046</v>
      </c>
      <c r="F1669">
        <v>2596</v>
      </c>
      <c r="G1669">
        <v>60</v>
      </c>
      <c r="H1669">
        <f t="shared" si="159"/>
        <v>0</v>
      </c>
      <c r="I1669" t="str">
        <f t="shared" si="157"/>
        <v>On Time</v>
      </c>
      <c r="J1669" cm="1">
        <f t="array" ref="J1669">_xlfn.IFS(H1669&lt;30,0,H1669&lt;60,1,H1669&lt;90,2,H1669&lt;120,3)</f>
        <v>0</v>
      </c>
      <c r="M1669" t="str">
        <f t="shared" si="158"/>
        <v>Low</v>
      </c>
      <c r="N1669" t="str">
        <f t="shared" si="161"/>
        <v>Nov</v>
      </c>
      <c r="O1669">
        <f t="shared" si="162"/>
        <v>2025</v>
      </c>
    </row>
    <row r="1670" spans="1:15" x14ac:dyDescent="0.3">
      <c r="A1670">
        <v>202893</v>
      </c>
      <c r="B1670" t="s">
        <v>28</v>
      </c>
      <c r="C1670" s="2">
        <v>45986</v>
      </c>
      <c r="D1670" s="2">
        <f t="shared" si="160"/>
        <v>46016</v>
      </c>
      <c r="E1670" s="1">
        <f>D1670+20</f>
        <v>46036</v>
      </c>
      <c r="F1670">
        <v>1079</v>
      </c>
      <c r="G1670">
        <v>30</v>
      </c>
      <c r="H1670">
        <f t="shared" si="159"/>
        <v>0</v>
      </c>
      <c r="I1670" t="str">
        <f t="shared" si="157"/>
        <v>On Time</v>
      </c>
      <c r="J1670" cm="1">
        <f t="array" ref="J1670">_xlfn.IFS(H1670&lt;30,0,H1670&lt;60,1,H1670&lt;90,2,H1670&lt;120,3)</f>
        <v>0</v>
      </c>
      <c r="M1670" t="str">
        <f t="shared" si="158"/>
        <v>Low</v>
      </c>
      <c r="N1670" t="str">
        <f t="shared" si="161"/>
        <v>Nov</v>
      </c>
      <c r="O1670">
        <f t="shared" si="162"/>
        <v>2025</v>
      </c>
    </row>
    <row r="1671" spans="1:15" x14ac:dyDescent="0.3">
      <c r="A1671">
        <v>202894</v>
      </c>
      <c r="B1671" t="s">
        <v>29</v>
      </c>
      <c r="C1671" s="2">
        <v>45986</v>
      </c>
      <c r="D1671" s="2">
        <f t="shared" si="160"/>
        <v>46016</v>
      </c>
      <c r="E1671" s="1">
        <f>D1671</f>
        <v>46016</v>
      </c>
      <c r="F1671">
        <v>731</v>
      </c>
      <c r="G1671">
        <v>30</v>
      </c>
      <c r="H1671">
        <f t="shared" si="159"/>
        <v>0</v>
      </c>
      <c r="I1671" t="str">
        <f t="shared" si="157"/>
        <v>On Time</v>
      </c>
      <c r="J1671" cm="1">
        <f t="array" ref="J1671">_xlfn.IFS(H1671&lt;30,0,H1671&lt;60,1,H1671&lt;90,2,H1671&lt;120,3)</f>
        <v>0</v>
      </c>
      <c r="M1671" t="str">
        <f t="shared" si="158"/>
        <v>Low</v>
      </c>
      <c r="N1671" t="str">
        <f t="shared" si="161"/>
        <v>Nov</v>
      </c>
      <c r="O1671">
        <f t="shared" si="162"/>
        <v>2025</v>
      </c>
    </row>
    <row r="1672" spans="1:15" x14ac:dyDescent="0.3">
      <c r="A1672">
        <v>202895</v>
      </c>
      <c r="B1672" t="s">
        <v>30</v>
      </c>
      <c r="C1672" s="2">
        <v>45986</v>
      </c>
      <c r="D1672" s="2">
        <f t="shared" si="160"/>
        <v>46016</v>
      </c>
      <c r="E1672" s="1">
        <f>D1672+1</f>
        <v>46017</v>
      </c>
      <c r="F1672">
        <v>2235</v>
      </c>
      <c r="G1672">
        <v>30</v>
      </c>
      <c r="H1672">
        <f t="shared" si="159"/>
        <v>0</v>
      </c>
      <c r="I1672" t="str">
        <f t="shared" si="157"/>
        <v>On Time</v>
      </c>
      <c r="J1672" cm="1">
        <f t="array" ref="J1672">_xlfn.IFS(H1672&lt;30,0,H1672&lt;60,1,H1672&lt;90,2,H1672&lt;120,3)</f>
        <v>0</v>
      </c>
      <c r="M1672" t="str">
        <f t="shared" si="158"/>
        <v>Low</v>
      </c>
      <c r="N1672" t="str">
        <f t="shared" si="161"/>
        <v>Nov</v>
      </c>
      <c r="O1672">
        <f t="shared" si="162"/>
        <v>2025</v>
      </c>
    </row>
    <row r="1673" spans="1:15" x14ac:dyDescent="0.3">
      <c r="A1673">
        <v>202896</v>
      </c>
      <c r="B1673" t="s">
        <v>31</v>
      </c>
      <c r="C1673" s="2">
        <v>45986</v>
      </c>
      <c r="D1673" s="2">
        <f t="shared" si="160"/>
        <v>46031</v>
      </c>
      <c r="E1673" s="1">
        <f>D1673</f>
        <v>46031</v>
      </c>
      <c r="F1673">
        <v>1488</v>
      </c>
      <c r="G1673">
        <v>45</v>
      </c>
      <c r="H1673">
        <f t="shared" si="159"/>
        <v>0</v>
      </c>
      <c r="I1673" t="str">
        <f t="shared" si="157"/>
        <v>On Time</v>
      </c>
      <c r="J1673" cm="1">
        <f t="array" ref="J1673">_xlfn.IFS(H1673&lt;30,0,H1673&lt;60,1,H1673&lt;90,2,H1673&lt;120,3)</f>
        <v>0</v>
      </c>
      <c r="M1673" t="str">
        <f t="shared" si="158"/>
        <v>Low</v>
      </c>
      <c r="N1673" t="str">
        <f t="shared" si="161"/>
        <v>Nov</v>
      </c>
      <c r="O1673">
        <f t="shared" si="162"/>
        <v>2025</v>
      </c>
    </row>
    <row r="1674" spans="1:15" x14ac:dyDescent="0.3">
      <c r="A1674">
        <v>202897</v>
      </c>
      <c r="B1674" t="s">
        <v>54</v>
      </c>
      <c r="C1674" s="2">
        <v>45986</v>
      </c>
      <c r="D1674" s="2">
        <f t="shared" si="160"/>
        <v>46016</v>
      </c>
      <c r="E1674" s="1">
        <f>D1674</f>
        <v>46016</v>
      </c>
      <c r="F1674">
        <v>2886</v>
      </c>
      <c r="G1674">
        <v>30</v>
      </c>
      <c r="H1674">
        <f t="shared" si="159"/>
        <v>0</v>
      </c>
      <c r="I1674" t="str">
        <f t="shared" si="157"/>
        <v>On Time</v>
      </c>
      <c r="J1674" cm="1">
        <f t="array" ref="J1674">_xlfn.IFS(H1674&lt;30,0,H1674&lt;60,1,H1674&lt;90,2,H1674&lt;120,3)</f>
        <v>0</v>
      </c>
      <c r="M1674" t="str">
        <f t="shared" si="158"/>
        <v>Low</v>
      </c>
      <c r="N1674" t="str">
        <f t="shared" si="161"/>
        <v>Nov</v>
      </c>
      <c r="O1674">
        <f t="shared" si="162"/>
        <v>2025</v>
      </c>
    </row>
    <row r="1675" spans="1:15" x14ac:dyDescent="0.3">
      <c r="A1675">
        <v>202898</v>
      </c>
      <c r="B1675" t="s">
        <v>55</v>
      </c>
      <c r="C1675" s="2">
        <v>45986</v>
      </c>
      <c r="D1675" s="2">
        <f t="shared" si="160"/>
        <v>46016</v>
      </c>
      <c r="E1675" s="1">
        <f>D1675+5</f>
        <v>46021</v>
      </c>
      <c r="F1675">
        <v>1147</v>
      </c>
      <c r="G1675">
        <v>30</v>
      </c>
      <c r="H1675">
        <f t="shared" si="159"/>
        <v>0</v>
      </c>
      <c r="I1675" t="str">
        <f t="shared" si="157"/>
        <v>On Time</v>
      </c>
      <c r="J1675" cm="1">
        <f t="array" ref="J1675">_xlfn.IFS(H1675&lt;30,0,H1675&lt;60,1,H1675&lt;90,2,H1675&lt;120,3)</f>
        <v>0</v>
      </c>
      <c r="M1675" t="str">
        <f t="shared" si="158"/>
        <v>Low</v>
      </c>
      <c r="N1675" t="str">
        <f t="shared" si="161"/>
        <v>Nov</v>
      </c>
      <c r="O1675">
        <f t="shared" si="162"/>
        <v>2025</v>
      </c>
    </row>
    <row r="1676" spans="1:15" x14ac:dyDescent="0.3">
      <c r="A1676">
        <v>202899</v>
      </c>
      <c r="B1676" t="s">
        <v>56</v>
      </c>
      <c r="C1676" s="2">
        <v>45986</v>
      </c>
      <c r="D1676" s="2">
        <f t="shared" si="160"/>
        <v>46031</v>
      </c>
      <c r="E1676" s="1">
        <f>D1676+2</f>
        <v>46033</v>
      </c>
      <c r="F1676">
        <v>910</v>
      </c>
      <c r="G1676">
        <v>45</v>
      </c>
      <c r="H1676">
        <f t="shared" si="159"/>
        <v>0</v>
      </c>
      <c r="I1676" t="str">
        <f t="shared" si="157"/>
        <v>On Time</v>
      </c>
      <c r="J1676" cm="1">
        <f t="array" ref="J1676">_xlfn.IFS(H1676&lt;30,0,H1676&lt;60,1,H1676&lt;90,2,H1676&lt;120,3)</f>
        <v>0</v>
      </c>
      <c r="M1676" t="str">
        <f t="shared" si="158"/>
        <v>Low</v>
      </c>
      <c r="N1676" t="str">
        <f t="shared" si="161"/>
        <v>Nov</v>
      </c>
      <c r="O1676">
        <f t="shared" si="162"/>
        <v>2025</v>
      </c>
    </row>
    <row r="1677" spans="1:15" x14ac:dyDescent="0.3">
      <c r="A1677">
        <v>202900</v>
      </c>
      <c r="B1677" t="s">
        <v>57</v>
      </c>
      <c r="C1677" s="2">
        <v>45986</v>
      </c>
      <c r="D1677" s="2">
        <f t="shared" si="160"/>
        <v>46046</v>
      </c>
      <c r="E1677" s="1">
        <f>D1677</f>
        <v>46046</v>
      </c>
      <c r="F1677">
        <v>833</v>
      </c>
      <c r="G1677">
        <v>60</v>
      </c>
      <c r="H1677">
        <f t="shared" si="159"/>
        <v>0</v>
      </c>
      <c r="I1677" t="str">
        <f t="shared" si="157"/>
        <v>On Time</v>
      </c>
      <c r="J1677" cm="1">
        <f t="array" ref="J1677">_xlfn.IFS(H1677&lt;30,0,H1677&lt;60,1,H1677&lt;90,2,H1677&lt;120,3)</f>
        <v>0</v>
      </c>
      <c r="M1677" t="str">
        <f t="shared" si="158"/>
        <v>Low</v>
      </c>
      <c r="N1677" t="str">
        <f t="shared" si="161"/>
        <v>Nov</v>
      </c>
      <c r="O1677">
        <f t="shared" si="162"/>
        <v>2025</v>
      </c>
    </row>
    <row r="1678" spans="1:15" x14ac:dyDescent="0.3">
      <c r="A1678">
        <v>202901</v>
      </c>
      <c r="B1678" t="s">
        <v>58</v>
      </c>
      <c r="C1678" s="2">
        <v>45986</v>
      </c>
      <c r="D1678" s="2">
        <f t="shared" si="160"/>
        <v>46016</v>
      </c>
      <c r="E1678" s="1">
        <f>D1678</f>
        <v>46016</v>
      </c>
      <c r="F1678">
        <v>3529</v>
      </c>
      <c r="G1678">
        <v>30</v>
      </c>
      <c r="H1678">
        <f t="shared" si="159"/>
        <v>0</v>
      </c>
      <c r="I1678" t="str">
        <f t="shared" si="157"/>
        <v>On Time</v>
      </c>
      <c r="J1678" cm="1">
        <f t="array" ref="J1678">_xlfn.IFS(H1678&lt;30,0,H1678&lt;60,1,H1678&lt;90,2,H1678&lt;120,3)</f>
        <v>0</v>
      </c>
      <c r="M1678" t="str">
        <f t="shared" si="158"/>
        <v>Low</v>
      </c>
      <c r="N1678" t="str">
        <f t="shared" si="161"/>
        <v>Nov</v>
      </c>
      <c r="O1678">
        <f t="shared" si="162"/>
        <v>2025</v>
      </c>
    </row>
    <row r="1679" spans="1:15" x14ac:dyDescent="0.3">
      <c r="A1679">
        <v>202902</v>
      </c>
      <c r="B1679" t="s">
        <v>59</v>
      </c>
      <c r="C1679" s="2">
        <v>45986</v>
      </c>
      <c r="D1679" s="2">
        <f t="shared" si="160"/>
        <v>46016</v>
      </c>
      <c r="E1679" s="1">
        <f>D1679</f>
        <v>46016</v>
      </c>
      <c r="F1679">
        <v>966</v>
      </c>
      <c r="G1679">
        <v>30</v>
      </c>
      <c r="H1679">
        <f t="shared" si="159"/>
        <v>0</v>
      </c>
      <c r="I1679" t="str">
        <f t="shared" si="157"/>
        <v>On Time</v>
      </c>
      <c r="J1679" cm="1">
        <f t="array" ref="J1679">_xlfn.IFS(H1679&lt;30,0,H1679&lt;60,1,H1679&lt;90,2,H1679&lt;120,3)</f>
        <v>0</v>
      </c>
      <c r="M1679" t="str">
        <f t="shared" si="158"/>
        <v>Low</v>
      </c>
      <c r="N1679" t="str">
        <f t="shared" si="161"/>
        <v>Nov</v>
      </c>
      <c r="O1679">
        <f t="shared" si="162"/>
        <v>2025</v>
      </c>
    </row>
    <row r="1680" spans="1:15" x14ac:dyDescent="0.3">
      <c r="A1680">
        <v>202903</v>
      </c>
      <c r="B1680" t="s">
        <v>60</v>
      </c>
      <c r="C1680" s="2">
        <v>45986</v>
      </c>
      <c r="D1680" s="2">
        <f t="shared" si="160"/>
        <v>46016</v>
      </c>
      <c r="E1680" s="1">
        <f>D1680+60</f>
        <v>46076</v>
      </c>
      <c r="F1680">
        <v>1977</v>
      </c>
      <c r="G1680">
        <v>30</v>
      </c>
      <c r="H1680">
        <f t="shared" si="159"/>
        <v>0</v>
      </c>
      <c r="I1680" t="str">
        <f t="shared" si="157"/>
        <v>On Time</v>
      </c>
      <c r="J1680" cm="1">
        <f t="array" ref="J1680">_xlfn.IFS(H1680&lt;30,0,H1680&lt;60,1,H1680&lt;90,2,H1680&lt;120,3)</f>
        <v>0</v>
      </c>
      <c r="M1680" t="str">
        <f t="shared" si="158"/>
        <v>Low</v>
      </c>
      <c r="N1680" t="str">
        <f t="shared" si="161"/>
        <v>Nov</v>
      </c>
      <c r="O1680">
        <f t="shared" si="162"/>
        <v>2025</v>
      </c>
    </row>
    <row r="1681" spans="1:15" x14ac:dyDescent="0.3">
      <c r="A1681">
        <v>202904</v>
      </c>
      <c r="B1681" t="s">
        <v>61</v>
      </c>
      <c r="C1681" s="2">
        <v>45986</v>
      </c>
      <c r="D1681" s="2">
        <f t="shared" si="160"/>
        <v>46016</v>
      </c>
      <c r="E1681" s="1">
        <f>D1681</f>
        <v>46016</v>
      </c>
      <c r="F1681">
        <v>315</v>
      </c>
      <c r="G1681">
        <v>30</v>
      </c>
      <c r="H1681">
        <f t="shared" si="159"/>
        <v>0</v>
      </c>
      <c r="I1681" t="str">
        <f t="shared" si="157"/>
        <v>On Time</v>
      </c>
      <c r="J1681" cm="1">
        <f t="array" ref="J1681">_xlfn.IFS(H1681&lt;30,0,H1681&lt;60,1,H1681&lt;90,2,H1681&lt;120,3)</f>
        <v>0</v>
      </c>
      <c r="M1681" t="str">
        <f t="shared" si="158"/>
        <v>Low</v>
      </c>
      <c r="N1681" t="str">
        <f t="shared" si="161"/>
        <v>Nov</v>
      </c>
      <c r="O1681">
        <f t="shared" si="162"/>
        <v>2025</v>
      </c>
    </row>
    <row r="1682" spans="1:15" x14ac:dyDescent="0.3">
      <c r="A1682">
        <v>202850</v>
      </c>
      <c r="B1682" t="s">
        <v>42</v>
      </c>
      <c r="C1682" s="2">
        <v>45985</v>
      </c>
      <c r="D1682" s="2">
        <f t="shared" si="160"/>
        <v>46015</v>
      </c>
      <c r="E1682" s="1">
        <f>D1682</f>
        <v>46015</v>
      </c>
      <c r="F1682">
        <v>2874</v>
      </c>
      <c r="G1682">
        <v>30</v>
      </c>
      <c r="H1682">
        <f t="shared" si="159"/>
        <v>0</v>
      </c>
      <c r="I1682" t="str">
        <f t="shared" si="157"/>
        <v>On Time</v>
      </c>
      <c r="J1682" cm="1">
        <f t="array" ref="J1682">_xlfn.IFS(H1682&lt;30,0,H1682&lt;60,1,H1682&lt;90,2,H1682&lt;120,3)</f>
        <v>0</v>
      </c>
      <c r="M1682" t="str">
        <f t="shared" si="158"/>
        <v>Low</v>
      </c>
      <c r="N1682" t="str">
        <f t="shared" si="161"/>
        <v>Nov</v>
      </c>
      <c r="O1682">
        <f t="shared" si="162"/>
        <v>2025</v>
      </c>
    </row>
    <row r="1683" spans="1:15" x14ac:dyDescent="0.3">
      <c r="A1683">
        <v>202851</v>
      </c>
      <c r="B1683" t="s">
        <v>43</v>
      </c>
      <c r="C1683" s="2">
        <v>45985</v>
      </c>
      <c r="D1683" s="2">
        <f t="shared" si="160"/>
        <v>46015</v>
      </c>
      <c r="E1683" s="1">
        <f>D1683+32</f>
        <v>46047</v>
      </c>
      <c r="F1683">
        <v>359</v>
      </c>
      <c r="G1683">
        <v>30</v>
      </c>
      <c r="H1683">
        <f t="shared" si="159"/>
        <v>0</v>
      </c>
      <c r="I1683" t="str">
        <f t="shared" si="157"/>
        <v>On Time</v>
      </c>
      <c r="J1683" cm="1">
        <f t="array" ref="J1683">_xlfn.IFS(H1683&lt;30,0,H1683&lt;60,1,H1683&lt;90,2,H1683&lt;120,3)</f>
        <v>0</v>
      </c>
      <c r="M1683" t="str">
        <f t="shared" si="158"/>
        <v>Low</v>
      </c>
      <c r="N1683" t="str">
        <f t="shared" si="161"/>
        <v>Nov</v>
      </c>
      <c r="O1683">
        <f t="shared" si="162"/>
        <v>2025</v>
      </c>
    </row>
    <row r="1684" spans="1:15" x14ac:dyDescent="0.3">
      <c r="A1684">
        <v>202852</v>
      </c>
      <c r="B1684" t="s">
        <v>44</v>
      </c>
      <c r="C1684" s="2">
        <v>45985</v>
      </c>
      <c r="D1684" s="2">
        <f t="shared" si="160"/>
        <v>46030</v>
      </c>
      <c r="E1684" s="1">
        <f>D1684+15</f>
        <v>46045</v>
      </c>
      <c r="F1684">
        <v>3175</v>
      </c>
      <c r="G1684">
        <v>45</v>
      </c>
      <c r="H1684">
        <f t="shared" si="159"/>
        <v>0</v>
      </c>
      <c r="I1684" t="str">
        <f t="shared" si="157"/>
        <v>On Time</v>
      </c>
      <c r="J1684" cm="1">
        <f t="array" ref="J1684">_xlfn.IFS(H1684&lt;30,0,H1684&lt;60,1,H1684&lt;90,2,H1684&lt;120,3)</f>
        <v>0</v>
      </c>
      <c r="M1684" t="str">
        <f t="shared" si="158"/>
        <v>Low</v>
      </c>
      <c r="N1684" t="str">
        <f t="shared" si="161"/>
        <v>Nov</v>
      </c>
      <c r="O1684">
        <f t="shared" si="162"/>
        <v>2025</v>
      </c>
    </row>
    <row r="1685" spans="1:15" x14ac:dyDescent="0.3">
      <c r="A1685">
        <v>202853</v>
      </c>
      <c r="B1685" t="s">
        <v>96</v>
      </c>
      <c r="C1685" s="2">
        <v>45985</v>
      </c>
      <c r="D1685" s="2">
        <f t="shared" si="160"/>
        <v>46045</v>
      </c>
      <c r="E1685" s="1">
        <f>D1685-2</f>
        <v>46043</v>
      </c>
      <c r="F1685">
        <v>2407</v>
      </c>
      <c r="G1685">
        <v>60</v>
      </c>
      <c r="H1685">
        <f t="shared" si="159"/>
        <v>0</v>
      </c>
      <c r="I1685" t="str">
        <f t="shared" si="157"/>
        <v>On Time</v>
      </c>
      <c r="J1685" cm="1">
        <f t="array" ref="J1685">_xlfn.IFS(H1685&lt;30,0,H1685&lt;60,1,H1685&lt;90,2,H1685&lt;120,3)</f>
        <v>0</v>
      </c>
      <c r="M1685" t="str">
        <f t="shared" si="158"/>
        <v>Low</v>
      </c>
      <c r="N1685" t="str">
        <f t="shared" si="161"/>
        <v>Nov</v>
      </c>
      <c r="O1685">
        <f t="shared" si="162"/>
        <v>2025</v>
      </c>
    </row>
    <row r="1686" spans="1:15" x14ac:dyDescent="0.3">
      <c r="A1686">
        <v>202854</v>
      </c>
      <c r="B1686" t="s">
        <v>97</v>
      </c>
      <c r="C1686" s="2">
        <v>45985</v>
      </c>
      <c r="D1686" s="2">
        <f t="shared" si="160"/>
        <v>46015</v>
      </c>
      <c r="E1686" s="1">
        <f>D1686-2</f>
        <v>46013</v>
      </c>
      <c r="F1686">
        <v>3774</v>
      </c>
      <c r="G1686">
        <v>30</v>
      </c>
      <c r="H1686">
        <f t="shared" si="159"/>
        <v>0</v>
      </c>
      <c r="I1686" t="str">
        <f t="shared" ref="I1686:I1749" si="163">IF(H1686=0,"On Time",IF(H1686&lt;=15,"Paid Late","Seriously Late"))</f>
        <v>On Time</v>
      </c>
      <c r="J1686" cm="1">
        <f t="array" ref="J1686">_xlfn.IFS(H1686&lt;30,0,H1686&lt;60,1,H1686&lt;90,2,H1686&lt;120,3)</f>
        <v>0</v>
      </c>
      <c r="M1686" t="str">
        <f t="shared" ref="M1686:M1749" si="164">IF(H1686&gt;30,"High",IF(H1686&gt;10,"Medium","Low"))</f>
        <v>Low</v>
      </c>
      <c r="N1686" t="str">
        <f t="shared" si="161"/>
        <v>Nov</v>
      </c>
      <c r="O1686">
        <f t="shared" si="162"/>
        <v>2025</v>
      </c>
    </row>
    <row r="1687" spans="1:15" x14ac:dyDescent="0.3">
      <c r="A1687">
        <v>202855</v>
      </c>
      <c r="B1687" t="s">
        <v>98</v>
      </c>
      <c r="C1687" s="2">
        <v>45985</v>
      </c>
      <c r="D1687" s="2">
        <f t="shared" si="160"/>
        <v>46015</v>
      </c>
      <c r="E1687" s="1">
        <f>D1687</f>
        <v>46015</v>
      </c>
      <c r="F1687">
        <v>2037</v>
      </c>
      <c r="G1687">
        <v>30</v>
      </c>
      <c r="H1687">
        <f t="shared" si="159"/>
        <v>0</v>
      </c>
      <c r="I1687" t="str">
        <f t="shared" si="163"/>
        <v>On Time</v>
      </c>
      <c r="J1687" cm="1">
        <f t="array" ref="J1687">_xlfn.IFS(H1687&lt;30,0,H1687&lt;60,1,H1687&lt;90,2,H1687&lt;120,3)</f>
        <v>0</v>
      </c>
      <c r="M1687" t="str">
        <f t="shared" si="164"/>
        <v>Low</v>
      </c>
      <c r="N1687" t="str">
        <f t="shared" si="161"/>
        <v>Nov</v>
      </c>
      <c r="O1687">
        <f t="shared" si="162"/>
        <v>2025</v>
      </c>
    </row>
    <row r="1688" spans="1:15" x14ac:dyDescent="0.3">
      <c r="A1688">
        <v>202856</v>
      </c>
      <c r="B1688" t="s">
        <v>99</v>
      </c>
      <c r="C1688" s="2">
        <v>45985</v>
      </c>
      <c r="D1688" s="2">
        <f t="shared" si="160"/>
        <v>46015</v>
      </c>
      <c r="E1688" s="1">
        <f>D1688+2</f>
        <v>46017</v>
      </c>
      <c r="F1688">
        <v>1890</v>
      </c>
      <c r="G1688">
        <v>30</v>
      </c>
      <c r="H1688">
        <f t="shared" si="159"/>
        <v>0</v>
      </c>
      <c r="I1688" t="str">
        <f t="shared" si="163"/>
        <v>On Time</v>
      </c>
      <c r="J1688" cm="1">
        <f t="array" ref="J1688">_xlfn.IFS(H1688&lt;30,0,H1688&lt;60,1,H1688&lt;90,2,H1688&lt;120,3)</f>
        <v>0</v>
      </c>
      <c r="M1688" t="str">
        <f t="shared" si="164"/>
        <v>Low</v>
      </c>
      <c r="N1688" t="str">
        <f t="shared" si="161"/>
        <v>Nov</v>
      </c>
      <c r="O1688">
        <f t="shared" si="162"/>
        <v>2025</v>
      </c>
    </row>
    <row r="1689" spans="1:15" x14ac:dyDescent="0.3">
      <c r="A1689">
        <v>202857</v>
      </c>
      <c r="B1689" t="s">
        <v>100</v>
      </c>
      <c r="C1689" s="2">
        <v>45985</v>
      </c>
      <c r="D1689" s="2">
        <f t="shared" si="160"/>
        <v>46015</v>
      </c>
      <c r="E1689" s="1">
        <f>D1689+2</f>
        <v>46017</v>
      </c>
      <c r="F1689">
        <v>4268</v>
      </c>
      <c r="G1689">
        <v>30</v>
      </c>
      <c r="H1689">
        <f t="shared" si="159"/>
        <v>0</v>
      </c>
      <c r="I1689" t="str">
        <f t="shared" si="163"/>
        <v>On Time</v>
      </c>
      <c r="J1689" cm="1">
        <f t="array" ref="J1689">_xlfn.IFS(H1689&lt;30,0,H1689&lt;60,1,H1689&lt;90,2,H1689&lt;120,3)</f>
        <v>0</v>
      </c>
      <c r="M1689" t="str">
        <f t="shared" si="164"/>
        <v>Low</v>
      </c>
      <c r="N1689" t="str">
        <f t="shared" si="161"/>
        <v>Nov</v>
      </c>
      <c r="O1689">
        <f t="shared" si="162"/>
        <v>2025</v>
      </c>
    </row>
    <row r="1690" spans="1:15" x14ac:dyDescent="0.3">
      <c r="A1690">
        <v>202858</v>
      </c>
      <c r="B1690" t="s">
        <v>101</v>
      </c>
      <c r="C1690" s="2">
        <v>45985</v>
      </c>
      <c r="D1690" s="2">
        <f t="shared" si="160"/>
        <v>46015</v>
      </c>
      <c r="E1690" s="1">
        <f>D1690+2</f>
        <v>46017</v>
      </c>
      <c r="F1690">
        <v>2437</v>
      </c>
      <c r="G1690">
        <v>30</v>
      </c>
      <c r="H1690">
        <f t="shared" si="159"/>
        <v>0</v>
      </c>
      <c r="I1690" t="str">
        <f t="shared" si="163"/>
        <v>On Time</v>
      </c>
      <c r="J1690" cm="1">
        <f t="array" ref="J1690">_xlfn.IFS(H1690&lt;30,0,H1690&lt;60,1,H1690&lt;90,2,H1690&lt;120,3)</f>
        <v>0</v>
      </c>
      <c r="M1690" t="str">
        <f t="shared" si="164"/>
        <v>Low</v>
      </c>
      <c r="N1690" t="str">
        <f t="shared" si="161"/>
        <v>Nov</v>
      </c>
      <c r="O1690">
        <f t="shared" si="162"/>
        <v>2025</v>
      </c>
    </row>
    <row r="1691" spans="1:15" x14ac:dyDescent="0.3">
      <c r="A1691">
        <v>202859</v>
      </c>
      <c r="B1691" t="s">
        <v>102</v>
      </c>
      <c r="C1691" s="2">
        <v>45985</v>
      </c>
      <c r="D1691" s="2">
        <f t="shared" si="160"/>
        <v>46015</v>
      </c>
      <c r="E1691" s="1">
        <f>D1691</f>
        <v>46015</v>
      </c>
      <c r="F1691">
        <v>1309</v>
      </c>
      <c r="G1691">
        <v>30</v>
      </c>
      <c r="H1691">
        <f t="shared" si="159"/>
        <v>0</v>
      </c>
      <c r="I1691" t="str">
        <f t="shared" si="163"/>
        <v>On Time</v>
      </c>
      <c r="J1691" cm="1">
        <f t="array" ref="J1691">_xlfn.IFS(H1691&lt;30,0,H1691&lt;60,1,H1691&lt;90,2,H1691&lt;120,3)</f>
        <v>0</v>
      </c>
      <c r="M1691" t="str">
        <f t="shared" si="164"/>
        <v>Low</v>
      </c>
      <c r="N1691" t="str">
        <f t="shared" si="161"/>
        <v>Nov</v>
      </c>
      <c r="O1691">
        <f t="shared" si="162"/>
        <v>2025</v>
      </c>
    </row>
    <row r="1692" spans="1:15" x14ac:dyDescent="0.3">
      <c r="A1692">
        <v>202860</v>
      </c>
      <c r="B1692" t="s">
        <v>103</v>
      </c>
      <c r="C1692" s="2">
        <v>45985</v>
      </c>
      <c r="D1692" s="2">
        <f t="shared" si="160"/>
        <v>46015</v>
      </c>
      <c r="E1692" s="1">
        <f>D1692+20</f>
        <v>46035</v>
      </c>
      <c r="F1692">
        <v>4355</v>
      </c>
      <c r="G1692">
        <v>30</v>
      </c>
      <c r="H1692">
        <f t="shared" si="159"/>
        <v>0</v>
      </c>
      <c r="I1692" t="str">
        <f t="shared" si="163"/>
        <v>On Time</v>
      </c>
      <c r="J1692" cm="1">
        <f t="array" ref="J1692">_xlfn.IFS(H1692&lt;30,0,H1692&lt;60,1,H1692&lt;90,2,H1692&lt;120,3)</f>
        <v>0</v>
      </c>
      <c r="M1692" t="str">
        <f t="shared" si="164"/>
        <v>Low</v>
      </c>
      <c r="N1692" t="str">
        <f t="shared" si="161"/>
        <v>Nov</v>
      </c>
      <c r="O1692">
        <f t="shared" si="162"/>
        <v>2025</v>
      </c>
    </row>
    <row r="1693" spans="1:15" x14ac:dyDescent="0.3">
      <c r="A1693">
        <v>202861</v>
      </c>
      <c r="B1693" t="s">
        <v>104</v>
      </c>
      <c r="C1693" s="2">
        <v>45985</v>
      </c>
      <c r="D1693" s="2">
        <f t="shared" si="160"/>
        <v>46015</v>
      </c>
      <c r="E1693" s="1">
        <f>D1693</f>
        <v>46015</v>
      </c>
      <c r="F1693">
        <v>1804</v>
      </c>
      <c r="G1693">
        <v>30</v>
      </c>
      <c r="H1693">
        <f t="shared" si="159"/>
        <v>0</v>
      </c>
      <c r="I1693" t="str">
        <f t="shared" si="163"/>
        <v>On Time</v>
      </c>
      <c r="J1693" cm="1">
        <f t="array" ref="J1693">_xlfn.IFS(H1693&lt;30,0,H1693&lt;60,1,H1693&lt;90,2,H1693&lt;120,3)</f>
        <v>0</v>
      </c>
      <c r="M1693" t="str">
        <f t="shared" si="164"/>
        <v>Low</v>
      </c>
      <c r="N1693" t="str">
        <f t="shared" si="161"/>
        <v>Nov</v>
      </c>
      <c r="O1693">
        <f t="shared" si="162"/>
        <v>2025</v>
      </c>
    </row>
    <row r="1694" spans="1:15" x14ac:dyDescent="0.3">
      <c r="A1694">
        <v>202862</v>
      </c>
      <c r="B1694" t="s">
        <v>105</v>
      </c>
      <c r="C1694" s="2">
        <v>45985</v>
      </c>
      <c r="D1694" s="2">
        <f t="shared" si="160"/>
        <v>46015</v>
      </c>
      <c r="E1694" s="1">
        <f>D1694+1</f>
        <v>46016</v>
      </c>
      <c r="F1694">
        <v>235</v>
      </c>
      <c r="G1694">
        <v>30</v>
      </c>
      <c r="H1694">
        <f t="shared" si="159"/>
        <v>0</v>
      </c>
      <c r="I1694" t="str">
        <f t="shared" si="163"/>
        <v>On Time</v>
      </c>
      <c r="J1694" cm="1">
        <f t="array" ref="J1694">_xlfn.IFS(H1694&lt;30,0,H1694&lt;60,1,H1694&lt;90,2,H1694&lt;120,3)</f>
        <v>0</v>
      </c>
      <c r="M1694" t="str">
        <f t="shared" si="164"/>
        <v>Low</v>
      </c>
      <c r="N1694" t="str">
        <f t="shared" si="161"/>
        <v>Nov</v>
      </c>
      <c r="O1694">
        <f t="shared" si="162"/>
        <v>2025</v>
      </c>
    </row>
    <row r="1695" spans="1:15" x14ac:dyDescent="0.3">
      <c r="A1695">
        <v>202863</v>
      </c>
      <c r="B1695" t="s">
        <v>106</v>
      </c>
      <c r="C1695" s="2">
        <v>45985</v>
      </c>
      <c r="D1695" s="2">
        <f t="shared" si="160"/>
        <v>46015</v>
      </c>
      <c r="E1695" s="1">
        <f>D1695</f>
        <v>46015</v>
      </c>
      <c r="F1695">
        <v>4795</v>
      </c>
      <c r="G1695">
        <v>30</v>
      </c>
      <c r="H1695">
        <f t="shared" si="159"/>
        <v>0</v>
      </c>
      <c r="I1695" t="str">
        <f t="shared" si="163"/>
        <v>On Time</v>
      </c>
      <c r="J1695" cm="1">
        <f t="array" ref="J1695">_xlfn.IFS(H1695&lt;30,0,H1695&lt;60,1,H1695&lt;90,2,H1695&lt;120,3)</f>
        <v>0</v>
      </c>
      <c r="M1695" t="str">
        <f t="shared" si="164"/>
        <v>Low</v>
      </c>
      <c r="N1695" t="str">
        <f t="shared" si="161"/>
        <v>Nov</v>
      </c>
      <c r="O1695">
        <f t="shared" si="162"/>
        <v>2025</v>
      </c>
    </row>
    <row r="1696" spans="1:15" x14ac:dyDescent="0.3">
      <c r="A1696">
        <v>202864</v>
      </c>
      <c r="B1696" t="s">
        <v>107</v>
      </c>
      <c r="C1696" s="2">
        <v>45985</v>
      </c>
      <c r="D1696" s="2">
        <f t="shared" si="160"/>
        <v>46015</v>
      </c>
      <c r="E1696" s="1">
        <f>D1696</f>
        <v>46015</v>
      </c>
      <c r="F1696">
        <v>5398</v>
      </c>
      <c r="G1696">
        <v>30</v>
      </c>
      <c r="H1696">
        <f t="shared" si="159"/>
        <v>0</v>
      </c>
      <c r="I1696" t="str">
        <f t="shared" si="163"/>
        <v>On Time</v>
      </c>
      <c r="J1696" cm="1">
        <f t="array" ref="J1696">_xlfn.IFS(H1696&lt;30,0,H1696&lt;60,1,H1696&lt;90,2,H1696&lt;120,3)</f>
        <v>0</v>
      </c>
      <c r="M1696" t="str">
        <f t="shared" si="164"/>
        <v>Low</v>
      </c>
      <c r="N1696" t="str">
        <f t="shared" si="161"/>
        <v>Nov</v>
      </c>
      <c r="O1696">
        <f t="shared" si="162"/>
        <v>2025</v>
      </c>
    </row>
    <row r="1697" spans="1:15" x14ac:dyDescent="0.3">
      <c r="A1697">
        <v>202865</v>
      </c>
      <c r="B1697" t="s">
        <v>56</v>
      </c>
      <c r="C1697" s="2">
        <v>45985</v>
      </c>
      <c r="D1697" s="2">
        <f t="shared" si="160"/>
        <v>46030</v>
      </c>
      <c r="E1697" s="1">
        <f>D1697+5</f>
        <v>46035</v>
      </c>
      <c r="F1697">
        <v>14299</v>
      </c>
      <c r="G1697">
        <v>45</v>
      </c>
      <c r="H1697">
        <f t="shared" si="159"/>
        <v>0</v>
      </c>
      <c r="I1697" t="str">
        <f t="shared" si="163"/>
        <v>On Time</v>
      </c>
      <c r="J1697" cm="1">
        <f t="array" ref="J1697">_xlfn.IFS(H1697&lt;30,0,H1697&lt;60,1,H1697&lt;90,2,H1697&lt;120,3)</f>
        <v>0</v>
      </c>
      <c r="M1697" t="str">
        <f t="shared" si="164"/>
        <v>Low</v>
      </c>
      <c r="N1697" t="str">
        <f t="shared" si="161"/>
        <v>Nov</v>
      </c>
      <c r="O1697">
        <f t="shared" si="162"/>
        <v>2025</v>
      </c>
    </row>
    <row r="1698" spans="1:15" x14ac:dyDescent="0.3">
      <c r="A1698">
        <v>202866</v>
      </c>
      <c r="B1698" t="s">
        <v>57</v>
      </c>
      <c r="C1698" s="2">
        <v>45985</v>
      </c>
      <c r="D1698" s="2">
        <f t="shared" si="160"/>
        <v>46045</v>
      </c>
      <c r="E1698" s="1">
        <f>D1698+2</f>
        <v>46047</v>
      </c>
      <c r="F1698">
        <v>3172</v>
      </c>
      <c r="G1698">
        <v>60</v>
      </c>
      <c r="H1698">
        <f t="shared" si="159"/>
        <v>0</v>
      </c>
      <c r="I1698" t="str">
        <f t="shared" si="163"/>
        <v>On Time</v>
      </c>
      <c r="J1698" cm="1">
        <f t="array" ref="J1698">_xlfn.IFS(H1698&lt;30,0,H1698&lt;60,1,H1698&lt;90,2,H1698&lt;120,3)</f>
        <v>0</v>
      </c>
      <c r="M1698" t="str">
        <f t="shared" si="164"/>
        <v>Low</v>
      </c>
      <c r="N1698" t="str">
        <f t="shared" si="161"/>
        <v>Nov</v>
      </c>
      <c r="O1698">
        <f t="shared" si="162"/>
        <v>2025</v>
      </c>
    </row>
    <row r="1699" spans="1:15" x14ac:dyDescent="0.3">
      <c r="A1699">
        <v>202867</v>
      </c>
      <c r="B1699" t="s">
        <v>58</v>
      </c>
      <c r="C1699" s="2">
        <v>45985</v>
      </c>
      <c r="D1699" s="2">
        <f t="shared" si="160"/>
        <v>46015</v>
      </c>
      <c r="E1699" s="1">
        <f>D1699+5</f>
        <v>46020</v>
      </c>
      <c r="F1699">
        <v>1489</v>
      </c>
      <c r="G1699">
        <v>30</v>
      </c>
      <c r="H1699">
        <f t="shared" si="159"/>
        <v>0</v>
      </c>
      <c r="I1699" t="str">
        <f t="shared" si="163"/>
        <v>On Time</v>
      </c>
      <c r="J1699" cm="1">
        <f t="array" ref="J1699">_xlfn.IFS(H1699&lt;30,0,H1699&lt;60,1,H1699&lt;90,2,H1699&lt;120,3)</f>
        <v>0</v>
      </c>
      <c r="M1699" t="str">
        <f t="shared" si="164"/>
        <v>Low</v>
      </c>
      <c r="N1699" t="str">
        <f t="shared" si="161"/>
        <v>Nov</v>
      </c>
      <c r="O1699">
        <f t="shared" si="162"/>
        <v>2025</v>
      </c>
    </row>
    <row r="1700" spans="1:15" x14ac:dyDescent="0.3">
      <c r="A1700">
        <v>202868</v>
      </c>
      <c r="B1700" t="s">
        <v>59</v>
      </c>
      <c r="C1700" s="2">
        <v>45985</v>
      </c>
      <c r="D1700" s="2">
        <f t="shared" si="160"/>
        <v>46015</v>
      </c>
      <c r="E1700" s="1">
        <f>D1700</f>
        <v>46015</v>
      </c>
      <c r="F1700">
        <v>2486</v>
      </c>
      <c r="G1700">
        <v>30</v>
      </c>
      <c r="H1700">
        <f t="shared" si="159"/>
        <v>0</v>
      </c>
      <c r="I1700" t="str">
        <f t="shared" si="163"/>
        <v>On Time</v>
      </c>
      <c r="J1700" cm="1">
        <f t="array" ref="J1700">_xlfn.IFS(H1700&lt;30,0,H1700&lt;60,1,H1700&lt;90,2,H1700&lt;120,3)</f>
        <v>0</v>
      </c>
      <c r="M1700" t="str">
        <f t="shared" si="164"/>
        <v>Low</v>
      </c>
      <c r="N1700" t="str">
        <f t="shared" si="161"/>
        <v>Nov</v>
      </c>
      <c r="O1700">
        <f t="shared" si="162"/>
        <v>2025</v>
      </c>
    </row>
    <row r="1701" spans="1:15" x14ac:dyDescent="0.3">
      <c r="A1701">
        <v>202869</v>
      </c>
      <c r="B1701" t="s">
        <v>60</v>
      </c>
      <c r="C1701" s="2">
        <v>45985</v>
      </c>
      <c r="D1701" s="2">
        <f t="shared" si="160"/>
        <v>46015</v>
      </c>
      <c r="E1701" s="1">
        <f>D1701</f>
        <v>46015</v>
      </c>
      <c r="F1701">
        <v>3454</v>
      </c>
      <c r="G1701">
        <v>30</v>
      </c>
      <c r="H1701">
        <f t="shared" si="159"/>
        <v>0</v>
      </c>
      <c r="I1701" t="str">
        <f t="shared" si="163"/>
        <v>On Time</v>
      </c>
      <c r="J1701" cm="1">
        <f t="array" ref="J1701">_xlfn.IFS(H1701&lt;30,0,H1701&lt;60,1,H1701&lt;90,2,H1701&lt;120,3)</f>
        <v>0</v>
      </c>
      <c r="M1701" t="str">
        <f t="shared" si="164"/>
        <v>Low</v>
      </c>
      <c r="N1701" t="str">
        <f t="shared" si="161"/>
        <v>Nov</v>
      </c>
      <c r="O1701">
        <f t="shared" si="162"/>
        <v>2025</v>
      </c>
    </row>
    <row r="1702" spans="1:15" x14ac:dyDescent="0.3">
      <c r="A1702">
        <v>202870</v>
      </c>
      <c r="B1702" t="s">
        <v>61</v>
      </c>
      <c r="C1702" s="2">
        <v>45985</v>
      </c>
      <c r="D1702" s="2">
        <f t="shared" si="160"/>
        <v>46015</v>
      </c>
      <c r="E1702" s="1">
        <f>D1702+60</f>
        <v>46075</v>
      </c>
      <c r="F1702">
        <v>2166</v>
      </c>
      <c r="G1702">
        <v>30</v>
      </c>
      <c r="H1702">
        <f t="shared" ref="H1702:H1765" si="165">MAX(0,P1667-D1702)</f>
        <v>0</v>
      </c>
      <c r="I1702" t="str">
        <f t="shared" si="163"/>
        <v>On Time</v>
      </c>
      <c r="J1702" cm="1">
        <f t="array" ref="J1702">_xlfn.IFS(H1702&lt;30,0,H1702&lt;60,1,H1702&lt;90,2,H1702&lt;120,3)</f>
        <v>0</v>
      </c>
      <c r="M1702" t="str">
        <f t="shared" si="164"/>
        <v>Low</v>
      </c>
      <c r="N1702" t="str">
        <f t="shared" si="161"/>
        <v>Nov</v>
      </c>
      <c r="O1702">
        <f t="shared" si="162"/>
        <v>2025</v>
      </c>
    </row>
    <row r="1703" spans="1:15" x14ac:dyDescent="0.3">
      <c r="A1703">
        <v>202871</v>
      </c>
      <c r="B1703" t="s">
        <v>62</v>
      </c>
      <c r="C1703" s="2">
        <v>45985</v>
      </c>
      <c r="D1703" s="2">
        <f t="shared" si="160"/>
        <v>46015</v>
      </c>
      <c r="E1703" s="1">
        <f>D1703</f>
        <v>46015</v>
      </c>
      <c r="F1703">
        <v>3044</v>
      </c>
      <c r="G1703">
        <v>30</v>
      </c>
      <c r="H1703">
        <f t="shared" si="165"/>
        <v>0</v>
      </c>
      <c r="I1703" t="str">
        <f t="shared" si="163"/>
        <v>On Time</v>
      </c>
      <c r="J1703" cm="1">
        <f t="array" ref="J1703">_xlfn.IFS(H1703&lt;30,0,H1703&lt;60,1,H1703&lt;90,2,H1703&lt;120,3)</f>
        <v>0</v>
      </c>
      <c r="M1703" t="str">
        <f t="shared" si="164"/>
        <v>Low</v>
      </c>
      <c r="N1703" t="str">
        <f t="shared" si="161"/>
        <v>Nov</v>
      </c>
      <c r="O1703">
        <f t="shared" si="162"/>
        <v>2025</v>
      </c>
    </row>
    <row r="1704" spans="1:15" x14ac:dyDescent="0.3">
      <c r="A1704">
        <v>202872</v>
      </c>
      <c r="B1704" t="s">
        <v>63</v>
      </c>
      <c r="C1704" s="2">
        <v>45985</v>
      </c>
      <c r="D1704" s="2">
        <f t="shared" si="160"/>
        <v>46015</v>
      </c>
      <c r="F1704">
        <v>1007</v>
      </c>
      <c r="G1704">
        <v>30</v>
      </c>
      <c r="H1704">
        <f t="shared" si="165"/>
        <v>0</v>
      </c>
      <c r="I1704" t="str">
        <f t="shared" si="163"/>
        <v>On Time</v>
      </c>
      <c r="J1704" cm="1">
        <f t="array" ref="J1704">_xlfn.IFS(H1704&lt;30,0,H1704&lt;60,1,H1704&lt;90,2,H1704&lt;120,3)</f>
        <v>0</v>
      </c>
      <c r="M1704" t="str">
        <f t="shared" si="164"/>
        <v>Low</v>
      </c>
      <c r="N1704" t="str">
        <f t="shared" si="161"/>
        <v>Nov</v>
      </c>
      <c r="O1704">
        <f t="shared" si="162"/>
        <v>2025</v>
      </c>
    </row>
    <row r="1705" spans="1:15" x14ac:dyDescent="0.3">
      <c r="A1705">
        <v>202873</v>
      </c>
      <c r="B1705" t="s">
        <v>64</v>
      </c>
      <c r="C1705" s="2">
        <v>45985</v>
      </c>
      <c r="D1705" s="2">
        <f t="shared" si="160"/>
        <v>46015</v>
      </c>
      <c r="E1705" s="1">
        <f>D1705+3</f>
        <v>46018</v>
      </c>
      <c r="F1705">
        <v>440</v>
      </c>
      <c r="G1705">
        <v>30</v>
      </c>
      <c r="H1705">
        <f t="shared" si="165"/>
        <v>0</v>
      </c>
      <c r="I1705" t="str">
        <f t="shared" si="163"/>
        <v>On Time</v>
      </c>
      <c r="J1705" cm="1">
        <f t="array" ref="J1705">_xlfn.IFS(H1705&lt;30,0,H1705&lt;60,1,H1705&lt;90,2,H1705&lt;120,3)</f>
        <v>0</v>
      </c>
      <c r="M1705" t="str">
        <f t="shared" si="164"/>
        <v>Low</v>
      </c>
      <c r="N1705" t="str">
        <f t="shared" si="161"/>
        <v>Nov</v>
      </c>
      <c r="O1705">
        <f t="shared" si="162"/>
        <v>2025</v>
      </c>
    </row>
    <row r="1706" spans="1:15" x14ac:dyDescent="0.3">
      <c r="A1706">
        <v>202874</v>
      </c>
      <c r="B1706" t="s">
        <v>65</v>
      </c>
      <c r="C1706" s="2">
        <v>45985</v>
      </c>
      <c r="D1706" s="2">
        <f t="shared" si="160"/>
        <v>46030</v>
      </c>
      <c r="E1706" s="1">
        <f>D1706+1</f>
        <v>46031</v>
      </c>
      <c r="F1706">
        <v>3394</v>
      </c>
      <c r="G1706">
        <v>45</v>
      </c>
      <c r="H1706">
        <f t="shared" si="165"/>
        <v>0</v>
      </c>
      <c r="I1706" t="str">
        <f t="shared" si="163"/>
        <v>On Time</v>
      </c>
      <c r="J1706" cm="1">
        <f t="array" ref="J1706">_xlfn.IFS(H1706&lt;30,0,H1706&lt;60,1,H1706&lt;90,2,H1706&lt;120,3)</f>
        <v>0</v>
      </c>
      <c r="M1706" t="str">
        <f t="shared" si="164"/>
        <v>Low</v>
      </c>
      <c r="N1706" t="str">
        <f t="shared" si="161"/>
        <v>Nov</v>
      </c>
      <c r="O1706">
        <f t="shared" si="162"/>
        <v>2025</v>
      </c>
    </row>
    <row r="1707" spans="1:15" x14ac:dyDescent="0.3">
      <c r="A1707">
        <v>202875</v>
      </c>
      <c r="B1707" t="s">
        <v>66</v>
      </c>
      <c r="C1707" s="2">
        <v>45985</v>
      </c>
      <c r="D1707" s="2">
        <f t="shared" si="160"/>
        <v>46045</v>
      </c>
      <c r="E1707" s="1">
        <f>D1707-1</f>
        <v>46044</v>
      </c>
      <c r="F1707">
        <v>316</v>
      </c>
      <c r="G1707">
        <v>60</v>
      </c>
      <c r="H1707">
        <f t="shared" si="165"/>
        <v>0</v>
      </c>
      <c r="I1707" t="str">
        <f t="shared" si="163"/>
        <v>On Time</v>
      </c>
      <c r="J1707" cm="1">
        <f t="array" ref="J1707">_xlfn.IFS(H1707&lt;30,0,H1707&lt;60,1,H1707&lt;90,2,H1707&lt;120,3)</f>
        <v>0</v>
      </c>
      <c r="M1707" t="str">
        <f t="shared" si="164"/>
        <v>Low</v>
      </c>
      <c r="N1707" t="str">
        <f t="shared" si="161"/>
        <v>Nov</v>
      </c>
      <c r="O1707">
        <f t="shared" si="162"/>
        <v>2025</v>
      </c>
    </row>
    <row r="1708" spans="1:15" x14ac:dyDescent="0.3">
      <c r="A1708">
        <v>202824</v>
      </c>
      <c r="B1708" t="s">
        <v>29</v>
      </c>
      <c r="C1708" s="2">
        <v>45984</v>
      </c>
      <c r="D1708" s="2">
        <f t="shared" si="160"/>
        <v>46014</v>
      </c>
      <c r="E1708" s="1">
        <f>D1708+2</f>
        <v>46016</v>
      </c>
      <c r="F1708">
        <v>4022</v>
      </c>
      <c r="G1708">
        <v>30</v>
      </c>
      <c r="H1708">
        <f t="shared" si="165"/>
        <v>0</v>
      </c>
      <c r="I1708" t="str">
        <f t="shared" si="163"/>
        <v>On Time</v>
      </c>
      <c r="J1708" cm="1">
        <f t="array" ref="J1708">_xlfn.IFS(H1708&lt;30,0,H1708&lt;60,1,H1708&lt;90,2,H1708&lt;120,3)</f>
        <v>0</v>
      </c>
      <c r="M1708" t="str">
        <f t="shared" si="164"/>
        <v>Low</v>
      </c>
      <c r="N1708" t="str">
        <f t="shared" si="161"/>
        <v>Nov</v>
      </c>
      <c r="O1708">
        <f t="shared" si="162"/>
        <v>2025</v>
      </c>
    </row>
    <row r="1709" spans="1:15" x14ac:dyDescent="0.3">
      <c r="A1709">
        <v>202825</v>
      </c>
      <c r="B1709" t="s">
        <v>75</v>
      </c>
      <c r="C1709" s="2">
        <v>45984</v>
      </c>
      <c r="D1709" s="2">
        <f t="shared" si="160"/>
        <v>46044</v>
      </c>
      <c r="E1709" s="1">
        <f>D1709+2</f>
        <v>46046</v>
      </c>
      <c r="F1709">
        <v>3769</v>
      </c>
      <c r="G1709">
        <v>60</v>
      </c>
      <c r="H1709">
        <f t="shared" si="165"/>
        <v>0</v>
      </c>
      <c r="I1709" t="str">
        <f t="shared" si="163"/>
        <v>On Time</v>
      </c>
      <c r="J1709" cm="1">
        <f t="array" ref="J1709">_xlfn.IFS(H1709&lt;30,0,H1709&lt;60,1,H1709&lt;90,2,H1709&lt;120,3)</f>
        <v>0</v>
      </c>
      <c r="M1709" t="str">
        <f t="shared" si="164"/>
        <v>Low</v>
      </c>
      <c r="N1709" t="str">
        <f t="shared" si="161"/>
        <v>Nov</v>
      </c>
      <c r="O1709">
        <f t="shared" si="162"/>
        <v>2025</v>
      </c>
    </row>
    <row r="1710" spans="1:15" x14ac:dyDescent="0.3">
      <c r="A1710">
        <v>202826</v>
      </c>
      <c r="B1710" t="s">
        <v>76</v>
      </c>
      <c r="C1710" s="2">
        <v>45984</v>
      </c>
      <c r="D1710" s="2">
        <f t="shared" si="160"/>
        <v>46014</v>
      </c>
      <c r="E1710" s="1">
        <f>D1710</f>
        <v>46014</v>
      </c>
      <c r="F1710">
        <v>1357</v>
      </c>
      <c r="G1710">
        <v>30</v>
      </c>
      <c r="H1710">
        <f t="shared" si="165"/>
        <v>0</v>
      </c>
      <c r="I1710" t="str">
        <f t="shared" si="163"/>
        <v>On Time</v>
      </c>
      <c r="J1710" cm="1">
        <f t="array" ref="J1710">_xlfn.IFS(H1710&lt;30,0,H1710&lt;60,1,H1710&lt;90,2,H1710&lt;120,3)</f>
        <v>0</v>
      </c>
      <c r="M1710" t="str">
        <f t="shared" si="164"/>
        <v>Low</v>
      </c>
      <c r="N1710" t="str">
        <f t="shared" si="161"/>
        <v>Nov</v>
      </c>
      <c r="O1710">
        <f t="shared" si="162"/>
        <v>2025</v>
      </c>
    </row>
    <row r="1711" spans="1:15" x14ac:dyDescent="0.3">
      <c r="A1711">
        <v>202827</v>
      </c>
      <c r="B1711" t="s">
        <v>77</v>
      </c>
      <c r="C1711" s="2">
        <v>45984</v>
      </c>
      <c r="D1711" s="2">
        <f t="shared" si="160"/>
        <v>46014</v>
      </c>
      <c r="E1711" s="1">
        <f>D1711+20</f>
        <v>46034</v>
      </c>
      <c r="F1711">
        <v>7286</v>
      </c>
      <c r="G1711">
        <v>30</v>
      </c>
      <c r="H1711">
        <f t="shared" si="165"/>
        <v>0</v>
      </c>
      <c r="I1711" t="str">
        <f t="shared" si="163"/>
        <v>On Time</v>
      </c>
      <c r="J1711" cm="1">
        <f t="array" ref="J1711">_xlfn.IFS(H1711&lt;30,0,H1711&lt;60,1,H1711&lt;90,2,H1711&lt;120,3)</f>
        <v>0</v>
      </c>
      <c r="M1711" t="str">
        <f t="shared" si="164"/>
        <v>Low</v>
      </c>
      <c r="N1711" t="str">
        <f t="shared" si="161"/>
        <v>Nov</v>
      </c>
      <c r="O1711">
        <f t="shared" si="162"/>
        <v>2025</v>
      </c>
    </row>
    <row r="1712" spans="1:15" x14ac:dyDescent="0.3">
      <c r="A1712">
        <v>202828</v>
      </c>
      <c r="B1712" t="s">
        <v>78</v>
      </c>
      <c r="C1712" s="2">
        <v>45984</v>
      </c>
      <c r="D1712" s="2">
        <f t="shared" si="160"/>
        <v>46014</v>
      </c>
      <c r="E1712" s="1">
        <f>D1712</f>
        <v>46014</v>
      </c>
      <c r="F1712">
        <v>3894</v>
      </c>
      <c r="G1712">
        <v>30</v>
      </c>
      <c r="H1712">
        <f t="shared" si="165"/>
        <v>0</v>
      </c>
      <c r="I1712" t="str">
        <f t="shared" si="163"/>
        <v>On Time</v>
      </c>
      <c r="J1712" cm="1">
        <f t="array" ref="J1712">_xlfn.IFS(H1712&lt;30,0,H1712&lt;60,1,H1712&lt;90,2,H1712&lt;120,3)</f>
        <v>0</v>
      </c>
      <c r="M1712" t="str">
        <f t="shared" si="164"/>
        <v>Low</v>
      </c>
      <c r="N1712" t="str">
        <f t="shared" si="161"/>
        <v>Nov</v>
      </c>
      <c r="O1712">
        <f t="shared" si="162"/>
        <v>2025</v>
      </c>
    </row>
    <row r="1713" spans="1:15" x14ac:dyDescent="0.3">
      <c r="A1713">
        <v>202829</v>
      </c>
      <c r="B1713" t="s">
        <v>79</v>
      </c>
      <c r="C1713" s="2">
        <v>45984</v>
      </c>
      <c r="D1713" s="2">
        <f t="shared" si="160"/>
        <v>46014</v>
      </c>
      <c r="E1713" s="1">
        <f>D1713+1</f>
        <v>46015</v>
      </c>
      <c r="F1713">
        <v>726</v>
      </c>
      <c r="G1713">
        <v>30</v>
      </c>
      <c r="H1713">
        <f t="shared" si="165"/>
        <v>0</v>
      </c>
      <c r="I1713" t="str">
        <f t="shared" si="163"/>
        <v>On Time</v>
      </c>
      <c r="J1713" cm="1">
        <f t="array" ref="J1713">_xlfn.IFS(H1713&lt;30,0,H1713&lt;60,1,H1713&lt;90,2,H1713&lt;120,3)</f>
        <v>0</v>
      </c>
      <c r="M1713" t="str">
        <f t="shared" si="164"/>
        <v>Low</v>
      </c>
      <c r="N1713" t="str">
        <f t="shared" si="161"/>
        <v>Nov</v>
      </c>
      <c r="O1713">
        <f t="shared" si="162"/>
        <v>2025</v>
      </c>
    </row>
    <row r="1714" spans="1:15" x14ac:dyDescent="0.3">
      <c r="A1714">
        <v>202830</v>
      </c>
      <c r="B1714" t="s">
        <v>80</v>
      </c>
      <c r="C1714" s="2">
        <v>45984</v>
      </c>
      <c r="D1714" s="2">
        <f t="shared" si="160"/>
        <v>46014</v>
      </c>
      <c r="E1714" s="1">
        <f>D1714</f>
        <v>46014</v>
      </c>
      <c r="F1714">
        <v>2512</v>
      </c>
      <c r="G1714">
        <v>30</v>
      </c>
      <c r="H1714">
        <f t="shared" si="165"/>
        <v>0</v>
      </c>
      <c r="I1714" t="str">
        <f t="shared" si="163"/>
        <v>On Time</v>
      </c>
      <c r="J1714" cm="1">
        <f t="array" ref="J1714">_xlfn.IFS(H1714&lt;30,0,H1714&lt;60,1,H1714&lt;90,2,H1714&lt;120,3)</f>
        <v>0</v>
      </c>
      <c r="M1714" t="str">
        <f t="shared" si="164"/>
        <v>Low</v>
      </c>
      <c r="N1714" t="str">
        <f t="shared" si="161"/>
        <v>Nov</v>
      </c>
      <c r="O1714">
        <f t="shared" si="162"/>
        <v>2025</v>
      </c>
    </row>
    <row r="1715" spans="1:15" x14ac:dyDescent="0.3">
      <c r="A1715">
        <v>202831</v>
      </c>
      <c r="B1715" t="s">
        <v>81</v>
      </c>
      <c r="C1715" s="2">
        <v>45984</v>
      </c>
      <c r="D1715" s="2">
        <f t="shared" si="160"/>
        <v>46014</v>
      </c>
      <c r="E1715" s="1">
        <f>D1715</f>
        <v>46014</v>
      </c>
      <c r="F1715">
        <v>4467</v>
      </c>
      <c r="G1715">
        <v>30</v>
      </c>
      <c r="H1715">
        <f t="shared" si="165"/>
        <v>0</v>
      </c>
      <c r="I1715" t="str">
        <f t="shared" si="163"/>
        <v>On Time</v>
      </c>
      <c r="J1715" cm="1">
        <f t="array" ref="J1715">_xlfn.IFS(H1715&lt;30,0,H1715&lt;60,1,H1715&lt;90,2,H1715&lt;120,3)</f>
        <v>0</v>
      </c>
      <c r="M1715" t="str">
        <f t="shared" si="164"/>
        <v>Low</v>
      </c>
      <c r="N1715" t="str">
        <f t="shared" si="161"/>
        <v>Nov</v>
      </c>
      <c r="O1715">
        <f t="shared" si="162"/>
        <v>2025</v>
      </c>
    </row>
    <row r="1716" spans="1:15" x14ac:dyDescent="0.3">
      <c r="A1716">
        <v>202832</v>
      </c>
      <c r="B1716" t="s">
        <v>82</v>
      </c>
      <c r="C1716" s="2">
        <v>45984</v>
      </c>
      <c r="D1716" s="2">
        <f t="shared" si="160"/>
        <v>46029</v>
      </c>
      <c r="E1716" s="1">
        <f>D1716+5</f>
        <v>46034</v>
      </c>
      <c r="F1716">
        <v>3390</v>
      </c>
      <c r="G1716">
        <v>45</v>
      </c>
      <c r="H1716">
        <f t="shared" si="165"/>
        <v>0</v>
      </c>
      <c r="I1716" t="str">
        <f t="shared" si="163"/>
        <v>On Time</v>
      </c>
      <c r="J1716" cm="1">
        <f t="array" ref="J1716">_xlfn.IFS(H1716&lt;30,0,H1716&lt;60,1,H1716&lt;90,2,H1716&lt;120,3)</f>
        <v>0</v>
      </c>
      <c r="M1716" t="str">
        <f t="shared" si="164"/>
        <v>Low</v>
      </c>
      <c r="N1716" t="str">
        <f t="shared" si="161"/>
        <v>Nov</v>
      </c>
      <c r="O1716">
        <f t="shared" si="162"/>
        <v>2025</v>
      </c>
    </row>
    <row r="1717" spans="1:15" x14ac:dyDescent="0.3">
      <c r="A1717">
        <v>202833</v>
      </c>
      <c r="B1717" t="s">
        <v>83</v>
      </c>
      <c r="C1717" s="2">
        <v>45984</v>
      </c>
      <c r="D1717" s="2">
        <f t="shared" si="160"/>
        <v>46029</v>
      </c>
      <c r="E1717" s="1">
        <f>D1717+2</f>
        <v>46031</v>
      </c>
      <c r="F1717">
        <v>1547</v>
      </c>
      <c r="G1717">
        <v>45</v>
      </c>
      <c r="H1717">
        <f t="shared" si="165"/>
        <v>0</v>
      </c>
      <c r="I1717" t="str">
        <f t="shared" si="163"/>
        <v>On Time</v>
      </c>
      <c r="J1717" cm="1">
        <f t="array" ref="J1717">_xlfn.IFS(H1717&lt;30,0,H1717&lt;60,1,H1717&lt;90,2,H1717&lt;120,3)</f>
        <v>0</v>
      </c>
      <c r="M1717" t="str">
        <f t="shared" si="164"/>
        <v>Low</v>
      </c>
      <c r="N1717" t="str">
        <f t="shared" si="161"/>
        <v>Nov</v>
      </c>
      <c r="O1717">
        <f t="shared" si="162"/>
        <v>2025</v>
      </c>
    </row>
    <row r="1718" spans="1:15" x14ac:dyDescent="0.3">
      <c r="A1718">
        <v>202834</v>
      </c>
      <c r="B1718" t="s">
        <v>84</v>
      </c>
      <c r="C1718" s="2">
        <v>45984</v>
      </c>
      <c r="D1718" s="2">
        <f t="shared" si="160"/>
        <v>46044</v>
      </c>
      <c r="E1718" s="1">
        <f>D1718</f>
        <v>46044</v>
      </c>
      <c r="F1718">
        <v>1265</v>
      </c>
      <c r="G1718">
        <v>60</v>
      </c>
      <c r="H1718">
        <f t="shared" si="165"/>
        <v>0</v>
      </c>
      <c r="I1718" t="str">
        <f t="shared" si="163"/>
        <v>On Time</v>
      </c>
      <c r="J1718" cm="1">
        <f t="array" ref="J1718">_xlfn.IFS(H1718&lt;30,0,H1718&lt;60,1,H1718&lt;90,2,H1718&lt;120,3)</f>
        <v>0</v>
      </c>
      <c r="M1718" t="str">
        <f t="shared" si="164"/>
        <v>Low</v>
      </c>
      <c r="N1718" t="str">
        <f t="shared" si="161"/>
        <v>Nov</v>
      </c>
      <c r="O1718">
        <f t="shared" si="162"/>
        <v>2025</v>
      </c>
    </row>
    <row r="1719" spans="1:15" x14ac:dyDescent="0.3">
      <c r="A1719">
        <v>202835</v>
      </c>
      <c r="B1719" t="s">
        <v>92</v>
      </c>
      <c r="C1719" s="2">
        <v>45984</v>
      </c>
      <c r="D1719" s="2">
        <f t="shared" si="160"/>
        <v>46014</v>
      </c>
      <c r="E1719" s="1">
        <f>D1719</f>
        <v>46014</v>
      </c>
      <c r="F1719">
        <v>1973</v>
      </c>
      <c r="G1719">
        <v>30</v>
      </c>
      <c r="H1719">
        <f t="shared" si="165"/>
        <v>0</v>
      </c>
      <c r="I1719" t="str">
        <f t="shared" si="163"/>
        <v>On Time</v>
      </c>
      <c r="J1719" cm="1">
        <f t="array" ref="J1719">_xlfn.IFS(H1719&lt;30,0,H1719&lt;60,1,H1719&lt;90,2,H1719&lt;120,3)</f>
        <v>0</v>
      </c>
      <c r="M1719" t="str">
        <f t="shared" si="164"/>
        <v>Low</v>
      </c>
      <c r="N1719" t="str">
        <f t="shared" si="161"/>
        <v>Nov</v>
      </c>
      <c r="O1719">
        <f t="shared" si="162"/>
        <v>2025</v>
      </c>
    </row>
    <row r="1720" spans="1:15" x14ac:dyDescent="0.3">
      <c r="A1720">
        <v>202836</v>
      </c>
      <c r="B1720" t="s">
        <v>93</v>
      </c>
      <c r="C1720" s="2">
        <v>45984</v>
      </c>
      <c r="D1720" s="2">
        <f t="shared" si="160"/>
        <v>46014</v>
      </c>
      <c r="E1720" s="1">
        <f>D1720</f>
        <v>46014</v>
      </c>
      <c r="F1720">
        <v>821</v>
      </c>
      <c r="G1720">
        <v>30</v>
      </c>
      <c r="H1720">
        <f t="shared" si="165"/>
        <v>0</v>
      </c>
      <c r="I1720" t="str">
        <f t="shared" si="163"/>
        <v>On Time</v>
      </c>
      <c r="J1720" cm="1">
        <f t="array" ref="J1720">_xlfn.IFS(H1720&lt;30,0,H1720&lt;60,1,H1720&lt;90,2,H1720&lt;120,3)</f>
        <v>0</v>
      </c>
      <c r="M1720" t="str">
        <f t="shared" si="164"/>
        <v>Low</v>
      </c>
      <c r="N1720" t="str">
        <f t="shared" si="161"/>
        <v>Nov</v>
      </c>
      <c r="O1720">
        <f t="shared" si="162"/>
        <v>2025</v>
      </c>
    </row>
    <row r="1721" spans="1:15" x14ac:dyDescent="0.3">
      <c r="A1721">
        <v>202837</v>
      </c>
      <c r="B1721" t="s">
        <v>94</v>
      </c>
      <c r="C1721" s="2">
        <v>45984</v>
      </c>
      <c r="D1721" s="2">
        <f t="shared" si="160"/>
        <v>46014</v>
      </c>
      <c r="E1721" s="1">
        <f>D1721+60</f>
        <v>46074</v>
      </c>
      <c r="F1721">
        <v>4703</v>
      </c>
      <c r="G1721">
        <v>30</v>
      </c>
      <c r="H1721">
        <f t="shared" si="165"/>
        <v>0</v>
      </c>
      <c r="I1721" t="str">
        <f t="shared" si="163"/>
        <v>On Time</v>
      </c>
      <c r="J1721" cm="1">
        <f t="array" ref="J1721">_xlfn.IFS(H1721&lt;30,0,H1721&lt;60,1,H1721&lt;90,2,H1721&lt;120,3)</f>
        <v>0</v>
      </c>
      <c r="M1721" t="str">
        <f t="shared" si="164"/>
        <v>Low</v>
      </c>
      <c r="N1721" t="str">
        <f t="shared" si="161"/>
        <v>Nov</v>
      </c>
      <c r="O1721">
        <f t="shared" si="162"/>
        <v>2025</v>
      </c>
    </row>
    <row r="1722" spans="1:15" x14ac:dyDescent="0.3">
      <c r="A1722">
        <v>202838</v>
      </c>
      <c r="B1722" t="s">
        <v>95</v>
      </c>
      <c r="C1722" s="2">
        <v>45984</v>
      </c>
      <c r="D1722" s="2">
        <f t="shared" si="160"/>
        <v>46029</v>
      </c>
      <c r="E1722" s="1">
        <f>D1722</f>
        <v>46029</v>
      </c>
      <c r="F1722">
        <v>4629</v>
      </c>
      <c r="G1722">
        <v>45</v>
      </c>
      <c r="H1722">
        <f t="shared" si="165"/>
        <v>0</v>
      </c>
      <c r="I1722" t="str">
        <f t="shared" si="163"/>
        <v>On Time</v>
      </c>
      <c r="J1722" cm="1">
        <f t="array" ref="J1722">_xlfn.IFS(H1722&lt;30,0,H1722&lt;60,1,H1722&lt;90,2,H1722&lt;120,3)</f>
        <v>0</v>
      </c>
      <c r="M1722" t="str">
        <f t="shared" si="164"/>
        <v>Low</v>
      </c>
      <c r="N1722" t="str">
        <f t="shared" si="161"/>
        <v>Nov</v>
      </c>
      <c r="O1722">
        <f t="shared" si="162"/>
        <v>2025</v>
      </c>
    </row>
    <row r="1723" spans="1:15" x14ac:dyDescent="0.3">
      <c r="A1723">
        <v>202839</v>
      </c>
      <c r="B1723" t="s">
        <v>96</v>
      </c>
      <c r="C1723" s="2">
        <v>45984</v>
      </c>
      <c r="D1723" s="2">
        <f t="shared" si="160"/>
        <v>46044</v>
      </c>
      <c r="E1723" s="1">
        <f>D1723</f>
        <v>46044</v>
      </c>
      <c r="F1723">
        <v>1928</v>
      </c>
      <c r="G1723">
        <v>60</v>
      </c>
      <c r="H1723">
        <f t="shared" si="165"/>
        <v>0</v>
      </c>
      <c r="I1723" t="str">
        <f t="shared" si="163"/>
        <v>On Time</v>
      </c>
      <c r="J1723" cm="1">
        <f t="array" ref="J1723">_xlfn.IFS(H1723&lt;30,0,H1723&lt;60,1,H1723&lt;90,2,H1723&lt;120,3)</f>
        <v>0</v>
      </c>
      <c r="M1723" t="str">
        <f t="shared" si="164"/>
        <v>Low</v>
      </c>
      <c r="N1723" t="str">
        <f t="shared" si="161"/>
        <v>Nov</v>
      </c>
      <c r="O1723">
        <f t="shared" si="162"/>
        <v>2025</v>
      </c>
    </row>
    <row r="1724" spans="1:15" x14ac:dyDescent="0.3">
      <c r="A1724">
        <v>202840</v>
      </c>
      <c r="B1724" t="s">
        <v>97</v>
      </c>
      <c r="C1724" s="2">
        <v>45984</v>
      </c>
      <c r="D1724" s="2">
        <f t="shared" si="160"/>
        <v>46014</v>
      </c>
      <c r="E1724" s="1">
        <f>D1724+3</f>
        <v>46017</v>
      </c>
      <c r="F1724">
        <v>2047</v>
      </c>
      <c r="G1724">
        <v>30</v>
      </c>
      <c r="H1724">
        <f t="shared" si="165"/>
        <v>0</v>
      </c>
      <c r="I1724" t="str">
        <f t="shared" si="163"/>
        <v>On Time</v>
      </c>
      <c r="J1724" cm="1">
        <f t="array" ref="J1724">_xlfn.IFS(H1724&lt;30,0,H1724&lt;60,1,H1724&lt;90,2,H1724&lt;120,3)</f>
        <v>0</v>
      </c>
      <c r="M1724" t="str">
        <f t="shared" si="164"/>
        <v>Low</v>
      </c>
      <c r="N1724" t="str">
        <f t="shared" si="161"/>
        <v>Nov</v>
      </c>
      <c r="O1724">
        <f t="shared" si="162"/>
        <v>2025</v>
      </c>
    </row>
    <row r="1725" spans="1:15" x14ac:dyDescent="0.3">
      <c r="A1725">
        <v>202841</v>
      </c>
      <c r="B1725" t="s">
        <v>98</v>
      </c>
      <c r="C1725" s="2">
        <v>45984</v>
      </c>
      <c r="D1725" s="2">
        <f t="shared" si="160"/>
        <v>46014</v>
      </c>
      <c r="E1725" s="1">
        <f>D1725+1</f>
        <v>46015</v>
      </c>
      <c r="F1725">
        <v>526</v>
      </c>
      <c r="G1725">
        <v>30</v>
      </c>
      <c r="H1725">
        <f t="shared" si="165"/>
        <v>0</v>
      </c>
      <c r="I1725" t="str">
        <f t="shared" si="163"/>
        <v>On Time</v>
      </c>
      <c r="J1725" cm="1">
        <f t="array" ref="J1725">_xlfn.IFS(H1725&lt;30,0,H1725&lt;60,1,H1725&lt;90,2,H1725&lt;120,3)</f>
        <v>0</v>
      </c>
      <c r="M1725" t="str">
        <f t="shared" si="164"/>
        <v>Low</v>
      </c>
      <c r="N1725" t="str">
        <f t="shared" si="161"/>
        <v>Nov</v>
      </c>
      <c r="O1725">
        <f t="shared" si="162"/>
        <v>2025</v>
      </c>
    </row>
    <row r="1726" spans="1:15" x14ac:dyDescent="0.3">
      <c r="A1726">
        <v>202842</v>
      </c>
      <c r="B1726" t="s">
        <v>99</v>
      </c>
      <c r="C1726" s="2">
        <v>45984</v>
      </c>
      <c r="D1726" s="2">
        <f t="shared" si="160"/>
        <v>46014</v>
      </c>
      <c r="E1726" s="1">
        <f>D1726-1</f>
        <v>46013</v>
      </c>
      <c r="F1726">
        <v>1587</v>
      </c>
      <c r="G1726">
        <v>30</v>
      </c>
      <c r="H1726">
        <f t="shared" si="165"/>
        <v>0</v>
      </c>
      <c r="I1726" t="str">
        <f t="shared" si="163"/>
        <v>On Time</v>
      </c>
      <c r="J1726" cm="1">
        <f t="array" ref="J1726">_xlfn.IFS(H1726&lt;30,0,H1726&lt;60,1,H1726&lt;90,2,H1726&lt;120,3)</f>
        <v>0</v>
      </c>
      <c r="M1726" t="str">
        <f t="shared" si="164"/>
        <v>Low</v>
      </c>
      <c r="N1726" t="str">
        <f t="shared" si="161"/>
        <v>Nov</v>
      </c>
      <c r="O1726">
        <f t="shared" si="162"/>
        <v>2025</v>
      </c>
    </row>
    <row r="1727" spans="1:15" x14ac:dyDescent="0.3">
      <c r="A1727">
        <v>202843</v>
      </c>
      <c r="B1727" t="s">
        <v>100</v>
      </c>
      <c r="C1727" s="2">
        <v>45984</v>
      </c>
      <c r="D1727" s="2">
        <f t="shared" si="160"/>
        <v>46014</v>
      </c>
      <c r="E1727" s="1">
        <f>D1727</f>
        <v>46014</v>
      </c>
      <c r="F1727">
        <v>882</v>
      </c>
      <c r="G1727">
        <v>30</v>
      </c>
      <c r="H1727">
        <f t="shared" si="165"/>
        <v>0</v>
      </c>
      <c r="I1727" t="str">
        <f t="shared" si="163"/>
        <v>On Time</v>
      </c>
      <c r="J1727" cm="1">
        <f t="array" ref="J1727">_xlfn.IFS(H1727&lt;30,0,H1727&lt;60,1,H1727&lt;90,2,H1727&lt;120,3)</f>
        <v>0</v>
      </c>
      <c r="M1727" t="str">
        <f t="shared" si="164"/>
        <v>Low</v>
      </c>
      <c r="N1727" t="str">
        <f t="shared" si="161"/>
        <v>Nov</v>
      </c>
      <c r="O1727">
        <f t="shared" si="162"/>
        <v>2025</v>
      </c>
    </row>
    <row r="1728" spans="1:15" x14ac:dyDescent="0.3">
      <c r="A1728">
        <v>202844</v>
      </c>
      <c r="B1728" t="s">
        <v>101</v>
      </c>
      <c r="C1728" s="2">
        <v>45984</v>
      </c>
      <c r="D1728" s="2">
        <f t="shared" si="160"/>
        <v>46014</v>
      </c>
      <c r="E1728" s="1">
        <f>D1728+1</f>
        <v>46015</v>
      </c>
      <c r="F1728">
        <v>1166</v>
      </c>
      <c r="G1728">
        <v>30</v>
      </c>
      <c r="H1728">
        <f t="shared" si="165"/>
        <v>0</v>
      </c>
      <c r="I1728" t="str">
        <f t="shared" si="163"/>
        <v>On Time</v>
      </c>
      <c r="J1728" cm="1">
        <f t="array" ref="J1728">_xlfn.IFS(H1728&lt;30,0,H1728&lt;60,1,H1728&lt;90,2,H1728&lt;120,3)</f>
        <v>0</v>
      </c>
      <c r="M1728" t="str">
        <f t="shared" si="164"/>
        <v>Low</v>
      </c>
      <c r="N1728" t="str">
        <f t="shared" si="161"/>
        <v>Nov</v>
      </c>
      <c r="O1728">
        <f t="shared" si="162"/>
        <v>2025</v>
      </c>
    </row>
    <row r="1729" spans="1:15" x14ac:dyDescent="0.3">
      <c r="A1729">
        <v>202845</v>
      </c>
      <c r="B1729" t="s">
        <v>102</v>
      </c>
      <c r="C1729" s="2">
        <v>45984</v>
      </c>
      <c r="D1729" s="2">
        <f t="shared" si="160"/>
        <v>46014</v>
      </c>
      <c r="E1729" s="1">
        <f>D1729+35</f>
        <v>46049</v>
      </c>
      <c r="F1729">
        <v>1379</v>
      </c>
      <c r="G1729">
        <v>30</v>
      </c>
      <c r="H1729">
        <f t="shared" si="165"/>
        <v>0</v>
      </c>
      <c r="I1729" t="str">
        <f t="shared" si="163"/>
        <v>On Time</v>
      </c>
      <c r="J1729" cm="1">
        <f t="array" ref="J1729">_xlfn.IFS(H1729&lt;30,0,H1729&lt;60,1,H1729&lt;90,2,H1729&lt;120,3)</f>
        <v>0</v>
      </c>
      <c r="M1729" t="str">
        <f t="shared" si="164"/>
        <v>Low</v>
      </c>
      <c r="N1729" t="str">
        <f t="shared" si="161"/>
        <v>Nov</v>
      </c>
      <c r="O1729">
        <f t="shared" si="162"/>
        <v>2025</v>
      </c>
    </row>
    <row r="1730" spans="1:15" x14ac:dyDescent="0.3">
      <c r="A1730">
        <v>202846</v>
      </c>
      <c r="B1730" t="s">
        <v>38</v>
      </c>
      <c r="C1730" s="2">
        <v>45984</v>
      </c>
      <c r="D1730" s="2">
        <f t="shared" ref="D1730:D1793" si="166">C1730+G1730</f>
        <v>46014</v>
      </c>
      <c r="E1730" s="1">
        <f>D1730+75</f>
        <v>46089</v>
      </c>
      <c r="F1730">
        <v>6996</v>
      </c>
      <c r="G1730">
        <v>30</v>
      </c>
      <c r="H1730">
        <f t="shared" si="165"/>
        <v>0</v>
      </c>
      <c r="I1730" t="str">
        <f t="shared" si="163"/>
        <v>On Time</v>
      </c>
      <c r="J1730" cm="1">
        <f t="array" ref="J1730">_xlfn.IFS(H1730&lt;30,0,H1730&lt;60,1,H1730&lt;90,2,H1730&lt;120,3)</f>
        <v>0</v>
      </c>
      <c r="M1730" t="str">
        <f t="shared" si="164"/>
        <v>Low</v>
      </c>
      <c r="N1730" t="str">
        <f t="shared" ref="N1730:N1793" si="167">TEXT(C1730,"mmm")</f>
        <v>Nov</v>
      </c>
      <c r="O1730">
        <f t="shared" ref="O1730:O1793" si="168">YEAR(C1730)</f>
        <v>2025</v>
      </c>
    </row>
    <row r="1731" spans="1:15" x14ac:dyDescent="0.3">
      <c r="A1731">
        <v>202847</v>
      </c>
      <c r="B1731" t="s">
        <v>39</v>
      </c>
      <c r="C1731" s="2">
        <v>45984</v>
      </c>
      <c r="D1731" s="2">
        <f t="shared" si="166"/>
        <v>46014</v>
      </c>
      <c r="E1731" s="1">
        <f>D1731+5</f>
        <v>46019</v>
      </c>
      <c r="F1731">
        <v>875</v>
      </c>
      <c r="G1731">
        <v>30</v>
      </c>
      <c r="H1731">
        <f t="shared" si="165"/>
        <v>0</v>
      </c>
      <c r="I1731" t="str">
        <f t="shared" si="163"/>
        <v>On Time</v>
      </c>
      <c r="J1731" cm="1">
        <f t="array" ref="J1731">_xlfn.IFS(H1731&lt;30,0,H1731&lt;60,1,H1731&lt;90,2,H1731&lt;120,3)</f>
        <v>0</v>
      </c>
      <c r="M1731" t="str">
        <f t="shared" si="164"/>
        <v>Low</v>
      </c>
      <c r="N1731" t="str">
        <f t="shared" si="167"/>
        <v>Nov</v>
      </c>
      <c r="O1731">
        <f t="shared" si="168"/>
        <v>2025</v>
      </c>
    </row>
    <row r="1732" spans="1:15" x14ac:dyDescent="0.3">
      <c r="A1732">
        <v>202848</v>
      </c>
      <c r="B1732" t="s">
        <v>40</v>
      </c>
      <c r="C1732" s="2">
        <v>45984</v>
      </c>
      <c r="D1732" s="2">
        <f t="shared" si="166"/>
        <v>46014</v>
      </c>
      <c r="E1732" s="1">
        <f>D1732</f>
        <v>46014</v>
      </c>
      <c r="F1732">
        <v>3821</v>
      </c>
      <c r="G1732">
        <v>30</v>
      </c>
      <c r="H1732">
        <f t="shared" si="165"/>
        <v>0</v>
      </c>
      <c r="I1732" t="str">
        <f t="shared" si="163"/>
        <v>On Time</v>
      </c>
      <c r="J1732" cm="1">
        <f t="array" ref="J1732">_xlfn.IFS(H1732&lt;30,0,H1732&lt;60,1,H1732&lt;90,2,H1732&lt;120,3)</f>
        <v>0</v>
      </c>
      <c r="M1732" t="str">
        <f t="shared" si="164"/>
        <v>Low</v>
      </c>
      <c r="N1732" t="str">
        <f t="shared" si="167"/>
        <v>Nov</v>
      </c>
      <c r="O1732">
        <f t="shared" si="168"/>
        <v>2025</v>
      </c>
    </row>
    <row r="1733" spans="1:15" x14ac:dyDescent="0.3">
      <c r="A1733">
        <v>202849</v>
      </c>
      <c r="B1733" t="s">
        <v>41</v>
      </c>
      <c r="C1733" s="2">
        <v>45984</v>
      </c>
      <c r="D1733" s="2">
        <f t="shared" si="166"/>
        <v>46014</v>
      </c>
      <c r="E1733" s="1">
        <f>D1733-1</f>
        <v>46013</v>
      </c>
      <c r="F1733">
        <v>1597</v>
      </c>
      <c r="G1733">
        <v>30</v>
      </c>
      <c r="H1733">
        <f t="shared" si="165"/>
        <v>0</v>
      </c>
      <c r="I1733" t="str">
        <f t="shared" si="163"/>
        <v>On Time</v>
      </c>
      <c r="J1733" cm="1">
        <f t="array" ref="J1733">_xlfn.IFS(H1733&lt;30,0,H1733&lt;60,1,H1733&lt;90,2,H1733&lt;120,3)</f>
        <v>0</v>
      </c>
      <c r="M1733" t="str">
        <f t="shared" si="164"/>
        <v>Low</v>
      </c>
      <c r="N1733" t="str">
        <f t="shared" si="167"/>
        <v>Nov</v>
      </c>
      <c r="O1733">
        <f t="shared" si="168"/>
        <v>2025</v>
      </c>
    </row>
    <row r="1734" spans="1:15" x14ac:dyDescent="0.3">
      <c r="A1734">
        <v>202804</v>
      </c>
      <c r="B1734" t="s">
        <v>53</v>
      </c>
      <c r="C1734" s="2">
        <v>45983</v>
      </c>
      <c r="D1734" s="2">
        <f t="shared" si="166"/>
        <v>46013</v>
      </c>
      <c r="E1734" s="1">
        <f>D1734+60</f>
        <v>46073</v>
      </c>
      <c r="F1734">
        <v>2716</v>
      </c>
      <c r="G1734">
        <v>30</v>
      </c>
      <c r="H1734">
        <f t="shared" si="165"/>
        <v>0</v>
      </c>
      <c r="I1734" t="str">
        <f t="shared" si="163"/>
        <v>On Time</v>
      </c>
      <c r="J1734" cm="1">
        <f t="array" ref="J1734">_xlfn.IFS(H1734&lt;30,0,H1734&lt;60,1,H1734&lt;90,2,H1734&lt;120,3)</f>
        <v>0</v>
      </c>
      <c r="M1734" t="str">
        <f t="shared" si="164"/>
        <v>Low</v>
      </c>
      <c r="N1734" t="str">
        <f t="shared" si="167"/>
        <v>Nov</v>
      </c>
      <c r="O1734">
        <f t="shared" si="168"/>
        <v>2025</v>
      </c>
    </row>
    <row r="1735" spans="1:15" x14ac:dyDescent="0.3">
      <c r="A1735">
        <v>202805</v>
      </c>
      <c r="B1735" t="s">
        <v>54</v>
      </c>
      <c r="C1735" s="2">
        <v>45983</v>
      </c>
      <c r="D1735" s="2">
        <f t="shared" si="166"/>
        <v>46013</v>
      </c>
      <c r="E1735" s="1">
        <f>D1735</f>
        <v>46013</v>
      </c>
      <c r="F1735">
        <v>3696</v>
      </c>
      <c r="G1735">
        <v>30</v>
      </c>
      <c r="H1735">
        <f t="shared" si="165"/>
        <v>0</v>
      </c>
      <c r="I1735" t="str">
        <f t="shared" si="163"/>
        <v>On Time</v>
      </c>
      <c r="J1735" cm="1">
        <f t="array" ref="J1735">_xlfn.IFS(H1735&lt;30,0,H1735&lt;60,1,H1735&lt;90,2,H1735&lt;120,3)</f>
        <v>0</v>
      </c>
      <c r="M1735" t="str">
        <f t="shared" si="164"/>
        <v>Low</v>
      </c>
      <c r="N1735" t="str">
        <f t="shared" si="167"/>
        <v>Nov</v>
      </c>
      <c r="O1735">
        <f t="shared" si="168"/>
        <v>2025</v>
      </c>
    </row>
    <row r="1736" spans="1:15" x14ac:dyDescent="0.3">
      <c r="A1736">
        <v>202806</v>
      </c>
      <c r="B1736" t="s">
        <v>36</v>
      </c>
      <c r="C1736" s="2">
        <v>45983</v>
      </c>
      <c r="D1736" s="2">
        <f t="shared" si="166"/>
        <v>46013</v>
      </c>
      <c r="F1736">
        <v>3535</v>
      </c>
      <c r="G1736">
        <v>30</v>
      </c>
      <c r="H1736">
        <f t="shared" si="165"/>
        <v>0</v>
      </c>
      <c r="I1736" t="str">
        <f t="shared" si="163"/>
        <v>On Time</v>
      </c>
      <c r="J1736" cm="1">
        <f t="array" ref="J1736">_xlfn.IFS(H1736&lt;30,0,H1736&lt;60,1,H1736&lt;90,2,H1736&lt;120,3)</f>
        <v>0</v>
      </c>
      <c r="M1736" t="str">
        <f t="shared" si="164"/>
        <v>Low</v>
      </c>
      <c r="N1736" t="str">
        <f t="shared" si="167"/>
        <v>Nov</v>
      </c>
      <c r="O1736">
        <f t="shared" si="168"/>
        <v>2025</v>
      </c>
    </row>
    <row r="1737" spans="1:15" x14ac:dyDescent="0.3">
      <c r="A1737">
        <v>202807</v>
      </c>
      <c r="B1737" t="s">
        <v>37</v>
      </c>
      <c r="C1737" s="2">
        <v>45983</v>
      </c>
      <c r="D1737" s="2">
        <f t="shared" si="166"/>
        <v>46013</v>
      </c>
      <c r="E1737" s="1">
        <f>D1737+3</f>
        <v>46016</v>
      </c>
      <c r="F1737">
        <v>497</v>
      </c>
      <c r="G1737">
        <v>30</v>
      </c>
      <c r="H1737">
        <f t="shared" si="165"/>
        <v>0</v>
      </c>
      <c r="I1737" t="str">
        <f t="shared" si="163"/>
        <v>On Time</v>
      </c>
      <c r="J1737" cm="1">
        <f t="array" ref="J1737">_xlfn.IFS(H1737&lt;30,0,H1737&lt;60,1,H1737&lt;90,2,H1737&lt;120,3)</f>
        <v>0</v>
      </c>
      <c r="M1737" t="str">
        <f t="shared" si="164"/>
        <v>Low</v>
      </c>
      <c r="N1737" t="str">
        <f t="shared" si="167"/>
        <v>Nov</v>
      </c>
      <c r="O1737">
        <f t="shared" si="168"/>
        <v>2025</v>
      </c>
    </row>
    <row r="1738" spans="1:15" x14ac:dyDescent="0.3">
      <c r="A1738">
        <v>202808</v>
      </c>
      <c r="B1738" t="s">
        <v>38</v>
      </c>
      <c r="C1738" s="2">
        <v>45983</v>
      </c>
      <c r="D1738" s="2">
        <f t="shared" si="166"/>
        <v>46013</v>
      </c>
      <c r="E1738" s="1">
        <f>D1738+1</f>
        <v>46014</v>
      </c>
      <c r="F1738">
        <v>3308</v>
      </c>
      <c r="G1738">
        <v>30</v>
      </c>
      <c r="H1738">
        <f t="shared" si="165"/>
        <v>0</v>
      </c>
      <c r="I1738" t="str">
        <f t="shared" si="163"/>
        <v>On Time</v>
      </c>
      <c r="J1738" cm="1">
        <f t="array" ref="J1738">_xlfn.IFS(H1738&lt;30,0,H1738&lt;60,1,H1738&lt;90,2,H1738&lt;120,3)</f>
        <v>0</v>
      </c>
      <c r="M1738" t="str">
        <f t="shared" si="164"/>
        <v>Low</v>
      </c>
      <c r="N1738" t="str">
        <f t="shared" si="167"/>
        <v>Nov</v>
      </c>
      <c r="O1738">
        <f t="shared" si="168"/>
        <v>2025</v>
      </c>
    </row>
    <row r="1739" spans="1:15" x14ac:dyDescent="0.3">
      <c r="A1739">
        <v>202809</v>
      </c>
      <c r="B1739" t="s">
        <v>39</v>
      </c>
      <c r="C1739" s="2">
        <v>45983</v>
      </c>
      <c r="D1739" s="2">
        <f t="shared" si="166"/>
        <v>46013</v>
      </c>
      <c r="E1739" s="1">
        <f>D1739-1</f>
        <v>46012</v>
      </c>
      <c r="F1739">
        <v>930</v>
      </c>
      <c r="G1739">
        <v>30</v>
      </c>
      <c r="H1739">
        <f t="shared" si="165"/>
        <v>0</v>
      </c>
      <c r="I1739" t="str">
        <f t="shared" si="163"/>
        <v>On Time</v>
      </c>
      <c r="J1739" cm="1">
        <f t="array" ref="J1739">_xlfn.IFS(H1739&lt;30,0,H1739&lt;60,1,H1739&lt;90,2,H1739&lt;120,3)</f>
        <v>0</v>
      </c>
      <c r="M1739" t="str">
        <f t="shared" si="164"/>
        <v>Low</v>
      </c>
      <c r="N1739" t="str">
        <f t="shared" si="167"/>
        <v>Nov</v>
      </c>
      <c r="O1739">
        <f t="shared" si="168"/>
        <v>2025</v>
      </c>
    </row>
    <row r="1740" spans="1:15" x14ac:dyDescent="0.3">
      <c r="A1740">
        <v>202810</v>
      </c>
      <c r="B1740" t="s">
        <v>40</v>
      </c>
      <c r="C1740" s="2">
        <v>45983</v>
      </c>
      <c r="D1740" s="2">
        <f t="shared" si="166"/>
        <v>46013</v>
      </c>
      <c r="E1740" s="1">
        <f>D1740</f>
        <v>46013</v>
      </c>
      <c r="F1740">
        <v>4550</v>
      </c>
      <c r="G1740">
        <v>30</v>
      </c>
      <c r="H1740">
        <f t="shared" si="165"/>
        <v>0</v>
      </c>
      <c r="I1740" t="str">
        <f t="shared" si="163"/>
        <v>On Time</v>
      </c>
      <c r="J1740" cm="1">
        <f t="array" ref="J1740">_xlfn.IFS(H1740&lt;30,0,H1740&lt;60,1,H1740&lt;90,2,H1740&lt;120,3)</f>
        <v>0</v>
      </c>
      <c r="M1740" t="str">
        <f t="shared" si="164"/>
        <v>Low</v>
      </c>
      <c r="N1740" t="str">
        <f t="shared" si="167"/>
        <v>Nov</v>
      </c>
      <c r="O1740">
        <f t="shared" si="168"/>
        <v>2025</v>
      </c>
    </row>
    <row r="1741" spans="1:15" x14ac:dyDescent="0.3">
      <c r="A1741">
        <v>202811</v>
      </c>
      <c r="B1741" t="s">
        <v>41</v>
      </c>
      <c r="C1741" s="2">
        <v>45983</v>
      </c>
      <c r="D1741" s="2">
        <f t="shared" si="166"/>
        <v>46013</v>
      </c>
      <c r="E1741" s="1">
        <f>D1741-5</f>
        <v>46008</v>
      </c>
      <c r="F1741">
        <v>2248</v>
      </c>
      <c r="G1741">
        <v>30</v>
      </c>
      <c r="H1741">
        <f t="shared" si="165"/>
        <v>0</v>
      </c>
      <c r="I1741" t="str">
        <f t="shared" si="163"/>
        <v>On Time</v>
      </c>
      <c r="J1741" cm="1">
        <f t="array" ref="J1741">_xlfn.IFS(H1741&lt;30,0,H1741&lt;60,1,H1741&lt;90,2,H1741&lt;120,3)</f>
        <v>0</v>
      </c>
      <c r="M1741" t="str">
        <f t="shared" si="164"/>
        <v>Low</v>
      </c>
      <c r="N1741" t="str">
        <f t="shared" si="167"/>
        <v>Nov</v>
      </c>
      <c r="O1741">
        <f t="shared" si="168"/>
        <v>2025</v>
      </c>
    </row>
    <row r="1742" spans="1:15" x14ac:dyDescent="0.3">
      <c r="A1742">
        <v>202812</v>
      </c>
      <c r="B1742" t="s">
        <v>42</v>
      </c>
      <c r="C1742" s="2">
        <v>45983</v>
      </c>
      <c r="D1742" s="2">
        <f t="shared" si="166"/>
        <v>46013</v>
      </c>
      <c r="E1742" s="1">
        <f>D1742+35</f>
        <v>46048</v>
      </c>
      <c r="F1742">
        <v>810</v>
      </c>
      <c r="G1742">
        <v>30</v>
      </c>
      <c r="H1742">
        <f t="shared" si="165"/>
        <v>0</v>
      </c>
      <c r="I1742" t="str">
        <f t="shared" si="163"/>
        <v>On Time</v>
      </c>
      <c r="J1742" cm="1">
        <f t="array" ref="J1742">_xlfn.IFS(H1742&lt;30,0,H1742&lt;60,1,H1742&lt;90,2,H1742&lt;120,3)</f>
        <v>0</v>
      </c>
      <c r="M1742" t="str">
        <f t="shared" si="164"/>
        <v>Low</v>
      </c>
      <c r="N1742" t="str">
        <f t="shared" si="167"/>
        <v>Nov</v>
      </c>
      <c r="O1742">
        <f t="shared" si="168"/>
        <v>2025</v>
      </c>
    </row>
    <row r="1743" spans="1:15" x14ac:dyDescent="0.3">
      <c r="A1743">
        <v>202813</v>
      </c>
      <c r="B1743" t="s">
        <v>43</v>
      </c>
      <c r="C1743" s="2">
        <v>45983</v>
      </c>
      <c r="D1743" s="2">
        <f t="shared" si="166"/>
        <v>46013</v>
      </c>
      <c r="E1743" s="1">
        <f>D1743+92</f>
        <v>46105</v>
      </c>
      <c r="F1743">
        <v>4819</v>
      </c>
      <c r="G1743">
        <v>30</v>
      </c>
      <c r="H1743">
        <f t="shared" si="165"/>
        <v>0</v>
      </c>
      <c r="I1743" t="str">
        <f t="shared" si="163"/>
        <v>On Time</v>
      </c>
      <c r="J1743" cm="1">
        <f t="array" ref="J1743">_xlfn.IFS(H1743&lt;30,0,H1743&lt;60,1,H1743&lt;90,2,H1743&lt;120,3)</f>
        <v>0</v>
      </c>
      <c r="M1743" t="str">
        <f t="shared" si="164"/>
        <v>Low</v>
      </c>
      <c r="N1743" t="str">
        <f t="shared" si="167"/>
        <v>Nov</v>
      </c>
      <c r="O1743">
        <f t="shared" si="168"/>
        <v>2025</v>
      </c>
    </row>
    <row r="1744" spans="1:15" x14ac:dyDescent="0.3">
      <c r="A1744">
        <v>202814</v>
      </c>
      <c r="B1744" t="s">
        <v>44</v>
      </c>
      <c r="C1744" s="2">
        <v>45983</v>
      </c>
      <c r="D1744" s="2">
        <f t="shared" si="166"/>
        <v>46028</v>
      </c>
      <c r="E1744" s="1">
        <f>D1744+5</f>
        <v>46033</v>
      </c>
      <c r="F1744">
        <v>3698</v>
      </c>
      <c r="G1744">
        <v>45</v>
      </c>
      <c r="H1744">
        <f t="shared" si="165"/>
        <v>0</v>
      </c>
      <c r="I1744" t="str">
        <f t="shared" si="163"/>
        <v>On Time</v>
      </c>
      <c r="J1744" cm="1">
        <f t="array" ref="J1744">_xlfn.IFS(H1744&lt;30,0,H1744&lt;60,1,H1744&lt;90,2,H1744&lt;120,3)</f>
        <v>0</v>
      </c>
      <c r="M1744" t="str">
        <f t="shared" si="164"/>
        <v>Low</v>
      </c>
      <c r="N1744" t="str">
        <f t="shared" si="167"/>
        <v>Nov</v>
      </c>
      <c r="O1744">
        <f t="shared" si="168"/>
        <v>2025</v>
      </c>
    </row>
    <row r="1745" spans="1:15" x14ac:dyDescent="0.3">
      <c r="A1745">
        <v>202815</v>
      </c>
      <c r="B1745" t="s">
        <v>20</v>
      </c>
      <c r="C1745" s="2">
        <v>45983</v>
      </c>
      <c r="D1745" s="2">
        <f t="shared" si="166"/>
        <v>46013</v>
      </c>
      <c r="E1745" s="1">
        <f>D1745</f>
        <v>46013</v>
      </c>
      <c r="F1745">
        <v>4794</v>
      </c>
      <c r="G1745">
        <v>30</v>
      </c>
      <c r="H1745">
        <f t="shared" si="165"/>
        <v>0</v>
      </c>
      <c r="I1745" t="str">
        <f t="shared" si="163"/>
        <v>On Time</v>
      </c>
      <c r="J1745" cm="1">
        <f t="array" ref="J1745">_xlfn.IFS(H1745&lt;30,0,H1745&lt;60,1,H1745&lt;90,2,H1745&lt;120,3)</f>
        <v>0</v>
      </c>
      <c r="M1745" t="str">
        <f t="shared" si="164"/>
        <v>Low</v>
      </c>
      <c r="N1745" t="str">
        <f t="shared" si="167"/>
        <v>Nov</v>
      </c>
      <c r="O1745">
        <f t="shared" si="168"/>
        <v>2025</v>
      </c>
    </row>
    <row r="1746" spans="1:15" x14ac:dyDescent="0.3">
      <c r="A1746">
        <v>202816</v>
      </c>
      <c r="B1746" t="s">
        <v>21</v>
      </c>
      <c r="C1746" s="2">
        <v>45983</v>
      </c>
      <c r="D1746" s="2">
        <f t="shared" si="166"/>
        <v>46013</v>
      </c>
      <c r="E1746" s="1">
        <f>D1746-1</f>
        <v>46012</v>
      </c>
      <c r="F1746">
        <v>4032</v>
      </c>
      <c r="G1746">
        <v>30</v>
      </c>
      <c r="H1746">
        <f t="shared" si="165"/>
        <v>0</v>
      </c>
      <c r="I1746" t="str">
        <f t="shared" si="163"/>
        <v>On Time</v>
      </c>
      <c r="J1746" cm="1">
        <f t="array" ref="J1746">_xlfn.IFS(H1746&lt;30,0,H1746&lt;60,1,H1746&lt;90,2,H1746&lt;120,3)</f>
        <v>0</v>
      </c>
      <c r="M1746" t="str">
        <f t="shared" si="164"/>
        <v>Low</v>
      </c>
      <c r="N1746" t="str">
        <f t="shared" si="167"/>
        <v>Nov</v>
      </c>
      <c r="O1746">
        <f t="shared" si="168"/>
        <v>2025</v>
      </c>
    </row>
    <row r="1747" spans="1:15" x14ac:dyDescent="0.3">
      <c r="A1747">
        <v>202817</v>
      </c>
      <c r="B1747" t="s">
        <v>22</v>
      </c>
      <c r="C1747" s="2">
        <v>45983</v>
      </c>
      <c r="D1747" s="2">
        <f t="shared" si="166"/>
        <v>46013</v>
      </c>
      <c r="E1747" s="1">
        <f>D1747</f>
        <v>46013</v>
      </c>
      <c r="F1747">
        <v>2229</v>
      </c>
      <c r="G1747">
        <v>30</v>
      </c>
      <c r="H1747">
        <f t="shared" si="165"/>
        <v>0</v>
      </c>
      <c r="I1747" t="str">
        <f t="shared" si="163"/>
        <v>On Time</v>
      </c>
      <c r="J1747" cm="1">
        <f t="array" ref="J1747">_xlfn.IFS(H1747&lt;30,0,H1747&lt;60,1,H1747&lt;90,2,H1747&lt;120,3)</f>
        <v>0</v>
      </c>
      <c r="M1747" t="str">
        <f t="shared" si="164"/>
        <v>Low</v>
      </c>
      <c r="N1747" t="str">
        <f t="shared" si="167"/>
        <v>Nov</v>
      </c>
      <c r="O1747">
        <f t="shared" si="168"/>
        <v>2025</v>
      </c>
    </row>
    <row r="1748" spans="1:15" x14ac:dyDescent="0.3">
      <c r="A1748">
        <v>202818</v>
      </c>
      <c r="B1748" t="s">
        <v>23</v>
      </c>
      <c r="C1748" s="2">
        <v>45983</v>
      </c>
      <c r="D1748" s="2">
        <f t="shared" si="166"/>
        <v>46028</v>
      </c>
      <c r="E1748" s="1">
        <f>D1748+32</f>
        <v>46060</v>
      </c>
      <c r="F1748">
        <v>13836</v>
      </c>
      <c r="G1748">
        <v>45</v>
      </c>
      <c r="H1748">
        <f t="shared" si="165"/>
        <v>0</v>
      </c>
      <c r="I1748" t="str">
        <f t="shared" si="163"/>
        <v>On Time</v>
      </c>
      <c r="J1748" cm="1">
        <f t="array" ref="J1748">_xlfn.IFS(H1748&lt;30,0,H1748&lt;60,1,H1748&lt;90,2,H1748&lt;120,3)</f>
        <v>0</v>
      </c>
      <c r="M1748" t="str">
        <f t="shared" si="164"/>
        <v>Low</v>
      </c>
      <c r="N1748" t="str">
        <f t="shared" si="167"/>
        <v>Nov</v>
      </c>
      <c r="O1748">
        <f t="shared" si="168"/>
        <v>2025</v>
      </c>
    </row>
    <row r="1749" spans="1:15" x14ac:dyDescent="0.3">
      <c r="A1749">
        <v>202819</v>
      </c>
      <c r="B1749" t="s">
        <v>24</v>
      </c>
      <c r="C1749" s="2">
        <v>45983</v>
      </c>
      <c r="D1749" s="2">
        <f t="shared" si="166"/>
        <v>46028</v>
      </c>
      <c r="E1749" s="1">
        <f>D1749+15</f>
        <v>46043</v>
      </c>
      <c r="F1749">
        <v>13697</v>
      </c>
      <c r="G1749">
        <v>45</v>
      </c>
      <c r="H1749">
        <f t="shared" si="165"/>
        <v>0</v>
      </c>
      <c r="I1749" t="str">
        <f t="shared" si="163"/>
        <v>On Time</v>
      </c>
      <c r="J1749" cm="1">
        <f t="array" ref="J1749">_xlfn.IFS(H1749&lt;30,0,H1749&lt;60,1,H1749&lt;90,2,H1749&lt;120,3)</f>
        <v>0</v>
      </c>
      <c r="M1749" t="str">
        <f t="shared" si="164"/>
        <v>Low</v>
      </c>
      <c r="N1749" t="str">
        <f t="shared" si="167"/>
        <v>Nov</v>
      </c>
      <c r="O1749">
        <f t="shared" si="168"/>
        <v>2025</v>
      </c>
    </row>
    <row r="1750" spans="1:15" x14ac:dyDescent="0.3">
      <c r="A1750">
        <v>202820</v>
      </c>
      <c r="B1750" t="s">
        <v>25</v>
      </c>
      <c r="C1750" s="2">
        <v>45983</v>
      </c>
      <c r="D1750" s="2">
        <f t="shared" si="166"/>
        <v>46043</v>
      </c>
      <c r="E1750" s="1">
        <f>D1750</f>
        <v>46043</v>
      </c>
      <c r="F1750">
        <v>802</v>
      </c>
      <c r="G1750">
        <v>60</v>
      </c>
      <c r="H1750">
        <f t="shared" si="165"/>
        <v>0</v>
      </c>
      <c r="I1750" t="str">
        <f t="shared" ref="I1750:I1813" si="169">IF(H1750=0,"On Time",IF(H1750&lt;=15,"Paid Late","Seriously Late"))</f>
        <v>On Time</v>
      </c>
      <c r="J1750" cm="1">
        <f t="array" ref="J1750">_xlfn.IFS(H1750&lt;30,0,H1750&lt;60,1,H1750&lt;90,2,H1750&lt;120,3)</f>
        <v>0</v>
      </c>
      <c r="M1750" t="str">
        <f t="shared" ref="M1750:M1813" si="170">IF(H1750&gt;30,"High",IF(H1750&gt;10,"Medium","Low"))</f>
        <v>Low</v>
      </c>
      <c r="N1750" t="str">
        <f t="shared" si="167"/>
        <v>Nov</v>
      </c>
      <c r="O1750">
        <f t="shared" si="168"/>
        <v>2025</v>
      </c>
    </row>
    <row r="1751" spans="1:15" x14ac:dyDescent="0.3">
      <c r="A1751">
        <v>202821</v>
      </c>
      <c r="B1751" t="s">
        <v>26</v>
      </c>
      <c r="C1751" s="2">
        <v>45983</v>
      </c>
      <c r="D1751" s="2">
        <f t="shared" si="166"/>
        <v>46013</v>
      </c>
      <c r="E1751" s="1">
        <f>D1751-2</f>
        <v>46011</v>
      </c>
      <c r="F1751">
        <v>2767</v>
      </c>
      <c r="G1751">
        <v>30</v>
      </c>
      <c r="H1751">
        <f t="shared" si="165"/>
        <v>0</v>
      </c>
      <c r="I1751" t="str">
        <f t="shared" si="169"/>
        <v>On Time</v>
      </c>
      <c r="J1751" cm="1">
        <f t="array" ref="J1751">_xlfn.IFS(H1751&lt;30,0,H1751&lt;60,1,H1751&lt;90,2,H1751&lt;120,3)</f>
        <v>0</v>
      </c>
      <c r="M1751" t="str">
        <f t="shared" si="170"/>
        <v>Low</v>
      </c>
      <c r="N1751" t="str">
        <f t="shared" si="167"/>
        <v>Nov</v>
      </c>
      <c r="O1751">
        <f t="shared" si="168"/>
        <v>2025</v>
      </c>
    </row>
    <row r="1752" spans="1:15" x14ac:dyDescent="0.3">
      <c r="A1752">
        <v>202822</v>
      </c>
      <c r="B1752" t="s">
        <v>27</v>
      </c>
      <c r="C1752" s="2">
        <v>45983</v>
      </c>
      <c r="D1752" s="2">
        <f t="shared" si="166"/>
        <v>46043</v>
      </c>
      <c r="E1752" s="1">
        <f>D1752</f>
        <v>46043</v>
      </c>
      <c r="F1752">
        <v>3876</v>
      </c>
      <c r="G1752">
        <v>60</v>
      </c>
      <c r="H1752">
        <f t="shared" si="165"/>
        <v>0</v>
      </c>
      <c r="I1752" t="str">
        <f t="shared" si="169"/>
        <v>On Time</v>
      </c>
      <c r="J1752" cm="1">
        <f t="array" ref="J1752">_xlfn.IFS(H1752&lt;30,0,H1752&lt;60,1,H1752&lt;90,2,H1752&lt;120,3)</f>
        <v>0</v>
      </c>
      <c r="M1752" t="str">
        <f t="shared" si="170"/>
        <v>Low</v>
      </c>
      <c r="N1752" t="str">
        <f t="shared" si="167"/>
        <v>Nov</v>
      </c>
      <c r="O1752">
        <f t="shared" si="168"/>
        <v>2025</v>
      </c>
    </row>
    <row r="1753" spans="1:15" x14ac:dyDescent="0.3">
      <c r="A1753">
        <v>202823</v>
      </c>
      <c r="B1753" t="s">
        <v>28</v>
      </c>
      <c r="C1753" s="2">
        <v>45983</v>
      </c>
      <c r="D1753" s="2">
        <f t="shared" si="166"/>
        <v>46013</v>
      </c>
      <c r="E1753" s="1">
        <f>D1753+2</f>
        <v>46015</v>
      </c>
      <c r="F1753">
        <v>2633</v>
      </c>
      <c r="G1753">
        <v>30</v>
      </c>
      <c r="H1753">
        <f t="shared" si="165"/>
        <v>0</v>
      </c>
      <c r="I1753" t="str">
        <f t="shared" si="169"/>
        <v>On Time</v>
      </c>
      <c r="J1753" cm="1">
        <f t="array" ref="J1753">_xlfn.IFS(H1753&lt;30,0,H1753&lt;60,1,H1753&lt;90,2,H1753&lt;120,3)</f>
        <v>0</v>
      </c>
      <c r="M1753" t="str">
        <f t="shared" si="170"/>
        <v>Low</v>
      </c>
      <c r="N1753" t="str">
        <f t="shared" si="167"/>
        <v>Nov</v>
      </c>
      <c r="O1753">
        <f t="shared" si="168"/>
        <v>2025</v>
      </c>
    </row>
    <row r="1754" spans="1:15" x14ac:dyDescent="0.3">
      <c r="A1754">
        <v>202782</v>
      </c>
      <c r="B1754" t="s">
        <v>92</v>
      </c>
      <c r="C1754" s="2">
        <v>45982</v>
      </c>
      <c r="D1754" s="2">
        <f t="shared" si="166"/>
        <v>46012</v>
      </c>
      <c r="E1754" s="1">
        <f>D1754</f>
        <v>46012</v>
      </c>
      <c r="F1754">
        <v>3146</v>
      </c>
      <c r="G1754">
        <v>30</v>
      </c>
      <c r="H1754">
        <f t="shared" si="165"/>
        <v>0</v>
      </c>
      <c r="I1754" t="str">
        <f t="shared" si="169"/>
        <v>On Time</v>
      </c>
      <c r="J1754" cm="1">
        <f t="array" ref="J1754">_xlfn.IFS(H1754&lt;30,0,H1754&lt;60,1,H1754&lt;90,2,H1754&lt;120,3)</f>
        <v>0</v>
      </c>
      <c r="M1754" t="str">
        <f t="shared" si="170"/>
        <v>Low</v>
      </c>
      <c r="N1754" t="str">
        <f t="shared" si="167"/>
        <v>Nov</v>
      </c>
      <c r="O1754">
        <f t="shared" si="168"/>
        <v>2025</v>
      </c>
    </row>
    <row r="1755" spans="1:15" x14ac:dyDescent="0.3">
      <c r="A1755">
        <v>202783</v>
      </c>
      <c r="B1755" t="s">
        <v>93</v>
      </c>
      <c r="C1755" s="2">
        <v>45982</v>
      </c>
      <c r="D1755" s="2">
        <f t="shared" si="166"/>
        <v>46012</v>
      </c>
      <c r="E1755" s="1">
        <f>D1755-1</f>
        <v>46011</v>
      </c>
      <c r="F1755">
        <v>3081</v>
      </c>
      <c r="G1755">
        <v>30</v>
      </c>
      <c r="H1755">
        <f t="shared" si="165"/>
        <v>0</v>
      </c>
      <c r="I1755" t="str">
        <f t="shared" si="169"/>
        <v>On Time</v>
      </c>
      <c r="J1755" cm="1">
        <f t="array" ref="J1755">_xlfn.IFS(H1755&lt;30,0,H1755&lt;60,1,H1755&lt;90,2,H1755&lt;120,3)</f>
        <v>0</v>
      </c>
      <c r="M1755" t="str">
        <f t="shared" si="170"/>
        <v>Low</v>
      </c>
      <c r="N1755" t="str">
        <f t="shared" si="167"/>
        <v>Nov</v>
      </c>
      <c r="O1755">
        <f t="shared" si="168"/>
        <v>2025</v>
      </c>
    </row>
    <row r="1756" spans="1:15" x14ac:dyDescent="0.3">
      <c r="A1756">
        <v>202784</v>
      </c>
      <c r="B1756" t="s">
        <v>94</v>
      </c>
      <c r="C1756" s="2">
        <v>45982</v>
      </c>
      <c r="D1756" s="2">
        <f t="shared" si="166"/>
        <v>46012</v>
      </c>
      <c r="E1756" s="1">
        <f>D1756</f>
        <v>46012</v>
      </c>
      <c r="F1756">
        <v>666</v>
      </c>
      <c r="G1756">
        <v>30</v>
      </c>
      <c r="H1756">
        <f t="shared" si="165"/>
        <v>0</v>
      </c>
      <c r="I1756" t="str">
        <f t="shared" si="169"/>
        <v>On Time</v>
      </c>
      <c r="J1756" cm="1">
        <f t="array" ref="J1756">_xlfn.IFS(H1756&lt;30,0,H1756&lt;60,1,H1756&lt;90,2,H1756&lt;120,3)</f>
        <v>0</v>
      </c>
      <c r="M1756" t="str">
        <f t="shared" si="170"/>
        <v>Low</v>
      </c>
      <c r="N1756" t="str">
        <f t="shared" si="167"/>
        <v>Nov</v>
      </c>
      <c r="O1756">
        <f t="shared" si="168"/>
        <v>2025</v>
      </c>
    </row>
    <row r="1757" spans="1:15" x14ac:dyDescent="0.3">
      <c r="A1757">
        <v>202785</v>
      </c>
      <c r="B1757" t="s">
        <v>95</v>
      </c>
      <c r="C1757" s="2">
        <v>45982</v>
      </c>
      <c r="D1757" s="2">
        <f t="shared" si="166"/>
        <v>46027</v>
      </c>
      <c r="E1757" s="1">
        <f>D1757+32</f>
        <v>46059</v>
      </c>
      <c r="F1757">
        <v>6323</v>
      </c>
      <c r="G1757">
        <v>45</v>
      </c>
      <c r="H1757">
        <f t="shared" si="165"/>
        <v>0</v>
      </c>
      <c r="I1757" t="str">
        <f t="shared" si="169"/>
        <v>On Time</v>
      </c>
      <c r="J1757" cm="1">
        <f t="array" ref="J1757">_xlfn.IFS(H1757&lt;30,0,H1757&lt;60,1,H1757&lt;90,2,H1757&lt;120,3)</f>
        <v>0</v>
      </c>
      <c r="M1757" t="str">
        <f t="shared" si="170"/>
        <v>Low</v>
      </c>
      <c r="N1757" t="str">
        <f t="shared" si="167"/>
        <v>Nov</v>
      </c>
      <c r="O1757">
        <f t="shared" si="168"/>
        <v>2025</v>
      </c>
    </row>
    <row r="1758" spans="1:15" x14ac:dyDescent="0.3">
      <c r="A1758">
        <v>202786</v>
      </c>
      <c r="B1758" t="s">
        <v>68</v>
      </c>
      <c r="C1758" s="2">
        <v>45982</v>
      </c>
      <c r="D1758" s="2">
        <f t="shared" si="166"/>
        <v>46012</v>
      </c>
      <c r="E1758" s="1">
        <f>D1758+15</f>
        <v>46027</v>
      </c>
      <c r="F1758">
        <v>1007</v>
      </c>
      <c r="G1758">
        <v>30</v>
      </c>
      <c r="H1758">
        <f t="shared" si="165"/>
        <v>0</v>
      </c>
      <c r="I1758" t="str">
        <f t="shared" si="169"/>
        <v>On Time</v>
      </c>
      <c r="J1758" cm="1">
        <f t="array" ref="J1758">_xlfn.IFS(H1758&lt;30,0,H1758&lt;60,1,H1758&lt;90,2,H1758&lt;120,3)</f>
        <v>0</v>
      </c>
      <c r="M1758" t="str">
        <f t="shared" si="170"/>
        <v>Low</v>
      </c>
      <c r="N1758" t="str">
        <f t="shared" si="167"/>
        <v>Nov</v>
      </c>
      <c r="O1758">
        <f t="shared" si="168"/>
        <v>2025</v>
      </c>
    </row>
    <row r="1759" spans="1:15" x14ac:dyDescent="0.3">
      <c r="A1759">
        <v>202787</v>
      </c>
      <c r="B1759" t="s">
        <v>69</v>
      </c>
      <c r="C1759" s="2">
        <v>45982</v>
      </c>
      <c r="D1759" s="2">
        <f t="shared" si="166"/>
        <v>46012</v>
      </c>
      <c r="E1759" s="1">
        <f>D1759-2</f>
        <v>46010</v>
      </c>
      <c r="F1759">
        <v>4609</v>
      </c>
      <c r="G1759">
        <v>30</v>
      </c>
      <c r="H1759">
        <f t="shared" si="165"/>
        <v>0</v>
      </c>
      <c r="I1759" t="str">
        <f t="shared" si="169"/>
        <v>On Time</v>
      </c>
      <c r="J1759" cm="1">
        <f t="array" ref="J1759">_xlfn.IFS(H1759&lt;30,0,H1759&lt;60,1,H1759&lt;90,2,H1759&lt;120,3)</f>
        <v>0</v>
      </c>
      <c r="M1759" t="str">
        <f t="shared" si="170"/>
        <v>Low</v>
      </c>
      <c r="N1759" t="str">
        <f t="shared" si="167"/>
        <v>Nov</v>
      </c>
      <c r="O1759">
        <f t="shared" si="168"/>
        <v>2025</v>
      </c>
    </row>
    <row r="1760" spans="1:15" x14ac:dyDescent="0.3">
      <c r="A1760">
        <v>202788</v>
      </c>
      <c r="B1760" t="s">
        <v>70</v>
      </c>
      <c r="C1760" s="2">
        <v>45982</v>
      </c>
      <c r="D1760" s="2">
        <f t="shared" si="166"/>
        <v>46012</v>
      </c>
      <c r="E1760" s="1">
        <f>D1760-2</f>
        <v>46010</v>
      </c>
      <c r="F1760">
        <v>466</v>
      </c>
      <c r="G1760">
        <v>30</v>
      </c>
      <c r="H1760">
        <f t="shared" si="165"/>
        <v>0</v>
      </c>
      <c r="I1760" t="str">
        <f t="shared" si="169"/>
        <v>On Time</v>
      </c>
      <c r="J1760" cm="1">
        <f t="array" ref="J1760">_xlfn.IFS(H1760&lt;30,0,H1760&lt;60,1,H1760&lt;90,2,H1760&lt;120,3)</f>
        <v>0</v>
      </c>
      <c r="M1760" t="str">
        <f t="shared" si="170"/>
        <v>Low</v>
      </c>
      <c r="N1760" t="str">
        <f t="shared" si="167"/>
        <v>Nov</v>
      </c>
      <c r="O1760">
        <f t="shared" si="168"/>
        <v>2025</v>
      </c>
    </row>
    <row r="1761" spans="1:15" x14ac:dyDescent="0.3">
      <c r="A1761">
        <v>202789</v>
      </c>
      <c r="B1761" t="s">
        <v>71</v>
      </c>
      <c r="C1761" s="2">
        <v>45982</v>
      </c>
      <c r="D1761" s="2">
        <f t="shared" si="166"/>
        <v>46012</v>
      </c>
      <c r="E1761" s="1">
        <f>D1761</f>
        <v>46012</v>
      </c>
      <c r="F1761">
        <v>1902</v>
      </c>
      <c r="G1761">
        <v>30</v>
      </c>
      <c r="H1761">
        <f t="shared" si="165"/>
        <v>0</v>
      </c>
      <c r="I1761" t="str">
        <f t="shared" si="169"/>
        <v>On Time</v>
      </c>
      <c r="J1761" cm="1">
        <f t="array" ref="J1761">_xlfn.IFS(H1761&lt;30,0,H1761&lt;60,1,H1761&lt;90,2,H1761&lt;120,3)</f>
        <v>0</v>
      </c>
      <c r="M1761" t="str">
        <f t="shared" si="170"/>
        <v>Low</v>
      </c>
      <c r="N1761" t="str">
        <f t="shared" si="167"/>
        <v>Nov</v>
      </c>
      <c r="O1761">
        <f t="shared" si="168"/>
        <v>2025</v>
      </c>
    </row>
    <row r="1762" spans="1:15" x14ac:dyDescent="0.3">
      <c r="A1762">
        <v>202790</v>
      </c>
      <c r="B1762" t="s">
        <v>72</v>
      </c>
      <c r="C1762" s="2">
        <v>45982</v>
      </c>
      <c r="D1762" s="2">
        <f t="shared" si="166"/>
        <v>46012</v>
      </c>
      <c r="E1762" s="1">
        <f>D1762+2</f>
        <v>46014</v>
      </c>
      <c r="F1762">
        <v>559</v>
      </c>
      <c r="G1762">
        <v>30</v>
      </c>
      <c r="H1762">
        <f t="shared" si="165"/>
        <v>0</v>
      </c>
      <c r="I1762" t="str">
        <f t="shared" si="169"/>
        <v>On Time</v>
      </c>
      <c r="J1762" cm="1">
        <f t="array" ref="J1762">_xlfn.IFS(H1762&lt;30,0,H1762&lt;60,1,H1762&lt;90,2,H1762&lt;120,3)</f>
        <v>0</v>
      </c>
      <c r="M1762" t="str">
        <f t="shared" si="170"/>
        <v>Low</v>
      </c>
      <c r="N1762" t="str">
        <f t="shared" si="167"/>
        <v>Nov</v>
      </c>
      <c r="O1762">
        <f t="shared" si="168"/>
        <v>2025</v>
      </c>
    </row>
    <row r="1763" spans="1:15" x14ac:dyDescent="0.3">
      <c r="A1763">
        <v>202791</v>
      </c>
      <c r="B1763" t="s">
        <v>73</v>
      </c>
      <c r="C1763" s="2">
        <v>45982</v>
      </c>
      <c r="D1763" s="2">
        <f t="shared" si="166"/>
        <v>46027</v>
      </c>
      <c r="E1763" s="1">
        <f>D1763+2</f>
        <v>46029</v>
      </c>
      <c r="F1763">
        <v>628</v>
      </c>
      <c r="G1763">
        <v>45</v>
      </c>
      <c r="H1763">
        <f t="shared" si="165"/>
        <v>0</v>
      </c>
      <c r="I1763" t="str">
        <f t="shared" si="169"/>
        <v>On Time</v>
      </c>
      <c r="J1763" cm="1">
        <f t="array" ref="J1763">_xlfn.IFS(H1763&lt;30,0,H1763&lt;60,1,H1763&lt;90,2,H1763&lt;120,3)</f>
        <v>0</v>
      </c>
      <c r="M1763" t="str">
        <f t="shared" si="170"/>
        <v>Low</v>
      </c>
      <c r="N1763" t="str">
        <f t="shared" si="167"/>
        <v>Nov</v>
      </c>
      <c r="O1763">
        <f t="shared" si="168"/>
        <v>2025</v>
      </c>
    </row>
    <row r="1764" spans="1:15" x14ac:dyDescent="0.3">
      <c r="A1764">
        <v>202792</v>
      </c>
      <c r="B1764" t="s">
        <v>74</v>
      </c>
      <c r="C1764" s="2">
        <v>45982</v>
      </c>
      <c r="D1764" s="2">
        <f t="shared" si="166"/>
        <v>46027</v>
      </c>
      <c r="E1764" s="1">
        <f>D1764+2</f>
        <v>46029</v>
      </c>
      <c r="F1764">
        <v>4372</v>
      </c>
      <c r="G1764">
        <v>45</v>
      </c>
      <c r="H1764">
        <f t="shared" si="165"/>
        <v>0</v>
      </c>
      <c r="I1764" t="str">
        <f t="shared" si="169"/>
        <v>On Time</v>
      </c>
      <c r="J1764" cm="1">
        <f t="array" ref="J1764">_xlfn.IFS(H1764&lt;30,0,H1764&lt;60,1,H1764&lt;90,2,H1764&lt;120,3)</f>
        <v>0</v>
      </c>
      <c r="M1764" t="str">
        <f t="shared" si="170"/>
        <v>Low</v>
      </c>
      <c r="N1764" t="str">
        <f t="shared" si="167"/>
        <v>Nov</v>
      </c>
      <c r="O1764">
        <f t="shared" si="168"/>
        <v>2025</v>
      </c>
    </row>
    <row r="1765" spans="1:15" x14ac:dyDescent="0.3">
      <c r="A1765">
        <v>202793</v>
      </c>
      <c r="B1765" t="s">
        <v>75</v>
      </c>
      <c r="C1765" s="2">
        <v>45982</v>
      </c>
      <c r="D1765" s="2">
        <f t="shared" si="166"/>
        <v>46042</v>
      </c>
      <c r="E1765" s="1">
        <f>D1765</f>
        <v>46042</v>
      </c>
      <c r="F1765">
        <v>4371</v>
      </c>
      <c r="G1765">
        <v>60</v>
      </c>
      <c r="H1765">
        <f t="shared" si="165"/>
        <v>0</v>
      </c>
      <c r="I1765" t="str">
        <f t="shared" si="169"/>
        <v>On Time</v>
      </c>
      <c r="J1765" cm="1">
        <f t="array" ref="J1765">_xlfn.IFS(H1765&lt;30,0,H1765&lt;60,1,H1765&lt;90,2,H1765&lt;120,3)</f>
        <v>0</v>
      </c>
      <c r="M1765" t="str">
        <f t="shared" si="170"/>
        <v>Low</v>
      </c>
      <c r="N1765" t="str">
        <f t="shared" si="167"/>
        <v>Nov</v>
      </c>
      <c r="O1765">
        <f t="shared" si="168"/>
        <v>2025</v>
      </c>
    </row>
    <row r="1766" spans="1:15" x14ac:dyDescent="0.3">
      <c r="A1766">
        <v>202794</v>
      </c>
      <c r="B1766" t="s">
        <v>76</v>
      </c>
      <c r="C1766" s="2">
        <v>45982</v>
      </c>
      <c r="D1766" s="2">
        <f t="shared" si="166"/>
        <v>46012</v>
      </c>
      <c r="E1766" s="1">
        <f>D1766+20</f>
        <v>46032</v>
      </c>
      <c r="F1766">
        <v>2378</v>
      </c>
      <c r="G1766">
        <v>30</v>
      </c>
      <c r="H1766">
        <f t="shared" ref="H1766:H1829" si="171">MAX(0,P1731-D1766)</f>
        <v>0</v>
      </c>
      <c r="I1766" t="str">
        <f t="shared" si="169"/>
        <v>On Time</v>
      </c>
      <c r="J1766" cm="1">
        <f t="array" ref="J1766">_xlfn.IFS(H1766&lt;30,0,H1766&lt;60,1,H1766&lt;90,2,H1766&lt;120,3)</f>
        <v>0</v>
      </c>
      <c r="M1766" t="str">
        <f t="shared" si="170"/>
        <v>Low</v>
      </c>
      <c r="N1766" t="str">
        <f t="shared" si="167"/>
        <v>Nov</v>
      </c>
      <c r="O1766">
        <f t="shared" si="168"/>
        <v>2025</v>
      </c>
    </row>
    <row r="1767" spans="1:15" x14ac:dyDescent="0.3">
      <c r="A1767">
        <v>202795</v>
      </c>
      <c r="B1767" t="s">
        <v>44</v>
      </c>
      <c r="C1767" s="2">
        <v>45982</v>
      </c>
      <c r="D1767" s="2">
        <f t="shared" si="166"/>
        <v>46027</v>
      </c>
      <c r="E1767" s="1">
        <f>D1767</f>
        <v>46027</v>
      </c>
      <c r="F1767">
        <v>1066</v>
      </c>
      <c r="G1767">
        <v>45</v>
      </c>
      <c r="H1767">
        <f t="shared" si="171"/>
        <v>0</v>
      </c>
      <c r="I1767" t="str">
        <f t="shared" si="169"/>
        <v>On Time</v>
      </c>
      <c r="J1767" cm="1">
        <f t="array" ref="J1767">_xlfn.IFS(H1767&lt;30,0,H1767&lt;60,1,H1767&lt;90,2,H1767&lt;120,3)</f>
        <v>0</v>
      </c>
      <c r="M1767" t="str">
        <f t="shared" si="170"/>
        <v>Low</v>
      </c>
      <c r="N1767" t="str">
        <f t="shared" si="167"/>
        <v>Nov</v>
      </c>
      <c r="O1767">
        <f t="shared" si="168"/>
        <v>2025</v>
      </c>
    </row>
    <row r="1768" spans="1:15" x14ac:dyDescent="0.3">
      <c r="A1768">
        <v>202796</v>
      </c>
      <c r="B1768" t="s">
        <v>45</v>
      </c>
      <c r="C1768" s="2">
        <v>45982</v>
      </c>
      <c r="D1768" s="2">
        <f t="shared" si="166"/>
        <v>46027</v>
      </c>
      <c r="E1768" s="1">
        <f>D1768+1</f>
        <v>46028</v>
      </c>
      <c r="F1768">
        <v>4739</v>
      </c>
      <c r="G1768">
        <v>45</v>
      </c>
      <c r="H1768">
        <f t="shared" si="171"/>
        <v>0</v>
      </c>
      <c r="I1768" t="str">
        <f t="shared" si="169"/>
        <v>On Time</v>
      </c>
      <c r="J1768" cm="1">
        <f t="array" ref="J1768">_xlfn.IFS(H1768&lt;30,0,H1768&lt;60,1,H1768&lt;90,2,H1768&lt;120,3)</f>
        <v>0</v>
      </c>
      <c r="M1768" t="str">
        <f t="shared" si="170"/>
        <v>Low</v>
      </c>
      <c r="N1768" t="str">
        <f t="shared" si="167"/>
        <v>Nov</v>
      </c>
      <c r="O1768">
        <f t="shared" si="168"/>
        <v>2025</v>
      </c>
    </row>
    <row r="1769" spans="1:15" x14ac:dyDescent="0.3">
      <c r="A1769">
        <v>202797</v>
      </c>
      <c r="B1769" t="s">
        <v>46</v>
      </c>
      <c r="C1769" s="2">
        <v>45982</v>
      </c>
      <c r="D1769" s="2">
        <f t="shared" si="166"/>
        <v>46042</v>
      </c>
      <c r="E1769" s="1">
        <f>D1769</f>
        <v>46042</v>
      </c>
      <c r="F1769">
        <v>4398</v>
      </c>
      <c r="G1769">
        <v>60</v>
      </c>
      <c r="H1769">
        <f t="shared" si="171"/>
        <v>0</v>
      </c>
      <c r="I1769" t="str">
        <f t="shared" si="169"/>
        <v>On Time</v>
      </c>
      <c r="J1769" cm="1">
        <f t="array" ref="J1769">_xlfn.IFS(H1769&lt;30,0,H1769&lt;60,1,H1769&lt;90,2,H1769&lt;120,3)</f>
        <v>0</v>
      </c>
      <c r="M1769" t="str">
        <f t="shared" si="170"/>
        <v>Low</v>
      </c>
      <c r="N1769" t="str">
        <f t="shared" si="167"/>
        <v>Nov</v>
      </c>
      <c r="O1769">
        <f t="shared" si="168"/>
        <v>2025</v>
      </c>
    </row>
    <row r="1770" spans="1:15" x14ac:dyDescent="0.3">
      <c r="A1770">
        <v>202798</v>
      </c>
      <c r="B1770" t="s">
        <v>47</v>
      </c>
      <c r="C1770" s="2">
        <v>45982</v>
      </c>
      <c r="D1770" s="2">
        <f t="shared" si="166"/>
        <v>46042</v>
      </c>
      <c r="E1770" s="1">
        <f>D1770</f>
        <v>46042</v>
      </c>
      <c r="F1770">
        <v>1298</v>
      </c>
      <c r="G1770">
        <v>60</v>
      </c>
      <c r="H1770">
        <f t="shared" si="171"/>
        <v>0</v>
      </c>
      <c r="I1770" t="str">
        <f t="shared" si="169"/>
        <v>On Time</v>
      </c>
      <c r="J1770" cm="1">
        <f t="array" ref="J1770">_xlfn.IFS(H1770&lt;30,0,H1770&lt;60,1,H1770&lt;90,2,H1770&lt;120,3)</f>
        <v>0</v>
      </c>
      <c r="M1770" t="str">
        <f t="shared" si="170"/>
        <v>Low</v>
      </c>
      <c r="N1770" t="str">
        <f t="shared" si="167"/>
        <v>Nov</v>
      </c>
      <c r="O1770">
        <f t="shared" si="168"/>
        <v>2025</v>
      </c>
    </row>
    <row r="1771" spans="1:15" x14ac:dyDescent="0.3">
      <c r="A1771">
        <v>202799</v>
      </c>
      <c r="B1771" t="s">
        <v>48</v>
      </c>
      <c r="C1771" s="2">
        <v>45982</v>
      </c>
      <c r="D1771" s="2">
        <f t="shared" si="166"/>
        <v>46027</v>
      </c>
      <c r="E1771" s="1">
        <f>D1771+5</f>
        <v>46032</v>
      </c>
      <c r="F1771">
        <v>4479</v>
      </c>
      <c r="G1771">
        <v>45</v>
      </c>
      <c r="H1771">
        <f t="shared" si="171"/>
        <v>0</v>
      </c>
      <c r="I1771" t="str">
        <f t="shared" si="169"/>
        <v>On Time</v>
      </c>
      <c r="J1771" cm="1">
        <f t="array" ref="J1771">_xlfn.IFS(H1771&lt;30,0,H1771&lt;60,1,H1771&lt;90,2,H1771&lt;120,3)</f>
        <v>0</v>
      </c>
      <c r="M1771" t="str">
        <f t="shared" si="170"/>
        <v>Low</v>
      </c>
      <c r="N1771" t="str">
        <f t="shared" si="167"/>
        <v>Nov</v>
      </c>
      <c r="O1771">
        <f t="shared" si="168"/>
        <v>2025</v>
      </c>
    </row>
    <row r="1772" spans="1:15" x14ac:dyDescent="0.3">
      <c r="A1772">
        <v>202800</v>
      </c>
      <c r="B1772" t="s">
        <v>49</v>
      </c>
      <c r="C1772" s="2">
        <v>45982</v>
      </c>
      <c r="D1772" s="2">
        <f t="shared" si="166"/>
        <v>46012</v>
      </c>
      <c r="E1772" s="1">
        <f>D1772+2</f>
        <v>46014</v>
      </c>
      <c r="F1772">
        <v>3591</v>
      </c>
      <c r="G1772">
        <v>30</v>
      </c>
      <c r="H1772">
        <f t="shared" si="171"/>
        <v>0</v>
      </c>
      <c r="I1772" t="str">
        <f t="shared" si="169"/>
        <v>On Time</v>
      </c>
      <c r="J1772" cm="1">
        <f t="array" ref="J1772">_xlfn.IFS(H1772&lt;30,0,H1772&lt;60,1,H1772&lt;90,2,H1772&lt;120,3)</f>
        <v>0</v>
      </c>
      <c r="M1772" t="str">
        <f t="shared" si="170"/>
        <v>Low</v>
      </c>
      <c r="N1772" t="str">
        <f t="shared" si="167"/>
        <v>Nov</v>
      </c>
      <c r="O1772">
        <f t="shared" si="168"/>
        <v>2025</v>
      </c>
    </row>
    <row r="1773" spans="1:15" x14ac:dyDescent="0.3">
      <c r="A1773">
        <v>202801</v>
      </c>
      <c r="B1773" t="s">
        <v>50</v>
      </c>
      <c r="C1773" s="2">
        <v>45982</v>
      </c>
      <c r="D1773" s="2">
        <f t="shared" si="166"/>
        <v>46012</v>
      </c>
      <c r="E1773" s="1">
        <f>D1773+5</f>
        <v>46017</v>
      </c>
      <c r="F1773">
        <v>926</v>
      </c>
      <c r="G1773">
        <v>30</v>
      </c>
      <c r="H1773">
        <f t="shared" si="171"/>
        <v>0</v>
      </c>
      <c r="I1773" t="str">
        <f t="shared" si="169"/>
        <v>On Time</v>
      </c>
      <c r="J1773" cm="1">
        <f t="array" ref="J1773">_xlfn.IFS(H1773&lt;30,0,H1773&lt;60,1,H1773&lt;90,2,H1773&lt;120,3)</f>
        <v>0</v>
      </c>
      <c r="M1773" t="str">
        <f t="shared" si="170"/>
        <v>Low</v>
      </c>
      <c r="N1773" t="str">
        <f t="shared" si="167"/>
        <v>Nov</v>
      </c>
      <c r="O1773">
        <f t="shared" si="168"/>
        <v>2025</v>
      </c>
    </row>
    <row r="1774" spans="1:15" x14ac:dyDescent="0.3">
      <c r="A1774">
        <v>202802</v>
      </c>
      <c r="B1774" t="s">
        <v>51</v>
      </c>
      <c r="C1774" s="2">
        <v>45982</v>
      </c>
      <c r="D1774" s="2">
        <f t="shared" si="166"/>
        <v>46012</v>
      </c>
      <c r="E1774" s="1">
        <f>D1774</f>
        <v>46012</v>
      </c>
      <c r="F1774">
        <v>549</v>
      </c>
      <c r="G1774">
        <v>30</v>
      </c>
      <c r="H1774">
        <f t="shared" si="171"/>
        <v>0</v>
      </c>
      <c r="I1774" t="str">
        <f t="shared" si="169"/>
        <v>On Time</v>
      </c>
      <c r="J1774" cm="1">
        <f t="array" ref="J1774">_xlfn.IFS(H1774&lt;30,0,H1774&lt;60,1,H1774&lt;90,2,H1774&lt;120,3)</f>
        <v>0</v>
      </c>
      <c r="M1774" t="str">
        <f t="shared" si="170"/>
        <v>Low</v>
      </c>
      <c r="N1774" t="str">
        <f t="shared" si="167"/>
        <v>Nov</v>
      </c>
      <c r="O1774">
        <f t="shared" si="168"/>
        <v>2025</v>
      </c>
    </row>
    <row r="1775" spans="1:15" x14ac:dyDescent="0.3">
      <c r="A1775">
        <v>202803</v>
      </c>
      <c r="B1775" t="s">
        <v>52</v>
      </c>
      <c r="C1775" s="2">
        <v>45982</v>
      </c>
      <c r="D1775" s="2">
        <f t="shared" si="166"/>
        <v>46012</v>
      </c>
      <c r="E1775" s="1">
        <f>D1775</f>
        <v>46012</v>
      </c>
      <c r="F1775">
        <v>1616</v>
      </c>
      <c r="G1775">
        <v>30</v>
      </c>
      <c r="H1775">
        <f t="shared" si="171"/>
        <v>0</v>
      </c>
      <c r="I1775" t="str">
        <f t="shared" si="169"/>
        <v>On Time</v>
      </c>
      <c r="J1775" cm="1">
        <f t="array" ref="J1775">_xlfn.IFS(H1775&lt;30,0,H1775&lt;60,1,H1775&lt;90,2,H1775&lt;120,3)</f>
        <v>0</v>
      </c>
      <c r="M1775" t="str">
        <f t="shared" si="170"/>
        <v>Low</v>
      </c>
      <c r="N1775" t="str">
        <f t="shared" si="167"/>
        <v>Nov</v>
      </c>
      <c r="O1775">
        <f t="shared" si="168"/>
        <v>2025</v>
      </c>
    </row>
    <row r="1776" spans="1:15" x14ac:dyDescent="0.3">
      <c r="A1776">
        <v>202763</v>
      </c>
      <c r="B1776" t="s">
        <v>117</v>
      </c>
      <c r="C1776" s="2">
        <v>45979</v>
      </c>
      <c r="D1776" s="2">
        <f t="shared" si="166"/>
        <v>46009</v>
      </c>
      <c r="E1776" s="1">
        <f>D1776+1</f>
        <v>46010</v>
      </c>
      <c r="F1776">
        <v>4794</v>
      </c>
      <c r="G1776">
        <v>30</v>
      </c>
      <c r="H1776">
        <f t="shared" si="171"/>
        <v>0</v>
      </c>
      <c r="I1776" t="str">
        <f t="shared" si="169"/>
        <v>On Time</v>
      </c>
      <c r="J1776" cm="1">
        <f t="array" ref="J1776">_xlfn.IFS(H1776&lt;30,0,H1776&lt;60,1,H1776&lt;90,2,H1776&lt;120,3)</f>
        <v>0</v>
      </c>
      <c r="M1776" t="str">
        <f t="shared" si="170"/>
        <v>Low</v>
      </c>
      <c r="N1776" t="str">
        <f t="shared" si="167"/>
        <v>Nov</v>
      </c>
      <c r="O1776">
        <f t="shared" si="168"/>
        <v>2025</v>
      </c>
    </row>
    <row r="1777" spans="1:15" x14ac:dyDescent="0.3">
      <c r="A1777">
        <v>202764</v>
      </c>
      <c r="B1777" t="s">
        <v>118</v>
      </c>
      <c r="C1777" s="2">
        <v>45979</v>
      </c>
      <c r="D1777" s="2">
        <f t="shared" si="166"/>
        <v>46009</v>
      </c>
      <c r="E1777" s="1">
        <f>D1777</f>
        <v>46009</v>
      </c>
      <c r="F1777">
        <v>239</v>
      </c>
      <c r="G1777">
        <v>30</v>
      </c>
      <c r="H1777">
        <f t="shared" si="171"/>
        <v>0</v>
      </c>
      <c r="I1777" t="str">
        <f t="shared" si="169"/>
        <v>On Time</v>
      </c>
      <c r="J1777" cm="1">
        <f t="array" ref="J1777">_xlfn.IFS(H1777&lt;30,0,H1777&lt;60,1,H1777&lt;90,2,H1777&lt;120,3)</f>
        <v>0</v>
      </c>
      <c r="M1777" t="str">
        <f t="shared" si="170"/>
        <v>Low</v>
      </c>
      <c r="N1777" t="str">
        <f t="shared" si="167"/>
        <v>Nov</v>
      </c>
      <c r="O1777">
        <f t="shared" si="168"/>
        <v>2025</v>
      </c>
    </row>
    <row r="1778" spans="1:15" x14ac:dyDescent="0.3">
      <c r="A1778">
        <v>202765</v>
      </c>
      <c r="B1778" t="s">
        <v>119</v>
      </c>
      <c r="C1778" s="2">
        <v>45979</v>
      </c>
      <c r="D1778" s="2">
        <f t="shared" si="166"/>
        <v>46009</v>
      </c>
      <c r="E1778" s="1">
        <f>D1778</f>
        <v>46009</v>
      </c>
      <c r="F1778">
        <v>134</v>
      </c>
      <c r="G1778">
        <v>30</v>
      </c>
      <c r="H1778">
        <f t="shared" si="171"/>
        <v>0</v>
      </c>
      <c r="I1778" t="str">
        <f t="shared" si="169"/>
        <v>On Time</v>
      </c>
      <c r="J1778" cm="1">
        <f t="array" ref="J1778">_xlfn.IFS(H1778&lt;30,0,H1778&lt;60,1,H1778&lt;90,2,H1778&lt;120,3)</f>
        <v>0</v>
      </c>
      <c r="M1778" t="str">
        <f t="shared" si="170"/>
        <v>Low</v>
      </c>
      <c r="N1778" t="str">
        <f t="shared" si="167"/>
        <v>Nov</v>
      </c>
      <c r="O1778">
        <f t="shared" si="168"/>
        <v>2025</v>
      </c>
    </row>
    <row r="1779" spans="1:15" x14ac:dyDescent="0.3">
      <c r="A1779">
        <v>202766</v>
      </c>
      <c r="B1779" t="s">
        <v>100</v>
      </c>
      <c r="C1779" s="2">
        <v>45979</v>
      </c>
      <c r="D1779" s="2">
        <f t="shared" si="166"/>
        <v>46009</v>
      </c>
      <c r="E1779" s="1">
        <f>D1779+5</f>
        <v>46014</v>
      </c>
      <c r="F1779">
        <v>2576</v>
      </c>
      <c r="G1779">
        <v>30</v>
      </c>
      <c r="H1779">
        <f t="shared" si="171"/>
        <v>0</v>
      </c>
      <c r="I1779" t="str">
        <f t="shared" si="169"/>
        <v>On Time</v>
      </c>
      <c r="J1779" cm="1">
        <f t="array" ref="J1779">_xlfn.IFS(H1779&lt;30,0,H1779&lt;60,1,H1779&lt;90,2,H1779&lt;120,3)</f>
        <v>0</v>
      </c>
      <c r="M1779" t="str">
        <f t="shared" si="170"/>
        <v>Low</v>
      </c>
      <c r="N1779" t="str">
        <f t="shared" si="167"/>
        <v>Nov</v>
      </c>
      <c r="O1779">
        <f t="shared" si="168"/>
        <v>2025</v>
      </c>
    </row>
    <row r="1780" spans="1:15" x14ac:dyDescent="0.3">
      <c r="A1780">
        <v>202767</v>
      </c>
      <c r="B1780" t="s">
        <v>101</v>
      </c>
      <c r="C1780" s="2">
        <v>45979</v>
      </c>
      <c r="D1780" s="2">
        <f t="shared" si="166"/>
        <v>46009</v>
      </c>
      <c r="E1780" s="1">
        <f>D1780+2</f>
        <v>46011</v>
      </c>
      <c r="F1780">
        <v>338</v>
      </c>
      <c r="G1780">
        <v>30</v>
      </c>
      <c r="H1780">
        <f t="shared" si="171"/>
        <v>0</v>
      </c>
      <c r="I1780" t="str">
        <f t="shared" si="169"/>
        <v>On Time</v>
      </c>
      <c r="J1780" cm="1">
        <f t="array" ref="J1780">_xlfn.IFS(H1780&lt;30,0,H1780&lt;60,1,H1780&lt;90,2,H1780&lt;120,3)</f>
        <v>0</v>
      </c>
      <c r="M1780" t="str">
        <f t="shared" si="170"/>
        <v>Low</v>
      </c>
      <c r="N1780" t="str">
        <f t="shared" si="167"/>
        <v>Nov</v>
      </c>
      <c r="O1780">
        <f t="shared" si="168"/>
        <v>2025</v>
      </c>
    </row>
    <row r="1781" spans="1:15" x14ac:dyDescent="0.3">
      <c r="A1781">
        <v>202768</v>
      </c>
      <c r="B1781" t="s">
        <v>102</v>
      </c>
      <c r="C1781" s="2">
        <v>45979</v>
      </c>
      <c r="D1781" s="2">
        <f t="shared" si="166"/>
        <v>46009</v>
      </c>
      <c r="E1781" s="1">
        <f>D1781</f>
        <v>46009</v>
      </c>
      <c r="F1781">
        <v>2979</v>
      </c>
      <c r="G1781">
        <v>30</v>
      </c>
      <c r="H1781">
        <f t="shared" si="171"/>
        <v>0</v>
      </c>
      <c r="I1781" t="str">
        <f t="shared" si="169"/>
        <v>On Time</v>
      </c>
      <c r="J1781" cm="1">
        <f t="array" ref="J1781">_xlfn.IFS(H1781&lt;30,0,H1781&lt;60,1,H1781&lt;90,2,H1781&lt;120,3)</f>
        <v>0</v>
      </c>
      <c r="M1781" t="str">
        <f t="shared" si="170"/>
        <v>Low</v>
      </c>
      <c r="N1781" t="str">
        <f t="shared" si="167"/>
        <v>Nov</v>
      </c>
      <c r="O1781">
        <f t="shared" si="168"/>
        <v>2025</v>
      </c>
    </row>
    <row r="1782" spans="1:15" x14ac:dyDescent="0.3">
      <c r="A1782">
        <v>202769</v>
      </c>
      <c r="B1782" t="s">
        <v>103</v>
      </c>
      <c r="C1782" s="2">
        <v>45979</v>
      </c>
      <c r="D1782" s="2">
        <f t="shared" si="166"/>
        <v>46009</v>
      </c>
      <c r="E1782" s="1">
        <f>D1782</f>
        <v>46009</v>
      </c>
      <c r="F1782">
        <v>2139</v>
      </c>
      <c r="G1782">
        <v>30</v>
      </c>
      <c r="H1782">
        <f t="shared" si="171"/>
        <v>0</v>
      </c>
      <c r="I1782" t="str">
        <f t="shared" si="169"/>
        <v>On Time</v>
      </c>
      <c r="J1782" cm="1">
        <f t="array" ref="J1782">_xlfn.IFS(H1782&lt;30,0,H1782&lt;60,1,H1782&lt;90,2,H1782&lt;120,3)</f>
        <v>0</v>
      </c>
      <c r="M1782" t="str">
        <f t="shared" si="170"/>
        <v>Low</v>
      </c>
      <c r="N1782" t="str">
        <f t="shared" si="167"/>
        <v>Nov</v>
      </c>
      <c r="O1782">
        <f t="shared" si="168"/>
        <v>2025</v>
      </c>
    </row>
    <row r="1783" spans="1:15" x14ac:dyDescent="0.3">
      <c r="A1783">
        <v>202770</v>
      </c>
      <c r="B1783" t="s">
        <v>104</v>
      </c>
      <c r="C1783" s="2">
        <v>45979</v>
      </c>
      <c r="D1783" s="2">
        <f t="shared" si="166"/>
        <v>46009</v>
      </c>
      <c r="E1783" s="1">
        <f>D1783</f>
        <v>46009</v>
      </c>
      <c r="F1783">
        <v>752</v>
      </c>
      <c r="G1783">
        <v>30</v>
      </c>
      <c r="H1783">
        <f t="shared" si="171"/>
        <v>0</v>
      </c>
      <c r="I1783" t="str">
        <f t="shared" si="169"/>
        <v>On Time</v>
      </c>
      <c r="J1783" cm="1">
        <f t="array" ref="J1783">_xlfn.IFS(H1783&lt;30,0,H1783&lt;60,1,H1783&lt;90,2,H1783&lt;120,3)</f>
        <v>0</v>
      </c>
      <c r="M1783" t="str">
        <f t="shared" si="170"/>
        <v>Low</v>
      </c>
      <c r="N1783" t="str">
        <f t="shared" si="167"/>
        <v>Nov</v>
      </c>
      <c r="O1783">
        <f t="shared" si="168"/>
        <v>2025</v>
      </c>
    </row>
    <row r="1784" spans="1:15" x14ac:dyDescent="0.3">
      <c r="A1784">
        <v>202771</v>
      </c>
      <c r="B1784" t="s">
        <v>105</v>
      </c>
      <c r="C1784" s="2">
        <v>45979</v>
      </c>
      <c r="D1784" s="2">
        <f t="shared" si="166"/>
        <v>46009</v>
      </c>
      <c r="E1784" s="1">
        <f>D1784+60</f>
        <v>46069</v>
      </c>
      <c r="F1784">
        <v>3753</v>
      </c>
      <c r="G1784">
        <v>30</v>
      </c>
      <c r="H1784">
        <f t="shared" si="171"/>
        <v>0</v>
      </c>
      <c r="I1784" t="str">
        <f t="shared" si="169"/>
        <v>On Time</v>
      </c>
      <c r="J1784" cm="1">
        <f t="array" ref="J1784">_xlfn.IFS(H1784&lt;30,0,H1784&lt;60,1,H1784&lt;90,2,H1784&lt;120,3)</f>
        <v>0</v>
      </c>
      <c r="M1784" t="str">
        <f t="shared" si="170"/>
        <v>Low</v>
      </c>
      <c r="N1784" t="str">
        <f t="shared" si="167"/>
        <v>Nov</v>
      </c>
      <c r="O1784">
        <f t="shared" si="168"/>
        <v>2025</v>
      </c>
    </row>
    <row r="1785" spans="1:15" x14ac:dyDescent="0.3">
      <c r="A1785">
        <v>202772</v>
      </c>
      <c r="B1785" t="s">
        <v>106</v>
      </c>
      <c r="C1785" s="2">
        <v>45979</v>
      </c>
      <c r="D1785" s="2">
        <f t="shared" si="166"/>
        <v>46009</v>
      </c>
      <c r="E1785" s="1">
        <f>D1785</f>
        <v>46009</v>
      </c>
      <c r="F1785">
        <v>1971</v>
      </c>
      <c r="G1785">
        <v>30</v>
      </c>
      <c r="H1785">
        <f t="shared" si="171"/>
        <v>0</v>
      </c>
      <c r="I1785" t="str">
        <f t="shared" si="169"/>
        <v>On Time</v>
      </c>
      <c r="J1785" cm="1">
        <f t="array" ref="J1785">_xlfn.IFS(H1785&lt;30,0,H1785&lt;60,1,H1785&lt;90,2,H1785&lt;120,3)</f>
        <v>0</v>
      </c>
      <c r="M1785" t="str">
        <f t="shared" si="170"/>
        <v>Low</v>
      </c>
      <c r="N1785" t="str">
        <f t="shared" si="167"/>
        <v>Nov</v>
      </c>
      <c r="O1785">
        <f t="shared" si="168"/>
        <v>2025</v>
      </c>
    </row>
    <row r="1786" spans="1:15" x14ac:dyDescent="0.3">
      <c r="A1786">
        <v>202773</v>
      </c>
      <c r="B1786" t="s">
        <v>107</v>
      </c>
      <c r="C1786" s="2">
        <v>45979</v>
      </c>
      <c r="D1786" s="2">
        <f t="shared" si="166"/>
        <v>46009</v>
      </c>
      <c r="E1786" s="1">
        <f>D1786</f>
        <v>46009</v>
      </c>
      <c r="F1786">
        <v>5573</v>
      </c>
      <c r="G1786">
        <v>30</v>
      </c>
      <c r="H1786">
        <f t="shared" si="171"/>
        <v>0</v>
      </c>
      <c r="I1786" t="str">
        <f t="shared" si="169"/>
        <v>On Time</v>
      </c>
      <c r="J1786" cm="1">
        <f t="array" ref="J1786">_xlfn.IFS(H1786&lt;30,0,H1786&lt;60,1,H1786&lt;90,2,H1786&lt;120,3)</f>
        <v>0</v>
      </c>
      <c r="M1786" t="str">
        <f t="shared" si="170"/>
        <v>Low</v>
      </c>
      <c r="N1786" t="str">
        <f t="shared" si="167"/>
        <v>Nov</v>
      </c>
      <c r="O1786">
        <f t="shared" si="168"/>
        <v>2025</v>
      </c>
    </row>
    <row r="1787" spans="1:15" x14ac:dyDescent="0.3">
      <c r="A1787">
        <v>202774</v>
      </c>
      <c r="B1787" t="s">
        <v>108</v>
      </c>
      <c r="C1787" s="2">
        <v>45979</v>
      </c>
      <c r="D1787" s="2">
        <f t="shared" si="166"/>
        <v>46009</v>
      </c>
      <c r="E1787" s="1">
        <f>D1787+3</f>
        <v>46012</v>
      </c>
      <c r="F1787">
        <v>1628</v>
      </c>
      <c r="G1787">
        <v>30</v>
      </c>
      <c r="H1787">
        <f t="shared" si="171"/>
        <v>0</v>
      </c>
      <c r="I1787" t="str">
        <f t="shared" si="169"/>
        <v>On Time</v>
      </c>
      <c r="J1787" cm="1">
        <f t="array" ref="J1787">_xlfn.IFS(H1787&lt;30,0,H1787&lt;60,1,H1787&lt;90,2,H1787&lt;120,3)</f>
        <v>0</v>
      </c>
      <c r="M1787" t="str">
        <f t="shared" si="170"/>
        <v>Low</v>
      </c>
      <c r="N1787" t="str">
        <f t="shared" si="167"/>
        <v>Nov</v>
      </c>
      <c r="O1787">
        <f t="shared" si="168"/>
        <v>2025</v>
      </c>
    </row>
    <row r="1788" spans="1:15" x14ac:dyDescent="0.3">
      <c r="A1788">
        <v>202775</v>
      </c>
      <c r="B1788" t="s">
        <v>85</v>
      </c>
      <c r="C1788" s="2">
        <v>45979</v>
      </c>
      <c r="D1788" s="2">
        <f t="shared" si="166"/>
        <v>46039</v>
      </c>
      <c r="E1788" s="1">
        <f>D1788+1</f>
        <v>46040</v>
      </c>
      <c r="F1788">
        <v>2940</v>
      </c>
      <c r="G1788">
        <v>60</v>
      </c>
      <c r="H1788">
        <f t="shared" si="171"/>
        <v>0</v>
      </c>
      <c r="I1788" t="str">
        <f t="shared" si="169"/>
        <v>On Time</v>
      </c>
      <c r="J1788" cm="1">
        <f t="array" ref="J1788">_xlfn.IFS(H1788&lt;30,0,H1788&lt;60,1,H1788&lt;90,2,H1788&lt;120,3)</f>
        <v>0</v>
      </c>
      <c r="M1788" t="str">
        <f t="shared" si="170"/>
        <v>Low</v>
      </c>
      <c r="N1788" t="str">
        <f t="shared" si="167"/>
        <v>Nov</v>
      </c>
      <c r="O1788">
        <f t="shared" si="168"/>
        <v>2025</v>
      </c>
    </row>
    <row r="1789" spans="1:15" x14ac:dyDescent="0.3">
      <c r="A1789">
        <v>202776</v>
      </c>
      <c r="B1789" t="s">
        <v>86</v>
      </c>
      <c r="C1789" s="2">
        <v>45979</v>
      </c>
      <c r="D1789" s="2">
        <f t="shared" si="166"/>
        <v>46009</v>
      </c>
      <c r="E1789" s="1">
        <f>D1789-1</f>
        <v>46008</v>
      </c>
      <c r="F1789">
        <v>3330</v>
      </c>
      <c r="G1789">
        <v>30</v>
      </c>
      <c r="H1789">
        <f t="shared" si="171"/>
        <v>0</v>
      </c>
      <c r="I1789" t="str">
        <f t="shared" si="169"/>
        <v>On Time</v>
      </c>
      <c r="J1789" cm="1">
        <f t="array" ref="J1789">_xlfn.IFS(H1789&lt;30,0,H1789&lt;60,1,H1789&lt;90,2,H1789&lt;120,3)</f>
        <v>0</v>
      </c>
      <c r="M1789" t="str">
        <f t="shared" si="170"/>
        <v>Low</v>
      </c>
      <c r="N1789" t="str">
        <f t="shared" si="167"/>
        <v>Nov</v>
      </c>
      <c r="O1789">
        <f t="shared" si="168"/>
        <v>2025</v>
      </c>
    </row>
    <row r="1790" spans="1:15" x14ac:dyDescent="0.3">
      <c r="A1790">
        <v>202777</v>
      </c>
      <c r="B1790" t="s">
        <v>87</v>
      </c>
      <c r="C1790" s="2">
        <v>45979</v>
      </c>
      <c r="D1790" s="2">
        <f t="shared" si="166"/>
        <v>46009</v>
      </c>
      <c r="E1790" s="1">
        <f>D1790</f>
        <v>46009</v>
      </c>
      <c r="F1790">
        <v>3188</v>
      </c>
      <c r="G1790">
        <v>30</v>
      </c>
      <c r="H1790">
        <f t="shared" si="171"/>
        <v>0</v>
      </c>
      <c r="I1790" t="str">
        <f t="shared" si="169"/>
        <v>On Time</v>
      </c>
      <c r="J1790" cm="1">
        <f t="array" ref="J1790">_xlfn.IFS(H1790&lt;30,0,H1790&lt;60,1,H1790&lt;90,2,H1790&lt;120,3)</f>
        <v>0</v>
      </c>
      <c r="M1790" t="str">
        <f t="shared" si="170"/>
        <v>Low</v>
      </c>
      <c r="N1790" t="str">
        <f t="shared" si="167"/>
        <v>Nov</v>
      </c>
      <c r="O1790">
        <f t="shared" si="168"/>
        <v>2025</v>
      </c>
    </row>
    <row r="1791" spans="1:15" x14ac:dyDescent="0.3">
      <c r="A1791">
        <v>202778</v>
      </c>
      <c r="B1791" t="s">
        <v>88</v>
      </c>
      <c r="C1791" s="2">
        <v>45979</v>
      </c>
      <c r="D1791" s="2">
        <f t="shared" si="166"/>
        <v>46009</v>
      </c>
      <c r="E1791" s="1">
        <f>D1791+1</f>
        <v>46010</v>
      </c>
      <c r="F1791">
        <v>4823</v>
      </c>
      <c r="G1791">
        <v>30</v>
      </c>
      <c r="H1791">
        <f t="shared" si="171"/>
        <v>0</v>
      </c>
      <c r="I1791" t="str">
        <f t="shared" si="169"/>
        <v>On Time</v>
      </c>
      <c r="J1791" cm="1">
        <f t="array" ref="J1791">_xlfn.IFS(H1791&lt;30,0,H1791&lt;60,1,H1791&lt;90,2,H1791&lt;120,3)</f>
        <v>0</v>
      </c>
      <c r="M1791" t="str">
        <f t="shared" si="170"/>
        <v>Low</v>
      </c>
      <c r="N1791" t="str">
        <f t="shared" si="167"/>
        <v>Nov</v>
      </c>
      <c r="O1791">
        <f t="shared" si="168"/>
        <v>2025</v>
      </c>
    </row>
    <row r="1792" spans="1:15" x14ac:dyDescent="0.3">
      <c r="A1792">
        <v>202779</v>
      </c>
      <c r="B1792" t="s">
        <v>89</v>
      </c>
      <c r="C1792" s="2">
        <v>45979</v>
      </c>
      <c r="D1792" s="2">
        <f t="shared" si="166"/>
        <v>46009</v>
      </c>
      <c r="E1792" s="1">
        <f>D1792+35</f>
        <v>46044</v>
      </c>
      <c r="F1792">
        <v>3499</v>
      </c>
      <c r="G1792">
        <v>30</v>
      </c>
      <c r="H1792">
        <f t="shared" si="171"/>
        <v>0</v>
      </c>
      <c r="I1792" t="str">
        <f t="shared" si="169"/>
        <v>On Time</v>
      </c>
      <c r="J1792" cm="1">
        <f t="array" ref="J1792">_xlfn.IFS(H1792&lt;30,0,H1792&lt;60,1,H1792&lt;90,2,H1792&lt;120,3)</f>
        <v>0</v>
      </c>
      <c r="M1792" t="str">
        <f t="shared" si="170"/>
        <v>Low</v>
      </c>
      <c r="N1792" t="str">
        <f t="shared" si="167"/>
        <v>Nov</v>
      </c>
      <c r="O1792">
        <f t="shared" si="168"/>
        <v>2025</v>
      </c>
    </row>
    <row r="1793" spans="1:15" x14ac:dyDescent="0.3">
      <c r="A1793">
        <v>202780</v>
      </c>
      <c r="B1793" t="s">
        <v>90</v>
      </c>
      <c r="C1793" s="2">
        <v>45979</v>
      </c>
      <c r="D1793" s="2">
        <f t="shared" si="166"/>
        <v>46009</v>
      </c>
      <c r="E1793" s="1">
        <f>D1793+75</f>
        <v>46084</v>
      </c>
      <c r="F1793">
        <v>4049</v>
      </c>
      <c r="G1793">
        <v>30</v>
      </c>
      <c r="H1793">
        <f t="shared" si="171"/>
        <v>0</v>
      </c>
      <c r="I1793" t="str">
        <f t="shared" si="169"/>
        <v>On Time</v>
      </c>
      <c r="J1793" cm="1">
        <f t="array" ref="J1793">_xlfn.IFS(H1793&lt;30,0,H1793&lt;60,1,H1793&lt;90,2,H1793&lt;120,3)</f>
        <v>0</v>
      </c>
      <c r="M1793" t="str">
        <f t="shared" si="170"/>
        <v>Low</v>
      </c>
      <c r="N1793" t="str">
        <f t="shared" si="167"/>
        <v>Nov</v>
      </c>
      <c r="O1793">
        <f t="shared" si="168"/>
        <v>2025</v>
      </c>
    </row>
    <row r="1794" spans="1:15" x14ac:dyDescent="0.3">
      <c r="A1794">
        <v>202781</v>
      </c>
      <c r="B1794" t="s">
        <v>91</v>
      </c>
      <c r="C1794" s="2">
        <v>45979</v>
      </c>
      <c r="D1794" s="2">
        <f t="shared" ref="D1794:D1857" si="172">C1794+G1794</f>
        <v>46009</v>
      </c>
      <c r="E1794" s="1">
        <f>D1794+5</f>
        <v>46014</v>
      </c>
      <c r="F1794">
        <v>4704</v>
      </c>
      <c r="G1794">
        <v>30</v>
      </c>
      <c r="H1794">
        <f t="shared" si="171"/>
        <v>0</v>
      </c>
      <c r="I1794" t="str">
        <f t="shared" si="169"/>
        <v>On Time</v>
      </c>
      <c r="J1794" cm="1">
        <f t="array" ref="J1794">_xlfn.IFS(H1794&lt;30,0,H1794&lt;60,1,H1794&lt;90,2,H1794&lt;120,3)</f>
        <v>0</v>
      </c>
      <c r="M1794" t="str">
        <f t="shared" si="170"/>
        <v>Low</v>
      </c>
      <c r="N1794" t="str">
        <f t="shared" ref="N1794:N1857" si="173">TEXT(C1794,"mmm")</f>
        <v>Nov</v>
      </c>
      <c r="O1794">
        <f t="shared" ref="O1794:O1857" si="174">YEAR(C1794)</f>
        <v>2025</v>
      </c>
    </row>
    <row r="1795" spans="1:15" x14ac:dyDescent="0.3">
      <c r="A1795">
        <v>202734</v>
      </c>
      <c r="B1795" t="s">
        <v>116</v>
      </c>
      <c r="C1795" s="2">
        <v>45978</v>
      </c>
      <c r="D1795" s="2">
        <f t="shared" si="172"/>
        <v>46008</v>
      </c>
      <c r="E1795" s="1">
        <f>D1795+2</f>
        <v>46010</v>
      </c>
      <c r="F1795">
        <v>488</v>
      </c>
      <c r="G1795">
        <v>30</v>
      </c>
      <c r="H1795">
        <f t="shared" si="171"/>
        <v>0</v>
      </c>
      <c r="I1795" t="str">
        <f t="shared" si="169"/>
        <v>On Time</v>
      </c>
      <c r="J1795" cm="1">
        <f t="array" ref="J1795">_xlfn.IFS(H1795&lt;30,0,H1795&lt;60,1,H1795&lt;90,2,H1795&lt;120,3)</f>
        <v>0</v>
      </c>
      <c r="M1795" t="str">
        <f t="shared" si="170"/>
        <v>Low</v>
      </c>
      <c r="N1795" t="str">
        <f t="shared" si="173"/>
        <v>Nov</v>
      </c>
      <c r="O1795">
        <f t="shared" si="174"/>
        <v>2025</v>
      </c>
    </row>
    <row r="1796" spans="1:15" x14ac:dyDescent="0.3">
      <c r="A1796">
        <v>202735</v>
      </c>
      <c r="B1796" t="s">
        <v>117</v>
      </c>
      <c r="C1796" s="2">
        <v>45978</v>
      </c>
      <c r="D1796" s="2">
        <f t="shared" si="172"/>
        <v>46008</v>
      </c>
      <c r="E1796" s="1">
        <f>D1796+5</f>
        <v>46013</v>
      </c>
      <c r="F1796">
        <v>1586</v>
      </c>
      <c r="G1796">
        <v>30</v>
      </c>
      <c r="H1796">
        <f t="shared" si="171"/>
        <v>0</v>
      </c>
      <c r="I1796" t="str">
        <f t="shared" si="169"/>
        <v>On Time</v>
      </c>
      <c r="J1796" cm="1">
        <f t="array" ref="J1796">_xlfn.IFS(H1796&lt;30,0,H1796&lt;60,1,H1796&lt;90,2,H1796&lt;120,3)</f>
        <v>0</v>
      </c>
      <c r="M1796" t="str">
        <f t="shared" si="170"/>
        <v>Low</v>
      </c>
      <c r="N1796" t="str">
        <f t="shared" si="173"/>
        <v>Nov</v>
      </c>
      <c r="O1796">
        <f t="shared" si="174"/>
        <v>2025</v>
      </c>
    </row>
    <row r="1797" spans="1:15" x14ac:dyDescent="0.3">
      <c r="A1797">
        <v>202736</v>
      </c>
      <c r="B1797" t="s">
        <v>118</v>
      </c>
      <c r="C1797" s="2">
        <v>45978</v>
      </c>
      <c r="D1797" s="2">
        <f t="shared" si="172"/>
        <v>46008</v>
      </c>
      <c r="E1797" s="1">
        <f>D1797</f>
        <v>46008</v>
      </c>
      <c r="F1797">
        <v>2045</v>
      </c>
      <c r="G1797">
        <v>30</v>
      </c>
      <c r="H1797">
        <f t="shared" si="171"/>
        <v>0</v>
      </c>
      <c r="I1797" t="str">
        <f t="shared" si="169"/>
        <v>On Time</v>
      </c>
      <c r="J1797" cm="1">
        <f t="array" ref="J1797">_xlfn.IFS(H1797&lt;30,0,H1797&lt;60,1,H1797&lt;90,2,H1797&lt;120,3)</f>
        <v>0</v>
      </c>
      <c r="M1797" t="str">
        <f t="shared" si="170"/>
        <v>Low</v>
      </c>
      <c r="N1797" t="str">
        <f t="shared" si="173"/>
        <v>Nov</v>
      </c>
      <c r="O1797">
        <f t="shared" si="174"/>
        <v>2025</v>
      </c>
    </row>
    <row r="1798" spans="1:15" x14ac:dyDescent="0.3">
      <c r="A1798">
        <v>202737</v>
      </c>
      <c r="B1798" t="s">
        <v>119</v>
      </c>
      <c r="C1798" s="2">
        <v>45978</v>
      </c>
      <c r="D1798" s="2">
        <f t="shared" si="172"/>
        <v>46008</v>
      </c>
      <c r="E1798" s="1">
        <f>D1798</f>
        <v>46008</v>
      </c>
      <c r="F1798">
        <v>1544</v>
      </c>
      <c r="G1798">
        <v>30</v>
      </c>
      <c r="H1798">
        <f t="shared" si="171"/>
        <v>0</v>
      </c>
      <c r="I1798" t="str">
        <f t="shared" si="169"/>
        <v>On Time</v>
      </c>
      <c r="J1798" cm="1">
        <f t="array" ref="J1798">_xlfn.IFS(H1798&lt;30,0,H1798&lt;60,1,H1798&lt;90,2,H1798&lt;120,3)</f>
        <v>0</v>
      </c>
      <c r="M1798" t="str">
        <f t="shared" si="170"/>
        <v>Low</v>
      </c>
      <c r="N1798" t="str">
        <f t="shared" si="173"/>
        <v>Nov</v>
      </c>
      <c r="O1798">
        <f t="shared" si="174"/>
        <v>2025</v>
      </c>
    </row>
    <row r="1799" spans="1:15" x14ac:dyDescent="0.3">
      <c r="A1799">
        <v>202738</v>
      </c>
      <c r="B1799" t="s">
        <v>31</v>
      </c>
      <c r="C1799" s="2">
        <v>45978</v>
      </c>
      <c r="D1799" s="2">
        <f t="shared" si="172"/>
        <v>46023</v>
      </c>
      <c r="E1799" s="1">
        <f>D1799+60</f>
        <v>46083</v>
      </c>
      <c r="F1799">
        <v>1459</v>
      </c>
      <c r="G1799">
        <v>45</v>
      </c>
      <c r="H1799">
        <f t="shared" si="171"/>
        <v>0</v>
      </c>
      <c r="I1799" t="str">
        <f t="shared" si="169"/>
        <v>On Time</v>
      </c>
      <c r="J1799" cm="1">
        <f t="array" ref="J1799">_xlfn.IFS(H1799&lt;30,0,H1799&lt;60,1,H1799&lt;90,2,H1799&lt;120,3)</f>
        <v>0</v>
      </c>
      <c r="M1799" t="str">
        <f t="shared" si="170"/>
        <v>Low</v>
      </c>
      <c r="N1799" t="str">
        <f t="shared" si="173"/>
        <v>Nov</v>
      </c>
      <c r="O1799">
        <f t="shared" si="174"/>
        <v>2025</v>
      </c>
    </row>
    <row r="1800" spans="1:15" x14ac:dyDescent="0.3">
      <c r="A1800">
        <v>202739</v>
      </c>
      <c r="B1800" t="s">
        <v>32</v>
      </c>
      <c r="C1800" s="2">
        <v>45978</v>
      </c>
      <c r="D1800" s="2">
        <f t="shared" si="172"/>
        <v>46023</v>
      </c>
      <c r="E1800" s="1">
        <f>D1800</f>
        <v>46023</v>
      </c>
      <c r="F1800">
        <v>432</v>
      </c>
      <c r="G1800">
        <v>45</v>
      </c>
      <c r="H1800">
        <f t="shared" si="171"/>
        <v>0</v>
      </c>
      <c r="I1800" t="str">
        <f t="shared" si="169"/>
        <v>On Time</v>
      </c>
      <c r="J1800" cm="1">
        <f t="array" ref="J1800">_xlfn.IFS(H1800&lt;30,0,H1800&lt;60,1,H1800&lt;90,2,H1800&lt;120,3)</f>
        <v>0</v>
      </c>
      <c r="M1800" t="str">
        <f t="shared" si="170"/>
        <v>Low</v>
      </c>
      <c r="N1800" t="str">
        <f t="shared" si="173"/>
        <v>Nov</v>
      </c>
      <c r="O1800">
        <f t="shared" si="174"/>
        <v>2025</v>
      </c>
    </row>
    <row r="1801" spans="1:15" x14ac:dyDescent="0.3">
      <c r="A1801">
        <v>202740</v>
      </c>
      <c r="B1801" t="s">
        <v>33</v>
      </c>
      <c r="C1801" s="2">
        <v>45978</v>
      </c>
      <c r="D1801" s="2">
        <f t="shared" si="172"/>
        <v>46008</v>
      </c>
      <c r="F1801">
        <v>4540</v>
      </c>
      <c r="G1801">
        <v>30</v>
      </c>
      <c r="H1801">
        <f t="shared" si="171"/>
        <v>0</v>
      </c>
      <c r="I1801" t="str">
        <f t="shared" si="169"/>
        <v>On Time</v>
      </c>
      <c r="J1801" cm="1">
        <f t="array" ref="J1801">_xlfn.IFS(H1801&lt;30,0,H1801&lt;60,1,H1801&lt;90,2,H1801&lt;120,3)</f>
        <v>0</v>
      </c>
      <c r="M1801" t="str">
        <f t="shared" si="170"/>
        <v>Low</v>
      </c>
      <c r="N1801" t="str">
        <f t="shared" si="173"/>
        <v>Nov</v>
      </c>
      <c r="O1801">
        <f t="shared" si="174"/>
        <v>2025</v>
      </c>
    </row>
    <row r="1802" spans="1:15" x14ac:dyDescent="0.3">
      <c r="A1802">
        <v>202741</v>
      </c>
      <c r="B1802" t="s">
        <v>34</v>
      </c>
      <c r="C1802" s="2">
        <v>45978</v>
      </c>
      <c r="D1802" s="2">
        <f t="shared" si="172"/>
        <v>46038</v>
      </c>
      <c r="E1802" s="1">
        <f>D1802+3</f>
        <v>46041</v>
      </c>
      <c r="F1802">
        <v>3655</v>
      </c>
      <c r="G1802">
        <v>60</v>
      </c>
      <c r="H1802">
        <f t="shared" si="171"/>
        <v>0</v>
      </c>
      <c r="I1802" t="str">
        <f t="shared" si="169"/>
        <v>On Time</v>
      </c>
      <c r="J1802" cm="1">
        <f t="array" ref="J1802">_xlfn.IFS(H1802&lt;30,0,H1802&lt;60,1,H1802&lt;90,2,H1802&lt;120,3)</f>
        <v>0</v>
      </c>
      <c r="M1802" t="str">
        <f t="shared" si="170"/>
        <v>Low</v>
      </c>
      <c r="N1802" t="str">
        <f t="shared" si="173"/>
        <v>Nov</v>
      </c>
      <c r="O1802">
        <f t="shared" si="174"/>
        <v>2025</v>
      </c>
    </row>
    <row r="1803" spans="1:15" x14ac:dyDescent="0.3">
      <c r="A1803">
        <v>202742</v>
      </c>
      <c r="B1803" t="s">
        <v>35</v>
      </c>
      <c r="C1803" s="2">
        <v>45978</v>
      </c>
      <c r="D1803" s="2">
        <f t="shared" si="172"/>
        <v>46023</v>
      </c>
      <c r="E1803" s="1">
        <f>D1803+1</f>
        <v>46024</v>
      </c>
      <c r="F1803">
        <v>1854</v>
      </c>
      <c r="G1803">
        <v>45</v>
      </c>
      <c r="H1803">
        <f t="shared" si="171"/>
        <v>0</v>
      </c>
      <c r="I1803" t="str">
        <f t="shared" si="169"/>
        <v>On Time</v>
      </c>
      <c r="J1803" cm="1">
        <f t="array" ref="J1803">_xlfn.IFS(H1803&lt;30,0,H1803&lt;60,1,H1803&lt;90,2,H1803&lt;120,3)</f>
        <v>0</v>
      </c>
      <c r="M1803" t="str">
        <f t="shared" si="170"/>
        <v>Low</v>
      </c>
      <c r="N1803" t="str">
        <f t="shared" si="173"/>
        <v>Nov</v>
      </c>
      <c r="O1803">
        <f t="shared" si="174"/>
        <v>2025</v>
      </c>
    </row>
    <row r="1804" spans="1:15" x14ac:dyDescent="0.3">
      <c r="A1804">
        <v>202743</v>
      </c>
      <c r="B1804" t="s">
        <v>36</v>
      </c>
      <c r="C1804" s="2">
        <v>45978</v>
      </c>
      <c r="D1804" s="2">
        <f t="shared" si="172"/>
        <v>46008</v>
      </c>
      <c r="E1804" s="1">
        <f>D1804-1</f>
        <v>46007</v>
      </c>
      <c r="F1804">
        <v>1816</v>
      </c>
      <c r="G1804">
        <v>30</v>
      </c>
      <c r="H1804">
        <f t="shared" si="171"/>
        <v>0</v>
      </c>
      <c r="I1804" t="str">
        <f t="shared" si="169"/>
        <v>On Time</v>
      </c>
      <c r="J1804" cm="1">
        <f t="array" ref="J1804">_xlfn.IFS(H1804&lt;30,0,H1804&lt;60,1,H1804&lt;90,2,H1804&lt;120,3)</f>
        <v>0</v>
      </c>
      <c r="M1804" t="str">
        <f t="shared" si="170"/>
        <v>Low</v>
      </c>
      <c r="N1804" t="str">
        <f t="shared" si="173"/>
        <v>Nov</v>
      </c>
      <c r="O1804">
        <f t="shared" si="174"/>
        <v>2025</v>
      </c>
    </row>
    <row r="1805" spans="1:15" x14ac:dyDescent="0.3">
      <c r="A1805">
        <v>202744</v>
      </c>
      <c r="B1805" t="s">
        <v>64</v>
      </c>
      <c r="C1805" s="2">
        <v>45978</v>
      </c>
      <c r="D1805" s="2">
        <f t="shared" si="172"/>
        <v>46008</v>
      </c>
      <c r="E1805" s="1">
        <f>D1805</f>
        <v>46008</v>
      </c>
      <c r="F1805">
        <v>1090</v>
      </c>
      <c r="G1805">
        <v>30</v>
      </c>
      <c r="H1805">
        <f t="shared" si="171"/>
        <v>0</v>
      </c>
      <c r="I1805" t="str">
        <f t="shared" si="169"/>
        <v>On Time</v>
      </c>
      <c r="J1805" cm="1">
        <f t="array" ref="J1805">_xlfn.IFS(H1805&lt;30,0,H1805&lt;60,1,H1805&lt;90,2,H1805&lt;120,3)</f>
        <v>0</v>
      </c>
      <c r="M1805" t="str">
        <f t="shared" si="170"/>
        <v>Low</v>
      </c>
      <c r="N1805" t="str">
        <f t="shared" si="173"/>
        <v>Nov</v>
      </c>
      <c r="O1805">
        <f t="shared" si="174"/>
        <v>2025</v>
      </c>
    </row>
    <row r="1806" spans="1:15" x14ac:dyDescent="0.3">
      <c r="A1806">
        <v>202745</v>
      </c>
      <c r="B1806" t="s">
        <v>25</v>
      </c>
      <c r="C1806" s="2">
        <v>45978</v>
      </c>
      <c r="D1806" s="2">
        <f t="shared" si="172"/>
        <v>46038</v>
      </c>
      <c r="E1806" s="1">
        <f>D1806-5</f>
        <v>46033</v>
      </c>
      <c r="F1806">
        <v>4947</v>
      </c>
      <c r="G1806">
        <v>60</v>
      </c>
      <c r="H1806">
        <f t="shared" si="171"/>
        <v>0</v>
      </c>
      <c r="I1806" t="str">
        <f t="shared" si="169"/>
        <v>On Time</v>
      </c>
      <c r="J1806" cm="1">
        <f t="array" ref="J1806">_xlfn.IFS(H1806&lt;30,0,H1806&lt;60,1,H1806&lt;90,2,H1806&lt;120,3)</f>
        <v>0</v>
      </c>
      <c r="M1806" t="str">
        <f t="shared" si="170"/>
        <v>Low</v>
      </c>
      <c r="N1806" t="str">
        <f t="shared" si="173"/>
        <v>Nov</v>
      </c>
      <c r="O1806">
        <f t="shared" si="174"/>
        <v>2025</v>
      </c>
    </row>
    <row r="1807" spans="1:15" x14ac:dyDescent="0.3">
      <c r="A1807">
        <v>202746</v>
      </c>
      <c r="B1807" t="s">
        <v>26</v>
      </c>
      <c r="C1807" s="2">
        <v>45978</v>
      </c>
      <c r="D1807" s="2">
        <f t="shared" si="172"/>
        <v>46008</v>
      </c>
      <c r="E1807" s="1">
        <f>D1807+35</f>
        <v>46043</v>
      </c>
      <c r="F1807">
        <v>2186</v>
      </c>
      <c r="G1807">
        <v>30</v>
      </c>
      <c r="H1807">
        <f t="shared" si="171"/>
        <v>0</v>
      </c>
      <c r="I1807" t="str">
        <f t="shared" si="169"/>
        <v>On Time</v>
      </c>
      <c r="J1807" cm="1">
        <f t="array" ref="J1807">_xlfn.IFS(H1807&lt;30,0,H1807&lt;60,1,H1807&lt;90,2,H1807&lt;120,3)</f>
        <v>0</v>
      </c>
      <c r="M1807" t="str">
        <f t="shared" si="170"/>
        <v>Low</v>
      </c>
      <c r="N1807" t="str">
        <f t="shared" si="173"/>
        <v>Nov</v>
      </c>
      <c r="O1807">
        <f t="shared" si="174"/>
        <v>2025</v>
      </c>
    </row>
    <row r="1808" spans="1:15" x14ac:dyDescent="0.3">
      <c r="A1808">
        <v>202747</v>
      </c>
      <c r="B1808" t="s">
        <v>27</v>
      </c>
      <c r="C1808" s="2">
        <v>45978</v>
      </c>
      <c r="D1808" s="2">
        <f t="shared" si="172"/>
        <v>46038</v>
      </c>
      <c r="E1808" s="1">
        <f>D1808+75</f>
        <v>46113</v>
      </c>
      <c r="F1808">
        <v>911</v>
      </c>
      <c r="G1808">
        <v>60</v>
      </c>
      <c r="H1808">
        <f t="shared" si="171"/>
        <v>0</v>
      </c>
      <c r="I1808" t="str">
        <f t="shared" si="169"/>
        <v>On Time</v>
      </c>
      <c r="J1808" cm="1">
        <f t="array" ref="J1808">_xlfn.IFS(H1808&lt;30,0,H1808&lt;60,1,H1808&lt;90,2,H1808&lt;120,3)</f>
        <v>0</v>
      </c>
      <c r="M1808" t="str">
        <f t="shared" si="170"/>
        <v>Low</v>
      </c>
      <c r="N1808" t="str">
        <f t="shared" si="173"/>
        <v>Nov</v>
      </c>
      <c r="O1808">
        <f t="shared" si="174"/>
        <v>2025</v>
      </c>
    </row>
    <row r="1809" spans="1:15" x14ac:dyDescent="0.3">
      <c r="A1809">
        <v>202748</v>
      </c>
      <c r="B1809" t="s">
        <v>28</v>
      </c>
      <c r="C1809" s="2">
        <v>45978</v>
      </c>
      <c r="D1809" s="2">
        <f t="shared" si="172"/>
        <v>46008</v>
      </c>
      <c r="E1809" s="1">
        <f>D1809+5</f>
        <v>46013</v>
      </c>
      <c r="F1809">
        <v>1102</v>
      </c>
      <c r="G1809">
        <v>30</v>
      </c>
      <c r="H1809">
        <f t="shared" si="171"/>
        <v>0</v>
      </c>
      <c r="I1809" t="str">
        <f t="shared" si="169"/>
        <v>On Time</v>
      </c>
      <c r="J1809" cm="1">
        <f t="array" ref="J1809">_xlfn.IFS(H1809&lt;30,0,H1809&lt;60,1,H1809&lt;90,2,H1809&lt;120,3)</f>
        <v>0</v>
      </c>
      <c r="M1809" t="str">
        <f t="shared" si="170"/>
        <v>Low</v>
      </c>
      <c r="N1809" t="str">
        <f t="shared" si="173"/>
        <v>Nov</v>
      </c>
      <c r="O1809">
        <f t="shared" si="174"/>
        <v>2025</v>
      </c>
    </row>
    <row r="1810" spans="1:15" x14ac:dyDescent="0.3">
      <c r="A1810">
        <v>202749</v>
      </c>
      <c r="B1810" t="s">
        <v>29</v>
      </c>
      <c r="C1810" s="2">
        <v>45978</v>
      </c>
      <c r="D1810" s="2">
        <f t="shared" si="172"/>
        <v>46008</v>
      </c>
      <c r="E1810" s="1">
        <f>D1810</f>
        <v>46008</v>
      </c>
      <c r="F1810">
        <v>17541</v>
      </c>
      <c r="G1810">
        <v>30</v>
      </c>
      <c r="H1810">
        <f t="shared" si="171"/>
        <v>0</v>
      </c>
      <c r="I1810" t="str">
        <f t="shared" si="169"/>
        <v>On Time</v>
      </c>
      <c r="J1810" cm="1">
        <f t="array" ref="J1810">_xlfn.IFS(H1810&lt;30,0,H1810&lt;60,1,H1810&lt;90,2,H1810&lt;120,3)</f>
        <v>0</v>
      </c>
      <c r="M1810" t="str">
        <f t="shared" si="170"/>
        <v>Low</v>
      </c>
      <c r="N1810" t="str">
        <f t="shared" si="173"/>
        <v>Nov</v>
      </c>
      <c r="O1810">
        <f t="shared" si="174"/>
        <v>2025</v>
      </c>
    </row>
    <row r="1811" spans="1:15" x14ac:dyDescent="0.3">
      <c r="A1811">
        <v>202750</v>
      </c>
      <c r="B1811" t="s">
        <v>30</v>
      </c>
      <c r="C1811" s="2">
        <v>45978</v>
      </c>
      <c r="D1811" s="2">
        <f t="shared" si="172"/>
        <v>46008</v>
      </c>
      <c r="E1811" s="1">
        <f>D1811-1</f>
        <v>46007</v>
      </c>
      <c r="F1811">
        <v>1088</v>
      </c>
      <c r="G1811">
        <v>30</v>
      </c>
      <c r="H1811">
        <f t="shared" si="171"/>
        <v>0</v>
      </c>
      <c r="I1811" t="str">
        <f t="shared" si="169"/>
        <v>On Time</v>
      </c>
      <c r="J1811" cm="1">
        <f t="array" ref="J1811">_xlfn.IFS(H1811&lt;30,0,H1811&lt;60,1,H1811&lt;90,2,H1811&lt;120,3)</f>
        <v>0</v>
      </c>
      <c r="M1811" t="str">
        <f t="shared" si="170"/>
        <v>Low</v>
      </c>
      <c r="N1811" t="str">
        <f t="shared" si="173"/>
        <v>Nov</v>
      </c>
      <c r="O1811">
        <f t="shared" si="174"/>
        <v>2025</v>
      </c>
    </row>
    <row r="1812" spans="1:15" x14ac:dyDescent="0.3">
      <c r="A1812">
        <v>202751</v>
      </c>
      <c r="B1812" t="s">
        <v>31</v>
      </c>
      <c r="C1812" s="2">
        <v>45978</v>
      </c>
      <c r="D1812" s="2">
        <f t="shared" si="172"/>
        <v>46023</v>
      </c>
      <c r="E1812" s="1">
        <f>D1812</f>
        <v>46023</v>
      </c>
      <c r="F1812">
        <v>260</v>
      </c>
      <c r="G1812">
        <v>45</v>
      </c>
      <c r="H1812">
        <f t="shared" si="171"/>
        <v>0</v>
      </c>
      <c r="I1812" t="str">
        <f t="shared" si="169"/>
        <v>On Time</v>
      </c>
      <c r="J1812" cm="1">
        <f t="array" ref="J1812">_xlfn.IFS(H1812&lt;30,0,H1812&lt;60,1,H1812&lt;90,2,H1812&lt;120,3)</f>
        <v>0</v>
      </c>
      <c r="M1812" t="str">
        <f t="shared" si="170"/>
        <v>Low</v>
      </c>
      <c r="N1812" t="str">
        <f t="shared" si="173"/>
        <v>Nov</v>
      </c>
      <c r="O1812">
        <f t="shared" si="174"/>
        <v>2025</v>
      </c>
    </row>
    <row r="1813" spans="1:15" x14ac:dyDescent="0.3">
      <c r="A1813">
        <v>202752</v>
      </c>
      <c r="B1813" t="s">
        <v>39</v>
      </c>
      <c r="C1813" s="2">
        <v>45978</v>
      </c>
      <c r="D1813" s="2">
        <f t="shared" si="172"/>
        <v>46008</v>
      </c>
      <c r="E1813" s="1">
        <f>D1813+32</f>
        <v>46040</v>
      </c>
      <c r="F1813">
        <v>16633</v>
      </c>
      <c r="G1813">
        <v>30</v>
      </c>
      <c r="H1813">
        <f t="shared" si="171"/>
        <v>0</v>
      </c>
      <c r="I1813" t="str">
        <f t="shared" si="169"/>
        <v>On Time</v>
      </c>
      <c r="J1813" cm="1">
        <f t="array" ref="J1813">_xlfn.IFS(H1813&lt;30,0,H1813&lt;60,1,H1813&lt;90,2,H1813&lt;120,3)</f>
        <v>0</v>
      </c>
      <c r="M1813" t="str">
        <f t="shared" si="170"/>
        <v>Low</v>
      </c>
      <c r="N1813" t="str">
        <f t="shared" si="173"/>
        <v>Nov</v>
      </c>
      <c r="O1813">
        <f t="shared" si="174"/>
        <v>2025</v>
      </c>
    </row>
    <row r="1814" spans="1:15" x14ac:dyDescent="0.3">
      <c r="A1814">
        <v>202753</v>
      </c>
      <c r="B1814" t="s">
        <v>40</v>
      </c>
      <c r="C1814" s="2">
        <v>45978</v>
      </c>
      <c r="D1814" s="2">
        <f t="shared" si="172"/>
        <v>46008</v>
      </c>
      <c r="E1814" s="1">
        <f>D1814+15</f>
        <v>46023</v>
      </c>
      <c r="F1814">
        <v>3040</v>
      </c>
      <c r="G1814">
        <v>30</v>
      </c>
      <c r="H1814">
        <f t="shared" si="171"/>
        <v>0</v>
      </c>
      <c r="I1814" t="str">
        <f t="shared" ref="I1814:I1877" si="175">IF(H1814=0,"On Time",IF(H1814&lt;=15,"Paid Late","Seriously Late"))</f>
        <v>On Time</v>
      </c>
      <c r="J1814" cm="1">
        <f t="array" ref="J1814">_xlfn.IFS(H1814&lt;30,0,H1814&lt;60,1,H1814&lt;90,2,H1814&lt;120,3)</f>
        <v>0</v>
      </c>
      <c r="M1814" t="str">
        <f t="shared" ref="M1814:M1877" si="176">IF(H1814&gt;30,"High",IF(H1814&gt;10,"Medium","Low"))</f>
        <v>Low</v>
      </c>
      <c r="N1814" t="str">
        <f t="shared" si="173"/>
        <v>Nov</v>
      </c>
      <c r="O1814">
        <f t="shared" si="174"/>
        <v>2025</v>
      </c>
    </row>
    <row r="1815" spans="1:15" x14ac:dyDescent="0.3">
      <c r="A1815">
        <v>202754</v>
      </c>
      <c r="B1815" t="s">
        <v>41</v>
      </c>
      <c r="C1815" s="2">
        <v>45978</v>
      </c>
      <c r="D1815" s="2">
        <f t="shared" si="172"/>
        <v>46008</v>
      </c>
      <c r="E1815" s="1">
        <f>D1815</f>
        <v>46008</v>
      </c>
      <c r="F1815">
        <v>4574</v>
      </c>
      <c r="G1815">
        <v>30</v>
      </c>
      <c r="H1815">
        <f t="shared" si="171"/>
        <v>0</v>
      </c>
      <c r="I1815" t="str">
        <f t="shared" si="175"/>
        <v>On Time</v>
      </c>
      <c r="J1815" cm="1">
        <f t="array" ref="J1815">_xlfn.IFS(H1815&lt;30,0,H1815&lt;60,1,H1815&lt;90,2,H1815&lt;120,3)</f>
        <v>0</v>
      </c>
      <c r="M1815" t="str">
        <f t="shared" si="176"/>
        <v>Low</v>
      </c>
      <c r="N1815" t="str">
        <f t="shared" si="173"/>
        <v>Nov</v>
      </c>
      <c r="O1815">
        <f t="shared" si="174"/>
        <v>2025</v>
      </c>
    </row>
    <row r="1816" spans="1:15" x14ac:dyDescent="0.3">
      <c r="A1816">
        <v>202755</v>
      </c>
      <c r="B1816" t="s">
        <v>42</v>
      </c>
      <c r="C1816" s="2">
        <v>45978</v>
      </c>
      <c r="D1816" s="2">
        <f t="shared" si="172"/>
        <v>46008</v>
      </c>
      <c r="E1816" s="1">
        <f>D1816-2</f>
        <v>46006</v>
      </c>
      <c r="F1816">
        <v>545</v>
      </c>
      <c r="G1816">
        <v>30</v>
      </c>
      <c r="H1816">
        <f t="shared" si="171"/>
        <v>0</v>
      </c>
      <c r="I1816" t="str">
        <f t="shared" si="175"/>
        <v>On Time</v>
      </c>
      <c r="J1816" cm="1">
        <f t="array" ref="J1816">_xlfn.IFS(H1816&lt;30,0,H1816&lt;60,1,H1816&lt;90,2,H1816&lt;120,3)</f>
        <v>0</v>
      </c>
      <c r="M1816" t="str">
        <f t="shared" si="176"/>
        <v>Low</v>
      </c>
      <c r="N1816" t="str">
        <f t="shared" si="173"/>
        <v>Nov</v>
      </c>
      <c r="O1816">
        <f t="shared" si="174"/>
        <v>2025</v>
      </c>
    </row>
    <row r="1817" spans="1:15" x14ac:dyDescent="0.3">
      <c r="A1817">
        <v>202756</v>
      </c>
      <c r="B1817" t="s">
        <v>43</v>
      </c>
      <c r="C1817" s="2">
        <v>45978</v>
      </c>
      <c r="D1817" s="2">
        <f t="shared" si="172"/>
        <v>46008</v>
      </c>
      <c r="E1817" s="1">
        <f>D1817</f>
        <v>46008</v>
      </c>
      <c r="F1817">
        <v>3747</v>
      </c>
      <c r="G1817">
        <v>30</v>
      </c>
      <c r="H1817">
        <f t="shared" si="171"/>
        <v>0</v>
      </c>
      <c r="I1817" t="str">
        <f t="shared" si="175"/>
        <v>On Time</v>
      </c>
      <c r="J1817" cm="1">
        <f t="array" ref="J1817">_xlfn.IFS(H1817&lt;30,0,H1817&lt;60,1,H1817&lt;90,2,H1817&lt;120,3)</f>
        <v>0</v>
      </c>
      <c r="M1817" t="str">
        <f t="shared" si="176"/>
        <v>Low</v>
      </c>
      <c r="N1817" t="str">
        <f t="shared" si="173"/>
        <v>Nov</v>
      </c>
      <c r="O1817">
        <f t="shared" si="174"/>
        <v>2025</v>
      </c>
    </row>
    <row r="1818" spans="1:15" x14ac:dyDescent="0.3">
      <c r="A1818">
        <v>202757</v>
      </c>
      <c r="B1818" t="s">
        <v>44</v>
      </c>
      <c r="C1818" s="2">
        <v>45978</v>
      </c>
      <c r="D1818" s="2">
        <f t="shared" si="172"/>
        <v>46023</v>
      </c>
      <c r="E1818" s="1">
        <f>D1818+2</f>
        <v>46025</v>
      </c>
      <c r="F1818">
        <v>816</v>
      </c>
      <c r="G1818">
        <v>45</v>
      </c>
      <c r="H1818">
        <f t="shared" si="171"/>
        <v>0</v>
      </c>
      <c r="I1818" t="str">
        <f t="shared" si="175"/>
        <v>On Time</v>
      </c>
      <c r="J1818" cm="1">
        <f t="array" ref="J1818">_xlfn.IFS(H1818&lt;30,0,H1818&lt;60,1,H1818&lt;90,2,H1818&lt;120,3)</f>
        <v>0</v>
      </c>
      <c r="M1818" t="str">
        <f t="shared" si="176"/>
        <v>Low</v>
      </c>
      <c r="N1818" t="str">
        <f t="shared" si="173"/>
        <v>Nov</v>
      </c>
      <c r="O1818">
        <f t="shared" si="174"/>
        <v>2025</v>
      </c>
    </row>
    <row r="1819" spans="1:15" x14ac:dyDescent="0.3">
      <c r="A1819">
        <v>202758</v>
      </c>
      <c r="B1819" t="s">
        <v>45</v>
      </c>
      <c r="C1819" s="2">
        <v>45978</v>
      </c>
      <c r="D1819" s="2">
        <f t="shared" si="172"/>
        <v>46023</v>
      </c>
      <c r="E1819" s="1">
        <f>D1819+2</f>
        <v>46025</v>
      </c>
      <c r="F1819">
        <v>2744</v>
      </c>
      <c r="G1819">
        <v>45</v>
      </c>
      <c r="H1819">
        <f t="shared" si="171"/>
        <v>0</v>
      </c>
      <c r="I1819" t="str">
        <f t="shared" si="175"/>
        <v>On Time</v>
      </c>
      <c r="J1819" cm="1">
        <f t="array" ref="J1819">_xlfn.IFS(H1819&lt;30,0,H1819&lt;60,1,H1819&lt;90,2,H1819&lt;120,3)</f>
        <v>0</v>
      </c>
      <c r="M1819" t="str">
        <f t="shared" si="176"/>
        <v>Low</v>
      </c>
      <c r="N1819" t="str">
        <f t="shared" si="173"/>
        <v>Nov</v>
      </c>
      <c r="O1819">
        <f t="shared" si="174"/>
        <v>2025</v>
      </c>
    </row>
    <row r="1820" spans="1:15" x14ac:dyDescent="0.3">
      <c r="A1820">
        <v>202759</v>
      </c>
      <c r="B1820" t="s">
        <v>46</v>
      </c>
      <c r="C1820" s="2">
        <v>45978</v>
      </c>
      <c r="D1820" s="2">
        <f t="shared" si="172"/>
        <v>46038</v>
      </c>
      <c r="E1820" s="1">
        <f>D1820+2</f>
        <v>46040</v>
      </c>
      <c r="F1820">
        <v>236</v>
      </c>
      <c r="G1820">
        <v>60</v>
      </c>
      <c r="H1820">
        <f t="shared" si="171"/>
        <v>0</v>
      </c>
      <c r="I1820" t="str">
        <f t="shared" si="175"/>
        <v>On Time</v>
      </c>
      <c r="J1820" cm="1">
        <f t="array" ref="J1820">_xlfn.IFS(H1820&lt;30,0,H1820&lt;60,1,H1820&lt;90,2,H1820&lt;120,3)</f>
        <v>0</v>
      </c>
      <c r="M1820" t="str">
        <f t="shared" si="176"/>
        <v>Low</v>
      </c>
      <c r="N1820" t="str">
        <f t="shared" si="173"/>
        <v>Nov</v>
      </c>
      <c r="O1820">
        <f t="shared" si="174"/>
        <v>2025</v>
      </c>
    </row>
    <row r="1821" spans="1:15" x14ac:dyDescent="0.3">
      <c r="A1821">
        <v>202760</v>
      </c>
      <c r="B1821" t="s">
        <v>114</v>
      </c>
      <c r="C1821" s="2">
        <v>45978</v>
      </c>
      <c r="D1821" s="2">
        <f t="shared" si="172"/>
        <v>46008</v>
      </c>
      <c r="E1821" s="1">
        <f>D1821</f>
        <v>46008</v>
      </c>
      <c r="F1821">
        <v>1183</v>
      </c>
      <c r="G1821">
        <v>30</v>
      </c>
      <c r="H1821">
        <f t="shared" si="171"/>
        <v>0</v>
      </c>
      <c r="I1821" t="str">
        <f t="shared" si="175"/>
        <v>On Time</v>
      </c>
      <c r="J1821" cm="1">
        <f t="array" ref="J1821">_xlfn.IFS(H1821&lt;30,0,H1821&lt;60,1,H1821&lt;90,2,H1821&lt;120,3)</f>
        <v>0</v>
      </c>
      <c r="M1821" t="str">
        <f t="shared" si="176"/>
        <v>Low</v>
      </c>
      <c r="N1821" t="str">
        <f t="shared" si="173"/>
        <v>Nov</v>
      </c>
      <c r="O1821">
        <f t="shared" si="174"/>
        <v>2025</v>
      </c>
    </row>
    <row r="1822" spans="1:15" x14ac:dyDescent="0.3">
      <c r="A1822">
        <v>202761</v>
      </c>
      <c r="B1822" t="s">
        <v>115</v>
      </c>
      <c r="C1822" s="2">
        <v>45978</v>
      </c>
      <c r="D1822" s="2">
        <f t="shared" si="172"/>
        <v>46008</v>
      </c>
      <c r="E1822" s="1">
        <f>D1822+20</f>
        <v>46028</v>
      </c>
      <c r="F1822">
        <v>3741</v>
      </c>
      <c r="G1822">
        <v>30</v>
      </c>
      <c r="H1822">
        <f t="shared" si="171"/>
        <v>0</v>
      </c>
      <c r="I1822" t="str">
        <f t="shared" si="175"/>
        <v>On Time</v>
      </c>
      <c r="J1822" cm="1">
        <f t="array" ref="J1822">_xlfn.IFS(H1822&lt;30,0,H1822&lt;60,1,H1822&lt;90,2,H1822&lt;120,3)</f>
        <v>0</v>
      </c>
      <c r="M1822" t="str">
        <f t="shared" si="176"/>
        <v>Low</v>
      </c>
      <c r="N1822" t="str">
        <f t="shared" si="173"/>
        <v>Nov</v>
      </c>
      <c r="O1822">
        <f t="shared" si="174"/>
        <v>2025</v>
      </c>
    </row>
    <row r="1823" spans="1:15" x14ac:dyDescent="0.3">
      <c r="A1823">
        <v>202762</v>
      </c>
      <c r="B1823" t="s">
        <v>116</v>
      </c>
      <c r="C1823" s="2">
        <v>45978</v>
      </c>
      <c r="D1823" s="2">
        <f t="shared" si="172"/>
        <v>46008</v>
      </c>
      <c r="E1823" s="1">
        <f>D1823</f>
        <v>46008</v>
      </c>
      <c r="F1823">
        <v>3815</v>
      </c>
      <c r="G1823">
        <v>30</v>
      </c>
      <c r="H1823">
        <f t="shared" si="171"/>
        <v>0</v>
      </c>
      <c r="I1823" t="str">
        <f t="shared" si="175"/>
        <v>On Time</v>
      </c>
      <c r="J1823" cm="1">
        <f t="array" ref="J1823">_xlfn.IFS(H1823&lt;30,0,H1823&lt;60,1,H1823&lt;90,2,H1823&lt;120,3)</f>
        <v>0</v>
      </c>
      <c r="M1823" t="str">
        <f t="shared" si="176"/>
        <v>Low</v>
      </c>
      <c r="N1823" t="str">
        <f t="shared" si="173"/>
        <v>Nov</v>
      </c>
      <c r="O1823">
        <f t="shared" si="174"/>
        <v>2025</v>
      </c>
    </row>
    <row r="1824" spans="1:15" x14ac:dyDescent="0.3">
      <c r="A1824">
        <v>202710</v>
      </c>
      <c r="B1824" t="s">
        <v>74</v>
      </c>
      <c r="C1824" s="2">
        <v>45977</v>
      </c>
      <c r="D1824" s="2">
        <f t="shared" si="172"/>
        <v>46022</v>
      </c>
      <c r="E1824" s="1">
        <f>D1824-1</f>
        <v>46021</v>
      </c>
      <c r="F1824">
        <v>4620</v>
      </c>
      <c r="G1824">
        <v>45</v>
      </c>
      <c r="H1824">
        <f t="shared" si="171"/>
        <v>0</v>
      </c>
      <c r="I1824" t="str">
        <f t="shared" si="175"/>
        <v>On Time</v>
      </c>
      <c r="J1824" cm="1">
        <f t="array" ref="J1824">_xlfn.IFS(H1824&lt;30,0,H1824&lt;60,1,H1824&lt;90,2,H1824&lt;120,3)</f>
        <v>0</v>
      </c>
      <c r="M1824" t="str">
        <f t="shared" si="176"/>
        <v>Low</v>
      </c>
      <c r="N1824" t="str">
        <f t="shared" si="173"/>
        <v>Nov</v>
      </c>
      <c r="O1824">
        <f t="shared" si="174"/>
        <v>2025</v>
      </c>
    </row>
    <row r="1825" spans="1:15" x14ac:dyDescent="0.3">
      <c r="A1825">
        <v>202711</v>
      </c>
      <c r="B1825" t="s">
        <v>45</v>
      </c>
      <c r="C1825" s="2">
        <v>45977</v>
      </c>
      <c r="D1825" s="2">
        <f t="shared" si="172"/>
        <v>46022</v>
      </c>
      <c r="E1825" s="1">
        <f>D1825</f>
        <v>46022</v>
      </c>
      <c r="F1825">
        <v>3699</v>
      </c>
      <c r="G1825">
        <v>45</v>
      </c>
      <c r="H1825">
        <f t="shared" si="171"/>
        <v>0</v>
      </c>
      <c r="I1825" t="str">
        <f t="shared" si="175"/>
        <v>On Time</v>
      </c>
      <c r="J1825" cm="1">
        <f t="array" ref="J1825">_xlfn.IFS(H1825&lt;30,0,H1825&lt;60,1,H1825&lt;90,2,H1825&lt;120,3)</f>
        <v>0</v>
      </c>
      <c r="M1825" t="str">
        <f t="shared" si="176"/>
        <v>Low</v>
      </c>
      <c r="N1825" t="str">
        <f t="shared" si="173"/>
        <v>Nov</v>
      </c>
      <c r="O1825">
        <f t="shared" si="174"/>
        <v>2025</v>
      </c>
    </row>
    <row r="1826" spans="1:15" x14ac:dyDescent="0.3">
      <c r="A1826">
        <v>202712</v>
      </c>
      <c r="B1826" t="s">
        <v>46</v>
      </c>
      <c r="C1826" s="2">
        <v>45977</v>
      </c>
      <c r="D1826" s="2">
        <f t="shared" si="172"/>
        <v>46037</v>
      </c>
      <c r="E1826" s="1">
        <f>D1826+1</f>
        <v>46038</v>
      </c>
      <c r="F1826">
        <v>2843</v>
      </c>
      <c r="G1826">
        <v>60</v>
      </c>
      <c r="H1826">
        <f t="shared" si="171"/>
        <v>0</v>
      </c>
      <c r="I1826" t="str">
        <f t="shared" si="175"/>
        <v>On Time</v>
      </c>
      <c r="J1826" cm="1">
        <f t="array" ref="J1826">_xlfn.IFS(H1826&lt;30,0,H1826&lt;60,1,H1826&lt;90,2,H1826&lt;120,3)</f>
        <v>0</v>
      </c>
      <c r="M1826" t="str">
        <f t="shared" si="176"/>
        <v>Low</v>
      </c>
      <c r="N1826" t="str">
        <f t="shared" si="173"/>
        <v>Nov</v>
      </c>
      <c r="O1826">
        <f t="shared" si="174"/>
        <v>2025</v>
      </c>
    </row>
    <row r="1827" spans="1:15" x14ac:dyDescent="0.3">
      <c r="A1827">
        <v>202713</v>
      </c>
      <c r="B1827" t="s">
        <v>47</v>
      </c>
      <c r="C1827" s="2">
        <v>45977</v>
      </c>
      <c r="D1827" s="2">
        <f t="shared" si="172"/>
        <v>46037</v>
      </c>
      <c r="E1827" s="1">
        <f>D1827+35</f>
        <v>46072</v>
      </c>
      <c r="F1827">
        <v>2621</v>
      </c>
      <c r="G1827">
        <v>60</v>
      </c>
      <c r="H1827">
        <f t="shared" si="171"/>
        <v>0</v>
      </c>
      <c r="I1827" t="str">
        <f t="shared" si="175"/>
        <v>On Time</v>
      </c>
      <c r="J1827" cm="1">
        <f t="array" ref="J1827">_xlfn.IFS(H1827&lt;30,0,H1827&lt;60,1,H1827&lt;90,2,H1827&lt;120,3)</f>
        <v>0</v>
      </c>
      <c r="M1827" t="str">
        <f t="shared" si="176"/>
        <v>Low</v>
      </c>
      <c r="N1827" t="str">
        <f t="shared" si="173"/>
        <v>Nov</v>
      </c>
      <c r="O1827">
        <f t="shared" si="174"/>
        <v>2025</v>
      </c>
    </row>
    <row r="1828" spans="1:15" x14ac:dyDescent="0.3">
      <c r="A1828">
        <v>202714</v>
      </c>
      <c r="B1828" t="s">
        <v>48</v>
      </c>
      <c r="C1828" s="2">
        <v>45977</v>
      </c>
      <c r="D1828" s="2">
        <f t="shared" si="172"/>
        <v>46022</v>
      </c>
      <c r="E1828" s="1">
        <f>D1828+75</f>
        <v>46097</v>
      </c>
      <c r="F1828">
        <v>1495</v>
      </c>
      <c r="G1828">
        <v>45</v>
      </c>
      <c r="H1828">
        <f t="shared" si="171"/>
        <v>0</v>
      </c>
      <c r="I1828" t="str">
        <f t="shared" si="175"/>
        <v>On Time</v>
      </c>
      <c r="J1828" cm="1">
        <f t="array" ref="J1828">_xlfn.IFS(H1828&lt;30,0,H1828&lt;60,1,H1828&lt;90,2,H1828&lt;120,3)</f>
        <v>0</v>
      </c>
      <c r="M1828" t="str">
        <f t="shared" si="176"/>
        <v>Low</v>
      </c>
      <c r="N1828" t="str">
        <f t="shared" si="173"/>
        <v>Nov</v>
      </c>
      <c r="O1828">
        <f t="shared" si="174"/>
        <v>2025</v>
      </c>
    </row>
    <row r="1829" spans="1:15" x14ac:dyDescent="0.3">
      <c r="A1829">
        <v>202715</v>
      </c>
      <c r="B1829" t="s">
        <v>49</v>
      </c>
      <c r="C1829" s="2">
        <v>45977</v>
      </c>
      <c r="D1829" s="2">
        <f t="shared" si="172"/>
        <v>46007</v>
      </c>
      <c r="E1829" s="1">
        <f>D1829+5</f>
        <v>46012</v>
      </c>
      <c r="F1829">
        <v>2730</v>
      </c>
      <c r="G1829">
        <v>30</v>
      </c>
      <c r="H1829">
        <f t="shared" si="171"/>
        <v>0</v>
      </c>
      <c r="I1829" t="str">
        <f t="shared" si="175"/>
        <v>On Time</v>
      </c>
      <c r="J1829" cm="1">
        <f t="array" ref="J1829">_xlfn.IFS(H1829&lt;30,0,H1829&lt;60,1,H1829&lt;90,2,H1829&lt;120,3)</f>
        <v>0</v>
      </c>
      <c r="M1829" t="str">
        <f t="shared" si="176"/>
        <v>Low</v>
      </c>
      <c r="N1829" t="str">
        <f t="shared" si="173"/>
        <v>Nov</v>
      </c>
      <c r="O1829">
        <f t="shared" si="174"/>
        <v>2025</v>
      </c>
    </row>
    <row r="1830" spans="1:15" x14ac:dyDescent="0.3">
      <c r="A1830">
        <v>202716</v>
      </c>
      <c r="B1830" t="s">
        <v>50</v>
      </c>
      <c r="C1830" s="2">
        <v>45977</v>
      </c>
      <c r="D1830" s="2">
        <f t="shared" si="172"/>
        <v>46007</v>
      </c>
      <c r="E1830" s="1">
        <f>D1830</f>
        <v>46007</v>
      </c>
      <c r="F1830">
        <v>19257</v>
      </c>
      <c r="G1830">
        <v>30</v>
      </c>
      <c r="H1830">
        <f t="shared" ref="H1830:H1893" si="177">MAX(0,P1795-D1830)</f>
        <v>0</v>
      </c>
      <c r="I1830" t="str">
        <f t="shared" si="175"/>
        <v>On Time</v>
      </c>
      <c r="J1830" cm="1">
        <f t="array" ref="J1830">_xlfn.IFS(H1830&lt;30,0,H1830&lt;60,1,H1830&lt;90,2,H1830&lt;120,3)</f>
        <v>0</v>
      </c>
      <c r="M1830" t="str">
        <f t="shared" si="176"/>
        <v>Low</v>
      </c>
      <c r="N1830" t="str">
        <f t="shared" si="173"/>
        <v>Nov</v>
      </c>
      <c r="O1830">
        <f t="shared" si="174"/>
        <v>2025</v>
      </c>
    </row>
    <row r="1831" spans="1:15" x14ac:dyDescent="0.3">
      <c r="A1831">
        <v>202717</v>
      </c>
      <c r="B1831" t="s">
        <v>51</v>
      </c>
      <c r="C1831" s="2">
        <v>45977</v>
      </c>
      <c r="D1831" s="2">
        <f t="shared" si="172"/>
        <v>46007</v>
      </c>
      <c r="E1831" s="1">
        <f>D1831-1</f>
        <v>46006</v>
      </c>
      <c r="F1831">
        <v>262</v>
      </c>
      <c r="G1831">
        <v>30</v>
      </c>
      <c r="H1831">
        <f t="shared" si="177"/>
        <v>0</v>
      </c>
      <c r="I1831" t="str">
        <f t="shared" si="175"/>
        <v>On Time</v>
      </c>
      <c r="J1831" cm="1">
        <f t="array" ref="J1831">_xlfn.IFS(H1831&lt;30,0,H1831&lt;60,1,H1831&lt;90,2,H1831&lt;120,3)</f>
        <v>0</v>
      </c>
      <c r="M1831" t="str">
        <f t="shared" si="176"/>
        <v>Low</v>
      </c>
      <c r="N1831" t="str">
        <f t="shared" si="173"/>
        <v>Nov</v>
      </c>
      <c r="O1831">
        <f t="shared" si="174"/>
        <v>2025</v>
      </c>
    </row>
    <row r="1832" spans="1:15" x14ac:dyDescent="0.3">
      <c r="A1832">
        <v>202718</v>
      </c>
      <c r="B1832" t="s">
        <v>52</v>
      </c>
      <c r="C1832" s="2">
        <v>45977</v>
      </c>
      <c r="D1832" s="2">
        <f t="shared" si="172"/>
        <v>46007</v>
      </c>
      <c r="E1832" s="1">
        <f>D1832</f>
        <v>46007</v>
      </c>
      <c r="F1832">
        <v>4377</v>
      </c>
      <c r="G1832">
        <v>30</v>
      </c>
      <c r="H1832">
        <f t="shared" si="177"/>
        <v>0</v>
      </c>
      <c r="I1832" t="str">
        <f t="shared" si="175"/>
        <v>On Time</v>
      </c>
      <c r="J1832" cm="1">
        <f t="array" ref="J1832">_xlfn.IFS(H1832&lt;30,0,H1832&lt;60,1,H1832&lt;90,2,H1832&lt;120,3)</f>
        <v>0</v>
      </c>
      <c r="M1832" t="str">
        <f t="shared" si="176"/>
        <v>Low</v>
      </c>
      <c r="N1832" t="str">
        <f t="shared" si="173"/>
        <v>Nov</v>
      </c>
      <c r="O1832">
        <f t="shared" si="174"/>
        <v>2025</v>
      </c>
    </row>
    <row r="1833" spans="1:15" x14ac:dyDescent="0.3">
      <c r="A1833">
        <v>202719</v>
      </c>
      <c r="B1833" t="s">
        <v>53</v>
      </c>
      <c r="C1833" s="2">
        <v>45977</v>
      </c>
      <c r="D1833" s="2">
        <f t="shared" si="172"/>
        <v>46007</v>
      </c>
      <c r="E1833" s="1">
        <f>D1833+32</f>
        <v>46039</v>
      </c>
      <c r="F1833">
        <v>4372</v>
      </c>
      <c r="G1833">
        <v>30</v>
      </c>
      <c r="H1833">
        <f t="shared" si="177"/>
        <v>0</v>
      </c>
      <c r="I1833" t="str">
        <f t="shared" si="175"/>
        <v>On Time</v>
      </c>
      <c r="J1833" cm="1">
        <f t="array" ref="J1833">_xlfn.IFS(H1833&lt;30,0,H1833&lt;60,1,H1833&lt;90,2,H1833&lt;120,3)</f>
        <v>0</v>
      </c>
      <c r="M1833" t="str">
        <f t="shared" si="176"/>
        <v>Low</v>
      </c>
      <c r="N1833" t="str">
        <f t="shared" si="173"/>
        <v>Nov</v>
      </c>
      <c r="O1833">
        <f t="shared" si="174"/>
        <v>2025</v>
      </c>
    </row>
    <row r="1834" spans="1:15" x14ac:dyDescent="0.3">
      <c r="A1834">
        <v>202720</v>
      </c>
      <c r="B1834" t="s">
        <v>54</v>
      </c>
      <c r="C1834" s="2">
        <v>45977</v>
      </c>
      <c r="D1834" s="2">
        <f t="shared" si="172"/>
        <v>46007</v>
      </c>
      <c r="E1834" s="1">
        <f>D1834+15</f>
        <v>46022</v>
      </c>
      <c r="F1834">
        <v>3892</v>
      </c>
      <c r="G1834">
        <v>30</v>
      </c>
      <c r="H1834">
        <f t="shared" si="177"/>
        <v>0</v>
      </c>
      <c r="I1834" t="str">
        <f t="shared" si="175"/>
        <v>On Time</v>
      </c>
      <c r="J1834" cm="1">
        <f t="array" ref="J1834">_xlfn.IFS(H1834&lt;30,0,H1834&lt;60,1,H1834&lt;90,2,H1834&lt;120,3)</f>
        <v>0</v>
      </c>
      <c r="M1834" t="str">
        <f t="shared" si="176"/>
        <v>Low</v>
      </c>
      <c r="N1834" t="str">
        <f t="shared" si="173"/>
        <v>Nov</v>
      </c>
      <c r="O1834">
        <f t="shared" si="174"/>
        <v>2025</v>
      </c>
    </row>
    <row r="1835" spans="1:15" x14ac:dyDescent="0.3">
      <c r="A1835">
        <v>202721</v>
      </c>
      <c r="B1835" t="s">
        <v>36</v>
      </c>
      <c r="C1835" s="2">
        <v>45977</v>
      </c>
      <c r="D1835" s="2">
        <f t="shared" si="172"/>
        <v>46007</v>
      </c>
      <c r="E1835" s="1">
        <f>D1835-2</f>
        <v>46005</v>
      </c>
      <c r="F1835">
        <v>4775</v>
      </c>
      <c r="G1835">
        <v>30</v>
      </c>
      <c r="H1835">
        <f t="shared" si="177"/>
        <v>0</v>
      </c>
      <c r="I1835" t="str">
        <f t="shared" si="175"/>
        <v>On Time</v>
      </c>
      <c r="J1835" cm="1">
        <f t="array" ref="J1835">_xlfn.IFS(H1835&lt;30,0,H1835&lt;60,1,H1835&lt;90,2,H1835&lt;120,3)</f>
        <v>0</v>
      </c>
      <c r="M1835" t="str">
        <f t="shared" si="176"/>
        <v>Low</v>
      </c>
      <c r="N1835" t="str">
        <f t="shared" si="173"/>
        <v>Nov</v>
      </c>
      <c r="O1835">
        <f t="shared" si="174"/>
        <v>2025</v>
      </c>
    </row>
    <row r="1836" spans="1:15" x14ac:dyDescent="0.3">
      <c r="A1836">
        <v>202722</v>
      </c>
      <c r="B1836" t="s">
        <v>37</v>
      </c>
      <c r="C1836" s="2">
        <v>45977</v>
      </c>
      <c r="D1836" s="2">
        <f t="shared" si="172"/>
        <v>46007</v>
      </c>
      <c r="E1836" s="1">
        <f>D1836-2</f>
        <v>46005</v>
      </c>
      <c r="F1836">
        <v>4317</v>
      </c>
      <c r="G1836">
        <v>30</v>
      </c>
      <c r="H1836">
        <f t="shared" si="177"/>
        <v>0</v>
      </c>
      <c r="I1836" t="str">
        <f t="shared" si="175"/>
        <v>On Time</v>
      </c>
      <c r="J1836" cm="1">
        <f t="array" ref="J1836">_xlfn.IFS(H1836&lt;30,0,H1836&lt;60,1,H1836&lt;90,2,H1836&lt;120,3)</f>
        <v>0</v>
      </c>
      <c r="M1836" t="str">
        <f t="shared" si="176"/>
        <v>Low</v>
      </c>
      <c r="N1836" t="str">
        <f t="shared" si="173"/>
        <v>Nov</v>
      </c>
      <c r="O1836">
        <f t="shared" si="174"/>
        <v>2025</v>
      </c>
    </row>
    <row r="1837" spans="1:15" x14ac:dyDescent="0.3">
      <c r="A1837">
        <v>202723</v>
      </c>
      <c r="B1837" t="s">
        <v>38</v>
      </c>
      <c r="C1837" s="2">
        <v>45977</v>
      </c>
      <c r="D1837" s="2">
        <f t="shared" si="172"/>
        <v>46007</v>
      </c>
      <c r="E1837" s="1">
        <f>D1837</f>
        <v>46007</v>
      </c>
      <c r="F1837">
        <v>3055</v>
      </c>
      <c r="G1837">
        <v>30</v>
      </c>
      <c r="H1837">
        <f t="shared" si="177"/>
        <v>0</v>
      </c>
      <c r="I1837" t="str">
        <f t="shared" si="175"/>
        <v>On Time</v>
      </c>
      <c r="J1837" cm="1">
        <f t="array" ref="J1837">_xlfn.IFS(H1837&lt;30,0,H1837&lt;60,1,H1837&lt;90,2,H1837&lt;120,3)</f>
        <v>0</v>
      </c>
      <c r="M1837" t="str">
        <f t="shared" si="176"/>
        <v>Low</v>
      </c>
      <c r="N1837" t="str">
        <f t="shared" si="173"/>
        <v>Nov</v>
      </c>
      <c r="O1837">
        <f t="shared" si="174"/>
        <v>2025</v>
      </c>
    </row>
    <row r="1838" spans="1:15" x14ac:dyDescent="0.3">
      <c r="A1838">
        <v>202724</v>
      </c>
      <c r="B1838" t="s">
        <v>39</v>
      </c>
      <c r="C1838" s="2">
        <v>45977</v>
      </c>
      <c r="D1838" s="2">
        <f t="shared" si="172"/>
        <v>46007</v>
      </c>
      <c r="E1838" s="1">
        <f>D1838+2</f>
        <v>46009</v>
      </c>
      <c r="F1838">
        <v>4304</v>
      </c>
      <c r="G1838">
        <v>30</v>
      </c>
      <c r="H1838">
        <f t="shared" si="177"/>
        <v>0</v>
      </c>
      <c r="I1838" t="str">
        <f t="shared" si="175"/>
        <v>On Time</v>
      </c>
      <c r="J1838" cm="1">
        <f t="array" ref="J1838">_xlfn.IFS(H1838&lt;30,0,H1838&lt;60,1,H1838&lt;90,2,H1838&lt;120,3)</f>
        <v>0</v>
      </c>
      <c r="M1838" t="str">
        <f t="shared" si="176"/>
        <v>Low</v>
      </c>
      <c r="N1838" t="str">
        <f t="shared" si="173"/>
        <v>Nov</v>
      </c>
      <c r="O1838">
        <f t="shared" si="174"/>
        <v>2025</v>
      </c>
    </row>
    <row r="1839" spans="1:15" x14ac:dyDescent="0.3">
      <c r="A1839">
        <v>202725</v>
      </c>
      <c r="B1839" t="s">
        <v>40</v>
      </c>
      <c r="C1839" s="2">
        <v>45977</v>
      </c>
      <c r="D1839" s="2">
        <f t="shared" si="172"/>
        <v>46007</v>
      </c>
      <c r="E1839" s="1">
        <f>D1839+2</f>
        <v>46009</v>
      </c>
      <c r="F1839">
        <v>2806</v>
      </c>
      <c r="G1839">
        <v>30</v>
      </c>
      <c r="H1839">
        <f t="shared" si="177"/>
        <v>0</v>
      </c>
      <c r="I1839" t="str">
        <f t="shared" si="175"/>
        <v>On Time</v>
      </c>
      <c r="J1839" cm="1">
        <f t="array" ref="J1839">_xlfn.IFS(H1839&lt;30,0,H1839&lt;60,1,H1839&lt;90,2,H1839&lt;120,3)</f>
        <v>0</v>
      </c>
      <c r="M1839" t="str">
        <f t="shared" si="176"/>
        <v>Low</v>
      </c>
      <c r="N1839" t="str">
        <f t="shared" si="173"/>
        <v>Nov</v>
      </c>
      <c r="O1839">
        <f t="shared" si="174"/>
        <v>2025</v>
      </c>
    </row>
    <row r="1840" spans="1:15" x14ac:dyDescent="0.3">
      <c r="A1840">
        <v>202726</v>
      </c>
      <c r="B1840" t="s">
        <v>41</v>
      </c>
      <c r="C1840" s="2">
        <v>45977</v>
      </c>
      <c r="D1840" s="2">
        <f t="shared" si="172"/>
        <v>46007</v>
      </c>
      <c r="E1840" s="1">
        <f>D1840+2</f>
        <v>46009</v>
      </c>
      <c r="F1840">
        <v>4953</v>
      </c>
      <c r="G1840">
        <v>30</v>
      </c>
      <c r="H1840">
        <f t="shared" si="177"/>
        <v>0</v>
      </c>
      <c r="I1840" t="str">
        <f t="shared" si="175"/>
        <v>On Time</v>
      </c>
      <c r="J1840" cm="1">
        <f t="array" ref="J1840">_xlfn.IFS(H1840&lt;30,0,H1840&lt;60,1,H1840&lt;90,2,H1840&lt;120,3)</f>
        <v>0</v>
      </c>
      <c r="M1840" t="str">
        <f t="shared" si="176"/>
        <v>Low</v>
      </c>
      <c r="N1840" t="str">
        <f t="shared" si="173"/>
        <v>Nov</v>
      </c>
      <c r="O1840">
        <f t="shared" si="174"/>
        <v>2025</v>
      </c>
    </row>
    <row r="1841" spans="1:15" x14ac:dyDescent="0.3">
      <c r="A1841">
        <v>202727</v>
      </c>
      <c r="B1841" t="s">
        <v>42</v>
      </c>
      <c r="C1841" s="2">
        <v>45977</v>
      </c>
      <c r="D1841" s="2">
        <f t="shared" si="172"/>
        <v>46007</v>
      </c>
      <c r="E1841" s="1">
        <f>D1841</f>
        <v>46007</v>
      </c>
      <c r="F1841">
        <v>4577</v>
      </c>
      <c r="G1841">
        <v>30</v>
      </c>
      <c r="H1841">
        <f t="shared" si="177"/>
        <v>0</v>
      </c>
      <c r="I1841" t="str">
        <f t="shared" si="175"/>
        <v>On Time</v>
      </c>
      <c r="J1841" cm="1">
        <f t="array" ref="J1841">_xlfn.IFS(H1841&lt;30,0,H1841&lt;60,1,H1841&lt;90,2,H1841&lt;120,3)</f>
        <v>0</v>
      </c>
      <c r="M1841" t="str">
        <f t="shared" si="176"/>
        <v>Low</v>
      </c>
      <c r="N1841" t="str">
        <f t="shared" si="173"/>
        <v>Nov</v>
      </c>
      <c r="O1841">
        <f t="shared" si="174"/>
        <v>2025</v>
      </c>
    </row>
    <row r="1842" spans="1:15" x14ac:dyDescent="0.3">
      <c r="A1842">
        <v>202728</v>
      </c>
      <c r="B1842" t="s">
        <v>43</v>
      </c>
      <c r="C1842" s="2">
        <v>45977</v>
      </c>
      <c r="D1842" s="2">
        <f t="shared" si="172"/>
        <v>46007</v>
      </c>
      <c r="E1842" s="1">
        <f>D1842+20</f>
        <v>46027</v>
      </c>
      <c r="F1842">
        <v>1564</v>
      </c>
      <c r="G1842">
        <v>30</v>
      </c>
      <c r="H1842">
        <f t="shared" si="177"/>
        <v>0</v>
      </c>
      <c r="I1842" t="str">
        <f t="shared" si="175"/>
        <v>On Time</v>
      </c>
      <c r="J1842" cm="1">
        <f t="array" ref="J1842">_xlfn.IFS(H1842&lt;30,0,H1842&lt;60,1,H1842&lt;90,2,H1842&lt;120,3)</f>
        <v>0</v>
      </c>
      <c r="M1842" t="str">
        <f t="shared" si="176"/>
        <v>Low</v>
      </c>
      <c r="N1842" t="str">
        <f t="shared" si="173"/>
        <v>Nov</v>
      </c>
      <c r="O1842">
        <f t="shared" si="174"/>
        <v>2025</v>
      </c>
    </row>
    <row r="1843" spans="1:15" x14ac:dyDescent="0.3">
      <c r="A1843">
        <v>202729</v>
      </c>
      <c r="B1843" t="s">
        <v>103</v>
      </c>
      <c r="C1843" s="2">
        <v>45977</v>
      </c>
      <c r="D1843" s="2">
        <f t="shared" si="172"/>
        <v>46007</v>
      </c>
      <c r="E1843" s="1">
        <f>D1843</f>
        <v>46007</v>
      </c>
      <c r="F1843">
        <v>1077</v>
      </c>
      <c r="G1843">
        <v>30</v>
      </c>
      <c r="H1843">
        <f t="shared" si="177"/>
        <v>0</v>
      </c>
      <c r="I1843" t="str">
        <f t="shared" si="175"/>
        <v>On Time</v>
      </c>
      <c r="J1843" cm="1">
        <f t="array" ref="J1843">_xlfn.IFS(H1843&lt;30,0,H1843&lt;60,1,H1843&lt;90,2,H1843&lt;120,3)</f>
        <v>0</v>
      </c>
      <c r="M1843" t="str">
        <f t="shared" si="176"/>
        <v>Low</v>
      </c>
      <c r="N1843" t="str">
        <f t="shared" si="173"/>
        <v>Nov</v>
      </c>
      <c r="O1843">
        <f t="shared" si="174"/>
        <v>2025</v>
      </c>
    </row>
    <row r="1844" spans="1:15" x14ac:dyDescent="0.3">
      <c r="A1844">
        <v>202730</v>
      </c>
      <c r="B1844" t="s">
        <v>104</v>
      </c>
      <c r="C1844" s="2">
        <v>45977</v>
      </c>
      <c r="D1844" s="2">
        <f t="shared" si="172"/>
        <v>46007</v>
      </c>
      <c r="E1844" s="1">
        <f>D1844+1</f>
        <v>46008</v>
      </c>
      <c r="F1844">
        <v>1211</v>
      </c>
      <c r="G1844">
        <v>30</v>
      </c>
      <c r="H1844">
        <f t="shared" si="177"/>
        <v>0</v>
      </c>
      <c r="I1844" t="str">
        <f t="shared" si="175"/>
        <v>On Time</v>
      </c>
      <c r="J1844" cm="1">
        <f t="array" ref="J1844">_xlfn.IFS(H1844&lt;30,0,H1844&lt;60,1,H1844&lt;90,2,H1844&lt;120,3)</f>
        <v>0</v>
      </c>
      <c r="M1844" t="str">
        <f t="shared" si="176"/>
        <v>Low</v>
      </c>
      <c r="N1844" t="str">
        <f t="shared" si="173"/>
        <v>Nov</v>
      </c>
      <c r="O1844">
        <f t="shared" si="174"/>
        <v>2025</v>
      </c>
    </row>
    <row r="1845" spans="1:15" x14ac:dyDescent="0.3">
      <c r="A1845">
        <v>202731</v>
      </c>
      <c r="B1845" t="s">
        <v>105</v>
      </c>
      <c r="C1845" s="2">
        <v>45977</v>
      </c>
      <c r="D1845" s="2">
        <f t="shared" si="172"/>
        <v>46007</v>
      </c>
      <c r="E1845" s="1">
        <f>D1845</f>
        <v>46007</v>
      </c>
      <c r="F1845">
        <v>1848</v>
      </c>
      <c r="G1845">
        <v>30</v>
      </c>
      <c r="H1845">
        <f t="shared" si="177"/>
        <v>0</v>
      </c>
      <c r="I1845" t="str">
        <f t="shared" si="175"/>
        <v>On Time</v>
      </c>
      <c r="J1845" cm="1">
        <f t="array" ref="J1845">_xlfn.IFS(H1845&lt;30,0,H1845&lt;60,1,H1845&lt;90,2,H1845&lt;120,3)</f>
        <v>0</v>
      </c>
      <c r="M1845" t="str">
        <f t="shared" si="176"/>
        <v>Low</v>
      </c>
      <c r="N1845" t="str">
        <f t="shared" si="173"/>
        <v>Nov</v>
      </c>
      <c r="O1845">
        <f t="shared" si="174"/>
        <v>2025</v>
      </c>
    </row>
    <row r="1846" spans="1:15" x14ac:dyDescent="0.3">
      <c r="A1846">
        <v>202732</v>
      </c>
      <c r="B1846" t="s">
        <v>114</v>
      </c>
      <c r="C1846" s="2">
        <v>45977</v>
      </c>
      <c r="D1846" s="2">
        <f t="shared" si="172"/>
        <v>46007</v>
      </c>
      <c r="E1846" s="1">
        <f>D1846</f>
        <v>46007</v>
      </c>
      <c r="F1846">
        <v>2927</v>
      </c>
      <c r="G1846">
        <v>30</v>
      </c>
      <c r="H1846">
        <f t="shared" si="177"/>
        <v>0</v>
      </c>
      <c r="I1846" t="str">
        <f t="shared" si="175"/>
        <v>On Time</v>
      </c>
      <c r="J1846" cm="1">
        <f t="array" ref="J1846">_xlfn.IFS(H1846&lt;30,0,H1846&lt;60,1,H1846&lt;90,2,H1846&lt;120,3)</f>
        <v>0</v>
      </c>
      <c r="M1846" t="str">
        <f t="shared" si="176"/>
        <v>Low</v>
      </c>
      <c r="N1846" t="str">
        <f t="shared" si="173"/>
        <v>Nov</v>
      </c>
      <c r="O1846">
        <f t="shared" si="174"/>
        <v>2025</v>
      </c>
    </row>
    <row r="1847" spans="1:15" x14ac:dyDescent="0.3">
      <c r="A1847">
        <v>202733</v>
      </c>
      <c r="B1847" t="s">
        <v>115</v>
      </c>
      <c r="C1847" s="2">
        <v>45977</v>
      </c>
      <c r="D1847" s="2">
        <f t="shared" si="172"/>
        <v>46007</v>
      </c>
      <c r="E1847" s="1">
        <f>D1847+5</f>
        <v>46012</v>
      </c>
      <c r="F1847">
        <v>446</v>
      </c>
      <c r="G1847">
        <v>30</v>
      </c>
      <c r="H1847">
        <f t="shared" si="177"/>
        <v>0</v>
      </c>
      <c r="I1847" t="str">
        <f t="shared" si="175"/>
        <v>On Time</v>
      </c>
      <c r="J1847" cm="1">
        <f t="array" ref="J1847">_xlfn.IFS(H1847&lt;30,0,H1847&lt;60,1,H1847&lt;90,2,H1847&lt;120,3)</f>
        <v>0</v>
      </c>
      <c r="M1847" t="str">
        <f t="shared" si="176"/>
        <v>Low</v>
      </c>
      <c r="N1847" t="str">
        <f t="shared" si="173"/>
        <v>Nov</v>
      </c>
      <c r="O1847">
        <f t="shared" si="174"/>
        <v>2025</v>
      </c>
    </row>
    <row r="1848" spans="1:15" x14ac:dyDescent="0.3">
      <c r="A1848">
        <v>202693</v>
      </c>
      <c r="B1848" t="s">
        <v>105</v>
      </c>
      <c r="C1848" s="2">
        <v>45976</v>
      </c>
      <c r="D1848" s="2">
        <f t="shared" si="172"/>
        <v>46006</v>
      </c>
      <c r="E1848" s="1">
        <f>D1848+2</f>
        <v>46008</v>
      </c>
      <c r="F1848">
        <v>1553</v>
      </c>
      <c r="G1848">
        <v>30</v>
      </c>
      <c r="H1848">
        <f t="shared" si="177"/>
        <v>0</v>
      </c>
      <c r="I1848" t="str">
        <f t="shared" si="175"/>
        <v>On Time</v>
      </c>
      <c r="J1848" cm="1">
        <f t="array" ref="J1848">_xlfn.IFS(H1848&lt;30,0,H1848&lt;60,1,H1848&lt;90,2,H1848&lt;120,3)</f>
        <v>0</v>
      </c>
      <c r="M1848" t="str">
        <f t="shared" si="176"/>
        <v>Low</v>
      </c>
      <c r="N1848" t="str">
        <f t="shared" si="173"/>
        <v>Nov</v>
      </c>
      <c r="O1848">
        <f t="shared" si="174"/>
        <v>2025</v>
      </c>
    </row>
    <row r="1849" spans="1:15" x14ac:dyDescent="0.3">
      <c r="A1849">
        <v>202694</v>
      </c>
      <c r="B1849" t="s">
        <v>86</v>
      </c>
      <c r="C1849" s="2">
        <v>45976</v>
      </c>
      <c r="D1849" s="2">
        <f t="shared" si="172"/>
        <v>46006</v>
      </c>
      <c r="E1849" s="1">
        <f>D1849</f>
        <v>46006</v>
      </c>
      <c r="F1849">
        <v>2412</v>
      </c>
      <c r="G1849">
        <v>30</v>
      </c>
      <c r="H1849">
        <f t="shared" si="177"/>
        <v>0</v>
      </c>
      <c r="I1849" t="str">
        <f t="shared" si="175"/>
        <v>On Time</v>
      </c>
      <c r="J1849" cm="1">
        <f t="array" ref="J1849">_xlfn.IFS(H1849&lt;30,0,H1849&lt;60,1,H1849&lt;90,2,H1849&lt;120,3)</f>
        <v>0</v>
      </c>
      <c r="M1849" t="str">
        <f t="shared" si="176"/>
        <v>Low</v>
      </c>
      <c r="N1849" t="str">
        <f t="shared" si="173"/>
        <v>Nov</v>
      </c>
      <c r="O1849">
        <f t="shared" si="174"/>
        <v>2025</v>
      </c>
    </row>
    <row r="1850" spans="1:15" x14ac:dyDescent="0.3">
      <c r="A1850">
        <v>202695</v>
      </c>
      <c r="B1850" t="s">
        <v>87</v>
      </c>
      <c r="C1850" s="2">
        <v>45976</v>
      </c>
      <c r="D1850" s="2">
        <f t="shared" si="172"/>
        <v>46006</v>
      </c>
      <c r="E1850" s="1">
        <f>D1850+20</f>
        <v>46026</v>
      </c>
      <c r="F1850">
        <v>3682</v>
      </c>
      <c r="G1850">
        <v>30</v>
      </c>
      <c r="H1850">
        <f t="shared" si="177"/>
        <v>0</v>
      </c>
      <c r="I1850" t="str">
        <f t="shared" si="175"/>
        <v>On Time</v>
      </c>
      <c r="J1850" cm="1">
        <f t="array" ref="J1850">_xlfn.IFS(H1850&lt;30,0,H1850&lt;60,1,H1850&lt;90,2,H1850&lt;120,3)</f>
        <v>0</v>
      </c>
      <c r="M1850" t="str">
        <f t="shared" si="176"/>
        <v>Low</v>
      </c>
      <c r="N1850" t="str">
        <f t="shared" si="173"/>
        <v>Nov</v>
      </c>
      <c r="O1850">
        <f t="shared" si="174"/>
        <v>2025</v>
      </c>
    </row>
    <row r="1851" spans="1:15" x14ac:dyDescent="0.3">
      <c r="A1851">
        <v>202696</v>
      </c>
      <c r="B1851" t="s">
        <v>88</v>
      </c>
      <c r="C1851" s="2">
        <v>45976</v>
      </c>
      <c r="D1851" s="2">
        <f t="shared" si="172"/>
        <v>46006</v>
      </c>
      <c r="E1851" s="1">
        <f>D1851</f>
        <v>46006</v>
      </c>
      <c r="F1851">
        <v>1351</v>
      </c>
      <c r="G1851">
        <v>30</v>
      </c>
      <c r="H1851">
        <f t="shared" si="177"/>
        <v>0</v>
      </c>
      <c r="I1851" t="str">
        <f t="shared" si="175"/>
        <v>On Time</v>
      </c>
      <c r="J1851" cm="1">
        <f t="array" ref="J1851">_xlfn.IFS(H1851&lt;30,0,H1851&lt;60,1,H1851&lt;90,2,H1851&lt;120,3)</f>
        <v>0</v>
      </c>
      <c r="M1851" t="str">
        <f t="shared" si="176"/>
        <v>Low</v>
      </c>
      <c r="N1851" t="str">
        <f t="shared" si="173"/>
        <v>Nov</v>
      </c>
      <c r="O1851">
        <f t="shared" si="174"/>
        <v>2025</v>
      </c>
    </row>
    <row r="1852" spans="1:15" x14ac:dyDescent="0.3">
      <c r="A1852">
        <v>202697</v>
      </c>
      <c r="B1852" t="s">
        <v>89</v>
      </c>
      <c r="C1852" s="2">
        <v>45976</v>
      </c>
      <c r="D1852" s="2">
        <f t="shared" si="172"/>
        <v>46006</v>
      </c>
      <c r="E1852" s="1">
        <f>D1852+1</f>
        <v>46007</v>
      </c>
      <c r="F1852">
        <v>1388</v>
      </c>
      <c r="G1852">
        <v>30</v>
      </c>
      <c r="H1852">
        <f t="shared" si="177"/>
        <v>0</v>
      </c>
      <c r="I1852" t="str">
        <f t="shared" si="175"/>
        <v>On Time</v>
      </c>
      <c r="J1852" cm="1">
        <f t="array" ref="J1852">_xlfn.IFS(H1852&lt;30,0,H1852&lt;60,1,H1852&lt;90,2,H1852&lt;120,3)</f>
        <v>0</v>
      </c>
      <c r="M1852" t="str">
        <f t="shared" si="176"/>
        <v>Low</v>
      </c>
      <c r="N1852" t="str">
        <f t="shared" si="173"/>
        <v>Nov</v>
      </c>
      <c r="O1852">
        <f t="shared" si="174"/>
        <v>2025</v>
      </c>
    </row>
    <row r="1853" spans="1:15" x14ac:dyDescent="0.3">
      <c r="A1853">
        <v>202698</v>
      </c>
      <c r="B1853" t="s">
        <v>90</v>
      </c>
      <c r="C1853" s="2">
        <v>45976</v>
      </c>
      <c r="D1853" s="2">
        <f t="shared" si="172"/>
        <v>46006</v>
      </c>
      <c r="E1853" s="1">
        <f>D1853</f>
        <v>46006</v>
      </c>
      <c r="F1853">
        <v>1707</v>
      </c>
      <c r="G1853">
        <v>30</v>
      </c>
      <c r="H1853">
        <f t="shared" si="177"/>
        <v>0</v>
      </c>
      <c r="I1853" t="str">
        <f t="shared" si="175"/>
        <v>On Time</v>
      </c>
      <c r="J1853" cm="1">
        <f t="array" ref="J1853">_xlfn.IFS(H1853&lt;30,0,H1853&lt;60,1,H1853&lt;90,2,H1853&lt;120,3)</f>
        <v>0</v>
      </c>
      <c r="M1853" t="str">
        <f t="shared" si="176"/>
        <v>Low</v>
      </c>
      <c r="N1853" t="str">
        <f t="shared" si="173"/>
        <v>Nov</v>
      </c>
      <c r="O1853">
        <f t="shared" si="174"/>
        <v>2025</v>
      </c>
    </row>
    <row r="1854" spans="1:15" x14ac:dyDescent="0.3">
      <c r="A1854">
        <v>202699</v>
      </c>
      <c r="B1854" t="s">
        <v>91</v>
      </c>
      <c r="C1854" s="2">
        <v>45976</v>
      </c>
      <c r="D1854" s="2">
        <f t="shared" si="172"/>
        <v>46006</v>
      </c>
      <c r="E1854" s="1">
        <f>D1854</f>
        <v>46006</v>
      </c>
      <c r="F1854">
        <v>2694</v>
      </c>
      <c r="G1854">
        <v>30</v>
      </c>
      <c r="H1854">
        <f t="shared" si="177"/>
        <v>0</v>
      </c>
      <c r="I1854" t="str">
        <f t="shared" si="175"/>
        <v>On Time</v>
      </c>
      <c r="J1854" cm="1">
        <f t="array" ref="J1854">_xlfn.IFS(H1854&lt;30,0,H1854&lt;60,1,H1854&lt;90,2,H1854&lt;120,3)</f>
        <v>0</v>
      </c>
      <c r="M1854" t="str">
        <f t="shared" si="176"/>
        <v>Low</v>
      </c>
      <c r="N1854" t="str">
        <f t="shared" si="173"/>
        <v>Nov</v>
      </c>
      <c r="O1854">
        <f t="shared" si="174"/>
        <v>2025</v>
      </c>
    </row>
    <row r="1855" spans="1:15" x14ac:dyDescent="0.3">
      <c r="A1855">
        <v>202700</v>
      </c>
      <c r="B1855" t="s">
        <v>92</v>
      </c>
      <c r="C1855" s="2">
        <v>45976</v>
      </c>
      <c r="D1855" s="2">
        <f t="shared" si="172"/>
        <v>46006</v>
      </c>
      <c r="E1855" s="1">
        <f>D1855+5</f>
        <v>46011</v>
      </c>
      <c r="F1855">
        <v>7988</v>
      </c>
      <c r="G1855">
        <v>30</v>
      </c>
      <c r="H1855">
        <f t="shared" si="177"/>
        <v>0</v>
      </c>
      <c r="I1855" t="str">
        <f t="shared" si="175"/>
        <v>On Time</v>
      </c>
      <c r="J1855" cm="1">
        <f t="array" ref="J1855">_xlfn.IFS(H1855&lt;30,0,H1855&lt;60,1,H1855&lt;90,2,H1855&lt;120,3)</f>
        <v>0</v>
      </c>
      <c r="M1855" t="str">
        <f t="shared" si="176"/>
        <v>Low</v>
      </c>
      <c r="N1855" t="str">
        <f t="shared" si="173"/>
        <v>Nov</v>
      </c>
      <c r="O1855">
        <f t="shared" si="174"/>
        <v>2025</v>
      </c>
    </row>
    <row r="1856" spans="1:15" x14ac:dyDescent="0.3">
      <c r="A1856">
        <v>202701</v>
      </c>
      <c r="B1856" t="s">
        <v>93</v>
      </c>
      <c r="C1856" s="2">
        <v>45976</v>
      </c>
      <c r="D1856" s="2">
        <f t="shared" si="172"/>
        <v>46006</v>
      </c>
      <c r="E1856" s="1">
        <f>D1856+2</f>
        <v>46008</v>
      </c>
      <c r="F1856">
        <v>1762</v>
      </c>
      <c r="G1856">
        <v>30</v>
      </c>
      <c r="H1856">
        <f t="shared" si="177"/>
        <v>0</v>
      </c>
      <c r="I1856" t="str">
        <f t="shared" si="175"/>
        <v>On Time</v>
      </c>
      <c r="J1856" cm="1">
        <f t="array" ref="J1856">_xlfn.IFS(H1856&lt;30,0,H1856&lt;60,1,H1856&lt;90,2,H1856&lt;120,3)</f>
        <v>0</v>
      </c>
      <c r="M1856" t="str">
        <f t="shared" si="176"/>
        <v>Low</v>
      </c>
      <c r="N1856" t="str">
        <f t="shared" si="173"/>
        <v>Nov</v>
      </c>
      <c r="O1856">
        <f t="shared" si="174"/>
        <v>2025</v>
      </c>
    </row>
    <row r="1857" spans="1:15" x14ac:dyDescent="0.3">
      <c r="A1857">
        <v>202702</v>
      </c>
      <c r="B1857" t="s">
        <v>94</v>
      </c>
      <c r="C1857" s="2">
        <v>45976</v>
      </c>
      <c r="D1857" s="2">
        <f t="shared" si="172"/>
        <v>46006</v>
      </c>
      <c r="E1857" s="1">
        <f>D1857</f>
        <v>46006</v>
      </c>
      <c r="F1857">
        <v>5057</v>
      </c>
      <c r="G1857">
        <v>30</v>
      </c>
      <c r="H1857">
        <f t="shared" si="177"/>
        <v>0</v>
      </c>
      <c r="I1857" t="str">
        <f t="shared" si="175"/>
        <v>On Time</v>
      </c>
      <c r="J1857" cm="1">
        <f t="array" ref="J1857">_xlfn.IFS(H1857&lt;30,0,H1857&lt;60,1,H1857&lt;90,2,H1857&lt;120,3)</f>
        <v>0</v>
      </c>
      <c r="M1857" t="str">
        <f t="shared" si="176"/>
        <v>Low</v>
      </c>
      <c r="N1857" t="str">
        <f t="shared" si="173"/>
        <v>Nov</v>
      </c>
      <c r="O1857">
        <f t="shared" si="174"/>
        <v>2025</v>
      </c>
    </row>
    <row r="1858" spans="1:15" x14ac:dyDescent="0.3">
      <c r="A1858">
        <v>202703</v>
      </c>
      <c r="B1858" t="s">
        <v>95</v>
      </c>
      <c r="C1858" s="2">
        <v>45976</v>
      </c>
      <c r="D1858" s="2">
        <f t="shared" ref="D1858:D1921" si="178">C1858+G1858</f>
        <v>46021</v>
      </c>
      <c r="E1858" s="1">
        <f>D1858</f>
        <v>46021</v>
      </c>
      <c r="F1858">
        <v>4123</v>
      </c>
      <c r="G1858">
        <v>45</v>
      </c>
      <c r="H1858">
        <f t="shared" si="177"/>
        <v>0</v>
      </c>
      <c r="I1858" t="str">
        <f t="shared" si="175"/>
        <v>On Time</v>
      </c>
      <c r="J1858" cm="1">
        <f t="array" ref="J1858">_xlfn.IFS(H1858&lt;30,0,H1858&lt;60,1,H1858&lt;90,2,H1858&lt;120,3)</f>
        <v>0</v>
      </c>
      <c r="M1858" t="str">
        <f t="shared" si="176"/>
        <v>Low</v>
      </c>
      <c r="N1858" t="str">
        <f t="shared" ref="N1858:N1921" si="179">TEXT(C1858,"mmm")</f>
        <v>Nov</v>
      </c>
      <c r="O1858">
        <f t="shared" ref="O1858:O1921" si="180">YEAR(C1858)</f>
        <v>2025</v>
      </c>
    </row>
    <row r="1859" spans="1:15" x14ac:dyDescent="0.3">
      <c r="A1859">
        <v>202704</v>
      </c>
      <c r="B1859" t="s">
        <v>68</v>
      </c>
      <c r="C1859" s="2">
        <v>45976</v>
      </c>
      <c r="D1859" s="2">
        <f t="shared" si="178"/>
        <v>46006</v>
      </c>
      <c r="E1859" s="1">
        <f>D1859</f>
        <v>46006</v>
      </c>
      <c r="F1859">
        <v>1633</v>
      </c>
      <c r="G1859">
        <v>30</v>
      </c>
      <c r="H1859">
        <f t="shared" si="177"/>
        <v>0</v>
      </c>
      <c r="I1859" t="str">
        <f t="shared" si="175"/>
        <v>On Time</v>
      </c>
      <c r="J1859" cm="1">
        <f t="array" ref="J1859">_xlfn.IFS(H1859&lt;30,0,H1859&lt;60,1,H1859&lt;90,2,H1859&lt;120,3)</f>
        <v>0</v>
      </c>
      <c r="M1859" t="str">
        <f t="shared" si="176"/>
        <v>Low</v>
      </c>
      <c r="N1859" t="str">
        <f t="shared" si="179"/>
        <v>Nov</v>
      </c>
      <c r="O1859">
        <f t="shared" si="180"/>
        <v>2025</v>
      </c>
    </row>
    <row r="1860" spans="1:15" x14ac:dyDescent="0.3">
      <c r="A1860">
        <v>202705</v>
      </c>
      <c r="B1860" t="s">
        <v>69</v>
      </c>
      <c r="C1860" s="2">
        <v>45976</v>
      </c>
      <c r="D1860" s="2">
        <f t="shared" si="178"/>
        <v>46006</v>
      </c>
      <c r="E1860" s="1">
        <f>D1860+60</f>
        <v>46066</v>
      </c>
      <c r="F1860">
        <v>4681</v>
      </c>
      <c r="G1860">
        <v>30</v>
      </c>
      <c r="H1860">
        <f t="shared" si="177"/>
        <v>0</v>
      </c>
      <c r="I1860" t="str">
        <f t="shared" si="175"/>
        <v>On Time</v>
      </c>
      <c r="J1860" cm="1">
        <f t="array" ref="J1860">_xlfn.IFS(H1860&lt;30,0,H1860&lt;60,1,H1860&lt;90,2,H1860&lt;120,3)</f>
        <v>0</v>
      </c>
      <c r="M1860" t="str">
        <f t="shared" si="176"/>
        <v>Low</v>
      </c>
      <c r="N1860" t="str">
        <f t="shared" si="179"/>
        <v>Nov</v>
      </c>
      <c r="O1860">
        <f t="shared" si="180"/>
        <v>2025</v>
      </c>
    </row>
    <row r="1861" spans="1:15" x14ac:dyDescent="0.3">
      <c r="A1861">
        <v>202706</v>
      </c>
      <c r="B1861" t="s">
        <v>70</v>
      </c>
      <c r="C1861" s="2">
        <v>45976</v>
      </c>
      <c r="D1861" s="2">
        <f t="shared" si="178"/>
        <v>46006</v>
      </c>
      <c r="E1861" s="1">
        <f>D1861</f>
        <v>46006</v>
      </c>
      <c r="F1861">
        <v>7279</v>
      </c>
      <c r="G1861">
        <v>30</v>
      </c>
      <c r="H1861">
        <f t="shared" si="177"/>
        <v>0</v>
      </c>
      <c r="I1861" t="str">
        <f t="shared" si="175"/>
        <v>On Time</v>
      </c>
      <c r="J1861" cm="1">
        <f t="array" ref="J1861">_xlfn.IFS(H1861&lt;30,0,H1861&lt;60,1,H1861&lt;90,2,H1861&lt;120,3)</f>
        <v>0</v>
      </c>
      <c r="M1861" t="str">
        <f t="shared" si="176"/>
        <v>Low</v>
      </c>
      <c r="N1861" t="str">
        <f t="shared" si="179"/>
        <v>Nov</v>
      </c>
      <c r="O1861">
        <f t="shared" si="180"/>
        <v>2025</v>
      </c>
    </row>
    <row r="1862" spans="1:15" x14ac:dyDescent="0.3">
      <c r="A1862">
        <v>202707</v>
      </c>
      <c r="B1862" t="s">
        <v>71</v>
      </c>
      <c r="C1862" s="2">
        <v>45976</v>
      </c>
      <c r="D1862" s="2">
        <f t="shared" si="178"/>
        <v>46006</v>
      </c>
      <c r="E1862" s="1">
        <f>D1862</f>
        <v>46006</v>
      </c>
      <c r="F1862">
        <v>4995</v>
      </c>
      <c r="G1862">
        <v>30</v>
      </c>
      <c r="H1862">
        <f t="shared" si="177"/>
        <v>0</v>
      </c>
      <c r="I1862" t="str">
        <f t="shared" si="175"/>
        <v>On Time</v>
      </c>
      <c r="J1862" cm="1">
        <f t="array" ref="J1862">_xlfn.IFS(H1862&lt;30,0,H1862&lt;60,1,H1862&lt;90,2,H1862&lt;120,3)</f>
        <v>0</v>
      </c>
      <c r="M1862" t="str">
        <f t="shared" si="176"/>
        <v>Low</v>
      </c>
      <c r="N1862" t="str">
        <f t="shared" si="179"/>
        <v>Nov</v>
      </c>
      <c r="O1862">
        <f t="shared" si="180"/>
        <v>2025</v>
      </c>
    </row>
    <row r="1863" spans="1:15" x14ac:dyDescent="0.3">
      <c r="A1863">
        <v>202708</v>
      </c>
      <c r="B1863" t="s">
        <v>72</v>
      </c>
      <c r="C1863" s="2">
        <v>45976</v>
      </c>
      <c r="D1863" s="2">
        <f t="shared" si="178"/>
        <v>46006</v>
      </c>
      <c r="E1863" s="1">
        <f>D1863+3</f>
        <v>46009</v>
      </c>
      <c r="F1863">
        <v>2320</v>
      </c>
      <c r="G1863">
        <v>30</v>
      </c>
      <c r="H1863">
        <f t="shared" si="177"/>
        <v>0</v>
      </c>
      <c r="I1863" t="str">
        <f t="shared" si="175"/>
        <v>On Time</v>
      </c>
      <c r="J1863" cm="1">
        <f t="array" ref="J1863">_xlfn.IFS(H1863&lt;30,0,H1863&lt;60,1,H1863&lt;90,2,H1863&lt;120,3)</f>
        <v>0</v>
      </c>
      <c r="M1863" t="str">
        <f t="shared" si="176"/>
        <v>Low</v>
      </c>
      <c r="N1863" t="str">
        <f t="shared" si="179"/>
        <v>Nov</v>
      </c>
      <c r="O1863">
        <f t="shared" si="180"/>
        <v>2025</v>
      </c>
    </row>
    <row r="1864" spans="1:15" x14ac:dyDescent="0.3">
      <c r="A1864">
        <v>202709</v>
      </c>
      <c r="B1864" t="s">
        <v>73</v>
      </c>
      <c r="C1864" s="2">
        <v>45976</v>
      </c>
      <c r="D1864" s="2">
        <f t="shared" si="178"/>
        <v>46021</v>
      </c>
      <c r="E1864" s="1">
        <f>D1864+1</f>
        <v>46022</v>
      </c>
      <c r="F1864">
        <v>3997</v>
      </c>
      <c r="G1864">
        <v>45</v>
      </c>
      <c r="H1864">
        <f t="shared" si="177"/>
        <v>0</v>
      </c>
      <c r="I1864" t="str">
        <f t="shared" si="175"/>
        <v>On Time</v>
      </c>
      <c r="J1864" cm="1">
        <f t="array" ref="J1864">_xlfn.IFS(H1864&lt;30,0,H1864&lt;60,1,H1864&lt;90,2,H1864&lt;120,3)</f>
        <v>0</v>
      </c>
      <c r="M1864" t="str">
        <f t="shared" si="176"/>
        <v>Low</v>
      </c>
      <c r="N1864" t="str">
        <f t="shared" si="179"/>
        <v>Nov</v>
      </c>
      <c r="O1864">
        <f t="shared" si="180"/>
        <v>2025</v>
      </c>
    </row>
    <row r="1865" spans="1:15" x14ac:dyDescent="0.3">
      <c r="A1865">
        <v>202672</v>
      </c>
      <c r="B1865" t="s">
        <v>119</v>
      </c>
      <c r="C1865" s="2">
        <v>45975</v>
      </c>
      <c r="D1865" s="2">
        <f t="shared" si="178"/>
        <v>46005</v>
      </c>
      <c r="E1865" s="1">
        <f>D1865+57</f>
        <v>46062</v>
      </c>
      <c r="F1865">
        <v>2803</v>
      </c>
      <c r="G1865">
        <v>30</v>
      </c>
      <c r="H1865">
        <f t="shared" si="177"/>
        <v>0</v>
      </c>
      <c r="I1865" t="str">
        <f t="shared" si="175"/>
        <v>On Time</v>
      </c>
      <c r="J1865" cm="1">
        <f t="array" ref="J1865">_xlfn.IFS(H1865&lt;30,0,H1865&lt;60,1,H1865&lt;90,2,H1865&lt;120,3)</f>
        <v>0</v>
      </c>
      <c r="M1865" t="str">
        <f t="shared" si="176"/>
        <v>Low</v>
      </c>
      <c r="N1865" t="str">
        <f t="shared" si="179"/>
        <v>Nov</v>
      </c>
      <c r="O1865">
        <f t="shared" si="180"/>
        <v>2025</v>
      </c>
    </row>
    <row r="1866" spans="1:15" x14ac:dyDescent="0.3">
      <c r="A1866">
        <v>202673</v>
      </c>
      <c r="B1866" t="s">
        <v>31</v>
      </c>
      <c r="C1866" s="2">
        <v>45975</v>
      </c>
      <c r="D1866" s="2">
        <f t="shared" si="178"/>
        <v>46020</v>
      </c>
      <c r="E1866" s="1">
        <f>D1866</f>
        <v>46020</v>
      </c>
      <c r="F1866">
        <v>2471</v>
      </c>
      <c r="G1866">
        <v>45</v>
      </c>
      <c r="H1866">
        <f t="shared" si="177"/>
        <v>0</v>
      </c>
      <c r="I1866" t="str">
        <f t="shared" si="175"/>
        <v>On Time</v>
      </c>
      <c r="J1866" cm="1">
        <f t="array" ref="J1866">_xlfn.IFS(H1866&lt;30,0,H1866&lt;60,1,H1866&lt;90,2,H1866&lt;120,3)</f>
        <v>0</v>
      </c>
      <c r="M1866" t="str">
        <f t="shared" si="176"/>
        <v>Low</v>
      </c>
      <c r="N1866" t="str">
        <f t="shared" si="179"/>
        <v>Nov</v>
      </c>
      <c r="O1866">
        <f t="shared" si="180"/>
        <v>2025</v>
      </c>
    </row>
    <row r="1867" spans="1:15" x14ac:dyDescent="0.3">
      <c r="A1867">
        <v>202674</v>
      </c>
      <c r="B1867" t="s">
        <v>32</v>
      </c>
      <c r="C1867" s="2">
        <v>45975</v>
      </c>
      <c r="D1867" s="2">
        <f t="shared" si="178"/>
        <v>46020</v>
      </c>
      <c r="F1867">
        <v>627</v>
      </c>
      <c r="G1867">
        <v>45</v>
      </c>
      <c r="H1867">
        <f t="shared" si="177"/>
        <v>0</v>
      </c>
      <c r="I1867" t="str">
        <f t="shared" si="175"/>
        <v>On Time</v>
      </c>
      <c r="J1867" cm="1">
        <f t="array" ref="J1867">_xlfn.IFS(H1867&lt;30,0,H1867&lt;60,1,H1867&lt;90,2,H1867&lt;120,3)</f>
        <v>0</v>
      </c>
      <c r="M1867" t="str">
        <f t="shared" si="176"/>
        <v>Low</v>
      </c>
      <c r="N1867" t="str">
        <f t="shared" si="179"/>
        <v>Nov</v>
      </c>
      <c r="O1867">
        <f t="shared" si="180"/>
        <v>2025</v>
      </c>
    </row>
    <row r="1868" spans="1:15" x14ac:dyDescent="0.3">
      <c r="A1868">
        <v>202675</v>
      </c>
      <c r="B1868" t="s">
        <v>33</v>
      </c>
      <c r="C1868" s="2">
        <v>45975</v>
      </c>
      <c r="D1868" s="2">
        <f t="shared" si="178"/>
        <v>46005</v>
      </c>
      <c r="E1868" s="1">
        <f>D1868+3</f>
        <v>46008</v>
      </c>
      <c r="F1868">
        <v>1698</v>
      </c>
      <c r="G1868">
        <v>30</v>
      </c>
      <c r="H1868">
        <f t="shared" si="177"/>
        <v>0</v>
      </c>
      <c r="I1868" t="str">
        <f t="shared" si="175"/>
        <v>On Time</v>
      </c>
      <c r="J1868" cm="1">
        <f t="array" ref="J1868">_xlfn.IFS(H1868&lt;30,0,H1868&lt;60,1,H1868&lt;90,2,H1868&lt;120,3)</f>
        <v>0</v>
      </c>
      <c r="M1868" t="str">
        <f t="shared" si="176"/>
        <v>Low</v>
      </c>
      <c r="N1868" t="str">
        <f t="shared" si="179"/>
        <v>Nov</v>
      </c>
      <c r="O1868">
        <f t="shared" si="180"/>
        <v>2025</v>
      </c>
    </row>
    <row r="1869" spans="1:15" x14ac:dyDescent="0.3">
      <c r="A1869">
        <v>202676</v>
      </c>
      <c r="B1869" t="s">
        <v>34</v>
      </c>
      <c r="C1869" s="2">
        <v>45975</v>
      </c>
      <c r="D1869" s="2">
        <f t="shared" si="178"/>
        <v>46035</v>
      </c>
      <c r="E1869" s="1">
        <f>D1869+1</f>
        <v>46036</v>
      </c>
      <c r="F1869">
        <v>1320</v>
      </c>
      <c r="G1869">
        <v>60</v>
      </c>
      <c r="H1869">
        <f t="shared" si="177"/>
        <v>0</v>
      </c>
      <c r="I1869" t="str">
        <f t="shared" si="175"/>
        <v>On Time</v>
      </c>
      <c r="J1869" cm="1">
        <f t="array" ref="J1869">_xlfn.IFS(H1869&lt;30,0,H1869&lt;60,1,H1869&lt;90,2,H1869&lt;120,3)</f>
        <v>0</v>
      </c>
      <c r="M1869" t="str">
        <f t="shared" si="176"/>
        <v>Low</v>
      </c>
      <c r="N1869" t="str">
        <f t="shared" si="179"/>
        <v>Nov</v>
      </c>
      <c r="O1869">
        <f t="shared" si="180"/>
        <v>2025</v>
      </c>
    </row>
    <row r="1870" spans="1:15" x14ac:dyDescent="0.3">
      <c r="A1870">
        <v>202677</v>
      </c>
      <c r="B1870" t="s">
        <v>35</v>
      </c>
      <c r="C1870" s="2">
        <v>45975</v>
      </c>
      <c r="D1870" s="2">
        <f t="shared" si="178"/>
        <v>46020</v>
      </c>
      <c r="E1870" s="1">
        <f>D1870-1</f>
        <v>46019</v>
      </c>
      <c r="F1870">
        <v>7532</v>
      </c>
      <c r="G1870">
        <v>45</v>
      </c>
      <c r="H1870">
        <f t="shared" si="177"/>
        <v>0</v>
      </c>
      <c r="I1870" t="str">
        <f t="shared" si="175"/>
        <v>On Time</v>
      </c>
      <c r="J1870" cm="1">
        <f t="array" ref="J1870">_xlfn.IFS(H1870&lt;30,0,H1870&lt;60,1,H1870&lt;90,2,H1870&lt;120,3)</f>
        <v>0</v>
      </c>
      <c r="M1870" t="str">
        <f t="shared" si="176"/>
        <v>Low</v>
      </c>
      <c r="N1870" t="str">
        <f t="shared" si="179"/>
        <v>Nov</v>
      </c>
      <c r="O1870">
        <f t="shared" si="180"/>
        <v>2025</v>
      </c>
    </row>
    <row r="1871" spans="1:15" x14ac:dyDescent="0.3">
      <c r="A1871">
        <v>202678</v>
      </c>
      <c r="B1871" t="s">
        <v>36</v>
      </c>
      <c r="C1871" s="2">
        <v>45975</v>
      </c>
      <c r="D1871" s="2">
        <f t="shared" si="178"/>
        <v>46005</v>
      </c>
      <c r="E1871" s="1">
        <f>D1871</f>
        <v>46005</v>
      </c>
      <c r="F1871">
        <v>3414</v>
      </c>
      <c r="G1871">
        <v>30</v>
      </c>
      <c r="H1871">
        <f t="shared" si="177"/>
        <v>0</v>
      </c>
      <c r="I1871" t="str">
        <f t="shared" si="175"/>
        <v>On Time</v>
      </c>
      <c r="J1871" cm="1">
        <f t="array" ref="J1871">_xlfn.IFS(H1871&lt;30,0,H1871&lt;60,1,H1871&lt;90,2,H1871&lt;120,3)</f>
        <v>0</v>
      </c>
      <c r="M1871" t="str">
        <f t="shared" si="176"/>
        <v>Low</v>
      </c>
      <c r="N1871" t="str">
        <f t="shared" si="179"/>
        <v>Nov</v>
      </c>
      <c r="O1871">
        <f t="shared" si="180"/>
        <v>2025</v>
      </c>
    </row>
    <row r="1872" spans="1:15" x14ac:dyDescent="0.3">
      <c r="A1872">
        <v>202679</v>
      </c>
      <c r="B1872" t="s">
        <v>64</v>
      </c>
      <c r="C1872" s="2">
        <v>45975</v>
      </c>
      <c r="D1872" s="2">
        <f t="shared" si="178"/>
        <v>46005</v>
      </c>
      <c r="E1872" s="1">
        <f>D1872-5</f>
        <v>46000</v>
      </c>
      <c r="F1872">
        <v>5942</v>
      </c>
      <c r="G1872">
        <v>30</v>
      </c>
      <c r="H1872">
        <f t="shared" si="177"/>
        <v>0</v>
      </c>
      <c r="I1872" t="str">
        <f t="shared" si="175"/>
        <v>On Time</v>
      </c>
      <c r="J1872" cm="1">
        <f t="array" ref="J1872">_xlfn.IFS(H1872&lt;30,0,H1872&lt;60,1,H1872&lt;90,2,H1872&lt;120,3)</f>
        <v>0</v>
      </c>
      <c r="M1872" t="str">
        <f t="shared" si="176"/>
        <v>Low</v>
      </c>
      <c r="N1872" t="str">
        <f t="shared" si="179"/>
        <v>Nov</v>
      </c>
      <c r="O1872">
        <f t="shared" si="180"/>
        <v>2025</v>
      </c>
    </row>
    <row r="1873" spans="1:15" x14ac:dyDescent="0.3">
      <c r="A1873">
        <v>202680</v>
      </c>
      <c r="B1873" t="s">
        <v>45</v>
      </c>
      <c r="C1873" s="2">
        <v>45975</v>
      </c>
      <c r="D1873" s="2">
        <f t="shared" si="178"/>
        <v>46020</v>
      </c>
      <c r="E1873" s="1">
        <f>D1873+35</f>
        <v>46055</v>
      </c>
      <c r="F1873">
        <v>914</v>
      </c>
      <c r="G1873">
        <v>45</v>
      </c>
      <c r="H1873">
        <f t="shared" si="177"/>
        <v>0</v>
      </c>
      <c r="I1873" t="str">
        <f t="shared" si="175"/>
        <v>On Time</v>
      </c>
      <c r="J1873" cm="1">
        <f t="array" ref="J1873">_xlfn.IFS(H1873&lt;30,0,H1873&lt;60,1,H1873&lt;90,2,H1873&lt;120,3)</f>
        <v>0</v>
      </c>
      <c r="M1873" t="str">
        <f t="shared" si="176"/>
        <v>Low</v>
      </c>
      <c r="N1873" t="str">
        <f t="shared" si="179"/>
        <v>Nov</v>
      </c>
      <c r="O1873">
        <f t="shared" si="180"/>
        <v>2025</v>
      </c>
    </row>
    <row r="1874" spans="1:15" x14ac:dyDescent="0.3">
      <c r="A1874">
        <v>202681</v>
      </c>
      <c r="B1874" t="s">
        <v>46</v>
      </c>
      <c r="C1874" s="2">
        <v>45975</v>
      </c>
      <c r="D1874" s="2">
        <f t="shared" si="178"/>
        <v>46035</v>
      </c>
      <c r="E1874" s="1">
        <f>D1874+75</f>
        <v>46110</v>
      </c>
      <c r="F1874">
        <v>1521</v>
      </c>
      <c r="G1874">
        <v>60</v>
      </c>
      <c r="H1874">
        <f t="shared" si="177"/>
        <v>0</v>
      </c>
      <c r="I1874" t="str">
        <f t="shared" si="175"/>
        <v>On Time</v>
      </c>
      <c r="J1874" cm="1">
        <f t="array" ref="J1874">_xlfn.IFS(H1874&lt;30,0,H1874&lt;60,1,H1874&lt;90,2,H1874&lt;120,3)</f>
        <v>0</v>
      </c>
      <c r="M1874" t="str">
        <f t="shared" si="176"/>
        <v>Low</v>
      </c>
      <c r="N1874" t="str">
        <f t="shared" si="179"/>
        <v>Nov</v>
      </c>
      <c r="O1874">
        <f t="shared" si="180"/>
        <v>2025</v>
      </c>
    </row>
    <row r="1875" spans="1:15" x14ac:dyDescent="0.3">
      <c r="A1875">
        <v>202682</v>
      </c>
      <c r="B1875" t="s">
        <v>114</v>
      </c>
      <c r="C1875" s="2">
        <v>45975</v>
      </c>
      <c r="D1875" s="2">
        <f t="shared" si="178"/>
        <v>46005</v>
      </c>
      <c r="E1875" s="1">
        <f>D1875+5</f>
        <v>46010</v>
      </c>
      <c r="F1875">
        <v>1413</v>
      </c>
      <c r="G1875">
        <v>30</v>
      </c>
      <c r="H1875">
        <f t="shared" si="177"/>
        <v>0</v>
      </c>
      <c r="I1875" t="str">
        <f t="shared" si="175"/>
        <v>On Time</v>
      </c>
      <c r="J1875" cm="1">
        <f t="array" ref="J1875">_xlfn.IFS(H1875&lt;30,0,H1875&lt;60,1,H1875&lt;90,2,H1875&lt;120,3)</f>
        <v>0</v>
      </c>
      <c r="M1875" t="str">
        <f t="shared" si="176"/>
        <v>Low</v>
      </c>
      <c r="N1875" t="str">
        <f t="shared" si="179"/>
        <v>Nov</v>
      </c>
      <c r="O1875">
        <f t="shared" si="180"/>
        <v>2025</v>
      </c>
    </row>
    <row r="1876" spans="1:15" x14ac:dyDescent="0.3">
      <c r="A1876">
        <v>202683</v>
      </c>
      <c r="B1876" t="s">
        <v>115</v>
      </c>
      <c r="C1876" s="2">
        <v>45975</v>
      </c>
      <c r="D1876" s="2">
        <f t="shared" si="178"/>
        <v>46005</v>
      </c>
      <c r="E1876" s="1">
        <f>D1876</f>
        <v>46005</v>
      </c>
      <c r="F1876">
        <v>4354</v>
      </c>
      <c r="G1876">
        <v>30</v>
      </c>
      <c r="H1876">
        <f t="shared" si="177"/>
        <v>0</v>
      </c>
      <c r="I1876" t="str">
        <f t="shared" si="175"/>
        <v>On Time</v>
      </c>
      <c r="J1876" cm="1">
        <f t="array" ref="J1876">_xlfn.IFS(H1876&lt;30,0,H1876&lt;60,1,H1876&lt;90,2,H1876&lt;120,3)</f>
        <v>0</v>
      </c>
      <c r="M1876" t="str">
        <f t="shared" si="176"/>
        <v>Low</v>
      </c>
      <c r="N1876" t="str">
        <f t="shared" si="179"/>
        <v>Nov</v>
      </c>
      <c r="O1876">
        <f t="shared" si="180"/>
        <v>2025</v>
      </c>
    </row>
    <row r="1877" spans="1:15" x14ac:dyDescent="0.3">
      <c r="A1877">
        <v>202684</v>
      </c>
      <c r="B1877" t="s">
        <v>116</v>
      </c>
      <c r="C1877" s="2">
        <v>45975</v>
      </c>
      <c r="D1877" s="2">
        <f t="shared" si="178"/>
        <v>46005</v>
      </c>
      <c r="E1877" s="1">
        <f>D1877-1</f>
        <v>46004</v>
      </c>
      <c r="F1877">
        <v>3703</v>
      </c>
      <c r="G1877">
        <v>30</v>
      </c>
      <c r="H1877">
        <f t="shared" si="177"/>
        <v>0</v>
      </c>
      <c r="I1877" t="str">
        <f t="shared" si="175"/>
        <v>On Time</v>
      </c>
      <c r="J1877" cm="1">
        <f t="array" ref="J1877">_xlfn.IFS(H1877&lt;30,0,H1877&lt;60,1,H1877&lt;90,2,H1877&lt;120,3)</f>
        <v>0</v>
      </c>
      <c r="M1877" t="str">
        <f t="shared" si="176"/>
        <v>Low</v>
      </c>
      <c r="N1877" t="str">
        <f t="shared" si="179"/>
        <v>Nov</v>
      </c>
      <c r="O1877">
        <f t="shared" si="180"/>
        <v>2025</v>
      </c>
    </row>
    <row r="1878" spans="1:15" x14ac:dyDescent="0.3">
      <c r="A1878">
        <v>202685</v>
      </c>
      <c r="B1878" t="s">
        <v>117</v>
      </c>
      <c r="C1878" s="2">
        <v>45975</v>
      </c>
      <c r="D1878" s="2">
        <f t="shared" si="178"/>
        <v>46005</v>
      </c>
      <c r="E1878" s="1">
        <f>D1878</f>
        <v>46005</v>
      </c>
      <c r="F1878">
        <v>564</v>
      </c>
      <c r="G1878">
        <v>30</v>
      </c>
      <c r="H1878">
        <f t="shared" si="177"/>
        <v>0</v>
      </c>
      <c r="I1878" t="str">
        <f t="shared" ref="I1878:I1941" si="181">IF(H1878=0,"On Time",IF(H1878&lt;=15,"Paid Late","Seriously Late"))</f>
        <v>On Time</v>
      </c>
      <c r="J1878" cm="1">
        <f t="array" ref="J1878">_xlfn.IFS(H1878&lt;30,0,H1878&lt;60,1,H1878&lt;90,2,H1878&lt;120,3)</f>
        <v>0</v>
      </c>
      <c r="M1878" t="str">
        <f t="shared" ref="M1878:M1941" si="182">IF(H1878&gt;30,"High",IF(H1878&gt;10,"Medium","Low"))</f>
        <v>Low</v>
      </c>
      <c r="N1878" t="str">
        <f t="shared" si="179"/>
        <v>Nov</v>
      </c>
      <c r="O1878">
        <f t="shared" si="180"/>
        <v>2025</v>
      </c>
    </row>
    <row r="1879" spans="1:15" x14ac:dyDescent="0.3">
      <c r="A1879">
        <v>202686</v>
      </c>
      <c r="B1879" t="s">
        <v>118</v>
      </c>
      <c r="C1879" s="2">
        <v>45975</v>
      </c>
      <c r="D1879" s="2">
        <f t="shared" si="178"/>
        <v>46005</v>
      </c>
      <c r="E1879" s="1">
        <f>D1879+32</f>
        <v>46037</v>
      </c>
      <c r="F1879">
        <v>3988</v>
      </c>
      <c r="G1879">
        <v>30</v>
      </c>
      <c r="H1879">
        <f t="shared" si="177"/>
        <v>0</v>
      </c>
      <c r="I1879" t="str">
        <f t="shared" si="181"/>
        <v>On Time</v>
      </c>
      <c r="J1879" cm="1">
        <f t="array" ref="J1879">_xlfn.IFS(H1879&lt;30,0,H1879&lt;60,1,H1879&lt;90,2,H1879&lt;120,3)</f>
        <v>0</v>
      </c>
      <c r="M1879" t="str">
        <f t="shared" si="182"/>
        <v>Low</v>
      </c>
      <c r="N1879" t="str">
        <f t="shared" si="179"/>
        <v>Nov</v>
      </c>
      <c r="O1879">
        <f t="shared" si="180"/>
        <v>2025</v>
      </c>
    </row>
    <row r="1880" spans="1:15" x14ac:dyDescent="0.3">
      <c r="A1880">
        <v>202687</v>
      </c>
      <c r="B1880" t="s">
        <v>119</v>
      </c>
      <c r="C1880" s="2">
        <v>45975</v>
      </c>
      <c r="D1880" s="2">
        <f t="shared" si="178"/>
        <v>46005</v>
      </c>
      <c r="E1880" s="1">
        <f>D1880+15</f>
        <v>46020</v>
      </c>
      <c r="F1880">
        <v>148</v>
      </c>
      <c r="G1880">
        <v>30</v>
      </c>
      <c r="H1880">
        <f t="shared" si="177"/>
        <v>0</v>
      </c>
      <c r="I1880" t="str">
        <f t="shared" si="181"/>
        <v>On Time</v>
      </c>
      <c r="J1880" cm="1">
        <f t="array" ref="J1880">_xlfn.IFS(H1880&lt;30,0,H1880&lt;60,1,H1880&lt;90,2,H1880&lt;120,3)</f>
        <v>0</v>
      </c>
      <c r="M1880" t="str">
        <f t="shared" si="182"/>
        <v>Low</v>
      </c>
      <c r="N1880" t="str">
        <f t="shared" si="179"/>
        <v>Nov</v>
      </c>
      <c r="O1880">
        <f t="shared" si="180"/>
        <v>2025</v>
      </c>
    </row>
    <row r="1881" spans="1:15" x14ac:dyDescent="0.3">
      <c r="A1881">
        <v>202688</v>
      </c>
      <c r="B1881" t="s">
        <v>100</v>
      </c>
      <c r="C1881" s="2">
        <v>45975</v>
      </c>
      <c r="D1881" s="2">
        <f t="shared" si="178"/>
        <v>46005</v>
      </c>
      <c r="E1881" s="1">
        <f>D1881</f>
        <v>46005</v>
      </c>
      <c r="F1881">
        <v>4103</v>
      </c>
      <c r="G1881">
        <v>30</v>
      </c>
      <c r="H1881">
        <f t="shared" si="177"/>
        <v>0</v>
      </c>
      <c r="I1881" t="str">
        <f t="shared" si="181"/>
        <v>On Time</v>
      </c>
      <c r="J1881" cm="1">
        <f t="array" ref="J1881">_xlfn.IFS(H1881&lt;30,0,H1881&lt;60,1,H1881&lt;90,2,H1881&lt;120,3)</f>
        <v>0</v>
      </c>
      <c r="M1881" t="str">
        <f t="shared" si="182"/>
        <v>Low</v>
      </c>
      <c r="N1881" t="str">
        <f t="shared" si="179"/>
        <v>Nov</v>
      </c>
      <c r="O1881">
        <f t="shared" si="180"/>
        <v>2025</v>
      </c>
    </row>
    <row r="1882" spans="1:15" x14ac:dyDescent="0.3">
      <c r="A1882">
        <v>202689</v>
      </c>
      <c r="B1882" t="s">
        <v>101</v>
      </c>
      <c r="C1882" s="2">
        <v>45975</v>
      </c>
      <c r="D1882" s="2">
        <f t="shared" si="178"/>
        <v>46005</v>
      </c>
      <c r="E1882" s="1">
        <f>D1882-2</f>
        <v>46003</v>
      </c>
      <c r="F1882">
        <v>1583</v>
      </c>
      <c r="G1882">
        <v>30</v>
      </c>
      <c r="H1882">
        <f t="shared" si="177"/>
        <v>0</v>
      </c>
      <c r="I1882" t="str">
        <f t="shared" si="181"/>
        <v>On Time</v>
      </c>
      <c r="J1882" cm="1">
        <f t="array" ref="J1882">_xlfn.IFS(H1882&lt;30,0,H1882&lt;60,1,H1882&lt;90,2,H1882&lt;120,3)</f>
        <v>0</v>
      </c>
      <c r="M1882" t="str">
        <f t="shared" si="182"/>
        <v>Low</v>
      </c>
      <c r="N1882" t="str">
        <f t="shared" si="179"/>
        <v>Nov</v>
      </c>
      <c r="O1882">
        <f t="shared" si="180"/>
        <v>2025</v>
      </c>
    </row>
    <row r="1883" spans="1:15" x14ac:dyDescent="0.3">
      <c r="A1883">
        <v>202690</v>
      </c>
      <c r="B1883" t="s">
        <v>102</v>
      </c>
      <c r="C1883" s="2">
        <v>45975</v>
      </c>
      <c r="D1883" s="2">
        <f t="shared" si="178"/>
        <v>46005</v>
      </c>
      <c r="E1883" s="1">
        <f>D1883</f>
        <v>46005</v>
      </c>
      <c r="F1883">
        <v>941</v>
      </c>
      <c r="G1883">
        <v>30</v>
      </c>
      <c r="H1883">
        <f t="shared" si="177"/>
        <v>0</v>
      </c>
      <c r="I1883" t="str">
        <f t="shared" si="181"/>
        <v>On Time</v>
      </c>
      <c r="J1883" cm="1">
        <f t="array" ref="J1883">_xlfn.IFS(H1883&lt;30,0,H1883&lt;60,1,H1883&lt;90,2,H1883&lt;120,3)</f>
        <v>0</v>
      </c>
      <c r="M1883" t="str">
        <f t="shared" si="182"/>
        <v>Low</v>
      </c>
      <c r="N1883" t="str">
        <f t="shared" si="179"/>
        <v>Nov</v>
      </c>
      <c r="O1883">
        <f t="shared" si="180"/>
        <v>2025</v>
      </c>
    </row>
    <row r="1884" spans="1:15" x14ac:dyDescent="0.3">
      <c r="A1884">
        <v>202691</v>
      </c>
      <c r="B1884" t="s">
        <v>103</v>
      </c>
      <c r="C1884" s="2">
        <v>45975</v>
      </c>
      <c r="D1884" s="2">
        <f t="shared" si="178"/>
        <v>46005</v>
      </c>
      <c r="E1884" s="1">
        <f>D1884+2</f>
        <v>46007</v>
      </c>
      <c r="F1884">
        <v>10399</v>
      </c>
      <c r="G1884">
        <v>30</v>
      </c>
      <c r="H1884">
        <f t="shared" si="177"/>
        <v>0</v>
      </c>
      <c r="I1884" t="str">
        <f t="shared" si="181"/>
        <v>On Time</v>
      </c>
      <c r="J1884" cm="1">
        <f t="array" ref="J1884">_xlfn.IFS(H1884&lt;30,0,H1884&lt;60,1,H1884&lt;90,2,H1884&lt;120,3)</f>
        <v>0</v>
      </c>
      <c r="M1884" t="str">
        <f t="shared" si="182"/>
        <v>Low</v>
      </c>
      <c r="N1884" t="str">
        <f t="shared" si="179"/>
        <v>Nov</v>
      </c>
      <c r="O1884">
        <f t="shared" si="180"/>
        <v>2025</v>
      </c>
    </row>
    <row r="1885" spans="1:15" x14ac:dyDescent="0.3">
      <c r="A1885">
        <v>202692</v>
      </c>
      <c r="B1885" t="s">
        <v>104</v>
      </c>
      <c r="C1885" s="2">
        <v>45975</v>
      </c>
      <c r="D1885" s="2">
        <f t="shared" si="178"/>
        <v>46005</v>
      </c>
      <c r="E1885" s="1">
        <f>D1885+2</f>
        <v>46007</v>
      </c>
      <c r="F1885">
        <v>3855</v>
      </c>
      <c r="G1885">
        <v>30</v>
      </c>
      <c r="H1885">
        <f t="shared" si="177"/>
        <v>0</v>
      </c>
      <c r="I1885" t="str">
        <f t="shared" si="181"/>
        <v>On Time</v>
      </c>
      <c r="J1885" cm="1">
        <f t="array" ref="J1885">_xlfn.IFS(H1885&lt;30,0,H1885&lt;60,1,H1885&lt;90,2,H1885&lt;120,3)</f>
        <v>0</v>
      </c>
      <c r="M1885" t="str">
        <f t="shared" si="182"/>
        <v>Low</v>
      </c>
      <c r="N1885" t="str">
        <f t="shared" si="179"/>
        <v>Nov</v>
      </c>
      <c r="O1885">
        <f t="shared" si="180"/>
        <v>2025</v>
      </c>
    </row>
    <row r="1886" spans="1:15" x14ac:dyDescent="0.3">
      <c r="A1886">
        <v>202652</v>
      </c>
      <c r="B1886" t="s">
        <v>64</v>
      </c>
      <c r="C1886" s="2">
        <v>45972</v>
      </c>
      <c r="D1886" s="2">
        <f t="shared" si="178"/>
        <v>46002</v>
      </c>
      <c r="E1886" s="1">
        <f>D1886</f>
        <v>46002</v>
      </c>
      <c r="F1886">
        <v>3666</v>
      </c>
      <c r="G1886">
        <v>30</v>
      </c>
      <c r="H1886">
        <f t="shared" si="177"/>
        <v>0</v>
      </c>
      <c r="I1886" t="str">
        <f t="shared" si="181"/>
        <v>On Time</v>
      </c>
      <c r="J1886" cm="1">
        <f t="array" ref="J1886">_xlfn.IFS(H1886&lt;30,0,H1886&lt;60,1,H1886&lt;90,2,H1886&lt;120,3)</f>
        <v>0</v>
      </c>
      <c r="M1886" t="str">
        <f t="shared" si="182"/>
        <v>Low</v>
      </c>
      <c r="N1886" t="str">
        <f t="shared" si="179"/>
        <v>Nov</v>
      </c>
      <c r="O1886">
        <f t="shared" si="180"/>
        <v>2025</v>
      </c>
    </row>
    <row r="1887" spans="1:15" x14ac:dyDescent="0.3">
      <c r="A1887">
        <v>202653</v>
      </c>
      <c r="B1887" t="s">
        <v>65</v>
      </c>
      <c r="C1887" s="2">
        <v>45972</v>
      </c>
      <c r="D1887" s="2">
        <f t="shared" si="178"/>
        <v>46017</v>
      </c>
      <c r="E1887" s="1">
        <f>D1887+32</f>
        <v>46049</v>
      </c>
      <c r="F1887">
        <v>2828</v>
      </c>
      <c r="G1887">
        <v>45</v>
      </c>
      <c r="H1887">
        <f t="shared" si="177"/>
        <v>0</v>
      </c>
      <c r="I1887" t="str">
        <f t="shared" si="181"/>
        <v>On Time</v>
      </c>
      <c r="J1887" cm="1">
        <f t="array" ref="J1887">_xlfn.IFS(H1887&lt;30,0,H1887&lt;60,1,H1887&lt;90,2,H1887&lt;120,3)</f>
        <v>0</v>
      </c>
      <c r="M1887" t="str">
        <f t="shared" si="182"/>
        <v>Low</v>
      </c>
      <c r="N1887" t="str">
        <f t="shared" si="179"/>
        <v>Nov</v>
      </c>
      <c r="O1887">
        <f t="shared" si="180"/>
        <v>2025</v>
      </c>
    </row>
    <row r="1888" spans="1:15" x14ac:dyDescent="0.3">
      <c r="A1888">
        <v>202654</v>
      </c>
      <c r="B1888" t="s">
        <v>66</v>
      </c>
      <c r="C1888" s="2">
        <v>45972</v>
      </c>
      <c r="D1888" s="2">
        <f t="shared" si="178"/>
        <v>46032</v>
      </c>
      <c r="E1888" s="1">
        <f>D1888+15</f>
        <v>46047</v>
      </c>
      <c r="F1888">
        <v>1186</v>
      </c>
      <c r="G1888">
        <v>60</v>
      </c>
      <c r="H1888">
        <f t="shared" si="177"/>
        <v>0</v>
      </c>
      <c r="I1888" t="str">
        <f t="shared" si="181"/>
        <v>On Time</v>
      </c>
      <c r="J1888" cm="1">
        <f t="array" ref="J1888">_xlfn.IFS(H1888&lt;30,0,H1888&lt;60,1,H1888&lt;90,2,H1888&lt;120,3)</f>
        <v>0</v>
      </c>
      <c r="M1888" t="str">
        <f t="shared" si="182"/>
        <v>Low</v>
      </c>
      <c r="N1888" t="str">
        <f t="shared" si="179"/>
        <v>Nov</v>
      </c>
      <c r="O1888">
        <f t="shared" si="180"/>
        <v>2025</v>
      </c>
    </row>
    <row r="1889" spans="1:15" x14ac:dyDescent="0.3">
      <c r="A1889">
        <v>202655</v>
      </c>
      <c r="B1889" t="s">
        <v>67</v>
      </c>
      <c r="C1889" s="2">
        <v>45972</v>
      </c>
      <c r="D1889" s="2">
        <f t="shared" si="178"/>
        <v>46002</v>
      </c>
      <c r="E1889" s="1">
        <f>D1889-2</f>
        <v>46000</v>
      </c>
      <c r="F1889">
        <v>3666</v>
      </c>
      <c r="G1889">
        <v>30</v>
      </c>
      <c r="H1889">
        <f t="shared" si="177"/>
        <v>0</v>
      </c>
      <c r="I1889" t="str">
        <f t="shared" si="181"/>
        <v>On Time</v>
      </c>
      <c r="J1889" cm="1">
        <f t="array" ref="J1889">_xlfn.IFS(H1889&lt;30,0,H1889&lt;60,1,H1889&lt;90,2,H1889&lt;120,3)</f>
        <v>0</v>
      </c>
      <c r="M1889" t="str">
        <f t="shared" si="182"/>
        <v>Low</v>
      </c>
      <c r="N1889" t="str">
        <f t="shared" si="179"/>
        <v>Nov</v>
      </c>
      <c r="O1889">
        <f t="shared" si="180"/>
        <v>2025</v>
      </c>
    </row>
    <row r="1890" spans="1:15" x14ac:dyDescent="0.3">
      <c r="A1890">
        <v>202656</v>
      </c>
      <c r="B1890" t="s">
        <v>68</v>
      </c>
      <c r="C1890" s="2">
        <v>45972</v>
      </c>
      <c r="D1890" s="2">
        <f t="shared" si="178"/>
        <v>46002</v>
      </c>
      <c r="E1890" s="1">
        <f>D1890-2</f>
        <v>46000</v>
      </c>
      <c r="F1890">
        <v>13207</v>
      </c>
      <c r="G1890">
        <v>30</v>
      </c>
      <c r="H1890">
        <f t="shared" si="177"/>
        <v>0</v>
      </c>
      <c r="I1890" t="str">
        <f t="shared" si="181"/>
        <v>On Time</v>
      </c>
      <c r="J1890" cm="1">
        <f t="array" ref="J1890">_xlfn.IFS(H1890&lt;30,0,H1890&lt;60,1,H1890&lt;90,2,H1890&lt;120,3)</f>
        <v>0</v>
      </c>
      <c r="M1890" t="str">
        <f t="shared" si="182"/>
        <v>Low</v>
      </c>
      <c r="N1890" t="str">
        <f t="shared" si="179"/>
        <v>Nov</v>
      </c>
      <c r="O1890">
        <f t="shared" si="180"/>
        <v>2025</v>
      </c>
    </row>
    <row r="1891" spans="1:15" x14ac:dyDescent="0.3">
      <c r="A1891">
        <v>202657</v>
      </c>
      <c r="B1891" t="s">
        <v>69</v>
      </c>
      <c r="C1891" s="2">
        <v>45972</v>
      </c>
      <c r="D1891" s="2">
        <f t="shared" si="178"/>
        <v>46002</v>
      </c>
      <c r="E1891" s="1">
        <f>D1891</f>
        <v>46002</v>
      </c>
      <c r="F1891">
        <v>1832</v>
      </c>
      <c r="G1891">
        <v>30</v>
      </c>
      <c r="H1891">
        <f t="shared" si="177"/>
        <v>0</v>
      </c>
      <c r="I1891" t="str">
        <f t="shared" si="181"/>
        <v>On Time</v>
      </c>
      <c r="J1891" cm="1">
        <f t="array" ref="J1891">_xlfn.IFS(H1891&lt;30,0,H1891&lt;60,1,H1891&lt;90,2,H1891&lt;120,3)</f>
        <v>0</v>
      </c>
      <c r="M1891" t="str">
        <f t="shared" si="182"/>
        <v>Low</v>
      </c>
      <c r="N1891" t="str">
        <f t="shared" si="179"/>
        <v>Nov</v>
      </c>
      <c r="O1891">
        <f t="shared" si="180"/>
        <v>2025</v>
      </c>
    </row>
    <row r="1892" spans="1:15" x14ac:dyDescent="0.3">
      <c r="A1892">
        <v>202658</v>
      </c>
      <c r="B1892" t="s">
        <v>70</v>
      </c>
      <c r="C1892" s="2">
        <v>45972</v>
      </c>
      <c r="D1892" s="2">
        <f t="shared" si="178"/>
        <v>46002</v>
      </c>
      <c r="E1892" s="1">
        <f>D1892+2</f>
        <v>46004</v>
      </c>
      <c r="F1892">
        <v>2945</v>
      </c>
      <c r="G1892">
        <v>30</v>
      </c>
      <c r="H1892">
        <f t="shared" si="177"/>
        <v>0</v>
      </c>
      <c r="I1892" t="str">
        <f t="shared" si="181"/>
        <v>On Time</v>
      </c>
      <c r="J1892" cm="1">
        <f t="array" ref="J1892">_xlfn.IFS(H1892&lt;30,0,H1892&lt;60,1,H1892&lt;90,2,H1892&lt;120,3)</f>
        <v>0</v>
      </c>
      <c r="M1892" t="str">
        <f t="shared" si="182"/>
        <v>Low</v>
      </c>
      <c r="N1892" t="str">
        <f t="shared" si="179"/>
        <v>Nov</v>
      </c>
      <c r="O1892">
        <f t="shared" si="180"/>
        <v>2025</v>
      </c>
    </row>
    <row r="1893" spans="1:15" x14ac:dyDescent="0.3">
      <c r="A1893">
        <v>202659</v>
      </c>
      <c r="B1893" t="s">
        <v>71</v>
      </c>
      <c r="C1893" s="2">
        <v>45972</v>
      </c>
      <c r="D1893" s="2">
        <f t="shared" si="178"/>
        <v>46002</v>
      </c>
      <c r="E1893" s="1">
        <f>D1893+2</f>
        <v>46004</v>
      </c>
      <c r="F1893">
        <v>962</v>
      </c>
      <c r="G1893">
        <v>30</v>
      </c>
      <c r="H1893">
        <f t="shared" si="177"/>
        <v>0</v>
      </c>
      <c r="I1893" t="str">
        <f t="shared" si="181"/>
        <v>On Time</v>
      </c>
      <c r="J1893" cm="1">
        <f t="array" ref="J1893">_xlfn.IFS(H1893&lt;30,0,H1893&lt;60,1,H1893&lt;90,2,H1893&lt;120,3)</f>
        <v>0</v>
      </c>
      <c r="M1893" t="str">
        <f t="shared" si="182"/>
        <v>Low</v>
      </c>
      <c r="N1893" t="str">
        <f t="shared" si="179"/>
        <v>Nov</v>
      </c>
      <c r="O1893">
        <f t="shared" si="180"/>
        <v>2025</v>
      </c>
    </row>
    <row r="1894" spans="1:15" x14ac:dyDescent="0.3">
      <c r="A1894">
        <v>202660</v>
      </c>
      <c r="B1894" t="s">
        <v>72</v>
      </c>
      <c r="C1894" s="2">
        <v>45972</v>
      </c>
      <c r="D1894" s="2">
        <f t="shared" si="178"/>
        <v>46002</v>
      </c>
      <c r="E1894" s="1">
        <f>D1894+2</f>
        <v>46004</v>
      </c>
      <c r="F1894">
        <v>2311</v>
      </c>
      <c r="G1894">
        <v>30</v>
      </c>
      <c r="H1894">
        <f t="shared" ref="H1894:H1957" si="183">MAX(0,P1859-D1894)</f>
        <v>0</v>
      </c>
      <c r="I1894" t="str">
        <f t="shared" si="181"/>
        <v>On Time</v>
      </c>
      <c r="J1894" cm="1">
        <f t="array" ref="J1894">_xlfn.IFS(H1894&lt;30,0,H1894&lt;60,1,H1894&lt;90,2,H1894&lt;120,3)</f>
        <v>0</v>
      </c>
      <c r="M1894" t="str">
        <f t="shared" si="182"/>
        <v>Low</v>
      </c>
      <c r="N1894" t="str">
        <f t="shared" si="179"/>
        <v>Nov</v>
      </c>
      <c r="O1894">
        <f t="shared" si="180"/>
        <v>2025</v>
      </c>
    </row>
    <row r="1895" spans="1:15" x14ac:dyDescent="0.3">
      <c r="A1895">
        <v>202661</v>
      </c>
      <c r="B1895" t="s">
        <v>73</v>
      </c>
      <c r="C1895" s="2">
        <v>45972</v>
      </c>
      <c r="D1895" s="2">
        <f t="shared" si="178"/>
        <v>46017</v>
      </c>
      <c r="E1895" s="1">
        <f>D1895</f>
        <v>46017</v>
      </c>
      <c r="F1895">
        <v>3410</v>
      </c>
      <c r="G1895">
        <v>45</v>
      </c>
      <c r="H1895">
        <f t="shared" si="183"/>
        <v>0</v>
      </c>
      <c r="I1895" t="str">
        <f t="shared" si="181"/>
        <v>On Time</v>
      </c>
      <c r="J1895" cm="1">
        <f t="array" ref="J1895">_xlfn.IFS(H1895&lt;30,0,H1895&lt;60,1,H1895&lt;90,2,H1895&lt;120,3)</f>
        <v>0</v>
      </c>
      <c r="M1895" t="str">
        <f t="shared" si="182"/>
        <v>Low</v>
      </c>
      <c r="N1895" t="str">
        <f t="shared" si="179"/>
        <v>Nov</v>
      </c>
      <c r="O1895">
        <f t="shared" si="180"/>
        <v>2025</v>
      </c>
    </row>
    <row r="1896" spans="1:15" x14ac:dyDescent="0.3">
      <c r="A1896">
        <v>202662</v>
      </c>
      <c r="B1896" t="s">
        <v>101</v>
      </c>
      <c r="C1896" s="2">
        <v>45972</v>
      </c>
      <c r="D1896" s="2">
        <f t="shared" si="178"/>
        <v>46002</v>
      </c>
      <c r="E1896" s="1">
        <f>D1896+20</f>
        <v>46022</v>
      </c>
      <c r="F1896">
        <v>238</v>
      </c>
      <c r="G1896">
        <v>30</v>
      </c>
      <c r="H1896">
        <f t="shared" si="183"/>
        <v>0</v>
      </c>
      <c r="I1896" t="str">
        <f t="shared" si="181"/>
        <v>On Time</v>
      </c>
      <c r="J1896" cm="1">
        <f t="array" ref="J1896">_xlfn.IFS(H1896&lt;30,0,H1896&lt;60,1,H1896&lt;90,2,H1896&lt;120,3)</f>
        <v>0</v>
      </c>
      <c r="M1896" t="str">
        <f t="shared" si="182"/>
        <v>Low</v>
      </c>
      <c r="N1896" t="str">
        <f t="shared" si="179"/>
        <v>Nov</v>
      </c>
      <c r="O1896">
        <f t="shared" si="180"/>
        <v>2025</v>
      </c>
    </row>
    <row r="1897" spans="1:15" x14ac:dyDescent="0.3">
      <c r="A1897">
        <v>202663</v>
      </c>
      <c r="B1897" t="s">
        <v>102</v>
      </c>
      <c r="C1897" s="2">
        <v>45972</v>
      </c>
      <c r="D1897" s="2">
        <f t="shared" si="178"/>
        <v>46002</v>
      </c>
      <c r="E1897" s="1">
        <f>D1897</f>
        <v>46002</v>
      </c>
      <c r="F1897">
        <v>435</v>
      </c>
      <c r="G1897">
        <v>30</v>
      </c>
      <c r="H1897">
        <f t="shared" si="183"/>
        <v>0</v>
      </c>
      <c r="I1897" t="str">
        <f t="shared" si="181"/>
        <v>On Time</v>
      </c>
      <c r="J1897" cm="1">
        <f t="array" ref="J1897">_xlfn.IFS(H1897&lt;30,0,H1897&lt;60,1,H1897&lt;90,2,H1897&lt;120,3)</f>
        <v>0</v>
      </c>
      <c r="M1897" t="str">
        <f t="shared" si="182"/>
        <v>Low</v>
      </c>
      <c r="N1897" t="str">
        <f t="shared" si="179"/>
        <v>Nov</v>
      </c>
      <c r="O1897">
        <f t="shared" si="180"/>
        <v>2025</v>
      </c>
    </row>
    <row r="1898" spans="1:15" x14ac:dyDescent="0.3">
      <c r="A1898">
        <v>202664</v>
      </c>
      <c r="B1898" t="s">
        <v>103</v>
      </c>
      <c r="C1898" s="2">
        <v>45972</v>
      </c>
      <c r="D1898" s="2">
        <f t="shared" si="178"/>
        <v>46002</v>
      </c>
      <c r="E1898" s="1">
        <f>D1898+1</f>
        <v>46003</v>
      </c>
      <c r="F1898">
        <v>8447</v>
      </c>
      <c r="G1898">
        <v>30</v>
      </c>
      <c r="H1898">
        <f t="shared" si="183"/>
        <v>0</v>
      </c>
      <c r="I1898" t="str">
        <f t="shared" si="181"/>
        <v>On Time</v>
      </c>
      <c r="J1898" cm="1">
        <f t="array" ref="J1898">_xlfn.IFS(H1898&lt;30,0,H1898&lt;60,1,H1898&lt;90,2,H1898&lt;120,3)</f>
        <v>0</v>
      </c>
      <c r="M1898" t="str">
        <f t="shared" si="182"/>
        <v>Low</v>
      </c>
      <c r="N1898" t="str">
        <f t="shared" si="179"/>
        <v>Nov</v>
      </c>
      <c r="O1898">
        <f t="shared" si="180"/>
        <v>2025</v>
      </c>
    </row>
    <row r="1899" spans="1:15" x14ac:dyDescent="0.3">
      <c r="A1899">
        <v>202665</v>
      </c>
      <c r="B1899" t="s">
        <v>104</v>
      </c>
      <c r="C1899" s="2">
        <v>45972</v>
      </c>
      <c r="D1899" s="2">
        <f t="shared" si="178"/>
        <v>46002</v>
      </c>
      <c r="E1899" s="1">
        <f>D1899</f>
        <v>46002</v>
      </c>
      <c r="F1899">
        <v>3552</v>
      </c>
      <c r="G1899">
        <v>30</v>
      </c>
      <c r="H1899">
        <f t="shared" si="183"/>
        <v>0</v>
      </c>
      <c r="I1899" t="str">
        <f t="shared" si="181"/>
        <v>On Time</v>
      </c>
      <c r="J1899" cm="1">
        <f t="array" ref="J1899">_xlfn.IFS(H1899&lt;30,0,H1899&lt;60,1,H1899&lt;90,2,H1899&lt;120,3)</f>
        <v>0</v>
      </c>
      <c r="M1899" t="str">
        <f t="shared" si="182"/>
        <v>Low</v>
      </c>
      <c r="N1899" t="str">
        <f t="shared" si="179"/>
        <v>Nov</v>
      </c>
      <c r="O1899">
        <f t="shared" si="180"/>
        <v>2025</v>
      </c>
    </row>
    <row r="1900" spans="1:15" x14ac:dyDescent="0.3">
      <c r="A1900">
        <v>202666</v>
      </c>
      <c r="B1900" t="s">
        <v>105</v>
      </c>
      <c r="C1900" s="2">
        <v>45972</v>
      </c>
      <c r="D1900" s="2">
        <f t="shared" si="178"/>
        <v>46002</v>
      </c>
      <c r="E1900" s="1">
        <f>D1900</f>
        <v>46002</v>
      </c>
      <c r="F1900">
        <v>1845</v>
      </c>
      <c r="G1900">
        <v>30</v>
      </c>
      <c r="H1900">
        <f t="shared" si="183"/>
        <v>0</v>
      </c>
      <c r="I1900" t="str">
        <f t="shared" si="181"/>
        <v>On Time</v>
      </c>
      <c r="J1900" cm="1">
        <f t="array" ref="J1900">_xlfn.IFS(H1900&lt;30,0,H1900&lt;60,1,H1900&lt;90,2,H1900&lt;120,3)</f>
        <v>0</v>
      </c>
      <c r="M1900" t="str">
        <f t="shared" si="182"/>
        <v>Low</v>
      </c>
      <c r="N1900" t="str">
        <f t="shared" si="179"/>
        <v>Nov</v>
      </c>
      <c r="O1900">
        <f t="shared" si="180"/>
        <v>2025</v>
      </c>
    </row>
    <row r="1901" spans="1:15" x14ac:dyDescent="0.3">
      <c r="A1901">
        <v>202667</v>
      </c>
      <c r="B1901" t="s">
        <v>114</v>
      </c>
      <c r="C1901" s="2">
        <v>45972</v>
      </c>
      <c r="D1901" s="2">
        <f t="shared" si="178"/>
        <v>46002</v>
      </c>
      <c r="E1901" s="1">
        <f>D1901+5</f>
        <v>46007</v>
      </c>
      <c r="F1901">
        <v>3400</v>
      </c>
      <c r="G1901">
        <v>30</v>
      </c>
      <c r="H1901">
        <f t="shared" si="183"/>
        <v>0</v>
      </c>
      <c r="I1901" t="str">
        <f t="shared" si="181"/>
        <v>On Time</v>
      </c>
      <c r="J1901" cm="1">
        <f t="array" ref="J1901">_xlfn.IFS(H1901&lt;30,0,H1901&lt;60,1,H1901&lt;90,2,H1901&lt;120,3)</f>
        <v>0</v>
      </c>
      <c r="M1901" t="str">
        <f t="shared" si="182"/>
        <v>Low</v>
      </c>
      <c r="N1901" t="str">
        <f t="shared" si="179"/>
        <v>Nov</v>
      </c>
      <c r="O1901">
        <f t="shared" si="180"/>
        <v>2025</v>
      </c>
    </row>
    <row r="1902" spans="1:15" x14ac:dyDescent="0.3">
      <c r="A1902">
        <v>202668</v>
      </c>
      <c r="B1902" t="s">
        <v>115</v>
      </c>
      <c r="C1902" s="2">
        <v>45972</v>
      </c>
      <c r="D1902" s="2">
        <f t="shared" si="178"/>
        <v>46002</v>
      </c>
      <c r="E1902" s="1">
        <f>D1902+2</f>
        <v>46004</v>
      </c>
      <c r="F1902">
        <v>3854</v>
      </c>
      <c r="G1902">
        <v>30</v>
      </c>
      <c r="H1902">
        <f t="shared" si="183"/>
        <v>0</v>
      </c>
      <c r="I1902" t="str">
        <f t="shared" si="181"/>
        <v>On Time</v>
      </c>
      <c r="J1902" cm="1">
        <f t="array" ref="J1902">_xlfn.IFS(H1902&lt;30,0,H1902&lt;60,1,H1902&lt;90,2,H1902&lt;120,3)</f>
        <v>0</v>
      </c>
      <c r="M1902" t="str">
        <f t="shared" si="182"/>
        <v>Low</v>
      </c>
      <c r="N1902" t="str">
        <f t="shared" si="179"/>
        <v>Nov</v>
      </c>
      <c r="O1902">
        <f t="shared" si="180"/>
        <v>2025</v>
      </c>
    </row>
    <row r="1903" spans="1:15" x14ac:dyDescent="0.3">
      <c r="A1903">
        <v>202669</v>
      </c>
      <c r="B1903" t="s">
        <v>116</v>
      </c>
      <c r="C1903" s="2">
        <v>45972</v>
      </c>
      <c r="D1903" s="2">
        <f t="shared" si="178"/>
        <v>46002</v>
      </c>
      <c r="E1903" s="1">
        <f>D1903+5</f>
        <v>46007</v>
      </c>
      <c r="F1903">
        <v>993</v>
      </c>
      <c r="G1903">
        <v>30</v>
      </c>
      <c r="H1903">
        <f t="shared" si="183"/>
        <v>0</v>
      </c>
      <c r="I1903" t="str">
        <f t="shared" si="181"/>
        <v>On Time</v>
      </c>
      <c r="J1903" cm="1">
        <f t="array" ref="J1903">_xlfn.IFS(H1903&lt;30,0,H1903&lt;60,1,H1903&lt;90,2,H1903&lt;120,3)</f>
        <v>0</v>
      </c>
      <c r="M1903" t="str">
        <f t="shared" si="182"/>
        <v>Low</v>
      </c>
      <c r="N1903" t="str">
        <f t="shared" si="179"/>
        <v>Nov</v>
      </c>
      <c r="O1903">
        <f t="shared" si="180"/>
        <v>2025</v>
      </c>
    </row>
    <row r="1904" spans="1:15" x14ac:dyDescent="0.3">
      <c r="A1904">
        <v>202670</v>
      </c>
      <c r="B1904" t="s">
        <v>117</v>
      </c>
      <c r="C1904" s="2">
        <v>45972</v>
      </c>
      <c r="D1904" s="2">
        <f t="shared" si="178"/>
        <v>46002</v>
      </c>
      <c r="E1904" s="1">
        <f>D1904</f>
        <v>46002</v>
      </c>
      <c r="F1904">
        <v>844</v>
      </c>
      <c r="G1904">
        <v>30</v>
      </c>
      <c r="H1904">
        <f t="shared" si="183"/>
        <v>0</v>
      </c>
      <c r="I1904" t="str">
        <f t="shared" si="181"/>
        <v>On Time</v>
      </c>
      <c r="J1904" cm="1">
        <f t="array" ref="J1904">_xlfn.IFS(H1904&lt;30,0,H1904&lt;60,1,H1904&lt;90,2,H1904&lt;120,3)</f>
        <v>0</v>
      </c>
      <c r="M1904" t="str">
        <f t="shared" si="182"/>
        <v>Low</v>
      </c>
      <c r="N1904" t="str">
        <f t="shared" si="179"/>
        <v>Nov</v>
      </c>
      <c r="O1904">
        <f t="shared" si="180"/>
        <v>2025</v>
      </c>
    </row>
    <row r="1905" spans="1:15" x14ac:dyDescent="0.3">
      <c r="A1905">
        <v>202671</v>
      </c>
      <c r="B1905" t="s">
        <v>118</v>
      </c>
      <c r="C1905" s="2">
        <v>45972</v>
      </c>
      <c r="D1905" s="2">
        <f t="shared" si="178"/>
        <v>46002</v>
      </c>
      <c r="E1905" s="1">
        <f>D1905</f>
        <v>46002</v>
      </c>
      <c r="F1905">
        <v>4732</v>
      </c>
      <c r="G1905">
        <v>30</v>
      </c>
      <c r="H1905">
        <f t="shared" si="183"/>
        <v>0</v>
      </c>
      <c r="I1905" t="str">
        <f t="shared" si="181"/>
        <v>On Time</v>
      </c>
      <c r="J1905" cm="1">
        <f t="array" ref="J1905">_xlfn.IFS(H1905&lt;30,0,H1905&lt;60,1,H1905&lt;90,2,H1905&lt;120,3)</f>
        <v>0</v>
      </c>
      <c r="M1905" t="str">
        <f t="shared" si="182"/>
        <v>Low</v>
      </c>
      <c r="N1905" t="str">
        <f t="shared" si="179"/>
        <v>Nov</v>
      </c>
      <c r="O1905">
        <f t="shared" si="180"/>
        <v>2025</v>
      </c>
    </row>
    <row r="1906" spans="1:15" x14ac:dyDescent="0.3">
      <c r="A1906">
        <v>202633</v>
      </c>
      <c r="B1906" t="s">
        <v>99</v>
      </c>
      <c r="C1906" s="2">
        <v>45971</v>
      </c>
      <c r="D1906" s="2">
        <f t="shared" si="178"/>
        <v>46001</v>
      </c>
      <c r="E1906" s="1">
        <f>D1906</f>
        <v>46001</v>
      </c>
      <c r="F1906">
        <v>8276</v>
      </c>
      <c r="G1906">
        <v>30</v>
      </c>
      <c r="H1906">
        <f t="shared" si="183"/>
        <v>0</v>
      </c>
      <c r="I1906" t="str">
        <f t="shared" si="181"/>
        <v>On Time</v>
      </c>
      <c r="J1906" cm="1">
        <f t="array" ref="J1906">_xlfn.IFS(H1906&lt;30,0,H1906&lt;60,1,H1906&lt;90,2,H1906&lt;120,3)</f>
        <v>0</v>
      </c>
      <c r="M1906" t="str">
        <f t="shared" si="182"/>
        <v>Low</v>
      </c>
      <c r="N1906" t="str">
        <f t="shared" si="179"/>
        <v>Nov</v>
      </c>
      <c r="O1906">
        <f t="shared" si="180"/>
        <v>2025</v>
      </c>
    </row>
    <row r="1907" spans="1:15" x14ac:dyDescent="0.3">
      <c r="A1907">
        <v>202634</v>
      </c>
      <c r="B1907" t="s">
        <v>100</v>
      </c>
      <c r="C1907" s="2">
        <v>45971</v>
      </c>
      <c r="D1907" s="2">
        <f t="shared" si="178"/>
        <v>46001</v>
      </c>
      <c r="E1907" s="1">
        <f>D1907+5</f>
        <v>46006</v>
      </c>
      <c r="F1907">
        <v>1455</v>
      </c>
      <c r="G1907">
        <v>30</v>
      </c>
      <c r="H1907">
        <f t="shared" si="183"/>
        <v>0</v>
      </c>
      <c r="I1907" t="str">
        <f t="shared" si="181"/>
        <v>On Time</v>
      </c>
      <c r="J1907" cm="1">
        <f t="array" ref="J1907">_xlfn.IFS(H1907&lt;30,0,H1907&lt;60,1,H1907&lt;90,2,H1907&lt;120,3)</f>
        <v>0</v>
      </c>
      <c r="M1907" t="str">
        <f t="shared" si="182"/>
        <v>Low</v>
      </c>
      <c r="N1907" t="str">
        <f t="shared" si="179"/>
        <v>Nov</v>
      </c>
      <c r="O1907">
        <f t="shared" si="180"/>
        <v>2025</v>
      </c>
    </row>
    <row r="1908" spans="1:15" x14ac:dyDescent="0.3">
      <c r="A1908">
        <v>202635</v>
      </c>
      <c r="B1908" t="s">
        <v>101</v>
      </c>
      <c r="C1908" s="2">
        <v>45971</v>
      </c>
      <c r="D1908" s="2">
        <f t="shared" si="178"/>
        <v>46001</v>
      </c>
      <c r="E1908" s="1">
        <f>D1908+2</f>
        <v>46003</v>
      </c>
      <c r="F1908">
        <v>537</v>
      </c>
      <c r="G1908">
        <v>30</v>
      </c>
      <c r="H1908">
        <f t="shared" si="183"/>
        <v>0</v>
      </c>
      <c r="I1908" t="str">
        <f t="shared" si="181"/>
        <v>On Time</v>
      </c>
      <c r="J1908" cm="1">
        <f t="array" ref="J1908">_xlfn.IFS(H1908&lt;30,0,H1908&lt;60,1,H1908&lt;90,2,H1908&lt;120,3)</f>
        <v>0</v>
      </c>
      <c r="M1908" t="str">
        <f t="shared" si="182"/>
        <v>Low</v>
      </c>
      <c r="N1908" t="str">
        <f t="shared" si="179"/>
        <v>Nov</v>
      </c>
      <c r="O1908">
        <f t="shared" si="180"/>
        <v>2025</v>
      </c>
    </row>
    <row r="1909" spans="1:15" x14ac:dyDescent="0.3">
      <c r="A1909">
        <v>202636</v>
      </c>
      <c r="B1909" t="s">
        <v>102</v>
      </c>
      <c r="C1909" s="2">
        <v>45971</v>
      </c>
      <c r="D1909" s="2">
        <f t="shared" si="178"/>
        <v>46001</v>
      </c>
      <c r="E1909" s="1">
        <f>D1909</f>
        <v>46001</v>
      </c>
      <c r="F1909">
        <v>2179</v>
      </c>
      <c r="G1909">
        <v>30</v>
      </c>
      <c r="H1909">
        <f t="shared" si="183"/>
        <v>0</v>
      </c>
      <c r="I1909" t="str">
        <f t="shared" si="181"/>
        <v>On Time</v>
      </c>
      <c r="J1909" cm="1">
        <f t="array" ref="J1909">_xlfn.IFS(H1909&lt;30,0,H1909&lt;60,1,H1909&lt;90,2,H1909&lt;120,3)</f>
        <v>0</v>
      </c>
      <c r="M1909" t="str">
        <f t="shared" si="182"/>
        <v>Low</v>
      </c>
      <c r="N1909" t="str">
        <f t="shared" si="179"/>
        <v>Nov</v>
      </c>
      <c r="O1909">
        <f t="shared" si="180"/>
        <v>2025</v>
      </c>
    </row>
    <row r="1910" spans="1:15" x14ac:dyDescent="0.3">
      <c r="A1910">
        <v>202637</v>
      </c>
      <c r="B1910" t="s">
        <v>103</v>
      </c>
      <c r="C1910" s="2">
        <v>45971</v>
      </c>
      <c r="D1910" s="2">
        <f t="shared" si="178"/>
        <v>46001</v>
      </c>
      <c r="E1910" s="1">
        <f>D1910</f>
        <v>46001</v>
      </c>
      <c r="F1910">
        <v>1484</v>
      </c>
      <c r="G1910">
        <v>30</v>
      </c>
      <c r="H1910">
        <f t="shared" si="183"/>
        <v>0</v>
      </c>
      <c r="I1910" t="str">
        <f t="shared" si="181"/>
        <v>On Time</v>
      </c>
      <c r="J1910" cm="1">
        <f t="array" ref="J1910">_xlfn.IFS(H1910&lt;30,0,H1910&lt;60,1,H1910&lt;90,2,H1910&lt;120,3)</f>
        <v>0</v>
      </c>
      <c r="M1910" t="str">
        <f t="shared" si="182"/>
        <v>Low</v>
      </c>
      <c r="N1910" t="str">
        <f t="shared" si="179"/>
        <v>Nov</v>
      </c>
      <c r="O1910">
        <f t="shared" si="180"/>
        <v>2025</v>
      </c>
    </row>
    <row r="1911" spans="1:15" x14ac:dyDescent="0.3">
      <c r="A1911">
        <v>202638</v>
      </c>
      <c r="B1911" t="s">
        <v>104</v>
      </c>
      <c r="C1911" s="2">
        <v>45971</v>
      </c>
      <c r="D1911" s="2">
        <f t="shared" si="178"/>
        <v>46001</v>
      </c>
      <c r="E1911" s="1">
        <f>D1911</f>
        <v>46001</v>
      </c>
      <c r="F1911">
        <v>1966</v>
      </c>
      <c r="G1911">
        <v>30</v>
      </c>
      <c r="H1911">
        <f t="shared" si="183"/>
        <v>0</v>
      </c>
      <c r="I1911" t="str">
        <f t="shared" si="181"/>
        <v>On Time</v>
      </c>
      <c r="J1911" cm="1">
        <f t="array" ref="J1911">_xlfn.IFS(H1911&lt;30,0,H1911&lt;60,1,H1911&lt;90,2,H1911&lt;120,3)</f>
        <v>0</v>
      </c>
      <c r="M1911" t="str">
        <f t="shared" si="182"/>
        <v>Low</v>
      </c>
      <c r="N1911" t="str">
        <f t="shared" si="179"/>
        <v>Nov</v>
      </c>
      <c r="O1911">
        <f t="shared" si="180"/>
        <v>2025</v>
      </c>
    </row>
    <row r="1912" spans="1:15" x14ac:dyDescent="0.3">
      <c r="A1912">
        <v>202639</v>
      </c>
      <c r="B1912" t="s">
        <v>105</v>
      </c>
      <c r="C1912" s="2">
        <v>45971</v>
      </c>
      <c r="D1912" s="2">
        <f t="shared" si="178"/>
        <v>46001</v>
      </c>
      <c r="E1912" s="1">
        <f>D1912+60</f>
        <v>46061</v>
      </c>
      <c r="F1912">
        <v>3401</v>
      </c>
      <c r="G1912">
        <v>30</v>
      </c>
      <c r="H1912">
        <f t="shared" si="183"/>
        <v>0</v>
      </c>
      <c r="I1912" t="str">
        <f t="shared" si="181"/>
        <v>On Time</v>
      </c>
      <c r="J1912" cm="1">
        <f t="array" ref="J1912">_xlfn.IFS(H1912&lt;30,0,H1912&lt;60,1,H1912&lt;90,2,H1912&lt;120,3)</f>
        <v>0</v>
      </c>
      <c r="M1912" t="str">
        <f t="shared" si="182"/>
        <v>Low</v>
      </c>
      <c r="N1912" t="str">
        <f t="shared" si="179"/>
        <v>Nov</v>
      </c>
      <c r="O1912">
        <f t="shared" si="180"/>
        <v>2025</v>
      </c>
    </row>
    <row r="1913" spans="1:15" x14ac:dyDescent="0.3">
      <c r="A1913">
        <v>202640</v>
      </c>
      <c r="B1913" t="s">
        <v>114</v>
      </c>
      <c r="C1913" s="2">
        <v>45971</v>
      </c>
      <c r="D1913" s="2">
        <f t="shared" si="178"/>
        <v>46001</v>
      </c>
      <c r="E1913" s="1">
        <f>D1913</f>
        <v>46001</v>
      </c>
      <c r="F1913">
        <v>3979</v>
      </c>
      <c r="G1913">
        <v>30</v>
      </c>
      <c r="H1913">
        <f t="shared" si="183"/>
        <v>0</v>
      </c>
      <c r="I1913" t="str">
        <f t="shared" si="181"/>
        <v>On Time</v>
      </c>
      <c r="J1913" cm="1">
        <f t="array" ref="J1913">_xlfn.IFS(H1913&lt;30,0,H1913&lt;60,1,H1913&lt;90,2,H1913&lt;120,3)</f>
        <v>0</v>
      </c>
      <c r="M1913" t="str">
        <f t="shared" si="182"/>
        <v>Low</v>
      </c>
      <c r="N1913" t="str">
        <f t="shared" si="179"/>
        <v>Nov</v>
      </c>
      <c r="O1913">
        <f t="shared" si="180"/>
        <v>2025</v>
      </c>
    </row>
    <row r="1914" spans="1:15" x14ac:dyDescent="0.3">
      <c r="A1914">
        <v>202641</v>
      </c>
      <c r="B1914" t="s">
        <v>115</v>
      </c>
      <c r="C1914" s="2">
        <v>45971</v>
      </c>
      <c r="D1914" s="2">
        <f t="shared" si="178"/>
        <v>46001</v>
      </c>
      <c r="E1914" s="1">
        <f>D1914</f>
        <v>46001</v>
      </c>
      <c r="F1914">
        <v>3077</v>
      </c>
      <c r="G1914">
        <v>30</v>
      </c>
      <c r="H1914">
        <f t="shared" si="183"/>
        <v>0</v>
      </c>
      <c r="I1914" t="str">
        <f t="shared" si="181"/>
        <v>On Time</v>
      </c>
      <c r="J1914" cm="1">
        <f t="array" ref="J1914">_xlfn.IFS(H1914&lt;30,0,H1914&lt;60,1,H1914&lt;90,2,H1914&lt;120,3)</f>
        <v>0</v>
      </c>
      <c r="M1914" t="str">
        <f t="shared" si="182"/>
        <v>Low</v>
      </c>
      <c r="N1914" t="str">
        <f t="shared" si="179"/>
        <v>Nov</v>
      </c>
      <c r="O1914">
        <f t="shared" si="180"/>
        <v>2025</v>
      </c>
    </row>
    <row r="1915" spans="1:15" x14ac:dyDescent="0.3">
      <c r="A1915">
        <v>202642</v>
      </c>
      <c r="B1915" t="s">
        <v>116</v>
      </c>
      <c r="C1915" s="2">
        <v>45971</v>
      </c>
      <c r="D1915" s="2">
        <f t="shared" si="178"/>
        <v>46001</v>
      </c>
      <c r="E1915" s="1">
        <f>D1915+3</f>
        <v>46004</v>
      </c>
      <c r="F1915">
        <v>1390</v>
      </c>
      <c r="G1915">
        <v>30</v>
      </c>
      <c r="H1915">
        <f t="shared" si="183"/>
        <v>0</v>
      </c>
      <c r="I1915" t="str">
        <f t="shared" si="181"/>
        <v>On Time</v>
      </c>
      <c r="J1915" cm="1">
        <f t="array" ref="J1915">_xlfn.IFS(H1915&lt;30,0,H1915&lt;60,1,H1915&lt;90,2,H1915&lt;120,3)</f>
        <v>0</v>
      </c>
      <c r="M1915" t="str">
        <f t="shared" si="182"/>
        <v>Low</v>
      </c>
      <c r="N1915" t="str">
        <f t="shared" si="179"/>
        <v>Nov</v>
      </c>
      <c r="O1915">
        <f t="shared" si="180"/>
        <v>2025</v>
      </c>
    </row>
    <row r="1916" spans="1:15" x14ac:dyDescent="0.3">
      <c r="A1916">
        <v>202643</v>
      </c>
      <c r="B1916" t="s">
        <v>117</v>
      </c>
      <c r="C1916" s="2">
        <v>45971</v>
      </c>
      <c r="D1916" s="2">
        <f t="shared" si="178"/>
        <v>46001</v>
      </c>
      <c r="E1916" s="1">
        <f>D1916+1</f>
        <v>46002</v>
      </c>
      <c r="F1916">
        <v>4071</v>
      </c>
      <c r="G1916">
        <v>30</v>
      </c>
      <c r="H1916">
        <f t="shared" si="183"/>
        <v>0</v>
      </c>
      <c r="I1916" t="str">
        <f t="shared" si="181"/>
        <v>On Time</v>
      </c>
      <c r="J1916" cm="1">
        <f t="array" ref="J1916">_xlfn.IFS(H1916&lt;30,0,H1916&lt;60,1,H1916&lt;90,2,H1916&lt;120,3)</f>
        <v>0</v>
      </c>
      <c r="M1916" t="str">
        <f t="shared" si="182"/>
        <v>Low</v>
      </c>
      <c r="N1916" t="str">
        <f t="shared" si="179"/>
        <v>Nov</v>
      </c>
      <c r="O1916">
        <f t="shared" si="180"/>
        <v>2025</v>
      </c>
    </row>
    <row r="1917" spans="1:15" x14ac:dyDescent="0.3">
      <c r="A1917">
        <v>202644</v>
      </c>
      <c r="B1917" t="s">
        <v>118</v>
      </c>
      <c r="C1917" s="2">
        <v>45971</v>
      </c>
      <c r="D1917" s="2">
        <f t="shared" si="178"/>
        <v>46001</v>
      </c>
      <c r="E1917" s="1">
        <f>D1917-1</f>
        <v>46000</v>
      </c>
      <c r="F1917">
        <v>4281</v>
      </c>
      <c r="G1917">
        <v>30</v>
      </c>
      <c r="H1917">
        <f t="shared" si="183"/>
        <v>0</v>
      </c>
      <c r="I1917" t="str">
        <f t="shared" si="181"/>
        <v>On Time</v>
      </c>
      <c r="J1917" cm="1">
        <f t="array" ref="J1917">_xlfn.IFS(H1917&lt;30,0,H1917&lt;60,1,H1917&lt;90,2,H1917&lt;120,3)</f>
        <v>0</v>
      </c>
      <c r="M1917" t="str">
        <f t="shared" si="182"/>
        <v>Low</v>
      </c>
      <c r="N1917" t="str">
        <f t="shared" si="179"/>
        <v>Nov</v>
      </c>
      <c r="O1917">
        <f t="shared" si="180"/>
        <v>2025</v>
      </c>
    </row>
    <row r="1918" spans="1:15" x14ac:dyDescent="0.3">
      <c r="A1918">
        <v>202645</v>
      </c>
      <c r="B1918" t="s">
        <v>119</v>
      </c>
      <c r="C1918" s="2">
        <v>45971</v>
      </c>
      <c r="D1918" s="2">
        <f t="shared" si="178"/>
        <v>46001</v>
      </c>
      <c r="E1918" s="1">
        <f>D1918</f>
        <v>46001</v>
      </c>
      <c r="F1918">
        <v>3583</v>
      </c>
      <c r="G1918">
        <v>30</v>
      </c>
      <c r="H1918">
        <f t="shared" si="183"/>
        <v>0</v>
      </c>
      <c r="I1918" t="str">
        <f t="shared" si="181"/>
        <v>On Time</v>
      </c>
      <c r="J1918" cm="1">
        <f t="array" ref="J1918">_xlfn.IFS(H1918&lt;30,0,H1918&lt;60,1,H1918&lt;90,2,H1918&lt;120,3)</f>
        <v>0</v>
      </c>
      <c r="M1918" t="str">
        <f t="shared" si="182"/>
        <v>Low</v>
      </c>
      <c r="N1918" t="str">
        <f t="shared" si="179"/>
        <v>Nov</v>
      </c>
      <c r="O1918">
        <f t="shared" si="180"/>
        <v>2025</v>
      </c>
    </row>
    <row r="1919" spans="1:15" x14ac:dyDescent="0.3">
      <c r="A1919">
        <v>202646</v>
      </c>
      <c r="B1919" t="s">
        <v>31</v>
      </c>
      <c r="C1919" s="2">
        <v>45971</v>
      </c>
      <c r="D1919" s="2">
        <f t="shared" si="178"/>
        <v>46016</v>
      </c>
      <c r="E1919" s="1">
        <f>D1919+1</f>
        <v>46017</v>
      </c>
      <c r="F1919">
        <v>1183</v>
      </c>
      <c r="G1919">
        <v>45</v>
      </c>
      <c r="H1919">
        <f t="shared" si="183"/>
        <v>0</v>
      </c>
      <c r="I1919" t="str">
        <f t="shared" si="181"/>
        <v>On Time</v>
      </c>
      <c r="J1919" cm="1">
        <f t="array" ref="J1919">_xlfn.IFS(H1919&lt;30,0,H1919&lt;60,1,H1919&lt;90,2,H1919&lt;120,3)</f>
        <v>0</v>
      </c>
      <c r="M1919" t="str">
        <f t="shared" si="182"/>
        <v>Low</v>
      </c>
      <c r="N1919" t="str">
        <f t="shared" si="179"/>
        <v>Nov</v>
      </c>
      <c r="O1919">
        <f t="shared" si="180"/>
        <v>2025</v>
      </c>
    </row>
    <row r="1920" spans="1:15" x14ac:dyDescent="0.3">
      <c r="A1920">
        <v>202647</v>
      </c>
      <c r="B1920" t="s">
        <v>32</v>
      </c>
      <c r="C1920" s="2">
        <v>45971</v>
      </c>
      <c r="D1920" s="2">
        <f t="shared" si="178"/>
        <v>46016</v>
      </c>
      <c r="E1920" s="1">
        <f>D1920+35</f>
        <v>46051</v>
      </c>
      <c r="F1920">
        <v>1329</v>
      </c>
      <c r="G1920">
        <v>45</v>
      </c>
      <c r="H1920">
        <f t="shared" si="183"/>
        <v>0</v>
      </c>
      <c r="I1920" t="str">
        <f t="shared" si="181"/>
        <v>On Time</v>
      </c>
      <c r="J1920" cm="1">
        <f t="array" ref="J1920">_xlfn.IFS(H1920&lt;30,0,H1920&lt;60,1,H1920&lt;90,2,H1920&lt;120,3)</f>
        <v>0</v>
      </c>
      <c r="M1920" t="str">
        <f t="shared" si="182"/>
        <v>Low</v>
      </c>
      <c r="N1920" t="str">
        <f t="shared" si="179"/>
        <v>Nov</v>
      </c>
      <c r="O1920">
        <f t="shared" si="180"/>
        <v>2025</v>
      </c>
    </row>
    <row r="1921" spans="1:15" x14ac:dyDescent="0.3">
      <c r="A1921">
        <v>202648</v>
      </c>
      <c r="B1921" t="s">
        <v>33</v>
      </c>
      <c r="C1921" s="2">
        <v>45971</v>
      </c>
      <c r="D1921" s="2">
        <f t="shared" si="178"/>
        <v>46001</v>
      </c>
      <c r="E1921" s="1">
        <f>D1921+75</f>
        <v>46076</v>
      </c>
      <c r="F1921">
        <v>2896</v>
      </c>
      <c r="G1921">
        <v>30</v>
      </c>
      <c r="H1921">
        <f t="shared" si="183"/>
        <v>0</v>
      </c>
      <c r="I1921" t="str">
        <f t="shared" si="181"/>
        <v>On Time</v>
      </c>
      <c r="J1921" cm="1">
        <f t="array" ref="J1921">_xlfn.IFS(H1921&lt;30,0,H1921&lt;60,1,H1921&lt;90,2,H1921&lt;120,3)</f>
        <v>0</v>
      </c>
      <c r="M1921" t="str">
        <f t="shared" si="182"/>
        <v>Low</v>
      </c>
      <c r="N1921" t="str">
        <f t="shared" si="179"/>
        <v>Nov</v>
      </c>
      <c r="O1921">
        <f t="shared" si="180"/>
        <v>2025</v>
      </c>
    </row>
    <row r="1922" spans="1:15" x14ac:dyDescent="0.3">
      <c r="A1922">
        <v>202649</v>
      </c>
      <c r="B1922" t="s">
        <v>34</v>
      </c>
      <c r="C1922" s="2">
        <v>45971</v>
      </c>
      <c r="D1922" s="2">
        <f t="shared" ref="D1922:D1985" si="184">C1922+G1922</f>
        <v>46031</v>
      </c>
      <c r="E1922" s="1">
        <f>D1922+5</f>
        <v>46036</v>
      </c>
      <c r="F1922">
        <v>371</v>
      </c>
      <c r="G1922">
        <v>60</v>
      </c>
      <c r="H1922">
        <f t="shared" si="183"/>
        <v>0</v>
      </c>
      <c r="I1922" t="str">
        <f t="shared" si="181"/>
        <v>On Time</v>
      </c>
      <c r="J1922" cm="1">
        <f t="array" ref="J1922">_xlfn.IFS(H1922&lt;30,0,H1922&lt;60,1,H1922&lt;90,2,H1922&lt;120,3)</f>
        <v>0</v>
      </c>
      <c r="M1922" t="str">
        <f t="shared" si="182"/>
        <v>Low</v>
      </c>
      <c r="N1922" t="str">
        <f t="shared" ref="N1922:N1985" si="185">TEXT(C1922,"mmm")</f>
        <v>Nov</v>
      </c>
      <c r="O1922">
        <f t="shared" ref="O1922:O1985" si="186">YEAR(C1922)</f>
        <v>2025</v>
      </c>
    </row>
    <row r="1923" spans="1:15" x14ac:dyDescent="0.3">
      <c r="A1923">
        <v>202650</v>
      </c>
      <c r="B1923" t="s">
        <v>35</v>
      </c>
      <c r="C1923" s="2">
        <v>45971</v>
      </c>
      <c r="D1923" s="2">
        <f t="shared" si="184"/>
        <v>46016</v>
      </c>
      <c r="E1923" s="1">
        <f>D1923</f>
        <v>46016</v>
      </c>
      <c r="F1923">
        <v>1811</v>
      </c>
      <c r="G1923">
        <v>45</v>
      </c>
      <c r="H1923">
        <f t="shared" si="183"/>
        <v>0</v>
      </c>
      <c r="I1923" t="str">
        <f t="shared" si="181"/>
        <v>On Time</v>
      </c>
      <c r="J1923" cm="1">
        <f t="array" ref="J1923">_xlfn.IFS(H1923&lt;30,0,H1923&lt;60,1,H1923&lt;90,2,H1923&lt;120,3)</f>
        <v>0</v>
      </c>
      <c r="M1923" t="str">
        <f t="shared" si="182"/>
        <v>Low</v>
      </c>
      <c r="N1923" t="str">
        <f t="shared" si="185"/>
        <v>Nov</v>
      </c>
      <c r="O1923">
        <f t="shared" si="186"/>
        <v>2025</v>
      </c>
    </row>
    <row r="1924" spans="1:15" x14ac:dyDescent="0.3">
      <c r="A1924">
        <v>202651</v>
      </c>
      <c r="B1924" t="s">
        <v>36</v>
      </c>
      <c r="C1924" s="2">
        <v>45971</v>
      </c>
      <c r="D1924" s="2">
        <f t="shared" si="184"/>
        <v>46001</v>
      </c>
      <c r="E1924" s="1">
        <f>D1924-1</f>
        <v>46000</v>
      </c>
      <c r="F1924">
        <v>2669</v>
      </c>
      <c r="G1924">
        <v>30</v>
      </c>
      <c r="H1924">
        <f t="shared" si="183"/>
        <v>0</v>
      </c>
      <c r="I1924" t="str">
        <f t="shared" si="181"/>
        <v>On Time</v>
      </c>
      <c r="J1924" cm="1">
        <f t="array" ref="J1924">_xlfn.IFS(H1924&lt;30,0,H1924&lt;60,1,H1924&lt;90,2,H1924&lt;120,3)</f>
        <v>0</v>
      </c>
      <c r="M1924" t="str">
        <f t="shared" si="182"/>
        <v>Low</v>
      </c>
      <c r="N1924" t="str">
        <f t="shared" si="185"/>
        <v>Nov</v>
      </c>
      <c r="O1924">
        <f t="shared" si="186"/>
        <v>2025</v>
      </c>
    </row>
    <row r="1925" spans="1:15" x14ac:dyDescent="0.3">
      <c r="A1925">
        <v>202614</v>
      </c>
      <c r="B1925" t="s">
        <v>30</v>
      </c>
      <c r="C1925" s="2">
        <v>45970</v>
      </c>
      <c r="D1925" s="2">
        <f t="shared" si="184"/>
        <v>46000</v>
      </c>
      <c r="E1925" s="1">
        <f>D1925+35</f>
        <v>46035</v>
      </c>
      <c r="F1925">
        <v>168</v>
      </c>
      <c r="G1925">
        <v>30</v>
      </c>
      <c r="H1925">
        <f t="shared" si="183"/>
        <v>0</v>
      </c>
      <c r="I1925" t="str">
        <f t="shared" si="181"/>
        <v>On Time</v>
      </c>
      <c r="J1925" cm="1">
        <f t="array" ref="J1925">_xlfn.IFS(H1925&lt;30,0,H1925&lt;60,1,H1925&lt;90,2,H1925&lt;120,3)</f>
        <v>0</v>
      </c>
      <c r="M1925" t="str">
        <f t="shared" si="182"/>
        <v>Low</v>
      </c>
      <c r="N1925" t="str">
        <f t="shared" si="185"/>
        <v>Nov</v>
      </c>
      <c r="O1925">
        <f t="shared" si="186"/>
        <v>2025</v>
      </c>
    </row>
    <row r="1926" spans="1:15" x14ac:dyDescent="0.3">
      <c r="A1926">
        <v>202615</v>
      </c>
      <c r="B1926" t="s">
        <v>31</v>
      </c>
      <c r="C1926" s="2">
        <v>45970</v>
      </c>
      <c r="D1926" s="2">
        <f t="shared" si="184"/>
        <v>46015</v>
      </c>
      <c r="E1926" s="1">
        <f>D1926+84</f>
        <v>46099</v>
      </c>
      <c r="F1926">
        <v>272</v>
      </c>
      <c r="G1926">
        <v>45</v>
      </c>
      <c r="H1926">
        <f t="shared" si="183"/>
        <v>0</v>
      </c>
      <c r="I1926" t="str">
        <f t="shared" si="181"/>
        <v>On Time</v>
      </c>
      <c r="J1926" cm="1">
        <f t="array" ref="J1926">_xlfn.IFS(H1926&lt;30,0,H1926&lt;60,1,H1926&lt;90,2,H1926&lt;120,3)</f>
        <v>0</v>
      </c>
      <c r="M1926" t="str">
        <f t="shared" si="182"/>
        <v>Low</v>
      </c>
      <c r="N1926" t="str">
        <f t="shared" si="185"/>
        <v>Nov</v>
      </c>
      <c r="O1926">
        <f t="shared" si="186"/>
        <v>2025</v>
      </c>
    </row>
    <row r="1927" spans="1:15" x14ac:dyDescent="0.3">
      <c r="A1927">
        <v>202616</v>
      </c>
      <c r="B1927" t="s">
        <v>54</v>
      </c>
      <c r="C1927" s="2">
        <v>45970</v>
      </c>
      <c r="D1927" s="2">
        <f t="shared" si="184"/>
        <v>46000</v>
      </c>
      <c r="E1927" s="1">
        <f>D1927+5</f>
        <v>46005</v>
      </c>
      <c r="F1927">
        <v>3860</v>
      </c>
      <c r="G1927">
        <v>30</v>
      </c>
      <c r="H1927">
        <f t="shared" si="183"/>
        <v>0</v>
      </c>
      <c r="I1927" t="str">
        <f t="shared" si="181"/>
        <v>On Time</v>
      </c>
      <c r="J1927" cm="1">
        <f t="array" ref="J1927">_xlfn.IFS(H1927&lt;30,0,H1927&lt;60,1,H1927&lt;90,2,H1927&lt;120,3)</f>
        <v>0</v>
      </c>
      <c r="M1927" t="str">
        <f t="shared" si="182"/>
        <v>Low</v>
      </c>
      <c r="N1927" t="str">
        <f t="shared" si="185"/>
        <v>Nov</v>
      </c>
      <c r="O1927">
        <f t="shared" si="186"/>
        <v>2025</v>
      </c>
    </row>
    <row r="1928" spans="1:15" x14ac:dyDescent="0.3">
      <c r="A1928">
        <v>202617</v>
      </c>
      <c r="B1928" t="s">
        <v>55</v>
      </c>
      <c r="C1928" s="2">
        <v>45970</v>
      </c>
      <c r="D1928" s="2">
        <f t="shared" si="184"/>
        <v>46000</v>
      </c>
      <c r="E1928" s="1">
        <f>D1928</f>
        <v>46000</v>
      </c>
      <c r="F1928">
        <v>4148</v>
      </c>
      <c r="G1928">
        <v>30</v>
      </c>
      <c r="H1928">
        <f t="shared" si="183"/>
        <v>0</v>
      </c>
      <c r="I1928" t="str">
        <f t="shared" si="181"/>
        <v>On Time</v>
      </c>
      <c r="J1928" cm="1">
        <f t="array" ref="J1928">_xlfn.IFS(H1928&lt;30,0,H1928&lt;60,1,H1928&lt;90,2,H1928&lt;120,3)</f>
        <v>0</v>
      </c>
      <c r="M1928" t="str">
        <f t="shared" si="182"/>
        <v>Low</v>
      </c>
      <c r="N1928" t="str">
        <f t="shared" si="185"/>
        <v>Nov</v>
      </c>
      <c r="O1928">
        <f t="shared" si="186"/>
        <v>2025</v>
      </c>
    </row>
    <row r="1929" spans="1:15" x14ac:dyDescent="0.3">
      <c r="A1929">
        <v>202618</v>
      </c>
      <c r="B1929" t="s">
        <v>56</v>
      </c>
      <c r="C1929" s="2">
        <v>45970</v>
      </c>
      <c r="D1929" s="2">
        <f t="shared" si="184"/>
        <v>46015</v>
      </c>
      <c r="E1929" s="1">
        <f>D1929-1</f>
        <v>46014</v>
      </c>
      <c r="F1929">
        <v>1208</v>
      </c>
      <c r="G1929">
        <v>45</v>
      </c>
      <c r="H1929">
        <f t="shared" si="183"/>
        <v>0</v>
      </c>
      <c r="I1929" t="str">
        <f t="shared" si="181"/>
        <v>On Time</v>
      </c>
      <c r="J1929" cm="1">
        <f t="array" ref="J1929">_xlfn.IFS(H1929&lt;30,0,H1929&lt;60,1,H1929&lt;90,2,H1929&lt;120,3)</f>
        <v>0</v>
      </c>
      <c r="M1929" t="str">
        <f t="shared" si="182"/>
        <v>Low</v>
      </c>
      <c r="N1929" t="str">
        <f t="shared" si="185"/>
        <v>Nov</v>
      </c>
      <c r="O1929">
        <f t="shared" si="186"/>
        <v>2025</v>
      </c>
    </row>
    <row r="1930" spans="1:15" x14ac:dyDescent="0.3">
      <c r="A1930">
        <v>202619</v>
      </c>
      <c r="B1930" t="s">
        <v>57</v>
      </c>
      <c r="C1930" s="2">
        <v>45970</v>
      </c>
      <c r="D1930" s="2">
        <f t="shared" si="184"/>
        <v>46030</v>
      </c>
      <c r="E1930" s="1">
        <f>D1930</f>
        <v>46030</v>
      </c>
      <c r="F1930">
        <v>1666</v>
      </c>
      <c r="G1930">
        <v>60</v>
      </c>
      <c r="H1930">
        <f t="shared" si="183"/>
        <v>0</v>
      </c>
      <c r="I1930" t="str">
        <f t="shared" si="181"/>
        <v>On Time</v>
      </c>
      <c r="J1930" cm="1">
        <f t="array" ref="J1930">_xlfn.IFS(H1930&lt;30,0,H1930&lt;60,1,H1930&lt;90,2,H1930&lt;120,3)</f>
        <v>0</v>
      </c>
      <c r="M1930" t="str">
        <f t="shared" si="182"/>
        <v>Low</v>
      </c>
      <c r="N1930" t="str">
        <f t="shared" si="185"/>
        <v>Nov</v>
      </c>
      <c r="O1930">
        <f t="shared" si="186"/>
        <v>2025</v>
      </c>
    </row>
    <row r="1931" spans="1:15" x14ac:dyDescent="0.3">
      <c r="A1931">
        <v>202620</v>
      </c>
      <c r="B1931" t="s">
        <v>58</v>
      </c>
      <c r="C1931" s="2">
        <v>45970</v>
      </c>
      <c r="D1931" s="2">
        <f t="shared" si="184"/>
        <v>46000</v>
      </c>
      <c r="E1931" s="1">
        <f>D1931+32</f>
        <v>46032</v>
      </c>
      <c r="F1931">
        <v>2949</v>
      </c>
      <c r="G1931">
        <v>30</v>
      </c>
      <c r="H1931">
        <f t="shared" si="183"/>
        <v>0</v>
      </c>
      <c r="I1931" t="str">
        <f t="shared" si="181"/>
        <v>On Time</v>
      </c>
      <c r="J1931" cm="1">
        <f t="array" ref="J1931">_xlfn.IFS(H1931&lt;30,0,H1931&lt;60,1,H1931&lt;90,2,H1931&lt;120,3)</f>
        <v>0</v>
      </c>
      <c r="M1931" t="str">
        <f t="shared" si="182"/>
        <v>Low</v>
      </c>
      <c r="N1931" t="str">
        <f t="shared" si="185"/>
        <v>Nov</v>
      </c>
      <c r="O1931">
        <f t="shared" si="186"/>
        <v>2025</v>
      </c>
    </row>
    <row r="1932" spans="1:15" x14ac:dyDescent="0.3">
      <c r="A1932">
        <v>202621</v>
      </c>
      <c r="B1932" t="s">
        <v>59</v>
      </c>
      <c r="C1932" s="2">
        <v>45970</v>
      </c>
      <c r="D1932" s="2">
        <f t="shared" si="184"/>
        <v>46000</v>
      </c>
      <c r="E1932" s="1">
        <f>D1932+15</f>
        <v>46015</v>
      </c>
      <c r="F1932">
        <v>349</v>
      </c>
      <c r="G1932">
        <v>30</v>
      </c>
      <c r="H1932">
        <f t="shared" si="183"/>
        <v>0</v>
      </c>
      <c r="I1932" t="str">
        <f t="shared" si="181"/>
        <v>On Time</v>
      </c>
      <c r="J1932" cm="1">
        <f t="array" ref="J1932">_xlfn.IFS(H1932&lt;30,0,H1932&lt;60,1,H1932&lt;90,2,H1932&lt;120,3)</f>
        <v>0</v>
      </c>
      <c r="M1932" t="str">
        <f t="shared" si="182"/>
        <v>Low</v>
      </c>
      <c r="N1932" t="str">
        <f t="shared" si="185"/>
        <v>Nov</v>
      </c>
      <c r="O1932">
        <f t="shared" si="186"/>
        <v>2025</v>
      </c>
    </row>
    <row r="1933" spans="1:15" x14ac:dyDescent="0.3">
      <c r="A1933">
        <v>202622</v>
      </c>
      <c r="B1933" t="s">
        <v>60</v>
      </c>
      <c r="C1933" s="2">
        <v>45970</v>
      </c>
      <c r="D1933" s="2">
        <f t="shared" si="184"/>
        <v>46000</v>
      </c>
      <c r="E1933" s="1">
        <f>D1933</f>
        <v>46000</v>
      </c>
      <c r="F1933">
        <v>174</v>
      </c>
      <c r="G1933">
        <v>30</v>
      </c>
      <c r="H1933">
        <f t="shared" si="183"/>
        <v>0</v>
      </c>
      <c r="I1933" t="str">
        <f t="shared" si="181"/>
        <v>On Time</v>
      </c>
      <c r="J1933" cm="1">
        <f t="array" ref="J1933">_xlfn.IFS(H1933&lt;30,0,H1933&lt;60,1,H1933&lt;90,2,H1933&lt;120,3)</f>
        <v>0</v>
      </c>
      <c r="M1933" t="str">
        <f t="shared" si="182"/>
        <v>Low</v>
      </c>
      <c r="N1933" t="str">
        <f t="shared" si="185"/>
        <v>Nov</v>
      </c>
      <c r="O1933">
        <f t="shared" si="186"/>
        <v>2025</v>
      </c>
    </row>
    <row r="1934" spans="1:15" x14ac:dyDescent="0.3">
      <c r="A1934">
        <v>202623</v>
      </c>
      <c r="B1934" t="s">
        <v>61</v>
      </c>
      <c r="C1934" s="2">
        <v>45970</v>
      </c>
      <c r="D1934" s="2">
        <f t="shared" si="184"/>
        <v>46000</v>
      </c>
      <c r="E1934" s="1">
        <f>D1934-2</f>
        <v>45998</v>
      </c>
      <c r="F1934">
        <v>1667</v>
      </c>
      <c r="G1934">
        <v>30</v>
      </c>
      <c r="H1934">
        <f t="shared" si="183"/>
        <v>0</v>
      </c>
      <c r="I1934" t="str">
        <f t="shared" si="181"/>
        <v>On Time</v>
      </c>
      <c r="J1934" cm="1">
        <f t="array" ref="J1934">_xlfn.IFS(H1934&lt;30,0,H1934&lt;60,1,H1934&lt;90,2,H1934&lt;120,3)</f>
        <v>0</v>
      </c>
      <c r="M1934" t="str">
        <f t="shared" si="182"/>
        <v>Low</v>
      </c>
      <c r="N1934" t="str">
        <f t="shared" si="185"/>
        <v>Nov</v>
      </c>
      <c r="O1934">
        <f t="shared" si="186"/>
        <v>2025</v>
      </c>
    </row>
    <row r="1935" spans="1:15" x14ac:dyDescent="0.3">
      <c r="A1935">
        <v>202624</v>
      </c>
      <c r="B1935" t="s">
        <v>62</v>
      </c>
      <c r="C1935" s="2">
        <v>45970</v>
      </c>
      <c r="D1935" s="2">
        <f t="shared" si="184"/>
        <v>46000</v>
      </c>
      <c r="E1935" s="1">
        <f>D1935</f>
        <v>46000</v>
      </c>
      <c r="F1935">
        <v>10728</v>
      </c>
      <c r="G1935">
        <v>30</v>
      </c>
      <c r="H1935">
        <f t="shared" si="183"/>
        <v>0</v>
      </c>
      <c r="I1935" t="str">
        <f t="shared" si="181"/>
        <v>On Time</v>
      </c>
      <c r="J1935" cm="1">
        <f t="array" ref="J1935">_xlfn.IFS(H1935&lt;30,0,H1935&lt;60,1,H1935&lt;90,2,H1935&lt;120,3)</f>
        <v>0</v>
      </c>
      <c r="M1935" t="str">
        <f t="shared" si="182"/>
        <v>Low</v>
      </c>
      <c r="N1935" t="str">
        <f t="shared" si="185"/>
        <v>Nov</v>
      </c>
      <c r="O1935">
        <f t="shared" si="186"/>
        <v>2025</v>
      </c>
    </row>
    <row r="1936" spans="1:15" x14ac:dyDescent="0.3">
      <c r="A1936">
        <v>202625</v>
      </c>
      <c r="B1936" t="s">
        <v>63</v>
      </c>
      <c r="C1936" s="2">
        <v>45970</v>
      </c>
      <c r="D1936" s="2">
        <f t="shared" si="184"/>
        <v>46000</v>
      </c>
      <c r="E1936" s="1">
        <f>D1936+2</f>
        <v>46002</v>
      </c>
      <c r="F1936">
        <v>2504</v>
      </c>
      <c r="G1936">
        <v>30</v>
      </c>
      <c r="H1936">
        <f t="shared" si="183"/>
        <v>0</v>
      </c>
      <c r="I1936" t="str">
        <f t="shared" si="181"/>
        <v>On Time</v>
      </c>
      <c r="J1936" cm="1">
        <f t="array" ref="J1936">_xlfn.IFS(H1936&lt;30,0,H1936&lt;60,1,H1936&lt;90,2,H1936&lt;120,3)</f>
        <v>0</v>
      </c>
      <c r="M1936" t="str">
        <f t="shared" si="182"/>
        <v>Low</v>
      </c>
      <c r="N1936" t="str">
        <f t="shared" si="185"/>
        <v>Nov</v>
      </c>
      <c r="O1936">
        <f t="shared" si="186"/>
        <v>2025</v>
      </c>
    </row>
    <row r="1937" spans="1:15" x14ac:dyDescent="0.3">
      <c r="A1937">
        <v>202626</v>
      </c>
      <c r="B1937" t="s">
        <v>64</v>
      </c>
      <c r="C1937" s="2">
        <v>45970</v>
      </c>
      <c r="D1937" s="2">
        <f t="shared" si="184"/>
        <v>46000</v>
      </c>
      <c r="E1937" s="1">
        <f>D1937+2</f>
        <v>46002</v>
      </c>
      <c r="F1937">
        <v>3460</v>
      </c>
      <c r="G1937">
        <v>30</v>
      </c>
      <c r="H1937">
        <f t="shared" si="183"/>
        <v>0</v>
      </c>
      <c r="I1937" t="str">
        <f t="shared" si="181"/>
        <v>On Time</v>
      </c>
      <c r="J1937" cm="1">
        <f t="array" ref="J1937">_xlfn.IFS(H1937&lt;30,0,H1937&lt;60,1,H1937&lt;90,2,H1937&lt;120,3)</f>
        <v>0</v>
      </c>
      <c r="M1937" t="str">
        <f t="shared" si="182"/>
        <v>Low</v>
      </c>
      <c r="N1937" t="str">
        <f t="shared" si="185"/>
        <v>Nov</v>
      </c>
      <c r="O1937">
        <f t="shared" si="186"/>
        <v>2025</v>
      </c>
    </row>
    <row r="1938" spans="1:15" x14ac:dyDescent="0.3">
      <c r="A1938">
        <v>202627</v>
      </c>
      <c r="B1938" t="s">
        <v>65</v>
      </c>
      <c r="C1938" s="2">
        <v>45970</v>
      </c>
      <c r="D1938" s="2">
        <f t="shared" si="184"/>
        <v>46015</v>
      </c>
      <c r="E1938" s="1">
        <f>D1938+2</f>
        <v>46017</v>
      </c>
      <c r="F1938">
        <v>2027</v>
      </c>
      <c r="G1938">
        <v>45</v>
      </c>
      <c r="H1938">
        <f t="shared" si="183"/>
        <v>0</v>
      </c>
      <c r="I1938" t="str">
        <f t="shared" si="181"/>
        <v>On Time</v>
      </c>
      <c r="J1938" cm="1">
        <f t="array" ref="J1938">_xlfn.IFS(H1938&lt;30,0,H1938&lt;60,1,H1938&lt;90,2,H1938&lt;120,3)</f>
        <v>0</v>
      </c>
      <c r="M1938" t="str">
        <f t="shared" si="182"/>
        <v>Low</v>
      </c>
      <c r="N1938" t="str">
        <f t="shared" si="185"/>
        <v>Nov</v>
      </c>
      <c r="O1938">
        <f t="shared" si="186"/>
        <v>2025</v>
      </c>
    </row>
    <row r="1939" spans="1:15" x14ac:dyDescent="0.3">
      <c r="A1939">
        <v>202628</v>
      </c>
      <c r="B1939" t="s">
        <v>94</v>
      </c>
      <c r="C1939" s="2">
        <v>45970</v>
      </c>
      <c r="D1939" s="2">
        <f t="shared" si="184"/>
        <v>46000</v>
      </c>
      <c r="E1939" s="1">
        <f>D1939</f>
        <v>46000</v>
      </c>
      <c r="F1939">
        <v>2195</v>
      </c>
      <c r="G1939">
        <v>30</v>
      </c>
      <c r="H1939">
        <f t="shared" si="183"/>
        <v>0</v>
      </c>
      <c r="I1939" t="str">
        <f t="shared" si="181"/>
        <v>On Time</v>
      </c>
      <c r="J1939" cm="1">
        <f t="array" ref="J1939">_xlfn.IFS(H1939&lt;30,0,H1939&lt;60,1,H1939&lt;90,2,H1939&lt;120,3)</f>
        <v>0</v>
      </c>
      <c r="M1939" t="str">
        <f t="shared" si="182"/>
        <v>Low</v>
      </c>
      <c r="N1939" t="str">
        <f t="shared" si="185"/>
        <v>Nov</v>
      </c>
      <c r="O1939">
        <f t="shared" si="186"/>
        <v>2025</v>
      </c>
    </row>
    <row r="1940" spans="1:15" x14ac:dyDescent="0.3">
      <c r="A1940">
        <v>202629</v>
      </c>
      <c r="B1940" t="s">
        <v>95</v>
      </c>
      <c r="C1940" s="2">
        <v>45970</v>
      </c>
      <c r="D1940" s="2">
        <f t="shared" si="184"/>
        <v>46015</v>
      </c>
      <c r="E1940" s="1">
        <f>D1940+20</f>
        <v>46035</v>
      </c>
      <c r="F1940">
        <v>4777</v>
      </c>
      <c r="G1940">
        <v>45</v>
      </c>
      <c r="H1940">
        <f t="shared" si="183"/>
        <v>0</v>
      </c>
      <c r="I1940" t="str">
        <f t="shared" si="181"/>
        <v>On Time</v>
      </c>
      <c r="J1940" cm="1">
        <f t="array" ref="J1940">_xlfn.IFS(H1940&lt;30,0,H1940&lt;60,1,H1940&lt;90,2,H1940&lt;120,3)</f>
        <v>0</v>
      </c>
      <c r="M1940" t="str">
        <f t="shared" si="182"/>
        <v>Low</v>
      </c>
      <c r="N1940" t="str">
        <f t="shared" si="185"/>
        <v>Nov</v>
      </c>
      <c r="O1940">
        <f t="shared" si="186"/>
        <v>2025</v>
      </c>
    </row>
    <row r="1941" spans="1:15" x14ac:dyDescent="0.3">
      <c r="A1941">
        <v>202630</v>
      </c>
      <c r="B1941" t="s">
        <v>96</v>
      </c>
      <c r="C1941" s="2">
        <v>45970</v>
      </c>
      <c r="D1941" s="2">
        <f t="shared" si="184"/>
        <v>46030</v>
      </c>
      <c r="E1941" s="1">
        <f>D1941</f>
        <v>46030</v>
      </c>
      <c r="F1941">
        <v>3014</v>
      </c>
      <c r="G1941">
        <v>60</v>
      </c>
      <c r="H1941">
        <f t="shared" si="183"/>
        <v>0</v>
      </c>
      <c r="I1941" t="str">
        <f t="shared" si="181"/>
        <v>On Time</v>
      </c>
      <c r="J1941" cm="1">
        <f t="array" ref="J1941">_xlfn.IFS(H1941&lt;30,0,H1941&lt;60,1,H1941&lt;90,2,H1941&lt;120,3)</f>
        <v>0</v>
      </c>
      <c r="M1941" t="str">
        <f t="shared" si="182"/>
        <v>Low</v>
      </c>
      <c r="N1941" t="str">
        <f t="shared" si="185"/>
        <v>Nov</v>
      </c>
      <c r="O1941">
        <f t="shared" si="186"/>
        <v>2025</v>
      </c>
    </row>
    <row r="1942" spans="1:15" x14ac:dyDescent="0.3">
      <c r="A1942">
        <v>202631</v>
      </c>
      <c r="B1942" t="s">
        <v>97</v>
      </c>
      <c r="C1942" s="2">
        <v>45970</v>
      </c>
      <c r="D1942" s="2">
        <f t="shared" si="184"/>
        <v>46000</v>
      </c>
      <c r="E1942" s="1">
        <f>D1942+1</f>
        <v>46001</v>
      </c>
      <c r="F1942">
        <v>1916</v>
      </c>
      <c r="G1942">
        <v>30</v>
      </c>
      <c r="H1942">
        <f t="shared" si="183"/>
        <v>0</v>
      </c>
      <c r="I1942" t="str">
        <f t="shared" ref="I1942:I2005" si="187">IF(H1942=0,"On Time",IF(H1942&lt;=15,"Paid Late","Seriously Late"))</f>
        <v>On Time</v>
      </c>
      <c r="J1942" cm="1">
        <f t="array" ref="J1942">_xlfn.IFS(H1942&lt;30,0,H1942&lt;60,1,H1942&lt;90,2,H1942&lt;120,3)</f>
        <v>0</v>
      </c>
      <c r="M1942" t="str">
        <f t="shared" ref="M1942:M2005" si="188">IF(H1942&gt;30,"High",IF(H1942&gt;10,"Medium","Low"))</f>
        <v>Low</v>
      </c>
      <c r="N1942" t="str">
        <f t="shared" si="185"/>
        <v>Nov</v>
      </c>
      <c r="O1942">
        <f t="shared" si="186"/>
        <v>2025</v>
      </c>
    </row>
    <row r="1943" spans="1:15" x14ac:dyDescent="0.3">
      <c r="A1943">
        <v>202632</v>
      </c>
      <c r="B1943" t="s">
        <v>98</v>
      </c>
      <c r="C1943" s="2">
        <v>45970</v>
      </c>
      <c r="D1943" s="2">
        <f t="shared" si="184"/>
        <v>46000</v>
      </c>
      <c r="E1943" s="1">
        <f>D1943</f>
        <v>46000</v>
      </c>
      <c r="F1943">
        <v>3372</v>
      </c>
      <c r="G1943">
        <v>30</v>
      </c>
      <c r="H1943">
        <f t="shared" si="183"/>
        <v>0</v>
      </c>
      <c r="I1943" t="str">
        <f t="shared" si="187"/>
        <v>On Time</v>
      </c>
      <c r="J1943" cm="1">
        <f t="array" ref="J1943">_xlfn.IFS(H1943&lt;30,0,H1943&lt;60,1,H1943&lt;90,2,H1943&lt;120,3)</f>
        <v>0</v>
      </c>
      <c r="M1943" t="str">
        <f t="shared" si="188"/>
        <v>Low</v>
      </c>
      <c r="N1943" t="str">
        <f t="shared" si="185"/>
        <v>Nov</v>
      </c>
      <c r="O1943">
        <f t="shared" si="186"/>
        <v>2025</v>
      </c>
    </row>
    <row r="1944" spans="1:15" x14ac:dyDescent="0.3">
      <c r="A1944">
        <v>202594</v>
      </c>
      <c r="B1944" t="s">
        <v>66</v>
      </c>
      <c r="C1944" s="2">
        <v>45969</v>
      </c>
      <c r="D1944" s="2">
        <f t="shared" si="184"/>
        <v>46029</v>
      </c>
      <c r="E1944" s="1">
        <f>D1944+2</f>
        <v>46031</v>
      </c>
      <c r="F1944">
        <v>2039</v>
      </c>
      <c r="G1944">
        <v>60</v>
      </c>
      <c r="H1944">
        <f t="shared" si="183"/>
        <v>0</v>
      </c>
      <c r="I1944" t="str">
        <f t="shared" si="187"/>
        <v>On Time</v>
      </c>
      <c r="J1944" cm="1">
        <f t="array" ref="J1944">_xlfn.IFS(H1944&lt;30,0,H1944&lt;60,1,H1944&lt;90,2,H1944&lt;120,3)</f>
        <v>0</v>
      </c>
      <c r="M1944" t="str">
        <f t="shared" si="188"/>
        <v>Low</v>
      </c>
      <c r="N1944" t="str">
        <f t="shared" si="185"/>
        <v>Nov</v>
      </c>
      <c r="O1944">
        <f t="shared" si="186"/>
        <v>2025</v>
      </c>
    </row>
    <row r="1945" spans="1:15" x14ac:dyDescent="0.3">
      <c r="A1945">
        <v>202595</v>
      </c>
      <c r="B1945" t="s">
        <v>108</v>
      </c>
      <c r="C1945" s="2">
        <v>45969</v>
      </c>
      <c r="D1945" s="2">
        <f t="shared" si="184"/>
        <v>45999</v>
      </c>
      <c r="E1945" s="1">
        <f>D1945</f>
        <v>45999</v>
      </c>
      <c r="F1945">
        <v>3717</v>
      </c>
      <c r="G1945">
        <v>30</v>
      </c>
      <c r="H1945">
        <f t="shared" si="183"/>
        <v>0</v>
      </c>
      <c r="I1945" t="str">
        <f t="shared" si="187"/>
        <v>On Time</v>
      </c>
      <c r="J1945" cm="1">
        <f t="array" ref="J1945">_xlfn.IFS(H1945&lt;30,0,H1945&lt;60,1,H1945&lt;90,2,H1945&lt;120,3)</f>
        <v>0</v>
      </c>
      <c r="M1945" t="str">
        <f t="shared" si="188"/>
        <v>Low</v>
      </c>
      <c r="N1945" t="str">
        <f t="shared" si="185"/>
        <v>Nov</v>
      </c>
      <c r="O1945">
        <f t="shared" si="186"/>
        <v>2025</v>
      </c>
    </row>
    <row r="1946" spans="1:15" x14ac:dyDescent="0.3">
      <c r="A1946">
        <v>202596</v>
      </c>
      <c r="B1946" t="s">
        <v>109</v>
      </c>
      <c r="C1946" s="2">
        <v>45969</v>
      </c>
      <c r="D1946" s="2">
        <f t="shared" si="184"/>
        <v>45999</v>
      </c>
      <c r="E1946" s="1">
        <f>D1946+20</f>
        <v>46019</v>
      </c>
      <c r="F1946">
        <v>494</v>
      </c>
      <c r="G1946">
        <v>30</v>
      </c>
      <c r="H1946">
        <f t="shared" si="183"/>
        <v>0</v>
      </c>
      <c r="I1946" t="str">
        <f t="shared" si="187"/>
        <v>On Time</v>
      </c>
      <c r="J1946" cm="1">
        <f t="array" ref="J1946">_xlfn.IFS(H1946&lt;30,0,H1946&lt;60,1,H1946&lt;90,2,H1946&lt;120,3)</f>
        <v>0</v>
      </c>
      <c r="M1946" t="str">
        <f t="shared" si="188"/>
        <v>Low</v>
      </c>
      <c r="N1946" t="str">
        <f t="shared" si="185"/>
        <v>Nov</v>
      </c>
      <c r="O1946">
        <f t="shared" si="186"/>
        <v>2025</v>
      </c>
    </row>
    <row r="1947" spans="1:15" x14ac:dyDescent="0.3">
      <c r="A1947">
        <v>202597</v>
      </c>
      <c r="B1947" t="s">
        <v>110</v>
      </c>
      <c r="C1947" s="2">
        <v>45969</v>
      </c>
      <c r="D1947" s="2">
        <f t="shared" si="184"/>
        <v>46014</v>
      </c>
      <c r="E1947" s="1">
        <f>D1947</f>
        <v>46014</v>
      </c>
      <c r="F1947">
        <v>224</v>
      </c>
      <c r="G1947">
        <v>45</v>
      </c>
      <c r="H1947">
        <f t="shared" si="183"/>
        <v>0</v>
      </c>
      <c r="I1947" t="str">
        <f t="shared" si="187"/>
        <v>On Time</v>
      </c>
      <c r="J1947" cm="1">
        <f t="array" ref="J1947">_xlfn.IFS(H1947&lt;30,0,H1947&lt;60,1,H1947&lt;90,2,H1947&lt;120,3)</f>
        <v>0</v>
      </c>
      <c r="M1947" t="str">
        <f t="shared" si="188"/>
        <v>Low</v>
      </c>
      <c r="N1947" t="str">
        <f t="shared" si="185"/>
        <v>Nov</v>
      </c>
      <c r="O1947">
        <f t="shared" si="186"/>
        <v>2025</v>
      </c>
    </row>
    <row r="1948" spans="1:15" x14ac:dyDescent="0.3">
      <c r="A1948">
        <v>202598</v>
      </c>
      <c r="B1948" t="s">
        <v>111</v>
      </c>
      <c r="C1948" s="2">
        <v>45969</v>
      </c>
      <c r="D1948" s="2">
        <f t="shared" si="184"/>
        <v>46029</v>
      </c>
      <c r="E1948" s="1">
        <f>D1948+1</f>
        <v>46030</v>
      </c>
      <c r="F1948">
        <v>6290</v>
      </c>
      <c r="G1948">
        <v>60</v>
      </c>
      <c r="H1948">
        <f t="shared" si="183"/>
        <v>0</v>
      </c>
      <c r="I1948" t="str">
        <f t="shared" si="187"/>
        <v>On Time</v>
      </c>
      <c r="J1948" cm="1">
        <f t="array" ref="J1948">_xlfn.IFS(H1948&lt;30,0,H1948&lt;60,1,H1948&lt;90,2,H1948&lt;120,3)</f>
        <v>0</v>
      </c>
      <c r="M1948" t="str">
        <f t="shared" si="188"/>
        <v>Low</v>
      </c>
      <c r="N1948" t="str">
        <f t="shared" si="185"/>
        <v>Nov</v>
      </c>
      <c r="O1948">
        <f t="shared" si="186"/>
        <v>2025</v>
      </c>
    </row>
    <row r="1949" spans="1:15" x14ac:dyDescent="0.3">
      <c r="A1949">
        <v>202599</v>
      </c>
      <c r="B1949" t="s">
        <v>112</v>
      </c>
      <c r="C1949" s="2">
        <v>45969</v>
      </c>
      <c r="D1949" s="2">
        <f t="shared" si="184"/>
        <v>46014</v>
      </c>
      <c r="E1949" s="1">
        <f>D1949</f>
        <v>46014</v>
      </c>
      <c r="F1949">
        <v>940</v>
      </c>
      <c r="G1949">
        <v>45</v>
      </c>
      <c r="H1949">
        <f t="shared" si="183"/>
        <v>0</v>
      </c>
      <c r="I1949" t="str">
        <f t="shared" si="187"/>
        <v>On Time</v>
      </c>
      <c r="J1949" cm="1">
        <f t="array" ref="J1949">_xlfn.IFS(H1949&lt;30,0,H1949&lt;60,1,H1949&lt;90,2,H1949&lt;120,3)</f>
        <v>0</v>
      </c>
      <c r="M1949" t="str">
        <f t="shared" si="188"/>
        <v>Low</v>
      </c>
      <c r="N1949" t="str">
        <f t="shared" si="185"/>
        <v>Nov</v>
      </c>
      <c r="O1949">
        <f t="shared" si="186"/>
        <v>2025</v>
      </c>
    </row>
    <row r="1950" spans="1:15" x14ac:dyDescent="0.3">
      <c r="A1950">
        <v>202600</v>
      </c>
      <c r="B1950" t="s">
        <v>113</v>
      </c>
      <c r="C1950" s="2">
        <v>45969</v>
      </c>
      <c r="D1950" s="2">
        <f t="shared" si="184"/>
        <v>46014</v>
      </c>
      <c r="E1950" s="1">
        <f>D1950</f>
        <v>46014</v>
      </c>
      <c r="F1950">
        <v>4500</v>
      </c>
      <c r="G1950">
        <v>45</v>
      </c>
      <c r="H1950">
        <f t="shared" si="183"/>
        <v>0</v>
      </c>
      <c r="I1950" t="str">
        <f t="shared" si="187"/>
        <v>On Time</v>
      </c>
      <c r="J1950" cm="1">
        <f t="array" ref="J1950">_xlfn.IFS(H1950&lt;30,0,H1950&lt;60,1,H1950&lt;90,2,H1950&lt;120,3)</f>
        <v>0</v>
      </c>
      <c r="M1950" t="str">
        <f t="shared" si="188"/>
        <v>Low</v>
      </c>
      <c r="N1950" t="str">
        <f t="shared" si="185"/>
        <v>Nov</v>
      </c>
      <c r="O1950">
        <f t="shared" si="186"/>
        <v>2025</v>
      </c>
    </row>
    <row r="1951" spans="1:15" x14ac:dyDescent="0.3">
      <c r="A1951">
        <v>202601</v>
      </c>
      <c r="B1951" t="s">
        <v>114</v>
      </c>
      <c r="C1951" s="2">
        <v>45969</v>
      </c>
      <c r="D1951" s="2">
        <f t="shared" si="184"/>
        <v>45999</v>
      </c>
      <c r="E1951" s="1">
        <f>D1951+5</f>
        <v>46004</v>
      </c>
      <c r="F1951">
        <v>18887</v>
      </c>
      <c r="G1951">
        <v>30</v>
      </c>
      <c r="H1951">
        <f t="shared" si="183"/>
        <v>0</v>
      </c>
      <c r="I1951" t="str">
        <f t="shared" si="187"/>
        <v>On Time</v>
      </c>
      <c r="J1951" cm="1">
        <f t="array" ref="J1951">_xlfn.IFS(H1951&lt;30,0,H1951&lt;60,1,H1951&lt;90,2,H1951&lt;120,3)</f>
        <v>0</v>
      </c>
      <c r="M1951" t="str">
        <f t="shared" si="188"/>
        <v>Low</v>
      </c>
      <c r="N1951" t="str">
        <f t="shared" si="185"/>
        <v>Nov</v>
      </c>
      <c r="O1951">
        <f t="shared" si="186"/>
        <v>2025</v>
      </c>
    </row>
    <row r="1952" spans="1:15" x14ac:dyDescent="0.3">
      <c r="A1952">
        <v>202602</v>
      </c>
      <c r="B1952" t="s">
        <v>115</v>
      </c>
      <c r="C1952" s="2">
        <v>45969</v>
      </c>
      <c r="D1952" s="2">
        <f t="shared" si="184"/>
        <v>45999</v>
      </c>
      <c r="E1952" s="1">
        <f>D1952+2</f>
        <v>46001</v>
      </c>
      <c r="F1952">
        <v>3004</v>
      </c>
      <c r="G1952">
        <v>30</v>
      </c>
      <c r="H1952">
        <f t="shared" si="183"/>
        <v>0</v>
      </c>
      <c r="I1952" t="str">
        <f t="shared" si="187"/>
        <v>On Time</v>
      </c>
      <c r="J1952" cm="1">
        <f t="array" ref="J1952">_xlfn.IFS(H1952&lt;30,0,H1952&lt;60,1,H1952&lt;90,2,H1952&lt;120,3)</f>
        <v>0</v>
      </c>
      <c r="M1952" t="str">
        <f t="shared" si="188"/>
        <v>Low</v>
      </c>
      <c r="N1952" t="str">
        <f t="shared" si="185"/>
        <v>Nov</v>
      </c>
      <c r="O1952">
        <f t="shared" si="186"/>
        <v>2025</v>
      </c>
    </row>
    <row r="1953" spans="1:15" x14ac:dyDescent="0.3">
      <c r="A1953">
        <v>202603</v>
      </c>
      <c r="B1953" t="s">
        <v>116</v>
      </c>
      <c r="C1953" s="2">
        <v>45969</v>
      </c>
      <c r="D1953" s="2">
        <f t="shared" si="184"/>
        <v>45999</v>
      </c>
      <c r="E1953" s="1">
        <f>D1953+5</f>
        <v>46004</v>
      </c>
      <c r="F1953">
        <v>1307</v>
      </c>
      <c r="G1953">
        <v>30</v>
      </c>
      <c r="H1953">
        <f t="shared" si="183"/>
        <v>0</v>
      </c>
      <c r="I1953" t="str">
        <f t="shared" si="187"/>
        <v>On Time</v>
      </c>
      <c r="J1953" cm="1">
        <f t="array" ref="J1953">_xlfn.IFS(H1953&lt;30,0,H1953&lt;60,1,H1953&lt;90,2,H1953&lt;120,3)</f>
        <v>0</v>
      </c>
      <c r="M1953" t="str">
        <f t="shared" si="188"/>
        <v>Low</v>
      </c>
      <c r="N1953" t="str">
        <f t="shared" si="185"/>
        <v>Nov</v>
      </c>
      <c r="O1953">
        <f t="shared" si="186"/>
        <v>2025</v>
      </c>
    </row>
    <row r="1954" spans="1:15" x14ac:dyDescent="0.3">
      <c r="A1954">
        <v>202604</v>
      </c>
      <c r="B1954" t="s">
        <v>20</v>
      </c>
      <c r="C1954" s="2">
        <v>45969</v>
      </c>
      <c r="D1954" s="2">
        <f t="shared" si="184"/>
        <v>45999</v>
      </c>
      <c r="E1954" s="1">
        <f>D1954</f>
        <v>45999</v>
      </c>
      <c r="F1954">
        <v>1063</v>
      </c>
      <c r="G1954">
        <v>30</v>
      </c>
      <c r="H1954">
        <f t="shared" si="183"/>
        <v>0</v>
      </c>
      <c r="I1954" t="str">
        <f t="shared" si="187"/>
        <v>On Time</v>
      </c>
      <c r="J1954" cm="1">
        <f t="array" ref="J1954">_xlfn.IFS(H1954&lt;30,0,H1954&lt;60,1,H1954&lt;90,2,H1954&lt;120,3)</f>
        <v>0</v>
      </c>
      <c r="M1954" t="str">
        <f t="shared" si="188"/>
        <v>Low</v>
      </c>
      <c r="N1954" t="str">
        <f t="shared" si="185"/>
        <v>Nov</v>
      </c>
      <c r="O1954">
        <f t="shared" si="186"/>
        <v>2025</v>
      </c>
    </row>
    <row r="1955" spans="1:15" x14ac:dyDescent="0.3">
      <c r="A1955">
        <v>202605</v>
      </c>
      <c r="B1955" t="s">
        <v>21</v>
      </c>
      <c r="C1955" s="2">
        <v>45969</v>
      </c>
      <c r="D1955" s="2">
        <f t="shared" si="184"/>
        <v>45999</v>
      </c>
      <c r="E1955" s="1">
        <f>D1955</f>
        <v>45999</v>
      </c>
      <c r="F1955">
        <v>3911</v>
      </c>
      <c r="G1955">
        <v>30</v>
      </c>
      <c r="H1955">
        <f t="shared" si="183"/>
        <v>0</v>
      </c>
      <c r="I1955" t="str">
        <f t="shared" si="187"/>
        <v>On Time</v>
      </c>
      <c r="J1955" cm="1">
        <f t="array" ref="J1955">_xlfn.IFS(H1955&lt;30,0,H1955&lt;60,1,H1955&lt;90,2,H1955&lt;120,3)</f>
        <v>0</v>
      </c>
      <c r="M1955" t="str">
        <f t="shared" si="188"/>
        <v>Low</v>
      </c>
      <c r="N1955" t="str">
        <f t="shared" si="185"/>
        <v>Nov</v>
      </c>
      <c r="O1955">
        <f t="shared" si="186"/>
        <v>2025</v>
      </c>
    </row>
    <row r="1956" spans="1:15" x14ac:dyDescent="0.3">
      <c r="A1956">
        <v>202606</v>
      </c>
      <c r="B1956" t="s">
        <v>22</v>
      </c>
      <c r="C1956" s="2">
        <v>45969</v>
      </c>
      <c r="D1956" s="2">
        <f t="shared" si="184"/>
        <v>45999</v>
      </c>
      <c r="E1956" s="1">
        <f>D1956+60</f>
        <v>46059</v>
      </c>
      <c r="F1956">
        <v>3852</v>
      </c>
      <c r="G1956">
        <v>30</v>
      </c>
      <c r="H1956">
        <f t="shared" si="183"/>
        <v>0</v>
      </c>
      <c r="I1956" t="str">
        <f t="shared" si="187"/>
        <v>On Time</v>
      </c>
      <c r="J1956" cm="1">
        <f t="array" ref="J1956">_xlfn.IFS(H1956&lt;30,0,H1956&lt;60,1,H1956&lt;90,2,H1956&lt;120,3)</f>
        <v>0</v>
      </c>
      <c r="M1956" t="str">
        <f t="shared" si="188"/>
        <v>Low</v>
      </c>
      <c r="N1956" t="str">
        <f t="shared" si="185"/>
        <v>Nov</v>
      </c>
      <c r="O1956">
        <f t="shared" si="186"/>
        <v>2025</v>
      </c>
    </row>
    <row r="1957" spans="1:15" x14ac:dyDescent="0.3">
      <c r="A1957">
        <v>202607</v>
      </c>
      <c r="B1957" t="s">
        <v>23</v>
      </c>
      <c r="C1957" s="2">
        <v>45969</v>
      </c>
      <c r="D1957" s="2">
        <f t="shared" si="184"/>
        <v>46014</v>
      </c>
      <c r="E1957" s="1">
        <f>D1957</f>
        <v>46014</v>
      </c>
      <c r="F1957">
        <v>1920</v>
      </c>
      <c r="G1957">
        <v>45</v>
      </c>
      <c r="H1957">
        <f t="shared" si="183"/>
        <v>0</v>
      </c>
      <c r="I1957" t="str">
        <f t="shared" si="187"/>
        <v>On Time</v>
      </c>
      <c r="J1957" cm="1">
        <f t="array" ref="J1957">_xlfn.IFS(H1957&lt;30,0,H1957&lt;60,1,H1957&lt;90,2,H1957&lt;120,3)</f>
        <v>0</v>
      </c>
      <c r="M1957" t="str">
        <f t="shared" si="188"/>
        <v>Low</v>
      </c>
      <c r="N1957" t="str">
        <f t="shared" si="185"/>
        <v>Nov</v>
      </c>
      <c r="O1957">
        <f t="shared" si="186"/>
        <v>2025</v>
      </c>
    </row>
    <row r="1958" spans="1:15" x14ac:dyDescent="0.3">
      <c r="A1958">
        <v>202608</v>
      </c>
      <c r="B1958" t="s">
        <v>24</v>
      </c>
      <c r="C1958" s="2">
        <v>45969</v>
      </c>
      <c r="D1958" s="2">
        <f t="shared" si="184"/>
        <v>46014</v>
      </c>
      <c r="F1958">
        <v>2486</v>
      </c>
      <c r="G1958">
        <v>45</v>
      </c>
      <c r="H1958">
        <f t="shared" ref="H1958:H2021" si="189">MAX(0,P1923-D1958)</f>
        <v>0</v>
      </c>
      <c r="I1958" t="str">
        <f t="shared" si="187"/>
        <v>On Time</v>
      </c>
      <c r="J1958" cm="1">
        <f t="array" ref="J1958">_xlfn.IFS(H1958&lt;30,0,H1958&lt;60,1,H1958&lt;90,2,H1958&lt;120,3)</f>
        <v>0</v>
      </c>
      <c r="M1958" t="str">
        <f t="shared" si="188"/>
        <v>Low</v>
      </c>
      <c r="N1958" t="str">
        <f t="shared" si="185"/>
        <v>Nov</v>
      </c>
      <c r="O1958">
        <f t="shared" si="186"/>
        <v>2025</v>
      </c>
    </row>
    <row r="1959" spans="1:15" x14ac:dyDescent="0.3">
      <c r="A1959">
        <v>202609</v>
      </c>
      <c r="B1959" t="s">
        <v>25</v>
      </c>
      <c r="C1959" s="2">
        <v>45969</v>
      </c>
      <c r="D1959" s="2">
        <f t="shared" si="184"/>
        <v>46029</v>
      </c>
      <c r="E1959" s="1">
        <f>D1959+3</f>
        <v>46032</v>
      </c>
      <c r="F1959">
        <v>3538</v>
      </c>
      <c r="G1959">
        <v>60</v>
      </c>
      <c r="H1959">
        <f t="shared" si="189"/>
        <v>0</v>
      </c>
      <c r="I1959" t="str">
        <f t="shared" si="187"/>
        <v>On Time</v>
      </c>
      <c r="J1959" cm="1">
        <f t="array" ref="J1959">_xlfn.IFS(H1959&lt;30,0,H1959&lt;60,1,H1959&lt;90,2,H1959&lt;120,3)</f>
        <v>0</v>
      </c>
      <c r="M1959" t="str">
        <f t="shared" si="188"/>
        <v>Low</v>
      </c>
      <c r="N1959" t="str">
        <f t="shared" si="185"/>
        <v>Nov</v>
      </c>
      <c r="O1959">
        <f t="shared" si="186"/>
        <v>2025</v>
      </c>
    </row>
    <row r="1960" spans="1:15" x14ac:dyDescent="0.3">
      <c r="A1960">
        <v>202610</v>
      </c>
      <c r="B1960" t="s">
        <v>26</v>
      </c>
      <c r="C1960" s="2">
        <v>45969</v>
      </c>
      <c r="D1960" s="2">
        <f t="shared" si="184"/>
        <v>45999</v>
      </c>
      <c r="E1960" s="1">
        <f>D1960+1</f>
        <v>46000</v>
      </c>
      <c r="F1960">
        <v>10927</v>
      </c>
      <c r="G1960">
        <v>30</v>
      </c>
      <c r="H1960">
        <f t="shared" si="189"/>
        <v>0</v>
      </c>
      <c r="I1960" t="str">
        <f t="shared" si="187"/>
        <v>On Time</v>
      </c>
      <c r="J1960" cm="1">
        <f t="array" ref="J1960">_xlfn.IFS(H1960&lt;30,0,H1960&lt;60,1,H1960&lt;90,2,H1960&lt;120,3)</f>
        <v>0</v>
      </c>
      <c r="M1960" t="str">
        <f t="shared" si="188"/>
        <v>Low</v>
      </c>
      <c r="N1960" t="str">
        <f t="shared" si="185"/>
        <v>Nov</v>
      </c>
      <c r="O1960">
        <f t="shared" si="186"/>
        <v>2025</v>
      </c>
    </row>
    <row r="1961" spans="1:15" x14ac:dyDescent="0.3">
      <c r="A1961">
        <v>202611</v>
      </c>
      <c r="B1961" t="s">
        <v>27</v>
      </c>
      <c r="C1961" s="2">
        <v>45969</v>
      </c>
      <c r="D1961" s="2">
        <f t="shared" si="184"/>
        <v>46029</v>
      </c>
      <c r="E1961" s="1">
        <f>D1961-1</f>
        <v>46028</v>
      </c>
      <c r="F1961">
        <v>2283</v>
      </c>
      <c r="G1961">
        <v>60</v>
      </c>
      <c r="H1961">
        <f t="shared" si="189"/>
        <v>0</v>
      </c>
      <c r="I1961" t="str">
        <f t="shared" si="187"/>
        <v>On Time</v>
      </c>
      <c r="J1961" cm="1">
        <f t="array" ref="J1961">_xlfn.IFS(H1961&lt;30,0,H1961&lt;60,1,H1961&lt;90,2,H1961&lt;120,3)</f>
        <v>0</v>
      </c>
      <c r="M1961" t="str">
        <f t="shared" si="188"/>
        <v>Low</v>
      </c>
      <c r="N1961" t="str">
        <f t="shared" si="185"/>
        <v>Nov</v>
      </c>
      <c r="O1961">
        <f t="shared" si="186"/>
        <v>2025</v>
      </c>
    </row>
    <row r="1962" spans="1:15" x14ac:dyDescent="0.3">
      <c r="A1962">
        <v>202612</v>
      </c>
      <c r="B1962" t="s">
        <v>28</v>
      </c>
      <c r="C1962" s="2">
        <v>45969</v>
      </c>
      <c r="D1962" s="2">
        <f t="shared" si="184"/>
        <v>45999</v>
      </c>
      <c r="E1962" s="1">
        <f>D1962</f>
        <v>45999</v>
      </c>
      <c r="F1962">
        <v>2257</v>
      </c>
      <c r="G1962">
        <v>30</v>
      </c>
      <c r="H1962">
        <f t="shared" si="189"/>
        <v>0</v>
      </c>
      <c r="I1962" t="str">
        <f t="shared" si="187"/>
        <v>On Time</v>
      </c>
      <c r="J1962" cm="1">
        <f t="array" ref="J1962">_xlfn.IFS(H1962&lt;30,0,H1962&lt;60,1,H1962&lt;90,2,H1962&lt;120,3)</f>
        <v>0</v>
      </c>
      <c r="M1962" t="str">
        <f t="shared" si="188"/>
        <v>Low</v>
      </c>
      <c r="N1962" t="str">
        <f t="shared" si="185"/>
        <v>Nov</v>
      </c>
      <c r="O1962">
        <f t="shared" si="186"/>
        <v>2025</v>
      </c>
    </row>
    <row r="1963" spans="1:15" x14ac:dyDescent="0.3">
      <c r="A1963">
        <v>202613</v>
      </c>
      <c r="B1963" t="s">
        <v>29</v>
      </c>
      <c r="C1963" s="2">
        <v>45969</v>
      </c>
      <c r="D1963" s="2">
        <f t="shared" si="184"/>
        <v>45999</v>
      </c>
      <c r="E1963" s="1">
        <f>D1963-5</f>
        <v>45994</v>
      </c>
      <c r="F1963">
        <v>3006</v>
      </c>
      <c r="G1963">
        <v>30</v>
      </c>
      <c r="H1963">
        <f t="shared" si="189"/>
        <v>0</v>
      </c>
      <c r="I1963" t="str">
        <f t="shared" si="187"/>
        <v>On Time</v>
      </c>
      <c r="J1963" cm="1">
        <f t="array" ref="J1963">_xlfn.IFS(H1963&lt;30,0,H1963&lt;60,1,H1963&lt;90,2,H1963&lt;120,3)</f>
        <v>0</v>
      </c>
      <c r="M1963" t="str">
        <f t="shared" si="188"/>
        <v>Low</v>
      </c>
      <c r="N1963" t="str">
        <f t="shared" si="185"/>
        <v>Nov</v>
      </c>
      <c r="O1963">
        <f t="shared" si="186"/>
        <v>2025</v>
      </c>
    </row>
    <row r="1964" spans="1:15" x14ac:dyDescent="0.3">
      <c r="A1964">
        <v>202573</v>
      </c>
      <c r="B1964" t="s">
        <v>97</v>
      </c>
      <c r="C1964" s="2">
        <v>45968</v>
      </c>
      <c r="D1964" s="2">
        <f t="shared" si="184"/>
        <v>45998</v>
      </c>
      <c r="E1964" s="1">
        <f>D1964+60</f>
        <v>46058</v>
      </c>
      <c r="F1964">
        <v>3496</v>
      </c>
      <c r="G1964">
        <v>30</v>
      </c>
      <c r="H1964">
        <f t="shared" si="189"/>
        <v>0</v>
      </c>
      <c r="I1964" t="str">
        <f t="shared" si="187"/>
        <v>On Time</v>
      </c>
      <c r="J1964" cm="1">
        <f t="array" ref="J1964">_xlfn.IFS(H1964&lt;30,0,H1964&lt;60,1,H1964&lt;90,2,H1964&lt;120,3)</f>
        <v>0</v>
      </c>
      <c r="M1964" t="str">
        <f t="shared" si="188"/>
        <v>Low</v>
      </c>
      <c r="N1964" t="str">
        <f t="shared" si="185"/>
        <v>Nov</v>
      </c>
      <c r="O1964">
        <f t="shared" si="186"/>
        <v>2025</v>
      </c>
    </row>
    <row r="1965" spans="1:15" x14ac:dyDescent="0.3">
      <c r="A1965">
        <v>202574</v>
      </c>
      <c r="B1965" t="s">
        <v>98</v>
      </c>
      <c r="C1965" s="2">
        <v>45968</v>
      </c>
      <c r="D1965" s="2">
        <f t="shared" si="184"/>
        <v>45998</v>
      </c>
      <c r="E1965" s="1">
        <f>D1965</f>
        <v>45998</v>
      </c>
      <c r="F1965">
        <v>1273</v>
      </c>
      <c r="G1965">
        <v>30</v>
      </c>
      <c r="H1965">
        <f t="shared" si="189"/>
        <v>0</v>
      </c>
      <c r="I1965" t="str">
        <f t="shared" si="187"/>
        <v>On Time</v>
      </c>
      <c r="J1965" cm="1">
        <f t="array" ref="J1965">_xlfn.IFS(H1965&lt;30,0,H1965&lt;60,1,H1965&lt;90,2,H1965&lt;120,3)</f>
        <v>0</v>
      </c>
      <c r="M1965" t="str">
        <f t="shared" si="188"/>
        <v>Low</v>
      </c>
      <c r="N1965" t="str">
        <f t="shared" si="185"/>
        <v>Nov</v>
      </c>
      <c r="O1965">
        <f t="shared" si="186"/>
        <v>2025</v>
      </c>
    </row>
    <row r="1966" spans="1:15" x14ac:dyDescent="0.3">
      <c r="A1966">
        <v>202575</v>
      </c>
      <c r="B1966" t="s">
        <v>99</v>
      </c>
      <c r="C1966" s="2">
        <v>45968</v>
      </c>
      <c r="D1966" s="2">
        <f t="shared" si="184"/>
        <v>45998</v>
      </c>
      <c r="E1966" s="1">
        <f>D1966</f>
        <v>45998</v>
      </c>
      <c r="F1966">
        <v>3408</v>
      </c>
      <c r="G1966">
        <v>30</v>
      </c>
      <c r="H1966">
        <f t="shared" si="189"/>
        <v>0</v>
      </c>
      <c r="I1966" t="str">
        <f t="shared" si="187"/>
        <v>On Time</v>
      </c>
      <c r="J1966" cm="1">
        <f t="array" ref="J1966">_xlfn.IFS(H1966&lt;30,0,H1966&lt;60,1,H1966&lt;90,2,H1966&lt;120,3)</f>
        <v>0</v>
      </c>
      <c r="M1966" t="str">
        <f t="shared" si="188"/>
        <v>Low</v>
      </c>
      <c r="N1966" t="str">
        <f t="shared" si="185"/>
        <v>Nov</v>
      </c>
      <c r="O1966">
        <f t="shared" si="186"/>
        <v>2025</v>
      </c>
    </row>
    <row r="1967" spans="1:15" x14ac:dyDescent="0.3">
      <c r="A1967">
        <v>202576</v>
      </c>
      <c r="B1967" t="s">
        <v>100</v>
      </c>
      <c r="C1967" s="2">
        <v>45968</v>
      </c>
      <c r="D1967" s="2">
        <f t="shared" si="184"/>
        <v>45998</v>
      </c>
      <c r="E1967" s="1">
        <f>D1967+3</f>
        <v>46001</v>
      </c>
      <c r="F1967">
        <v>1641</v>
      </c>
      <c r="G1967">
        <v>30</v>
      </c>
      <c r="H1967">
        <f t="shared" si="189"/>
        <v>0</v>
      </c>
      <c r="I1967" t="str">
        <f t="shared" si="187"/>
        <v>On Time</v>
      </c>
      <c r="J1967" cm="1">
        <f t="array" ref="J1967">_xlfn.IFS(H1967&lt;30,0,H1967&lt;60,1,H1967&lt;90,2,H1967&lt;120,3)</f>
        <v>0</v>
      </c>
      <c r="M1967" t="str">
        <f t="shared" si="188"/>
        <v>Low</v>
      </c>
      <c r="N1967" t="str">
        <f t="shared" si="185"/>
        <v>Nov</v>
      </c>
      <c r="O1967">
        <f t="shared" si="186"/>
        <v>2025</v>
      </c>
    </row>
    <row r="1968" spans="1:15" x14ac:dyDescent="0.3">
      <c r="A1968">
        <v>202577</v>
      </c>
      <c r="B1968" t="s">
        <v>101</v>
      </c>
      <c r="C1968" s="2">
        <v>45968</v>
      </c>
      <c r="D1968" s="2">
        <f t="shared" si="184"/>
        <v>45998</v>
      </c>
      <c r="E1968" s="1">
        <f>D1968+1</f>
        <v>45999</v>
      </c>
      <c r="F1968">
        <v>2668</v>
      </c>
      <c r="G1968">
        <v>30</v>
      </c>
      <c r="H1968">
        <f t="shared" si="189"/>
        <v>0</v>
      </c>
      <c r="I1968" t="str">
        <f t="shared" si="187"/>
        <v>On Time</v>
      </c>
      <c r="J1968" cm="1">
        <f t="array" ref="J1968">_xlfn.IFS(H1968&lt;30,0,H1968&lt;60,1,H1968&lt;90,2,H1968&lt;120,3)</f>
        <v>0</v>
      </c>
      <c r="M1968" t="str">
        <f t="shared" si="188"/>
        <v>Low</v>
      </c>
      <c r="N1968" t="str">
        <f t="shared" si="185"/>
        <v>Nov</v>
      </c>
      <c r="O1968">
        <f t="shared" si="186"/>
        <v>2025</v>
      </c>
    </row>
    <row r="1969" spans="1:15" x14ac:dyDescent="0.3">
      <c r="A1969">
        <v>202578</v>
      </c>
      <c r="B1969" t="s">
        <v>102</v>
      </c>
      <c r="C1969" s="2">
        <v>45968</v>
      </c>
      <c r="D1969" s="2">
        <f t="shared" si="184"/>
        <v>45998</v>
      </c>
      <c r="E1969" s="1">
        <f>D1969-1</f>
        <v>45997</v>
      </c>
      <c r="F1969">
        <v>1942</v>
      </c>
      <c r="G1969">
        <v>30</v>
      </c>
      <c r="H1969">
        <f t="shared" si="189"/>
        <v>0</v>
      </c>
      <c r="I1969" t="str">
        <f t="shared" si="187"/>
        <v>On Time</v>
      </c>
      <c r="J1969" cm="1">
        <f t="array" ref="J1969">_xlfn.IFS(H1969&lt;30,0,H1969&lt;60,1,H1969&lt;90,2,H1969&lt;120,3)</f>
        <v>0</v>
      </c>
      <c r="M1969" t="str">
        <f t="shared" si="188"/>
        <v>Low</v>
      </c>
      <c r="N1969" t="str">
        <f t="shared" si="185"/>
        <v>Nov</v>
      </c>
      <c r="O1969">
        <f t="shared" si="186"/>
        <v>2025</v>
      </c>
    </row>
    <row r="1970" spans="1:15" x14ac:dyDescent="0.3">
      <c r="A1970">
        <v>202579</v>
      </c>
      <c r="B1970" t="s">
        <v>103</v>
      </c>
      <c r="C1970" s="2">
        <v>45968</v>
      </c>
      <c r="D1970" s="2">
        <f t="shared" si="184"/>
        <v>45998</v>
      </c>
      <c r="E1970" s="1">
        <f>D1970</f>
        <v>45998</v>
      </c>
      <c r="F1970">
        <v>1798</v>
      </c>
      <c r="G1970">
        <v>30</v>
      </c>
      <c r="H1970">
        <f t="shared" si="189"/>
        <v>0</v>
      </c>
      <c r="I1970" t="str">
        <f t="shared" si="187"/>
        <v>On Time</v>
      </c>
      <c r="J1970" cm="1">
        <f t="array" ref="J1970">_xlfn.IFS(H1970&lt;30,0,H1970&lt;60,1,H1970&lt;90,2,H1970&lt;120,3)</f>
        <v>0</v>
      </c>
      <c r="M1970" t="str">
        <f t="shared" si="188"/>
        <v>Low</v>
      </c>
      <c r="N1970" t="str">
        <f t="shared" si="185"/>
        <v>Nov</v>
      </c>
      <c r="O1970">
        <f t="shared" si="186"/>
        <v>2025</v>
      </c>
    </row>
    <row r="1971" spans="1:15" x14ac:dyDescent="0.3">
      <c r="A1971">
        <v>202580</v>
      </c>
      <c r="B1971" t="s">
        <v>104</v>
      </c>
      <c r="C1971" s="2">
        <v>45968</v>
      </c>
      <c r="D1971" s="2">
        <f t="shared" si="184"/>
        <v>45998</v>
      </c>
      <c r="E1971" s="1">
        <f>D1971+1</f>
        <v>45999</v>
      </c>
      <c r="F1971">
        <v>127</v>
      </c>
      <c r="G1971">
        <v>30</v>
      </c>
      <c r="H1971">
        <f t="shared" si="189"/>
        <v>0</v>
      </c>
      <c r="I1971" t="str">
        <f t="shared" si="187"/>
        <v>On Time</v>
      </c>
      <c r="J1971" cm="1">
        <f t="array" ref="J1971">_xlfn.IFS(H1971&lt;30,0,H1971&lt;60,1,H1971&lt;90,2,H1971&lt;120,3)</f>
        <v>0</v>
      </c>
      <c r="M1971" t="str">
        <f t="shared" si="188"/>
        <v>Low</v>
      </c>
      <c r="N1971" t="str">
        <f t="shared" si="185"/>
        <v>Nov</v>
      </c>
      <c r="O1971">
        <f t="shared" si="186"/>
        <v>2025</v>
      </c>
    </row>
    <row r="1972" spans="1:15" x14ac:dyDescent="0.3">
      <c r="A1972">
        <v>202581</v>
      </c>
      <c r="B1972" t="s">
        <v>105</v>
      </c>
      <c r="C1972" s="2">
        <v>45968</v>
      </c>
      <c r="D1972" s="2">
        <f t="shared" si="184"/>
        <v>45998</v>
      </c>
      <c r="E1972" s="1">
        <f>D1972+35</f>
        <v>46033</v>
      </c>
      <c r="F1972">
        <v>3940</v>
      </c>
      <c r="G1972">
        <v>30</v>
      </c>
      <c r="H1972">
        <f t="shared" si="189"/>
        <v>0</v>
      </c>
      <c r="I1972" t="str">
        <f t="shared" si="187"/>
        <v>On Time</v>
      </c>
      <c r="J1972" cm="1">
        <f t="array" ref="J1972">_xlfn.IFS(H1972&lt;30,0,H1972&lt;60,1,H1972&lt;90,2,H1972&lt;120,3)</f>
        <v>0</v>
      </c>
      <c r="M1972" t="str">
        <f t="shared" si="188"/>
        <v>Low</v>
      </c>
      <c r="N1972" t="str">
        <f t="shared" si="185"/>
        <v>Nov</v>
      </c>
      <c r="O1972">
        <f t="shared" si="186"/>
        <v>2025</v>
      </c>
    </row>
    <row r="1973" spans="1:15" x14ac:dyDescent="0.3">
      <c r="A1973">
        <v>202582</v>
      </c>
      <c r="B1973" t="s">
        <v>106</v>
      </c>
      <c r="C1973" s="2">
        <v>45968</v>
      </c>
      <c r="D1973" s="2">
        <f t="shared" si="184"/>
        <v>45998</v>
      </c>
      <c r="E1973" s="1">
        <f>D1973+75</f>
        <v>46073</v>
      </c>
      <c r="F1973">
        <v>818</v>
      </c>
      <c r="G1973">
        <v>30</v>
      </c>
      <c r="H1973">
        <f t="shared" si="189"/>
        <v>0</v>
      </c>
      <c r="I1973" t="str">
        <f t="shared" si="187"/>
        <v>On Time</v>
      </c>
      <c r="J1973" cm="1">
        <f t="array" ref="J1973">_xlfn.IFS(H1973&lt;30,0,H1973&lt;60,1,H1973&lt;90,2,H1973&lt;120,3)</f>
        <v>0</v>
      </c>
      <c r="M1973" t="str">
        <f t="shared" si="188"/>
        <v>Low</v>
      </c>
      <c r="N1973" t="str">
        <f t="shared" si="185"/>
        <v>Nov</v>
      </c>
      <c r="O1973">
        <f t="shared" si="186"/>
        <v>2025</v>
      </c>
    </row>
    <row r="1974" spans="1:15" x14ac:dyDescent="0.3">
      <c r="A1974">
        <v>202583</v>
      </c>
      <c r="B1974" t="s">
        <v>107</v>
      </c>
      <c r="C1974" s="2">
        <v>45968</v>
      </c>
      <c r="D1974" s="2">
        <f t="shared" si="184"/>
        <v>45998</v>
      </c>
      <c r="E1974" s="1">
        <f>D1974+5</f>
        <v>46003</v>
      </c>
      <c r="F1974">
        <v>2981</v>
      </c>
      <c r="G1974">
        <v>30</v>
      </c>
      <c r="H1974">
        <f t="shared" si="189"/>
        <v>0</v>
      </c>
      <c r="I1974" t="str">
        <f t="shared" si="187"/>
        <v>On Time</v>
      </c>
      <c r="J1974" cm="1">
        <f t="array" ref="J1974">_xlfn.IFS(H1974&lt;30,0,H1974&lt;60,1,H1974&lt;90,2,H1974&lt;120,3)</f>
        <v>0</v>
      </c>
      <c r="M1974" t="str">
        <f t="shared" si="188"/>
        <v>Low</v>
      </c>
      <c r="N1974" t="str">
        <f t="shared" si="185"/>
        <v>Nov</v>
      </c>
      <c r="O1974">
        <f t="shared" si="186"/>
        <v>2025</v>
      </c>
    </row>
    <row r="1975" spans="1:15" x14ac:dyDescent="0.3">
      <c r="A1975">
        <v>202584</v>
      </c>
      <c r="B1975" t="s">
        <v>56</v>
      </c>
      <c r="C1975" s="2">
        <v>45968</v>
      </c>
      <c r="D1975" s="2">
        <f t="shared" si="184"/>
        <v>46013</v>
      </c>
      <c r="E1975" s="1">
        <f>D1975</f>
        <v>46013</v>
      </c>
      <c r="F1975">
        <v>1047</v>
      </c>
      <c r="G1975">
        <v>45</v>
      </c>
      <c r="H1975">
        <f t="shared" si="189"/>
        <v>0</v>
      </c>
      <c r="I1975" t="str">
        <f t="shared" si="187"/>
        <v>On Time</v>
      </c>
      <c r="J1975" cm="1">
        <f t="array" ref="J1975">_xlfn.IFS(H1975&lt;30,0,H1975&lt;60,1,H1975&lt;90,2,H1975&lt;120,3)</f>
        <v>0</v>
      </c>
      <c r="M1975" t="str">
        <f t="shared" si="188"/>
        <v>Low</v>
      </c>
      <c r="N1975" t="str">
        <f t="shared" si="185"/>
        <v>Nov</v>
      </c>
      <c r="O1975">
        <f t="shared" si="186"/>
        <v>2025</v>
      </c>
    </row>
    <row r="1976" spans="1:15" x14ac:dyDescent="0.3">
      <c r="A1976">
        <v>202585</v>
      </c>
      <c r="B1976" t="s">
        <v>57</v>
      </c>
      <c r="C1976" s="2">
        <v>45968</v>
      </c>
      <c r="D1976" s="2">
        <f t="shared" si="184"/>
        <v>46028</v>
      </c>
      <c r="E1976" s="1">
        <f>D1976-1</f>
        <v>46027</v>
      </c>
      <c r="F1976">
        <v>4272</v>
      </c>
      <c r="G1976">
        <v>60</v>
      </c>
      <c r="H1976">
        <f t="shared" si="189"/>
        <v>0</v>
      </c>
      <c r="I1976" t="str">
        <f t="shared" si="187"/>
        <v>On Time</v>
      </c>
      <c r="J1976" cm="1">
        <f t="array" ref="J1976">_xlfn.IFS(H1976&lt;30,0,H1976&lt;60,1,H1976&lt;90,2,H1976&lt;120,3)</f>
        <v>0</v>
      </c>
      <c r="M1976" t="str">
        <f t="shared" si="188"/>
        <v>Low</v>
      </c>
      <c r="N1976" t="str">
        <f t="shared" si="185"/>
        <v>Nov</v>
      </c>
      <c r="O1976">
        <f t="shared" si="186"/>
        <v>2025</v>
      </c>
    </row>
    <row r="1977" spans="1:15" x14ac:dyDescent="0.3">
      <c r="A1977">
        <v>202586</v>
      </c>
      <c r="B1977" t="s">
        <v>58</v>
      </c>
      <c r="C1977" s="2">
        <v>45968</v>
      </c>
      <c r="D1977" s="2">
        <f t="shared" si="184"/>
        <v>45998</v>
      </c>
      <c r="E1977" s="1">
        <f>D1977</f>
        <v>45998</v>
      </c>
      <c r="F1977">
        <v>2409</v>
      </c>
      <c r="G1977">
        <v>30</v>
      </c>
      <c r="H1977">
        <f t="shared" si="189"/>
        <v>0</v>
      </c>
      <c r="I1977" t="str">
        <f t="shared" si="187"/>
        <v>On Time</v>
      </c>
      <c r="J1977" cm="1">
        <f t="array" ref="J1977">_xlfn.IFS(H1977&lt;30,0,H1977&lt;60,1,H1977&lt;90,2,H1977&lt;120,3)</f>
        <v>0</v>
      </c>
      <c r="M1977" t="str">
        <f t="shared" si="188"/>
        <v>Low</v>
      </c>
      <c r="N1977" t="str">
        <f t="shared" si="185"/>
        <v>Nov</v>
      </c>
      <c r="O1977">
        <f t="shared" si="186"/>
        <v>2025</v>
      </c>
    </row>
    <row r="1978" spans="1:15" x14ac:dyDescent="0.3">
      <c r="A1978">
        <v>202587</v>
      </c>
      <c r="B1978" t="s">
        <v>59</v>
      </c>
      <c r="C1978" s="2">
        <v>45968</v>
      </c>
      <c r="D1978" s="2">
        <f t="shared" si="184"/>
        <v>45998</v>
      </c>
      <c r="E1978" s="1">
        <f>D1978+32</f>
        <v>46030</v>
      </c>
      <c r="F1978">
        <v>17481</v>
      </c>
      <c r="G1978">
        <v>30</v>
      </c>
      <c r="H1978">
        <f t="shared" si="189"/>
        <v>0</v>
      </c>
      <c r="I1978" t="str">
        <f t="shared" si="187"/>
        <v>On Time</v>
      </c>
      <c r="J1978" cm="1">
        <f t="array" ref="J1978">_xlfn.IFS(H1978&lt;30,0,H1978&lt;60,1,H1978&lt;90,2,H1978&lt;120,3)</f>
        <v>0</v>
      </c>
      <c r="M1978" t="str">
        <f t="shared" si="188"/>
        <v>Low</v>
      </c>
      <c r="N1978" t="str">
        <f t="shared" si="185"/>
        <v>Nov</v>
      </c>
      <c r="O1978">
        <f t="shared" si="186"/>
        <v>2025</v>
      </c>
    </row>
    <row r="1979" spans="1:15" x14ac:dyDescent="0.3">
      <c r="A1979">
        <v>202588</v>
      </c>
      <c r="B1979" t="s">
        <v>60</v>
      </c>
      <c r="C1979" s="2">
        <v>45968</v>
      </c>
      <c r="D1979" s="2">
        <f t="shared" si="184"/>
        <v>45998</v>
      </c>
      <c r="E1979" s="1">
        <f>D1979+15</f>
        <v>46013</v>
      </c>
      <c r="F1979">
        <v>3350</v>
      </c>
      <c r="G1979">
        <v>30</v>
      </c>
      <c r="H1979">
        <f t="shared" si="189"/>
        <v>0</v>
      </c>
      <c r="I1979" t="str">
        <f t="shared" si="187"/>
        <v>On Time</v>
      </c>
      <c r="J1979" cm="1">
        <f t="array" ref="J1979">_xlfn.IFS(H1979&lt;30,0,H1979&lt;60,1,H1979&lt;90,2,H1979&lt;120,3)</f>
        <v>0</v>
      </c>
      <c r="M1979" t="str">
        <f t="shared" si="188"/>
        <v>Low</v>
      </c>
      <c r="N1979" t="str">
        <f t="shared" si="185"/>
        <v>Nov</v>
      </c>
      <c r="O1979">
        <f t="shared" si="186"/>
        <v>2025</v>
      </c>
    </row>
    <row r="1980" spans="1:15" x14ac:dyDescent="0.3">
      <c r="A1980">
        <v>202589</v>
      </c>
      <c r="B1980" t="s">
        <v>61</v>
      </c>
      <c r="C1980" s="2">
        <v>45968</v>
      </c>
      <c r="D1980" s="2">
        <f t="shared" si="184"/>
        <v>45998</v>
      </c>
      <c r="E1980" s="1">
        <f>D1980-2</f>
        <v>45996</v>
      </c>
      <c r="F1980">
        <v>1526</v>
      </c>
      <c r="G1980">
        <v>30</v>
      </c>
      <c r="H1980">
        <f t="shared" si="189"/>
        <v>0</v>
      </c>
      <c r="I1980" t="str">
        <f t="shared" si="187"/>
        <v>On Time</v>
      </c>
      <c r="J1980" cm="1">
        <f t="array" ref="J1980">_xlfn.IFS(H1980&lt;30,0,H1980&lt;60,1,H1980&lt;90,2,H1980&lt;120,3)</f>
        <v>0</v>
      </c>
      <c r="M1980" t="str">
        <f t="shared" si="188"/>
        <v>Low</v>
      </c>
      <c r="N1980" t="str">
        <f t="shared" si="185"/>
        <v>Nov</v>
      </c>
      <c r="O1980">
        <f t="shared" si="186"/>
        <v>2025</v>
      </c>
    </row>
    <row r="1981" spans="1:15" x14ac:dyDescent="0.3">
      <c r="A1981">
        <v>202590</v>
      </c>
      <c r="B1981" t="s">
        <v>62</v>
      </c>
      <c r="C1981" s="2">
        <v>45968</v>
      </c>
      <c r="D1981" s="2">
        <f t="shared" si="184"/>
        <v>45998</v>
      </c>
      <c r="E1981" s="1">
        <f>D1981-2</f>
        <v>45996</v>
      </c>
      <c r="F1981">
        <v>3329</v>
      </c>
      <c r="G1981">
        <v>30</v>
      </c>
      <c r="H1981">
        <f t="shared" si="189"/>
        <v>0</v>
      </c>
      <c r="I1981" t="str">
        <f t="shared" si="187"/>
        <v>On Time</v>
      </c>
      <c r="J1981" cm="1">
        <f t="array" ref="J1981">_xlfn.IFS(H1981&lt;30,0,H1981&lt;60,1,H1981&lt;90,2,H1981&lt;120,3)</f>
        <v>0</v>
      </c>
      <c r="M1981" t="str">
        <f t="shared" si="188"/>
        <v>Low</v>
      </c>
      <c r="N1981" t="str">
        <f t="shared" si="185"/>
        <v>Nov</v>
      </c>
      <c r="O1981">
        <f t="shared" si="186"/>
        <v>2025</v>
      </c>
    </row>
    <row r="1982" spans="1:15" x14ac:dyDescent="0.3">
      <c r="A1982">
        <v>202591</v>
      </c>
      <c r="B1982" t="s">
        <v>63</v>
      </c>
      <c r="C1982" s="2">
        <v>45968</v>
      </c>
      <c r="D1982" s="2">
        <f t="shared" si="184"/>
        <v>45998</v>
      </c>
      <c r="E1982" s="1">
        <f>D1982</f>
        <v>45998</v>
      </c>
      <c r="F1982">
        <v>13267</v>
      </c>
      <c r="G1982">
        <v>30</v>
      </c>
      <c r="H1982">
        <f t="shared" si="189"/>
        <v>0</v>
      </c>
      <c r="I1982" t="str">
        <f t="shared" si="187"/>
        <v>On Time</v>
      </c>
      <c r="J1982" cm="1">
        <f t="array" ref="J1982">_xlfn.IFS(H1982&lt;30,0,H1982&lt;60,1,H1982&lt;90,2,H1982&lt;120,3)</f>
        <v>0</v>
      </c>
      <c r="M1982" t="str">
        <f t="shared" si="188"/>
        <v>Low</v>
      </c>
      <c r="N1982" t="str">
        <f t="shared" si="185"/>
        <v>Nov</v>
      </c>
      <c r="O1982">
        <f t="shared" si="186"/>
        <v>2025</v>
      </c>
    </row>
    <row r="1983" spans="1:15" x14ac:dyDescent="0.3">
      <c r="A1983">
        <v>202592</v>
      </c>
      <c r="B1983" t="s">
        <v>64</v>
      </c>
      <c r="C1983" s="2">
        <v>45968</v>
      </c>
      <c r="D1983" s="2">
        <f t="shared" si="184"/>
        <v>45998</v>
      </c>
      <c r="E1983" s="1">
        <f>D1983+2</f>
        <v>46000</v>
      </c>
      <c r="F1983">
        <v>1268</v>
      </c>
      <c r="G1983">
        <v>30</v>
      </c>
      <c r="H1983">
        <f t="shared" si="189"/>
        <v>0</v>
      </c>
      <c r="I1983" t="str">
        <f t="shared" si="187"/>
        <v>On Time</v>
      </c>
      <c r="J1983" cm="1">
        <f t="array" ref="J1983">_xlfn.IFS(H1983&lt;30,0,H1983&lt;60,1,H1983&lt;90,2,H1983&lt;120,3)</f>
        <v>0</v>
      </c>
      <c r="M1983" t="str">
        <f t="shared" si="188"/>
        <v>Low</v>
      </c>
      <c r="N1983" t="str">
        <f t="shared" si="185"/>
        <v>Nov</v>
      </c>
      <c r="O1983">
        <f t="shared" si="186"/>
        <v>2025</v>
      </c>
    </row>
    <row r="1984" spans="1:15" x14ac:dyDescent="0.3">
      <c r="A1984">
        <v>202593</v>
      </c>
      <c r="B1984" t="s">
        <v>65</v>
      </c>
      <c r="C1984" s="2">
        <v>45968</v>
      </c>
      <c r="D1984" s="2">
        <f t="shared" si="184"/>
        <v>46013</v>
      </c>
      <c r="E1984" s="1">
        <f>D1984+2</f>
        <v>46015</v>
      </c>
      <c r="F1984">
        <v>3215</v>
      </c>
      <c r="G1984">
        <v>45</v>
      </c>
      <c r="H1984">
        <f t="shared" si="189"/>
        <v>0</v>
      </c>
      <c r="I1984" t="str">
        <f t="shared" si="187"/>
        <v>On Time</v>
      </c>
      <c r="J1984" cm="1">
        <f t="array" ref="J1984">_xlfn.IFS(H1984&lt;30,0,H1984&lt;60,1,H1984&lt;90,2,H1984&lt;120,3)</f>
        <v>0</v>
      </c>
      <c r="M1984" t="str">
        <f t="shared" si="188"/>
        <v>Low</v>
      </c>
      <c r="N1984" t="str">
        <f t="shared" si="185"/>
        <v>Nov</v>
      </c>
      <c r="O1984">
        <f t="shared" si="186"/>
        <v>2025</v>
      </c>
    </row>
    <row r="1985" spans="1:15" x14ac:dyDescent="0.3">
      <c r="A1985">
        <v>202184</v>
      </c>
      <c r="B1985" t="s">
        <v>104</v>
      </c>
      <c r="C1985" s="2">
        <v>45967</v>
      </c>
      <c r="D1985" s="2">
        <f t="shared" si="184"/>
        <v>45997</v>
      </c>
      <c r="E1985" s="1">
        <f>D1985+1</f>
        <v>45998</v>
      </c>
      <c r="F1985">
        <v>2393</v>
      </c>
      <c r="G1985">
        <v>30</v>
      </c>
      <c r="H1985">
        <f t="shared" si="189"/>
        <v>0</v>
      </c>
      <c r="I1985" t="str">
        <f t="shared" si="187"/>
        <v>On Time</v>
      </c>
      <c r="J1985" cm="1">
        <f t="array" ref="J1985">_xlfn.IFS(H1985&lt;30,0,H1985&lt;60,1,H1985&lt;90,2,H1985&lt;120,3)</f>
        <v>0</v>
      </c>
      <c r="M1985" t="str">
        <f t="shared" si="188"/>
        <v>Low</v>
      </c>
      <c r="N1985" t="str">
        <f t="shared" si="185"/>
        <v>Nov</v>
      </c>
      <c r="O1985">
        <f t="shared" si="186"/>
        <v>2025</v>
      </c>
    </row>
    <row r="1986" spans="1:15" x14ac:dyDescent="0.3">
      <c r="A1986">
        <v>202185</v>
      </c>
      <c r="B1986" t="s">
        <v>105</v>
      </c>
      <c r="C1986" s="2">
        <v>45967</v>
      </c>
      <c r="D1986" s="2">
        <f t="shared" ref="D1986:D2049" si="190">C1986+G1986</f>
        <v>45997</v>
      </c>
      <c r="E1986" s="1">
        <f>D1986+35</f>
        <v>46032</v>
      </c>
      <c r="F1986">
        <v>4180</v>
      </c>
      <c r="G1986">
        <v>30</v>
      </c>
      <c r="H1986">
        <f t="shared" si="189"/>
        <v>0</v>
      </c>
      <c r="I1986" t="str">
        <f t="shared" si="187"/>
        <v>On Time</v>
      </c>
      <c r="J1986" cm="1">
        <f t="array" ref="J1986">_xlfn.IFS(H1986&lt;30,0,H1986&lt;60,1,H1986&lt;90,2,H1986&lt;120,3)</f>
        <v>0</v>
      </c>
      <c r="M1986" t="str">
        <f t="shared" si="188"/>
        <v>Low</v>
      </c>
      <c r="N1986" t="str">
        <f t="shared" ref="N1986:N2049" si="191">TEXT(C1986,"mmm")</f>
        <v>Nov</v>
      </c>
      <c r="O1986">
        <f t="shared" ref="O1986:O2049" si="192">YEAR(C1986)</f>
        <v>2025</v>
      </c>
    </row>
    <row r="1987" spans="1:15" x14ac:dyDescent="0.3">
      <c r="A1987">
        <v>202186</v>
      </c>
      <c r="B1987" t="s">
        <v>114</v>
      </c>
      <c r="C1987" s="2">
        <v>45967</v>
      </c>
      <c r="D1987" s="2">
        <f t="shared" si="190"/>
        <v>45997</v>
      </c>
      <c r="E1987" s="1">
        <f>D1987+75</f>
        <v>46072</v>
      </c>
      <c r="F1987">
        <v>4619</v>
      </c>
      <c r="G1987">
        <v>30</v>
      </c>
      <c r="H1987">
        <f t="shared" si="189"/>
        <v>0</v>
      </c>
      <c r="I1987" t="str">
        <f t="shared" si="187"/>
        <v>On Time</v>
      </c>
      <c r="J1987" cm="1">
        <f t="array" ref="J1987">_xlfn.IFS(H1987&lt;30,0,H1987&lt;60,1,H1987&lt;90,2,H1987&lt;120,3)</f>
        <v>0</v>
      </c>
      <c r="M1987" t="str">
        <f t="shared" si="188"/>
        <v>Low</v>
      </c>
      <c r="N1987" t="str">
        <f t="shared" si="191"/>
        <v>Nov</v>
      </c>
      <c r="O1987">
        <f t="shared" si="192"/>
        <v>2025</v>
      </c>
    </row>
    <row r="1988" spans="1:15" x14ac:dyDescent="0.3">
      <c r="A1988">
        <v>202187</v>
      </c>
      <c r="B1988" t="s">
        <v>115</v>
      </c>
      <c r="C1988" s="2">
        <v>45967</v>
      </c>
      <c r="D1988" s="2">
        <f t="shared" si="190"/>
        <v>45997</v>
      </c>
      <c r="E1988" s="1">
        <f>D1988+5</f>
        <v>46002</v>
      </c>
      <c r="F1988">
        <v>2876</v>
      </c>
      <c r="G1988">
        <v>30</v>
      </c>
      <c r="H1988">
        <f t="shared" si="189"/>
        <v>0</v>
      </c>
      <c r="I1988" t="str">
        <f t="shared" si="187"/>
        <v>On Time</v>
      </c>
      <c r="J1988" cm="1">
        <f t="array" ref="J1988">_xlfn.IFS(H1988&lt;30,0,H1988&lt;60,1,H1988&lt;90,2,H1988&lt;120,3)</f>
        <v>0</v>
      </c>
      <c r="M1988" t="str">
        <f t="shared" si="188"/>
        <v>Low</v>
      </c>
      <c r="N1988" t="str">
        <f t="shared" si="191"/>
        <v>Nov</v>
      </c>
      <c r="O1988">
        <f t="shared" si="192"/>
        <v>2025</v>
      </c>
    </row>
    <row r="1989" spans="1:15" x14ac:dyDescent="0.3">
      <c r="A1989">
        <v>202188</v>
      </c>
      <c r="B1989" t="s">
        <v>116</v>
      </c>
      <c r="C1989" s="2">
        <v>45967</v>
      </c>
      <c r="D1989" s="2">
        <f t="shared" si="190"/>
        <v>45997</v>
      </c>
      <c r="E1989" s="1">
        <f>D1989</f>
        <v>45997</v>
      </c>
      <c r="F1989">
        <v>1823</v>
      </c>
      <c r="G1989">
        <v>30</v>
      </c>
      <c r="H1989">
        <f t="shared" si="189"/>
        <v>0</v>
      </c>
      <c r="I1989" t="str">
        <f t="shared" si="187"/>
        <v>On Time</v>
      </c>
      <c r="J1989" cm="1">
        <f t="array" ref="J1989">_xlfn.IFS(H1989&lt;30,0,H1989&lt;60,1,H1989&lt;90,2,H1989&lt;120,3)</f>
        <v>0</v>
      </c>
      <c r="M1989" t="str">
        <f t="shared" si="188"/>
        <v>Low</v>
      </c>
      <c r="N1989" t="str">
        <f t="shared" si="191"/>
        <v>Nov</v>
      </c>
      <c r="O1989">
        <f t="shared" si="192"/>
        <v>2025</v>
      </c>
    </row>
    <row r="1990" spans="1:15" x14ac:dyDescent="0.3">
      <c r="A1990">
        <v>202189</v>
      </c>
      <c r="B1990" t="s">
        <v>117</v>
      </c>
      <c r="C1990" s="2">
        <v>45967</v>
      </c>
      <c r="D1990" s="2">
        <f t="shared" si="190"/>
        <v>45997</v>
      </c>
      <c r="E1990" s="1">
        <f>D1990-1</f>
        <v>45996</v>
      </c>
      <c r="F1990">
        <v>3771</v>
      </c>
      <c r="G1990">
        <v>30</v>
      </c>
      <c r="H1990">
        <f t="shared" si="189"/>
        <v>0</v>
      </c>
      <c r="I1990" t="str">
        <f t="shared" si="187"/>
        <v>On Time</v>
      </c>
      <c r="J1990" cm="1">
        <f t="array" ref="J1990">_xlfn.IFS(H1990&lt;30,0,H1990&lt;60,1,H1990&lt;90,2,H1990&lt;120,3)</f>
        <v>0</v>
      </c>
      <c r="M1990" t="str">
        <f t="shared" si="188"/>
        <v>Low</v>
      </c>
      <c r="N1990" t="str">
        <f t="shared" si="191"/>
        <v>Nov</v>
      </c>
      <c r="O1990">
        <f t="shared" si="192"/>
        <v>2025</v>
      </c>
    </row>
    <row r="1991" spans="1:15" x14ac:dyDescent="0.3">
      <c r="A1991">
        <v>202190</v>
      </c>
      <c r="B1991" t="s">
        <v>118</v>
      </c>
      <c r="C1991" s="2">
        <v>45967</v>
      </c>
      <c r="D1991" s="2">
        <f t="shared" si="190"/>
        <v>45997</v>
      </c>
      <c r="E1991" s="1">
        <f>D1991</f>
        <v>45997</v>
      </c>
      <c r="F1991">
        <v>4402</v>
      </c>
      <c r="G1991">
        <v>30</v>
      </c>
      <c r="H1991">
        <f t="shared" si="189"/>
        <v>0</v>
      </c>
      <c r="I1991" t="str">
        <f t="shared" si="187"/>
        <v>On Time</v>
      </c>
      <c r="J1991" cm="1">
        <f t="array" ref="J1991">_xlfn.IFS(H1991&lt;30,0,H1991&lt;60,1,H1991&lt;90,2,H1991&lt;120,3)</f>
        <v>0</v>
      </c>
      <c r="M1991" t="str">
        <f t="shared" si="188"/>
        <v>Low</v>
      </c>
      <c r="N1991" t="str">
        <f t="shared" si="191"/>
        <v>Nov</v>
      </c>
      <c r="O1991">
        <f t="shared" si="192"/>
        <v>2025</v>
      </c>
    </row>
    <row r="1992" spans="1:15" x14ac:dyDescent="0.3">
      <c r="A1992">
        <v>202191</v>
      </c>
      <c r="B1992" t="s">
        <v>119</v>
      </c>
      <c r="C1992" s="2">
        <v>45967</v>
      </c>
      <c r="D1992" s="2">
        <f t="shared" si="190"/>
        <v>45997</v>
      </c>
      <c r="E1992" s="1">
        <f>D1992+32</f>
        <v>46029</v>
      </c>
      <c r="F1992">
        <v>4686</v>
      </c>
      <c r="G1992">
        <v>30</v>
      </c>
      <c r="H1992">
        <f t="shared" si="189"/>
        <v>0</v>
      </c>
      <c r="I1992" t="str">
        <f t="shared" si="187"/>
        <v>On Time</v>
      </c>
      <c r="J1992" cm="1">
        <f t="array" ref="J1992">_xlfn.IFS(H1992&lt;30,0,H1992&lt;60,1,H1992&lt;90,2,H1992&lt;120,3)</f>
        <v>0</v>
      </c>
      <c r="M1992" t="str">
        <f t="shared" si="188"/>
        <v>Low</v>
      </c>
      <c r="N1992" t="str">
        <f t="shared" si="191"/>
        <v>Nov</v>
      </c>
      <c r="O1992">
        <f t="shared" si="192"/>
        <v>2025</v>
      </c>
    </row>
    <row r="1993" spans="1:15" x14ac:dyDescent="0.3">
      <c r="A1993">
        <v>202192</v>
      </c>
      <c r="B1993" t="s">
        <v>31</v>
      </c>
      <c r="C1993" s="2">
        <v>45967</v>
      </c>
      <c r="D1993" s="2">
        <f t="shared" si="190"/>
        <v>46012</v>
      </c>
      <c r="E1993" s="1">
        <f>D1993+15</f>
        <v>46027</v>
      </c>
      <c r="F1993">
        <v>2652</v>
      </c>
      <c r="G1993">
        <v>45</v>
      </c>
      <c r="H1993">
        <f t="shared" si="189"/>
        <v>0</v>
      </c>
      <c r="I1993" t="str">
        <f t="shared" si="187"/>
        <v>On Time</v>
      </c>
      <c r="J1993" cm="1">
        <f t="array" ref="J1993">_xlfn.IFS(H1993&lt;30,0,H1993&lt;60,1,H1993&lt;90,2,H1993&lt;120,3)</f>
        <v>0</v>
      </c>
      <c r="M1993" t="str">
        <f t="shared" si="188"/>
        <v>Low</v>
      </c>
      <c r="N1993" t="str">
        <f t="shared" si="191"/>
        <v>Nov</v>
      </c>
      <c r="O1993">
        <f t="shared" si="192"/>
        <v>2025</v>
      </c>
    </row>
    <row r="1994" spans="1:15" x14ac:dyDescent="0.3">
      <c r="A1994">
        <v>202193</v>
      </c>
      <c r="B1994" t="s">
        <v>32</v>
      </c>
      <c r="C1994" s="2">
        <v>45967</v>
      </c>
      <c r="D1994" s="2">
        <f t="shared" si="190"/>
        <v>46012</v>
      </c>
      <c r="E1994" s="1">
        <f>D1994-2</f>
        <v>46010</v>
      </c>
      <c r="F1994">
        <v>4733</v>
      </c>
      <c r="G1994">
        <v>45</v>
      </c>
      <c r="H1994">
        <f t="shared" si="189"/>
        <v>0</v>
      </c>
      <c r="I1994" t="str">
        <f t="shared" si="187"/>
        <v>On Time</v>
      </c>
      <c r="J1994" cm="1">
        <f t="array" ref="J1994">_xlfn.IFS(H1994&lt;30,0,H1994&lt;60,1,H1994&lt;90,2,H1994&lt;120,3)</f>
        <v>0</v>
      </c>
      <c r="M1994" t="str">
        <f t="shared" si="188"/>
        <v>Low</v>
      </c>
      <c r="N1994" t="str">
        <f t="shared" si="191"/>
        <v>Nov</v>
      </c>
      <c r="O1994">
        <f t="shared" si="192"/>
        <v>2025</v>
      </c>
    </row>
    <row r="1995" spans="1:15" x14ac:dyDescent="0.3">
      <c r="A1995">
        <v>202194</v>
      </c>
      <c r="B1995" t="s">
        <v>33</v>
      </c>
      <c r="C1995" s="2">
        <v>45967</v>
      </c>
      <c r="D1995" s="2">
        <f t="shared" si="190"/>
        <v>45997</v>
      </c>
      <c r="E1995" s="1">
        <f>D1995-2</f>
        <v>45995</v>
      </c>
      <c r="F1995">
        <v>1607</v>
      </c>
      <c r="G1995">
        <v>30</v>
      </c>
      <c r="H1995">
        <f t="shared" si="189"/>
        <v>0</v>
      </c>
      <c r="I1995" t="str">
        <f t="shared" si="187"/>
        <v>On Time</v>
      </c>
      <c r="J1995" cm="1">
        <f t="array" ref="J1995">_xlfn.IFS(H1995&lt;30,0,H1995&lt;60,1,H1995&lt;90,2,H1995&lt;120,3)</f>
        <v>0</v>
      </c>
      <c r="M1995" t="str">
        <f t="shared" si="188"/>
        <v>Low</v>
      </c>
      <c r="N1995" t="str">
        <f t="shared" si="191"/>
        <v>Nov</v>
      </c>
      <c r="O1995">
        <f t="shared" si="192"/>
        <v>2025</v>
      </c>
    </row>
    <row r="1996" spans="1:15" x14ac:dyDescent="0.3">
      <c r="A1996">
        <v>202195</v>
      </c>
      <c r="B1996" t="s">
        <v>34</v>
      </c>
      <c r="C1996" s="2">
        <v>45967</v>
      </c>
      <c r="D1996" s="2">
        <f t="shared" si="190"/>
        <v>46027</v>
      </c>
      <c r="E1996" s="1">
        <f>D1996</f>
        <v>46027</v>
      </c>
      <c r="F1996">
        <v>10614</v>
      </c>
      <c r="G1996">
        <v>60</v>
      </c>
      <c r="H1996">
        <f t="shared" si="189"/>
        <v>0</v>
      </c>
      <c r="I1996" t="str">
        <f t="shared" si="187"/>
        <v>On Time</v>
      </c>
      <c r="J1996" cm="1">
        <f t="array" ref="J1996">_xlfn.IFS(H1996&lt;30,0,H1996&lt;60,1,H1996&lt;90,2,H1996&lt;120,3)</f>
        <v>0</v>
      </c>
      <c r="M1996" t="str">
        <f t="shared" si="188"/>
        <v>Low</v>
      </c>
      <c r="N1996" t="str">
        <f t="shared" si="191"/>
        <v>Nov</v>
      </c>
      <c r="O1996">
        <f t="shared" si="192"/>
        <v>2025</v>
      </c>
    </row>
    <row r="1997" spans="1:15" x14ac:dyDescent="0.3">
      <c r="A1997">
        <v>202196</v>
      </c>
      <c r="B1997" t="s">
        <v>35</v>
      </c>
      <c r="C1997" s="2">
        <v>45967</v>
      </c>
      <c r="D1997" s="2">
        <f t="shared" si="190"/>
        <v>46012</v>
      </c>
      <c r="E1997" s="1">
        <f>D1997+2</f>
        <v>46014</v>
      </c>
      <c r="F1997">
        <v>1683</v>
      </c>
      <c r="G1997">
        <v>45</v>
      </c>
      <c r="H1997">
        <f t="shared" si="189"/>
        <v>0</v>
      </c>
      <c r="I1997" t="str">
        <f t="shared" si="187"/>
        <v>On Time</v>
      </c>
      <c r="J1997" cm="1">
        <f t="array" ref="J1997">_xlfn.IFS(H1997&lt;30,0,H1997&lt;60,1,H1997&lt;90,2,H1997&lt;120,3)</f>
        <v>0</v>
      </c>
      <c r="M1997" t="str">
        <f t="shared" si="188"/>
        <v>Low</v>
      </c>
      <c r="N1997" t="str">
        <f t="shared" si="191"/>
        <v>Nov</v>
      </c>
      <c r="O1997">
        <f t="shared" si="192"/>
        <v>2025</v>
      </c>
    </row>
    <row r="1998" spans="1:15" x14ac:dyDescent="0.3">
      <c r="A1998">
        <v>202197</v>
      </c>
      <c r="B1998" t="s">
        <v>36</v>
      </c>
      <c r="C1998" s="2">
        <v>45967</v>
      </c>
      <c r="D1998" s="2">
        <f t="shared" si="190"/>
        <v>45997</v>
      </c>
      <c r="E1998" s="1">
        <f>D1998+2</f>
        <v>45999</v>
      </c>
      <c r="F1998">
        <v>2342</v>
      </c>
      <c r="G1998">
        <v>30</v>
      </c>
      <c r="H1998">
        <f t="shared" si="189"/>
        <v>0</v>
      </c>
      <c r="I1998" t="str">
        <f t="shared" si="187"/>
        <v>On Time</v>
      </c>
      <c r="J1998" cm="1">
        <f t="array" ref="J1998">_xlfn.IFS(H1998&lt;30,0,H1998&lt;60,1,H1998&lt;90,2,H1998&lt;120,3)</f>
        <v>0</v>
      </c>
      <c r="M1998" t="str">
        <f t="shared" si="188"/>
        <v>Low</v>
      </c>
      <c r="N1998" t="str">
        <f t="shared" si="191"/>
        <v>Nov</v>
      </c>
      <c r="O1998">
        <f t="shared" si="192"/>
        <v>2025</v>
      </c>
    </row>
    <row r="1999" spans="1:15" x14ac:dyDescent="0.3">
      <c r="A1999">
        <v>202198</v>
      </c>
      <c r="B1999" t="s">
        <v>64</v>
      </c>
      <c r="C1999" s="2">
        <v>45967</v>
      </c>
      <c r="D1999" s="2">
        <f t="shared" si="190"/>
        <v>45997</v>
      </c>
      <c r="E1999" s="1">
        <f>D1999+2</f>
        <v>45999</v>
      </c>
      <c r="F1999">
        <v>3811</v>
      </c>
      <c r="G1999">
        <v>30</v>
      </c>
      <c r="H1999">
        <f t="shared" si="189"/>
        <v>0</v>
      </c>
      <c r="I1999" t="str">
        <f t="shared" si="187"/>
        <v>On Time</v>
      </c>
      <c r="J1999" cm="1">
        <f t="array" ref="J1999">_xlfn.IFS(H1999&lt;30,0,H1999&lt;60,1,H1999&lt;90,2,H1999&lt;120,3)</f>
        <v>0</v>
      </c>
      <c r="M1999" t="str">
        <f t="shared" si="188"/>
        <v>Low</v>
      </c>
      <c r="N1999" t="str">
        <f t="shared" si="191"/>
        <v>Nov</v>
      </c>
      <c r="O1999">
        <f t="shared" si="192"/>
        <v>2025</v>
      </c>
    </row>
    <row r="2000" spans="1:15" x14ac:dyDescent="0.3">
      <c r="A2000">
        <v>202199</v>
      </c>
      <c r="B2000" t="s">
        <v>25</v>
      </c>
      <c r="C2000" s="2">
        <v>45967</v>
      </c>
      <c r="D2000" s="2">
        <f t="shared" si="190"/>
        <v>46027</v>
      </c>
      <c r="E2000" s="1">
        <f>D2000</f>
        <v>46027</v>
      </c>
      <c r="F2000">
        <v>2248</v>
      </c>
      <c r="G2000">
        <v>60</v>
      </c>
      <c r="H2000">
        <f t="shared" si="189"/>
        <v>0</v>
      </c>
      <c r="I2000" t="str">
        <f t="shared" si="187"/>
        <v>On Time</v>
      </c>
      <c r="J2000" cm="1">
        <f t="array" ref="J2000">_xlfn.IFS(H2000&lt;30,0,H2000&lt;60,1,H2000&lt;90,2,H2000&lt;120,3)</f>
        <v>0</v>
      </c>
      <c r="M2000" t="str">
        <f t="shared" si="188"/>
        <v>Low</v>
      </c>
      <c r="N2000" t="str">
        <f t="shared" si="191"/>
        <v>Nov</v>
      </c>
      <c r="O2000">
        <f t="shared" si="192"/>
        <v>2025</v>
      </c>
    </row>
    <row r="2001" spans="1:15" x14ac:dyDescent="0.3">
      <c r="A2001">
        <v>202166</v>
      </c>
      <c r="B2001" t="s">
        <v>46</v>
      </c>
      <c r="C2001" s="2">
        <v>45966</v>
      </c>
      <c r="D2001" s="2">
        <f t="shared" si="190"/>
        <v>46026</v>
      </c>
      <c r="E2001" s="1">
        <f>D2001</f>
        <v>46026</v>
      </c>
      <c r="F2001">
        <v>2156</v>
      </c>
      <c r="G2001">
        <v>60</v>
      </c>
      <c r="H2001">
        <f t="shared" si="189"/>
        <v>0</v>
      </c>
      <c r="I2001" t="str">
        <f t="shared" si="187"/>
        <v>On Time</v>
      </c>
      <c r="J2001" cm="1">
        <f t="array" ref="J2001">_xlfn.IFS(H2001&lt;30,0,H2001&lt;60,1,H2001&lt;90,2,H2001&lt;120,3)</f>
        <v>0</v>
      </c>
      <c r="M2001" t="str">
        <f t="shared" si="188"/>
        <v>Low</v>
      </c>
      <c r="N2001" t="str">
        <f t="shared" si="191"/>
        <v>Nov</v>
      </c>
      <c r="O2001">
        <f t="shared" si="192"/>
        <v>2025</v>
      </c>
    </row>
    <row r="2002" spans="1:15" x14ac:dyDescent="0.3">
      <c r="A2002">
        <v>202167</v>
      </c>
      <c r="B2002" t="s">
        <v>47</v>
      </c>
      <c r="C2002" s="2">
        <v>45966</v>
      </c>
      <c r="D2002" s="2">
        <f t="shared" si="190"/>
        <v>46026</v>
      </c>
      <c r="E2002" s="1">
        <f>D2002+20</f>
        <v>46046</v>
      </c>
      <c r="F2002">
        <v>4919</v>
      </c>
      <c r="G2002">
        <v>60</v>
      </c>
      <c r="H2002">
        <f t="shared" si="189"/>
        <v>0</v>
      </c>
      <c r="I2002" t="str">
        <f t="shared" si="187"/>
        <v>On Time</v>
      </c>
      <c r="J2002" cm="1">
        <f t="array" ref="J2002">_xlfn.IFS(H2002&lt;30,0,H2002&lt;60,1,H2002&lt;90,2,H2002&lt;120,3)</f>
        <v>0</v>
      </c>
      <c r="M2002" t="str">
        <f t="shared" si="188"/>
        <v>Low</v>
      </c>
      <c r="N2002" t="str">
        <f t="shared" si="191"/>
        <v>Nov</v>
      </c>
      <c r="O2002">
        <f t="shared" si="192"/>
        <v>2025</v>
      </c>
    </row>
    <row r="2003" spans="1:15" x14ac:dyDescent="0.3">
      <c r="A2003">
        <v>202168</v>
      </c>
      <c r="B2003" t="s">
        <v>48</v>
      </c>
      <c r="C2003" s="2">
        <v>45966</v>
      </c>
      <c r="D2003" s="2">
        <f t="shared" si="190"/>
        <v>46011</v>
      </c>
      <c r="E2003" s="1">
        <f>D2003</f>
        <v>46011</v>
      </c>
      <c r="F2003">
        <v>3106</v>
      </c>
      <c r="G2003">
        <v>45</v>
      </c>
      <c r="H2003">
        <f t="shared" si="189"/>
        <v>0</v>
      </c>
      <c r="I2003" t="str">
        <f t="shared" si="187"/>
        <v>On Time</v>
      </c>
      <c r="J2003" cm="1">
        <f t="array" ref="J2003">_xlfn.IFS(H2003&lt;30,0,H2003&lt;60,1,H2003&lt;90,2,H2003&lt;120,3)</f>
        <v>0</v>
      </c>
      <c r="M2003" t="str">
        <f t="shared" si="188"/>
        <v>Low</v>
      </c>
      <c r="N2003" t="str">
        <f t="shared" si="191"/>
        <v>Nov</v>
      </c>
      <c r="O2003">
        <f t="shared" si="192"/>
        <v>2025</v>
      </c>
    </row>
    <row r="2004" spans="1:15" x14ac:dyDescent="0.3">
      <c r="A2004">
        <v>202169</v>
      </c>
      <c r="B2004" t="s">
        <v>49</v>
      </c>
      <c r="C2004" s="2">
        <v>45966</v>
      </c>
      <c r="D2004" s="2">
        <f t="shared" si="190"/>
        <v>45996</v>
      </c>
      <c r="E2004" s="1">
        <f>D2004+1</f>
        <v>45997</v>
      </c>
      <c r="F2004">
        <v>2723</v>
      </c>
      <c r="G2004">
        <v>30</v>
      </c>
      <c r="H2004">
        <f t="shared" si="189"/>
        <v>0</v>
      </c>
      <c r="I2004" t="str">
        <f t="shared" si="187"/>
        <v>On Time</v>
      </c>
      <c r="J2004" cm="1">
        <f t="array" ref="J2004">_xlfn.IFS(H2004&lt;30,0,H2004&lt;60,1,H2004&lt;90,2,H2004&lt;120,3)</f>
        <v>0</v>
      </c>
      <c r="M2004" t="str">
        <f t="shared" si="188"/>
        <v>Low</v>
      </c>
      <c r="N2004" t="str">
        <f t="shared" si="191"/>
        <v>Nov</v>
      </c>
      <c r="O2004">
        <f t="shared" si="192"/>
        <v>2025</v>
      </c>
    </row>
    <row r="2005" spans="1:15" x14ac:dyDescent="0.3">
      <c r="A2005">
        <v>202170</v>
      </c>
      <c r="B2005" t="s">
        <v>50</v>
      </c>
      <c r="C2005" s="2">
        <v>45966</v>
      </c>
      <c r="D2005" s="2">
        <f t="shared" si="190"/>
        <v>45996</v>
      </c>
      <c r="E2005" s="1">
        <f>D2005</f>
        <v>45996</v>
      </c>
      <c r="F2005">
        <v>3370</v>
      </c>
      <c r="G2005">
        <v>30</v>
      </c>
      <c r="H2005">
        <f t="shared" si="189"/>
        <v>0</v>
      </c>
      <c r="I2005" t="str">
        <f t="shared" si="187"/>
        <v>On Time</v>
      </c>
      <c r="J2005" cm="1">
        <f t="array" ref="J2005">_xlfn.IFS(H2005&lt;30,0,H2005&lt;60,1,H2005&lt;90,2,H2005&lt;120,3)</f>
        <v>0</v>
      </c>
      <c r="M2005" t="str">
        <f t="shared" si="188"/>
        <v>Low</v>
      </c>
      <c r="N2005" t="str">
        <f t="shared" si="191"/>
        <v>Nov</v>
      </c>
      <c r="O2005">
        <f t="shared" si="192"/>
        <v>2025</v>
      </c>
    </row>
    <row r="2006" spans="1:15" x14ac:dyDescent="0.3">
      <c r="A2006">
        <v>202171</v>
      </c>
      <c r="B2006" t="s">
        <v>51</v>
      </c>
      <c r="C2006" s="2">
        <v>45966</v>
      </c>
      <c r="D2006" s="2">
        <f t="shared" si="190"/>
        <v>45996</v>
      </c>
      <c r="E2006" s="1">
        <f>D2006</f>
        <v>45996</v>
      </c>
      <c r="F2006">
        <v>4160</v>
      </c>
      <c r="G2006">
        <v>30</v>
      </c>
      <c r="H2006">
        <f t="shared" si="189"/>
        <v>0</v>
      </c>
      <c r="I2006" t="str">
        <f t="shared" ref="I2006:I2069" si="193">IF(H2006=0,"On Time",IF(H2006&lt;=15,"Paid Late","Seriously Late"))</f>
        <v>On Time</v>
      </c>
      <c r="J2006" cm="1">
        <f t="array" ref="J2006">_xlfn.IFS(H2006&lt;30,0,H2006&lt;60,1,H2006&lt;90,2,H2006&lt;120,3)</f>
        <v>0</v>
      </c>
      <c r="M2006" t="str">
        <f t="shared" ref="M2006:M2069" si="194">IF(H2006&gt;30,"High",IF(H2006&gt;10,"Medium","Low"))</f>
        <v>Low</v>
      </c>
      <c r="N2006" t="str">
        <f t="shared" si="191"/>
        <v>Nov</v>
      </c>
      <c r="O2006">
        <f t="shared" si="192"/>
        <v>2025</v>
      </c>
    </row>
    <row r="2007" spans="1:15" x14ac:dyDescent="0.3">
      <c r="A2007">
        <v>202172</v>
      </c>
      <c r="B2007" t="s">
        <v>52</v>
      </c>
      <c r="C2007" s="2">
        <v>45966</v>
      </c>
      <c r="D2007" s="2">
        <f t="shared" si="190"/>
        <v>45996</v>
      </c>
      <c r="E2007" s="1">
        <f>D2007+5</f>
        <v>46001</v>
      </c>
      <c r="F2007">
        <v>4856</v>
      </c>
      <c r="G2007">
        <v>30</v>
      </c>
      <c r="H2007">
        <f t="shared" si="189"/>
        <v>0</v>
      </c>
      <c r="I2007" t="str">
        <f t="shared" si="193"/>
        <v>On Time</v>
      </c>
      <c r="J2007" cm="1">
        <f t="array" ref="J2007">_xlfn.IFS(H2007&lt;30,0,H2007&lt;60,1,H2007&lt;90,2,H2007&lt;120,3)</f>
        <v>0</v>
      </c>
      <c r="M2007" t="str">
        <f t="shared" si="194"/>
        <v>Low</v>
      </c>
      <c r="N2007" t="str">
        <f t="shared" si="191"/>
        <v>Nov</v>
      </c>
      <c r="O2007">
        <f t="shared" si="192"/>
        <v>2025</v>
      </c>
    </row>
    <row r="2008" spans="1:15" x14ac:dyDescent="0.3">
      <c r="A2008">
        <v>202173</v>
      </c>
      <c r="B2008" t="s">
        <v>53</v>
      </c>
      <c r="C2008" s="2">
        <v>45966</v>
      </c>
      <c r="D2008" s="2">
        <f t="shared" si="190"/>
        <v>45996</v>
      </c>
      <c r="E2008" s="1">
        <f>D2008+2</f>
        <v>45998</v>
      </c>
      <c r="F2008">
        <v>432</v>
      </c>
      <c r="G2008">
        <v>30</v>
      </c>
      <c r="H2008">
        <f t="shared" si="189"/>
        <v>0</v>
      </c>
      <c r="I2008" t="str">
        <f t="shared" si="193"/>
        <v>On Time</v>
      </c>
      <c r="J2008" cm="1">
        <f t="array" ref="J2008">_xlfn.IFS(H2008&lt;30,0,H2008&lt;60,1,H2008&lt;90,2,H2008&lt;120,3)</f>
        <v>0</v>
      </c>
      <c r="M2008" t="str">
        <f t="shared" si="194"/>
        <v>Low</v>
      </c>
      <c r="N2008" t="str">
        <f t="shared" si="191"/>
        <v>Nov</v>
      </c>
      <c r="O2008">
        <f t="shared" si="192"/>
        <v>2025</v>
      </c>
    </row>
    <row r="2009" spans="1:15" x14ac:dyDescent="0.3">
      <c r="A2009">
        <v>202174</v>
      </c>
      <c r="B2009" t="s">
        <v>54</v>
      </c>
      <c r="C2009" s="2">
        <v>45966</v>
      </c>
      <c r="D2009" s="2">
        <f t="shared" si="190"/>
        <v>45996</v>
      </c>
      <c r="E2009" s="1">
        <f>D2009</f>
        <v>45996</v>
      </c>
      <c r="F2009">
        <v>2980</v>
      </c>
      <c r="G2009">
        <v>30</v>
      </c>
      <c r="H2009">
        <f t="shared" si="189"/>
        <v>0</v>
      </c>
      <c r="I2009" t="str">
        <f t="shared" si="193"/>
        <v>On Time</v>
      </c>
      <c r="J2009" cm="1">
        <f t="array" ref="J2009">_xlfn.IFS(H2009&lt;30,0,H2009&lt;60,1,H2009&lt;90,2,H2009&lt;120,3)</f>
        <v>0</v>
      </c>
      <c r="M2009" t="str">
        <f t="shared" si="194"/>
        <v>Low</v>
      </c>
      <c r="N2009" t="str">
        <f t="shared" si="191"/>
        <v>Nov</v>
      </c>
      <c r="O2009">
        <f t="shared" si="192"/>
        <v>2025</v>
      </c>
    </row>
    <row r="2010" spans="1:15" x14ac:dyDescent="0.3">
      <c r="A2010">
        <v>202175</v>
      </c>
      <c r="B2010" t="s">
        <v>36</v>
      </c>
      <c r="C2010" s="2">
        <v>45966</v>
      </c>
      <c r="D2010" s="2">
        <f t="shared" si="190"/>
        <v>45996</v>
      </c>
      <c r="E2010" s="1">
        <f>D2010</f>
        <v>45996</v>
      </c>
      <c r="F2010">
        <v>3023</v>
      </c>
      <c r="G2010">
        <v>30</v>
      </c>
      <c r="H2010">
        <f t="shared" si="189"/>
        <v>0</v>
      </c>
      <c r="I2010" t="str">
        <f t="shared" si="193"/>
        <v>On Time</v>
      </c>
      <c r="J2010" cm="1">
        <f t="array" ref="J2010">_xlfn.IFS(H2010&lt;30,0,H2010&lt;60,1,H2010&lt;90,2,H2010&lt;120,3)</f>
        <v>0</v>
      </c>
      <c r="M2010" t="str">
        <f t="shared" si="194"/>
        <v>Low</v>
      </c>
      <c r="N2010" t="str">
        <f t="shared" si="191"/>
        <v>Nov</v>
      </c>
      <c r="O2010">
        <f t="shared" si="192"/>
        <v>2025</v>
      </c>
    </row>
    <row r="2011" spans="1:15" x14ac:dyDescent="0.3">
      <c r="A2011">
        <v>202176</v>
      </c>
      <c r="B2011" t="s">
        <v>37</v>
      </c>
      <c r="C2011" s="2">
        <v>45966</v>
      </c>
      <c r="D2011" s="2">
        <f t="shared" si="190"/>
        <v>45996</v>
      </c>
      <c r="E2011" s="1">
        <f>D2011</f>
        <v>45996</v>
      </c>
      <c r="F2011">
        <v>4556</v>
      </c>
      <c r="G2011">
        <v>30</v>
      </c>
      <c r="H2011">
        <f t="shared" si="189"/>
        <v>0</v>
      </c>
      <c r="I2011" t="str">
        <f t="shared" si="193"/>
        <v>On Time</v>
      </c>
      <c r="J2011" cm="1">
        <f t="array" ref="J2011">_xlfn.IFS(H2011&lt;30,0,H2011&lt;60,1,H2011&lt;90,2,H2011&lt;120,3)</f>
        <v>0</v>
      </c>
      <c r="M2011" t="str">
        <f t="shared" si="194"/>
        <v>Low</v>
      </c>
      <c r="N2011" t="str">
        <f t="shared" si="191"/>
        <v>Nov</v>
      </c>
      <c r="O2011">
        <f t="shared" si="192"/>
        <v>2025</v>
      </c>
    </row>
    <row r="2012" spans="1:15" x14ac:dyDescent="0.3">
      <c r="A2012">
        <v>202177</v>
      </c>
      <c r="B2012" t="s">
        <v>38</v>
      </c>
      <c r="C2012" s="2">
        <v>45966</v>
      </c>
      <c r="D2012" s="2">
        <f t="shared" si="190"/>
        <v>45996</v>
      </c>
      <c r="E2012" s="1">
        <f>D2012+60</f>
        <v>46056</v>
      </c>
      <c r="F2012">
        <v>868</v>
      </c>
      <c r="G2012">
        <v>30</v>
      </c>
      <c r="H2012">
        <f t="shared" si="189"/>
        <v>0</v>
      </c>
      <c r="I2012" t="str">
        <f t="shared" si="193"/>
        <v>On Time</v>
      </c>
      <c r="J2012" cm="1">
        <f t="array" ref="J2012">_xlfn.IFS(H2012&lt;30,0,H2012&lt;60,1,H2012&lt;90,2,H2012&lt;120,3)</f>
        <v>0</v>
      </c>
      <c r="M2012" t="str">
        <f t="shared" si="194"/>
        <v>Low</v>
      </c>
      <c r="N2012" t="str">
        <f t="shared" si="191"/>
        <v>Nov</v>
      </c>
      <c r="O2012">
        <f t="shared" si="192"/>
        <v>2025</v>
      </c>
    </row>
    <row r="2013" spans="1:15" x14ac:dyDescent="0.3">
      <c r="A2013">
        <v>202178</v>
      </c>
      <c r="B2013" t="s">
        <v>39</v>
      </c>
      <c r="C2013" s="2">
        <v>45966</v>
      </c>
      <c r="D2013" s="2">
        <f t="shared" si="190"/>
        <v>45996</v>
      </c>
      <c r="E2013" s="1">
        <f>D2013</f>
        <v>45996</v>
      </c>
      <c r="F2013">
        <v>1829</v>
      </c>
      <c r="G2013">
        <v>30</v>
      </c>
      <c r="H2013">
        <f t="shared" si="189"/>
        <v>0</v>
      </c>
      <c r="I2013" t="str">
        <f t="shared" si="193"/>
        <v>On Time</v>
      </c>
      <c r="J2013" cm="1">
        <f t="array" ref="J2013">_xlfn.IFS(H2013&lt;30,0,H2013&lt;60,1,H2013&lt;90,2,H2013&lt;120,3)</f>
        <v>0</v>
      </c>
      <c r="M2013" t="str">
        <f t="shared" si="194"/>
        <v>Low</v>
      </c>
      <c r="N2013" t="str">
        <f t="shared" si="191"/>
        <v>Nov</v>
      </c>
      <c r="O2013">
        <f t="shared" si="192"/>
        <v>2025</v>
      </c>
    </row>
    <row r="2014" spans="1:15" x14ac:dyDescent="0.3">
      <c r="A2014">
        <v>202179</v>
      </c>
      <c r="B2014" t="s">
        <v>40</v>
      </c>
      <c r="C2014" s="2">
        <v>45966</v>
      </c>
      <c r="D2014" s="2">
        <f t="shared" si="190"/>
        <v>45996</v>
      </c>
      <c r="E2014" s="1">
        <f>D2014</f>
        <v>45996</v>
      </c>
      <c r="F2014">
        <v>1058</v>
      </c>
      <c r="G2014">
        <v>30</v>
      </c>
      <c r="H2014">
        <f t="shared" si="189"/>
        <v>0</v>
      </c>
      <c r="I2014" t="str">
        <f t="shared" si="193"/>
        <v>On Time</v>
      </c>
      <c r="J2014" cm="1">
        <f t="array" ref="J2014">_xlfn.IFS(H2014&lt;30,0,H2014&lt;60,1,H2014&lt;90,2,H2014&lt;120,3)</f>
        <v>0</v>
      </c>
      <c r="M2014" t="str">
        <f t="shared" si="194"/>
        <v>Low</v>
      </c>
      <c r="N2014" t="str">
        <f t="shared" si="191"/>
        <v>Nov</v>
      </c>
      <c r="O2014">
        <f t="shared" si="192"/>
        <v>2025</v>
      </c>
    </row>
    <row r="2015" spans="1:15" x14ac:dyDescent="0.3">
      <c r="A2015">
        <v>202180</v>
      </c>
      <c r="B2015" t="s">
        <v>41</v>
      </c>
      <c r="C2015" s="2">
        <v>45966</v>
      </c>
      <c r="D2015" s="2">
        <f t="shared" si="190"/>
        <v>45996</v>
      </c>
      <c r="E2015" s="1">
        <f>D2015+3</f>
        <v>45999</v>
      </c>
      <c r="F2015">
        <v>213</v>
      </c>
      <c r="G2015">
        <v>30</v>
      </c>
      <c r="H2015">
        <f t="shared" si="189"/>
        <v>0</v>
      </c>
      <c r="I2015" t="str">
        <f t="shared" si="193"/>
        <v>On Time</v>
      </c>
      <c r="J2015" cm="1">
        <f t="array" ref="J2015">_xlfn.IFS(H2015&lt;30,0,H2015&lt;60,1,H2015&lt;90,2,H2015&lt;120,3)</f>
        <v>0</v>
      </c>
      <c r="M2015" t="str">
        <f t="shared" si="194"/>
        <v>Low</v>
      </c>
      <c r="N2015" t="str">
        <f t="shared" si="191"/>
        <v>Nov</v>
      </c>
      <c r="O2015">
        <f t="shared" si="192"/>
        <v>2025</v>
      </c>
    </row>
    <row r="2016" spans="1:15" x14ac:dyDescent="0.3">
      <c r="A2016">
        <v>202181</v>
      </c>
      <c r="B2016" t="s">
        <v>42</v>
      </c>
      <c r="C2016" s="2">
        <v>45966</v>
      </c>
      <c r="D2016" s="2">
        <f t="shared" si="190"/>
        <v>45996</v>
      </c>
      <c r="E2016" s="1">
        <f>D2016+1</f>
        <v>45997</v>
      </c>
      <c r="F2016">
        <v>1985</v>
      </c>
      <c r="G2016">
        <v>30</v>
      </c>
      <c r="H2016">
        <f t="shared" si="189"/>
        <v>0</v>
      </c>
      <c r="I2016" t="str">
        <f t="shared" si="193"/>
        <v>On Time</v>
      </c>
      <c r="J2016" cm="1">
        <f t="array" ref="J2016">_xlfn.IFS(H2016&lt;30,0,H2016&lt;60,1,H2016&lt;90,2,H2016&lt;120,3)</f>
        <v>0</v>
      </c>
      <c r="M2016" t="str">
        <f t="shared" si="194"/>
        <v>Low</v>
      </c>
      <c r="N2016" t="str">
        <f t="shared" si="191"/>
        <v>Nov</v>
      </c>
      <c r="O2016">
        <f t="shared" si="192"/>
        <v>2025</v>
      </c>
    </row>
    <row r="2017" spans="1:15" x14ac:dyDescent="0.3">
      <c r="A2017">
        <v>202182</v>
      </c>
      <c r="B2017" t="s">
        <v>43</v>
      </c>
      <c r="C2017" s="2">
        <v>45966</v>
      </c>
      <c r="D2017" s="2">
        <f t="shared" si="190"/>
        <v>45996</v>
      </c>
      <c r="E2017" s="1">
        <f>D2017-1</f>
        <v>45995</v>
      </c>
      <c r="F2017">
        <v>3708</v>
      </c>
      <c r="G2017">
        <v>30</v>
      </c>
      <c r="H2017">
        <f t="shared" si="189"/>
        <v>0</v>
      </c>
      <c r="I2017" t="str">
        <f t="shared" si="193"/>
        <v>On Time</v>
      </c>
      <c r="J2017" cm="1">
        <f t="array" ref="J2017">_xlfn.IFS(H2017&lt;30,0,H2017&lt;60,1,H2017&lt;90,2,H2017&lt;120,3)</f>
        <v>0</v>
      </c>
      <c r="M2017" t="str">
        <f t="shared" si="194"/>
        <v>Low</v>
      </c>
      <c r="N2017" t="str">
        <f t="shared" si="191"/>
        <v>Nov</v>
      </c>
      <c r="O2017">
        <f t="shared" si="192"/>
        <v>2025</v>
      </c>
    </row>
    <row r="2018" spans="1:15" x14ac:dyDescent="0.3">
      <c r="A2018">
        <v>202183</v>
      </c>
      <c r="B2018" t="s">
        <v>103</v>
      </c>
      <c r="C2018" s="2">
        <v>45966</v>
      </c>
      <c r="D2018" s="2">
        <f t="shared" si="190"/>
        <v>45996</v>
      </c>
      <c r="E2018" s="1">
        <f>D2018</f>
        <v>45996</v>
      </c>
      <c r="F2018">
        <v>799</v>
      </c>
      <c r="G2018">
        <v>30</v>
      </c>
      <c r="H2018">
        <f t="shared" si="189"/>
        <v>0</v>
      </c>
      <c r="I2018" t="str">
        <f t="shared" si="193"/>
        <v>On Time</v>
      </c>
      <c r="J2018" cm="1">
        <f t="array" ref="J2018">_xlfn.IFS(H2018&lt;30,0,H2018&lt;60,1,H2018&lt;90,2,H2018&lt;120,3)</f>
        <v>0</v>
      </c>
      <c r="M2018" t="str">
        <f t="shared" si="194"/>
        <v>Low</v>
      </c>
      <c r="N2018" t="str">
        <f t="shared" si="191"/>
        <v>Nov</v>
      </c>
      <c r="O2018">
        <f t="shared" si="192"/>
        <v>2025</v>
      </c>
    </row>
    <row r="2019" spans="1:15" x14ac:dyDescent="0.3">
      <c r="A2019">
        <v>202148</v>
      </c>
      <c r="B2019" t="s">
        <v>86</v>
      </c>
      <c r="C2019" s="2">
        <v>45965</v>
      </c>
      <c r="D2019" s="2">
        <f t="shared" si="190"/>
        <v>45995</v>
      </c>
      <c r="E2019" s="1">
        <f>D2019+1</f>
        <v>45996</v>
      </c>
      <c r="F2019">
        <v>2146</v>
      </c>
      <c r="G2019">
        <v>30</v>
      </c>
      <c r="H2019">
        <f t="shared" si="189"/>
        <v>0</v>
      </c>
      <c r="I2019" t="str">
        <f t="shared" si="193"/>
        <v>On Time</v>
      </c>
      <c r="J2019" cm="1">
        <f t="array" ref="J2019">_xlfn.IFS(H2019&lt;30,0,H2019&lt;60,1,H2019&lt;90,2,H2019&lt;120,3)</f>
        <v>0</v>
      </c>
      <c r="M2019" t="str">
        <f t="shared" si="194"/>
        <v>Low</v>
      </c>
      <c r="N2019" t="str">
        <f t="shared" si="191"/>
        <v>Nov</v>
      </c>
      <c r="O2019">
        <f t="shared" si="192"/>
        <v>2025</v>
      </c>
    </row>
    <row r="2020" spans="1:15" x14ac:dyDescent="0.3">
      <c r="A2020">
        <v>202149</v>
      </c>
      <c r="B2020" t="s">
        <v>87</v>
      </c>
      <c r="C2020" s="2">
        <v>45965</v>
      </c>
      <c r="D2020" s="2">
        <f t="shared" si="190"/>
        <v>45995</v>
      </c>
      <c r="E2020" s="1">
        <f>D2020-1</f>
        <v>45994</v>
      </c>
      <c r="F2020">
        <v>4149</v>
      </c>
      <c r="G2020">
        <v>30</v>
      </c>
      <c r="H2020">
        <f t="shared" si="189"/>
        <v>0</v>
      </c>
      <c r="I2020" t="str">
        <f t="shared" si="193"/>
        <v>On Time</v>
      </c>
      <c r="J2020" cm="1">
        <f t="array" ref="J2020">_xlfn.IFS(H2020&lt;30,0,H2020&lt;60,1,H2020&lt;90,2,H2020&lt;120,3)</f>
        <v>0</v>
      </c>
      <c r="M2020" t="str">
        <f t="shared" si="194"/>
        <v>Low</v>
      </c>
      <c r="N2020" t="str">
        <f t="shared" si="191"/>
        <v>Nov</v>
      </c>
      <c r="O2020">
        <f t="shared" si="192"/>
        <v>2025</v>
      </c>
    </row>
    <row r="2021" spans="1:15" x14ac:dyDescent="0.3">
      <c r="A2021">
        <v>202150</v>
      </c>
      <c r="B2021" t="s">
        <v>88</v>
      </c>
      <c r="C2021" s="2">
        <v>45965</v>
      </c>
      <c r="D2021" s="2">
        <f t="shared" si="190"/>
        <v>45995</v>
      </c>
      <c r="E2021" s="1">
        <f>D2021</f>
        <v>45995</v>
      </c>
      <c r="F2021">
        <v>448</v>
      </c>
      <c r="G2021">
        <v>30</v>
      </c>
      <c r="H2021">
        <f t="shared" si="189"/>
        <v>0</v>
      </c>
      <c r="I2021" t="str">
        <f t="shared" si="193"/>
        <v>On Time</v>
      </c>
      <c r="J2021" cm="1">
        <f t="array" ref="J2021">_xlfn.IFS(H2021&lt;30,0,H2021&lt;60,1,H2021&lt;90,2,H2021&lt;120,3)</f>
        <v>0</v>
      </c>
      <c r="M2021" t="str">
        <f t="shared" si="194"/>
        <v>Low</v>
      </c>
      <c r="N2021" t="str">
        <f t="shared" si="191"/>
        <v>Nov</v>
      </c>
      <c r="O2021">
        <f t="shared" si="192"/>
        <v>2025</v>
      </c>
    </row>
    <row r="2022" spans="1:15" x14ac:dyDescent="0.3">
      <c r="A2022">
        <v>202151</v>
      </c>
      <c r="B2022" t="s">
        <v>89</v>
      </c>
      <c r="C2022" s="2">
        <v>45965</v>
      </c>
      <c r="D2022" s="2">
        <f t="shared" si="190"/>
        <v>45995</v>
      </c>
      <c r="E2022" s="1">
        <f>D2022-5</f>
        <v>45990</v>
      </c>
      <c r="F2022">
        <v>2730</v>
      </c>
      <c r="G2022">
        <v>30</v>
      </c>
      <c r="H2022">
        <f t="shared" ref="H2022:H2085" si="195">MAX(0,P1987-D2022)</f>
        <v>0</v>
      </c>
      <c r="I2022" t="str">
        <f t="shared" si="193"/>
        <v>On Time</v>
      </c>
      <c r="J2022" cm="1">
        <f t="array" ref="J2022">_xlfn.IFS(H2022&lt;30,0,H2022&lt;60,1,H2022&lt;90,2,H2022&lt;120,3)</f>
        <v>0</v>
      </c>
      <c r="M2022" t="str">
        <f t="shared" si="194"/>
        <v>Low</v>
      </c>
      <c r="N2022" t="str">
        <f t="shared" si="191"/>
        <v>Nov</v>
      </c>
      <c r="O2022">
        <f t="shared" si="192"/>
        <v>2025</v>
      </c>
    </row>
    <row r="2023" spans="1:15" x14ac:dyDescent="0.3">
      <c r="A2023">
        <v>202152</v>
      </c>
      <c r="B2023" t="s">
        <v>90</v>
      </c>
      <c r="C2023" s="2">
        <v>45965</v>
      </c>
      <c r="D2023" s="2">
        <f t="shared" si="190"/>
        <v>45995</v>
      </c>
      <c r="E2023" s="1">
        <f>D2023+35</f>
        <v>46030</v>
      </c>
      <c r="F2023">
        <v>11488</v>
      </c>
      <c r="G2023">
        <v>30</v>
      </c>
      <c r="H2023">
        <f t="shared" si="195"/>
        <v>0</v>
      </c>
      <c r="I2023" t="str">
        <f t="shared" si="193"/>
        <v>On Time</v>
      </c>
      <c r="J2023" cm="1">
        <f t="array" ref="J2023">_xlfn.IFS(H2023&lt;30,0,H2023&lt;60,1,H2023&lt;90,2,H2023&lt;120,3)</f>
        <v>0</v>
      </c>
      <c r="M2023" t="str">
        <f t="shared" si="194"/>
        <v>Low</v>
      </c>
      <c r="N2023" t="str">
        <f t="shared" si="191"/>
        <v>Nov</v>
      </c>
      <c r="O2023">
        <f t="shared" si="192"/>
        <v>2025</v>
      </c>
    </row>
    <row r="2024" spans="1:15" x14ac:dyDescent="0.3">
      <c r="A2024">
        <v>202153</v>
      </c>
      <c r="B2024" t="s">
        <v>91</v>
      </c>
      <c r="C2024" s="2">
        <v>45965</v>
      </c>
      <c r="D2024" s="2">
        <f t="shared" si="190"/>
        <v>45995</v>
      </c>
      <c r="E2024" s="1">
        <f>D2024+78</f>
        <v>46073</v>
      </c>
      <c r="F2024">
        <v>15929</v>
      </c>
      <c r="G2024">
        <v>30</v>
      </c>
      <c r="H2024">
        <f t="shared" si="195"/>
        <v>0</v>
      </c>
      <c r="I2024" t="str">
        <f t="shared" si="193"/>
        <v>On Time</v>
      </c>
      <c r="J2024" cm="1">
        <f t="array" ref="J2024">_xlfn.IFS(H2024&lt;30,0,H2024&lt;60,1,H2024&lt;90,2,H2024&lt;120,3)</f>
        <v>0</v>
      </c>
      <c r="M2024" t="str">
        <f t="shared" si="194"/>
        <v>Low</v>
      </c>
      <c r="N2024" t="str">
        <f t="shared" si="191"/>
        <v>Nov</v>
      </c>
      <c r="O2024">
        <f t="shared" si="192"/>
        <v>2025</v>
      </c>
    </row>
    <row r="2025" spans="1:15" x14ac:dyDescent="0.3">
      <c r="A2025">
        <v>202154</v>
      </c>
      <c r="B2025" t="s">
        <v>92</v>
      </c>
      <c r="C2025" s="2">
        <v>45965</v>
      </c>
      <c r="D2025" s="2">
        <f t="shared" si="190"/>
        <v>45995</v>
      </c>
      <c r="E2025" s="1">
        <f>D2025+5</f>
        <v>46000</v>
      </c>
      <c r="F2025">
        <v>2901</v>
      </c>
      <c r="G2025">
        <v>30</v>
      </c>
      <c r="H2025">
        <f t="shared" si="195"/>
        <v>0</v>
      </c>
      <c r="I2025" t="str">
        <f t="shared" si="193"/>
        <v>On Time</v>
      </c>
      <c r="J2025" cm="1">
        <f t="array" ref="J2025">_xlfn.IFS(H2025&lt;30,0,H2025&lt;60,1,H2025&lt;90,2,H2025&lt;120,3)</f>
        <v>0</v>
      </c>
      <c r="M2025" t="str">
        <f t="shared" si="194"/>
        <v>Low</v>
      </c>
      <c r="N2025" t="str">
        <f t="shared" si="191"/>
        <v>Nov</v>
      </c>
      <c r="O2025">
        <f t="shared" si="192"/>
        <v>2025</v>
      </c>
    </row>
    <row r="2026" spans="1:15" x14ac:dyDescent="0.3">
      <c r="A2026">
        <v>202155</v>
      </c>
      <c r="B2026" t="s">
        <v>93</v>
      </c>
      <c r="C2026" s="2">
        <v>45965</v>
      </c>
      <c r="D2026" s="2">
        <f t="shared" si="190"/>
        <v>45995</v>
      </c>
      <c r="E2026" s="1">
        <f>D2026</f>
        <v>45995</v>
      </c>
      <c r="F2026">
        <v>1320</v>
      </c>
      <c r="G2026">
        <v>30</v>
      </c>
      <c r="H2026">
        <f t="shared" si="195"/>
        <v>0</v>
      </c>
      <c r="I2026" t="str">
        <f t="shared" si="193"/>
        <v>On Time</v>
      </c>
      <c r="J2026" cm="1">
        <f t="array" ref="J2026">_xlfn.IFS(H2026&lt;30,0,H2026&lt;60,1,H2026&lt;90,2,H2026&lt;120,3)</f>
        <v>0</v>
      </c>
      <c r="M2026" t="str">
        <f t="shared" si="194"/>
        <v>Low</v>
      </c>
      <c r="N2026" t="str">
        <f t="shared" si="191"/>
        <v>Nov</v>
      </c>
      <c r="O2026">
        <f t="shared" si="192"/>
        <v>2025</v>
      </c>
    </row>
    <row r="2027" spans="1:15" x14ac:dyDescent="0.3">
      <c r="A2027">
        <v>202156</v>
      </c>
      <c r="B2027" t="s">
        <v>94</v>
      </c>
      <c r="C2027" s="2">
        <v>45965</v>
      </c>
      <c r="D2027" s="2">
        <f t="shared" si="190"/>
        <v>45995</v>
      </c>
      <c r="E2027" s="1">
        <f>D2027-1</f>
        <v>45994</v>
      </c>
      <c r="F2027">
        <v>752</v>
      </c>
      <c r="G2027">
        <v>30</v>
      </c>
      <c r="H2027">
        <f t="shared" si="195"/>
        <v>0</v>
      </c>
      <c r="I2027" t="str">
        <f t="shared" si="193"/>
        <v>On Time</v>
      </c>
      <c r="J2027" cm="1">
        <f t="array" ref="J2027">_xlfn.IFS(H2027&lt;30,0,H2027&lt;60,1,H2027&lt;90,2,H2027&lt;120,3)</f>
        <v>0</v>
      </c>
      <c r="M2027" t="str">
        <f t="shared" si="194"/>
        <v>Low</v>
      </c>
      <c r="N2027" t="str">
        <f t="shared" si="191"/>
        <v>Nov</v>
      </c>
      <c r="O2027">
        <f t="shared" si="192"/>
        <v>2025</v>
      </c>
    </row>
    <row r="2028" spans="1:15" x14ac:dyDescent="0.3">
      <c r="A2028">
        <v>202157</v>
      </c>
      <c r="B2028" t="s">
        <v>95</v>
      </c>
      <c r="C2028" s="2">
        <v>45965</v>
      </c>
      <c r="D2028" s="2">
        <f t="shared" si="190"/>
        <v>46010</v>
      </c>
      <c r="E2028" s="1">
        <f>D2028</f>
        <v>46010</v>
      </c>
      <c r="F2028">
        <v>2384</v>
      </c>
      <c r="G2028">
        <v>45</v>
      </c>
      <c r="H2028">
        <f t="shared" si="195"/>
        <v>0</v>
      </c>
      <c r="I2028" t="str">
        <f t="shared" si="193"/>
        <v>On Time</v>
      </c>
      <c r="J2028" cm="1">
        <f t="array" ref="J2028">_xlfn.IFS(H2028&lt;30,0,H2028&lt;60,1,H2028&lt;90,2,H2028&lt;120,3)</f>
        <v>0</v>
      </c>
      <c r="M2028" t="str">
        <f t="shared" si="194"/>
        <v>Low</v>
      </c>
      <c r="N2028" t="str">
        <f t="shared" si="191"/>
        <v>Nov</v>
      </c>
      <c r="O2028">
        <f t="shared" si="192"/>
        <v>2025</v>
      </c>
    </row>
    <row r="2029" spans="1:15" x14ac:dyDescent="0.3">
      <c r="A2029">
        <v>202158</v>
      </c>
      <c r="B2029" t="s">
        <v>68</v>
      </c>
      <c r="C2029" s="2">
        <v>45965</v>
      </c>
      <c r="D2029" s="2">
        <f t="shared" si="190"/>
        <v>45995</v>
      </c>
      <c r="E2029" s="1">
        <f>D2029+32</f>
        <v>46027</v>
      </c>
      <c r="F2029">
        <v>9895</v>
      </c>
      <c r="G2029">
        <v>30</v>
      </c>
      <c r="H2029">
        <f t="shared" si="195"/>
        <v>0</v>
      </c>
      <c r="I2029" t="str">
        <f t="shared" si="193"/>
        <v>On Time</v>
      </c>
      <c r="J2029" cm="1">
        <f t="array" ref="J2029">_xlfn.IFS(H2029&lt;30,0,H2029&lt;60,1,H2029&lt;90,2,H2029&lt;120,3)</f>
        <v>0</v>
      </c>
      <c r="M2029" t="str">
        <f t="shared" si="194"/>
        <v>Low</v>
      </c>
      <c r="N2029" t="str">
        <f t="shared" si="191"/>
        <v>Nov</v>
      </c>
      <c r="O2029">
        <f t="shared" si="192"/>
        <v>2025</v>
      </c>
    </row>
    <row r="2030" spans="1:15" x14ac:dyDescent="0.3">
      <c r="A2030">
        <v>202159</v>
      </c>
      <c r="B2030" t="s">
        <v>69</v>
      </c>
      <c r="C2030" s="2">
        <v>45965</v>
      </c>
      <c r="D2030" s="2">
        <f t="shared" si="190"/>
        <v>45995</v>
      </c>
      <c r="E2030" s="1">
        <f>D2030+15</f>
        <v>46010</v>
      </c>
      <c r="F2030">
        <v>3552</v>
      </c>
      <c r="G2030">
        <v>30</v>
      </c>
      <c r="H2030">
        <f t="shared" si="195"/>
        <v>0</v>
      </c>
      <c r="I2030" t="str">
        <f t="shared" si="193"/>
        <v>On Time</v>
      </c>
      <c r="J2030" cm="1">
        <f t="array" ref="J2030">_xlfn.IFS(H2030&lt;30,0,H2030&lt;60,1,H2030&lt;90,2,H2030&lt;120,3)</f>
        <v>0</v>
      </c>
      <c r="M2030" t="str">
        <f t="shared" si="194"/>
        <v>Low</v>
      </c>
      <c r="N2030" t="str">
        <f t="shared" si="191"/>
        <v>Nov</v>
      </c>
      <c r="O2030">
        <f t="shared" si="192"/>
        <v>2025</v>
      </c>
    </row>
    <row r="2031" spans="1:15" x14ac:dyDescent="0.3">
      <c r="A2031">
        <v>202160</v>
      </c>
      <c r="B2031" t="s">
        <v>70</v>
      </c>
      <c r="C2031" s="2">
        <v>45965</v>
      </c>
      <c r="D2031" s="2">
        <f t="shared" si="190"/>
        <v>45995</v>
      </c>
      <c r="E2031" s="1">
        <f>D2031</f>
        <v>45995</v>
      </c>
      <c r="F2031">
        <v>918</v>
      </c>
      <c r="G2031">
        <v>30</v>
      </c>
      <c r="H2031">
        <f t="shared" si="195"/>
        <v>0</v>
      </c>
      <c r="I2031" t="str">
        <f t="shared" si="193"/>
        <v>On Time</v>
      </c>
      <c r="J2031" cm="1">
        <f t="array" ref="J2031">_xlfn.IFS(H2031&lt;30,0,H2031&lt;60,1,H2031&lt;90,2,H2031&lt;120,3)</f>
        <v>0</v>
      </c>
      <c r="M2031" t="str">
        <f t="shared" si="194"/>
        <v>Low</v>
      </c>
      <c r="N2031" t="str">
        <f t="shared" si="191"/>
        <v>Nov</v>
      </c>
      <c r="O2031">
        <f t="shared" si="192"/>
        <v>2025</v>
      </c>
    </row>
    <row r="2032" spans="1:15" x14ac:dyDescent="0.3">
      <c r="A2032">
        <v>202161</v>
      </c>
      <c r="B2032" t="s">
        <v>71</v>
      </c>
      <c r="C2032" s="2">
        <v>45965</v>
      </c>
      <c r="D2032" s="2">
        <f t="shared" si="190"/>
        <v>45995</v>
      </c>
      <c r="E2032" s="1">
        <f>D2032-2</f>
        <v>45993</v>
      </c>
      <c r="F2032">
        <v>2018</v>
      </c>
      <c r="G2032">
        <v>30</v>
      </c>
      <c r="H2032">
        <f t="shared" si="195"/>
        <v>0</v>
      </c>
      <c r="I2032" t="str">
        <f t="shared" si="193"/>
        <v>On Time</v>
      </c>
      <c r="J2032" cm="1">
        <f t="array" ref="J2032">_xlfn.IFS(H2032&lt;30,0,H2032&lt;60,1,H2032&lt;90,2,H2032&lt;120,3)</f>
        <v>0</v>
      </c>
      <c r="M2032" t="str">
        <f t="shared" si="194"/>
        <v>Low</v>
      </c>
      <c r="N2032" t="str">
        <f t="shared" si="191"/>
        <v>Nov</v>
      </c>
      <c r="O2032">
        <f t="shared" si="192"/>
        <v>2025</v>
      </c>
    </row>
    <row r="2033" spans="1:15" x14ac:dyDescent="0.3">
      <c r="A2033">
        <v>202162</v>
      </c>
      <c r="B2033" t="s">
        <v>72</v>
      </c>
      <c r="C2033" s="2">
        <v>45965</v>
      </c>
      <c r="D2033" s="2">
        <f t="shared" si="190"/>
        <v>45995</v>
      </c>
      <c r="E2033" s="1">
        <f>D2033</f>
        <v>45995</v>
      </c>
      <c r="F2033">
        <v>207</v>
      </c>
      <c r="G2033">
        <v>30</v>
      </c>
      <c r="H2033">
        <f t="shared" si="195"/>
        <v>0</v>
      </c>
      <c r="I2033" t="str">
        <f t="shared" si="193"/>
        <v>On Time</v>
      </c>
      <c r="J2033" cm="1">
        <f t="array" ref="J2033">_xlfn.IFS(H2033&lt;30,0,H2033&lt;60,1,H2033&lt;90,2,H2033&lt;120,3)</f>
        <v>0</v>
      </c>
      <c r="M2033" t="str">
        <f t="shared" si="194"/>
        <v>Low</v>
      </c>
      <c r="N2033" t="str">
        <f t="shared" si="191"/>
        <v>Nov</v>
      </c>
      <c r="O2033">
        <f t="shared" si="192"/>
        <v>2025</v>
      </c>
    </row>
    <row r="2034" spans="1:15" x14ac:dyDescent="0.3">
      <c r="A2034">
        <v>202163</v>
      </c>
      <c r="B2034" t="s">
        <v>73</v>
      </c>
      <c r="C2034" s="2">
        <v>45965</v>
      </c>
      <c r="D2034" s="2">
        <f t="shared" si="190"/>
        <v>46010</v>
      </c>
      <c r="E2034" s="1">
        <f>D2034+2</f>
        <v>46012</v>
      </c>
      <c r="F2034">
        <v>3620</v>
      </c>
      <c r="G2034">
        <v>45</v>
      </c>
      <c r="H2034">
        <f t="shared" si="195"/>
        <v>0</v>
      </c>
      <c r="I2034" t="str">
        <f t="shared" si="193"/>
        <v>On Time</v>
      </c>
      <c r="J2034" cm="1">
        <f t="array" ref="J2034">_xlfn.IFS(H2034&lt;30,0,H2034&lt;60,1,H2034&lt;90,2,H2034&lt;120,3)</f>
        <v>0</v>
      </c>
      <c r="M2034" t="str">
        <f t="shared" si="194"/>
        <v>Low</v>
      </c>
      <c r="N2034" t="str">
        <f t="shared" si="191"/>
        <v>Nov</v>
      </c>
      <c r="O2034">
        <f t="shared" si="192"/>
        <v>2025</v>
      </c>
    </row>
    <row r="2035" spans="1:15" x14ac:dyDescent="0.3">
      <c r="A2035">
        <v>202164</v>
      </c>
      <c r="B2035" t="s">
        <v>74</v>
      </c>
      <c r="C2035" s="2">
        <v>45965</v>
      </c>
      <c r="D2035" s="2">
        <f t="shared" si="190"/>
        <v>46010</v>
      </c>
      <c r="E2035" s="1">
        <f>D2035+2</f>
        <v>46012</v>
      </c>
      <c r="F2035">
        <v>2831</v>
      </c>
      <c r="G2035">
        <v>45</v>
      </c>
      <c r="H2035">
        <f t="shared" si="195"/>
        <v>0</v>
      </c>
      <c r="I2035" t="str">
        <f t="shared" si="193"/>
        <v>On Time</v>
      </c>
      <c r="J2035" cm="1">
        <f t="array" ref="J2035">_xlfn.IFS(H2035&lt;30,0,H2035&lt;60,1,H2035&lt;90,2,H2035&lt;120,3)</f>
        <v>0</v>
      </c>
      <c r="M2035" t="str">
        <f t="shared" si="194"/>
        <v>Low</v>
      </c>
      <c r="N2035" t="str">
        <f t="shared" si="191"/>
        <v>Nov</v>
      </c>
      <c r="O2035">
        <f t="shared" si="192"/>
        <v>2025</v>
      </c>
    </row>
    <row r="2036" spans="1:15" x14ac:dyDescent="0.3">
      <c r="A2036">
        <v>202165</v>
      </c>
      <c r="B2036" t="s">
        <v>45</v>
      </c>
      <c r="C2036" s="2">
        <v>45965</v>
      </c>
      <c r="D2036" s="2">
        <f t="shared" si="190"/>
        <v>46010</v>
      </c>
      <c r="E2036" s="1">
        <f>D2036+2</f>
        <v>46012</v>
      </c>
      <c r="F2036">
        <v>6635</v>
      </c>
      <c r="G2036">
        <v>45</v>
      </c>
      <c r="H2036">
        <f t="shared" si="195"/>
        <v>0</v>
      </c>
      <c r="I2036" t="str">
        <f t="shared" si="193"/>
        <v>On Time</v>
      </c>
      <c r="J2036" cm="1">
        <f t="array" ref="J2036">_xlfn.IFS(H2036&lt;30,0,H2036&lt;60,1,H2036&lt;90,2,H2036&lt;120,3)</f>
        <v>0</v>
      </c>
      <c r="M2036" t="str">
        <f t="shared" si="194"/>
        <v>Low</v>
      </c>
      <c r="N2036" t="str">
        <f t="shared" si="191"/>
        <v>Nov</v>
      </c>
      <c r="O2036">
        <f t="shared" si="192"/>
        <v>2025</v>
      </c>
    </row>
    <row r="2037" spans="1:15" x14ac:dyDescent="0.3">
      <c r="A2037">
        <v>202554</v>
      </c>
      <c r="B2037" t="s">
        <v>92</v>
      </c>
      <c r="C2037" s="2">
        <v>45965</v>
      </c>
      <c r="D2037" s="2">
        <f t="shared" si="190"/>
        <v>45995</v>
      </c>
      <c r="E2037" s="1">
        <f>D2037+32</f>
        <v>46027</v>
      </c>
      <c r="F2037">
        <v>3920</v>
      </c>
      <c r="G2037">
        <v>30</v>
      </c>
      <c r="H2037">
        <f t="shared" si="195"/>
        <v>0</v>
      </c>
      <c r="I2037" t="str">
        <f t="shared" si="193"/>
        <v>On Time</v>
      </c>
      <c r="J2037" cm="1">
        <f t="array" ref="J2037">_xlfn.IFS(H2037&lt;30,0,H2037&lt;60,1,H2037&lt;90,2,H2037&lt;120,3)</f>
        <v>0</v>
      </c>
      <c r="M2037" t="str">
        <f t="shared" si="194"/>
        <v>Low</v>
      </c>
      <c r="N2037" t="str">
        <f t="shared" si="191"/>
        <v>Nov</v>
      </c>
      <c r="O2037">
        <f t="shared" si="192"/>
        <v>2025</v>
      </c>
    </row>
    <row r="2038" spans="1:15" x14ac:dyDescent="0.3">
      <c r="A2038">
        <v>202555</v>
      </c>
      <c r="B2038" t="s">
        <v>93</v>
      </c>
      <c r="C2038" s="2">
        <v>45965</v>
      </c>
      <c r="D2038" s="2">
        <f t="shared" si="190"/>
        <v>45995</v>
      </c>
      <c r="E2038" s="1">
        <f>D2038+15</f>
        <v>46010</v>
      </c>
      <c r="F2038">
        <v>1345</v>
      </c>
      <c r="G2038">
        <v>30</v>
      </c>
      <c r="H2038">
        <f t="shared" si="195"/>
        <v>0</v>
      </c>
      <c r="I2038" t="str">
        <f t="shared" si="193"/>
        <v>On Time</v>
      </c>
      <c r="J2038" cm="1">
        <f t="array" ref="J2038">_xlfn.IFS(H2038&lt;30,0,H2038&lt;60,1,H2038&lt;90,2,H2038&lt;120,3)</f>
        <v>0</v>
      </c>
      <c r="M2038" t="str">
        <f t="shared" si="194"/>
        <v>Low</v>
      </c>
      <c r="N2038" t="str">
        <f t="shared" si="191"/>
        <v>Nov</v>
      </c>
      <c r="O2038">
        <f t="shared" si="192"/>
        <v>2025</v>
      </c>
    </row>
    <row r="2039" spans="1:15" x14ac:dyDescent="0.3">
      <c r="A2039">
        <v>202556</v>
      </c>
      <c r="B2039" t="s">
        <v>94</v>
      </c>
      <c r="C2039" s="2">
        <v>45965</v>
      </c>
      <c r="D2039" s="2">
        <f t="shared" si="190"/>
        <v>45995</v>
      </c>
      <c r="E2039" s="1">
        <f>D2039</f>
        <v>45995</v>
      </c>
      <c r="F2039">
        <v>2418</v>
      </c>
      <c r="G2039">
        <v>30</v>
      </c>
      <c r="H2039">
        <f t="shared" si="195"/>
        <v>0</v>
      </c>
      <c r="I2039" t="str">
        <f t="shared" si="193"/>
        <v>On Time</v>
      </c>
      <c r="J2039" cm="1">
        <f t="array" ref="J2039">_xlfn.IFS(H2039&lt;30,0,H2039&lt;60,1,H2039&lt;90,2,H2039&lt;120,3)</f>
        <v>0</v>
      </c>
      <c r="M2039" t="str">
        <f t="shared" si="194"/>
        <v>Low</v>
      </c>
      <c r="N2039" t="str">
        <f t="shared" si="191"/>
        <v>Nov</v>
      </c>
      <c r="O2039">
        <f t="shared" si="192"/>
        <v>2025</v>
      </c>
    </row>
    <row r="2040" spans="1:15" x14ac:dyDescent="0.3">
      <c r="A2040">
        <v>202557</v>
      </c>
      <c r="B2040" t="s">
        <v>95</v>
      </c>
      <c r="C2040" s="2">
        <v>45965</v>
      </c>
      <c r="D2040" s="2">
        <f t="shared" si="190"/>
        <v>46010</v>
      </c>
      <c r="E2040" s="1">
        <f>D2040-2</f>
        <v>46008</v>
      </c>
      <c r="F2040">
        <v>1895</v>
      </c>
      <c r="G2040">
        <v>45</v>
      </c>
      <c r="H2040">
        <f t="shared" si="195"/>
        <v>0</v>
      </c>
      <c r="I2040" t="str">
        <f t="shared" si="193"/>
        <v>On Time</v>
      </c>
      <c r="J2040" cm="1">
        <f t="array" ref="J2040">_xlfn.IFS(H2040&lt;30,0,H2040&lt;60,1,H2040&lt;90,2,H2040&lt;120,3)</f>
        <v>0</v>
      </c>
      <c r="M2040" t="str">
        <f t="shared" si="194"/>
        <v>Low</v>
      </c>
      <c r="N2040" t="str">
        <f t="shared" si="191"/>
        <v>Nov</v>
      </c>
      <c r="O2040">
        <f t="shared" si="192"/>
        <v>2025</v>
      </c>
    </row>
    <row r="2041" spans="1:15" x14ac:dyDescent="0.3">
      <c r="A2041">
        <v>202558</v>
      </c>
      <c r="B2041" t="s">
        <v>96</v>
      </c>
      <c r="C2041" s="2">
        <v>45965</v>
      </c>
      <c r="D2041" s="2">
        <f t="shared" si="190"/>
        <v>46025</v>
      </c>
      <c r="E2041" s="1">
        <f>D2041</f>
        <v>46025</v>
      </c>
      <c r="F2041">
        <v>109</v>
      </c>
      <c r="G2041">
        <v>60</v>
      </c>
      <c r="H2041">
        <f t="shared" si="195"/>
        <v>0</v>
      </c>
      <c r="I2041" t="str">
        <f t="shared" si="193"/>
        <v>On Time</v>
      </c>
      <c r="J2041" cm="1">
        <f t="array" ref="J2041">_xlfn.IFS(H2041&lt;30,0,H2041&lt;60,1,H2041&lt;90,2,H2041&lt;120,3)</f>
        <v>0</v>
      </c>
      <c r="M2041" t="str">
        <f t="shared" si="194"/>
        <v>Low</v>
      </c>
      <c r="N2041" t="str">
        <f t="shared" si="191"/>
        <v>Nov</v>
      </c>
      <c r="O2041">
        <f t="shared" si="192"/>
        <v>2025</v>
      </c>
    </row>
    <row r="2042" spans="1:15" x14ac:dyDescent="0.3">
      <c r="A2042">
        <v>202559</v>
      </c>
      <c r="B2042" t="s">
        <v>97</v>
      </c>
      <c r="C2042" s="2">
        <v>45965</v>
      </c>
      <c r="D2042" s="2">
        <f t="shared" si="190"/>
        <v>45995</v>
      </c>
      <c r="E2042" s="1">
        <f>D2042+2</f>
        <v>45997</v>
      </c>
      <c r="F2042">
        <v>3721</v>
      </c>
      <c r="G2042">
        <v>30</v>
      </c>
      <c r="H2042">
        <f t="shared" si="195"/>
        <v>0</v>
      </c>
      <c r="I2042" t="str">
        <f t="shared" si="193"/>
        <v>On Time</v>
      </c>
      <c r="J2042" cm="1">
        <f t="array" ref="J2042">_xlfn.IFS(H2042&lt;30,0,H2042&lt;60,1,H2042&lt;90,2,H2042&lt;120,3)</f>
        <v>0</v>
      </c>
      <c r="M2042" t="str">
        <f t="shared" si="194"/>
        <v>Low</v>
      </c>
      <c r="N2042" t="str">
        <f t="shared" si="191"/>
        <v>Nov</v>
      </c>
      <c r="O2042">
        <f t="shared" si="192"/>
        <v>2025</v>
      </c>
    </row>
    <row r="2043" spans="1:15" x14ac:dyDescent="0.3">
      <c r="A2043">
        <v>202560</v>
      </c>
      <c r="B2043" t="s">
        <v>98</v>
      </c>
      <c r="C2043" s="2">
        <v>45965</v>
      </c>
      <c r="D2043" s="2">
        <f t="shared" si="190"/>
        <v>45995</v>
      </c>
      <c r="E2043" s="1">
        <f>D2043+2</f>
        <v>45997</v>
      </c>
      <c r="F2043">
        <v>1932</v>
      </c>
      <c r="G2043">
        <v>30</v>
      </c>
      <c r="H2043">
        <f t="shared" si="195"/>
        <v>0</v>
      </c>
      <c r="I2043" t="str">
        <f t="shared" si="193"/>
        <v>On Time</v>
      </c>
      <c r="J2043" cm="1">
        <f t="array" ref="J2043">_xlfn.IFS(H2043&lt;30,0,H2043&lt;60,1,H2043&lt;90,2,H2043&lt;120,3)</f>
        <v>0</v>
      </c>
      <c r="M2043" t="str">
        <f t="shared" si="194"/>
        <v>Low</v>
      </c>
      <c r="N2043" t="str">
        <f t="shared" si="191"/>
        <v>Nov</v>
      </c>
      <c r="O2043">
        <f t="shared" si="192"/>
        <v>2025</v>
      </c>
    </row>
    <row r="2044" spans="1:15" x14ac:dyDescent="0.3">
      <c r="A2044">
        <v>202561</v>
      </c>
      <c r="B2044" t="s">
        <v>99</v>
      </c>
      <c r="C2044" s="2">
        <v>45965</v>
      </c>
      <c r="D2044" s="2">
        <f t="shared" si="190"/>
        <v>45995</v>
      </c>
      <c r="E2044" s="1">
        <f>D2044+2</f>
        <v>45997</v>
      </c>
      <c r="F2044">
        <v>4046</v>
      </c>
      <c r="G2044">
        <v>30</v>
      </c>
      <c r="H2044">
        <f t="shared" si="195"/>
        <v>0</v>
      </c>
      <c r="I2044" t="str">
        <f t="shared" si="193"/>
        <v>On Time</v>
      </c>
      <c r="J2044" cm="1">
        <f t="array" ref="J2044">_xlfn.IFS(H2044&lt;30,0,H2044&lt;60,1,H2044&lt;90,2,H2044&lt;120,3)</f>
        <v>0</v>
      </c>
      <c r="M2044" t="str">
        <f t="shared" si="194"/>
        <v>Low</v>
      </c>
      <c r="N2044" t="str">
        <f t="shared" si="191"/>
        <v>Nov</v>
      </c>
      <c r="O2044">
        <f t="shared" si="192"/>
        <v>2025</v>
      </c>
    </row>
    <row r="2045" spans="1:15" x14ac:dyDescent="0.3">
      <c r="A2045">
        <v>202562</v>
      </c>
      <c r="B2045" t="s">
        <v>100</v>
      </c>
      <c r="C2045" s="2">
        <v>45965</v>
      </c>
      <c r="D2045" s="2">
        <f t="shared" si="190"/>
        <v>45995</v>
      </c>
      <c r="E2045" s="1">
        <f>D2045</f>
        <v>45995</v>
      </c>
      <c r="F2045">
        <v>2964</v>
      </c>
      <c r="G2045">
        <v>30</v>
      </c>
      <c r="H2045">
        <f t="shared" si="195"/>
        <v>0</v>
      </c>
      <c r="I2045" t="str">
        <f t="shared" si="193"/>
        <v>On Time</v>
      </c>
      <c r="J2045" cm="1">
        <f t="array" ref="J2045">_xlfn.IFS(H2045&lt;30,0,H2045&lt;60,1,H2045&lt;90,2,H2045&lt;120,3)</f>
        <v>0</v>
      </c>
      <c r="M2045" t="str">
        <f t="shared" si="194"/>
        <v>Low</v>
      </c>
      <c r="N2045" t="str">
        <f t="shared" si="191"/>
        <v>Nov</v>
      </c>
      <c r="O2045">
        <f t="shared" si="192"/>
        <v>2025</v>
      </c>
    </row>
    <row r="2046" spans="1:15" x14ac:dyDescent="0.3">
      <c r="A2046">
        <v>202563</v>
      </c>
      <c r="B2046" t="s">
        <v>101</v>
      </c>
      <c r="C2046" s="2">
        <v>45965</v>
      </c>
      <c r="D2046" s="2">
        <f t="shared" si="190"/>
        <v>45995</v>
      </c>
      <c r="E2046" s="1">
        <f>D2046+20</f>
        <v>46015</v>
      </c>
      <c r="F2046">
        <v>3121</v>
      </c>
      <c r="G2046">
        <v>30</v>
      </c>
      <c r="H2046">
        <f t="shared" si="195"/>
        <v>0</v>
      </c>
      <c r="I2046" t="str">
        <f t="shared" si="193"/>
        <v>On Time</v>
      </c>
      <c r="J2046" cm="1">
        <f t="array" ref="J2046">_xlfn.IFS(H2046&lt;30,0,H2046&lt;60,1,H2046&lt;90,2,H2046&lt;120,3)</f>
        <v>0</v>
      </c>
      <c r="M2046" t="str">
        <f t="shared" si="194"/>
        <v>Low</v>
      </c>
      <c r="N2046" t="str">
        <f t="shared" si="191"/>
        <v>Nov</v>
      </c>
      <c r="O2046">
        <f t="shared" si="192"/>
        <v>2025</v>
      </c>
    </row>
    <row r="2047" spans="1:15" x14ac:dyDescent="0.3">
      <c r="A2047">
        <v>202564</v>
      </c>
      <c r="B2047" t="s">
        <v>102</v>
      </c>
      <c r="C2047" s="2">
        <v>45965</v>
      </c>
      <c r="D2047" s="2">
        <f t="shared" si="190"/>
        <v>45995</v>
      </c>
      <c r="E2047" s="1">
        <f>D2047</f>
        <v>45995</v>
      </c>
      <c r="F2047">
        <v>1051</v>
      </c>
      <c r="G2047">
        <v>30</v>
      </c>
      <c r="H2047">
        <f t="shared" si="195"/>
        <v>0</v>
      </c>
      <c r="I2047" t="str">
        <f t="shared" si="193"/>
        <v>On Time</v>
      </c>
      <c r="J2047" cm="1">
        <f t="array" ref="J2047">_xlfn.IFS(H2047&lt;30,0,H2047&lt;60,1,H2047&lt;90,2,H2047&lt;120,3)</f>
        <v>0</v>
      </c>
      <c r="M2047" t="str">
        <f t="shared" si="194"/>
        <v>Low</v>
      </c>
      <c r="N2047" t="str">
        <f t="shared" si="191"/>
        <v>Nov</v>
      </c>
      <c r="O2047">
        <f t="shared" si="192"/>
        <v>2025</v>
      </c>
    </row>
    <row r="2048" spans="1:15" x14ac:dyDescent="0.3">
      <c r="A2048">
        <v>202565</v>
      </c>
      <c r="B2048" t="s">
        <v>38</v>
      </c>
      <c r="C2048" s="2">
        <v>45965</v>
      </c>
      <c r="D2048" s="2">
        <f t="shared" si="190"/>
        <v>45995</v>
      </c>
      <c r="E2048" s="1">
        <f>D2048+1</f>
        <v>45996</v>
      </c>
      <c r="F2048">
        <v>4639</v>
      </c>
      <c r="G2048">
        <v>30</v>
      </c>
      <c r="H2048">
        <f t="shared" si="195"/>
        <v>0</v>
      </c>
      <c r="I2048" t="str">
        <f t="shared" si="193"/>
        <v>On Time</v>
      </c>
      <c r="J2048" cm="1">
        <f t="array" ref="J2048">_xlfn.IFS(H2048&lt;30,0,H2048&lt;60,1,H2048&lt;90,2,H2048&lt;120,3)</f>
        <v>0</v>
      </c>
      <c r="M2048" t="str">
        <f t="shared" si="194"/>
        <v>Low</v>
      </c>
      <c r="N2048" t="str">
        <f t="shared" si="191"/>
        <v>Nov</v>
      </c>
      <c r="O2048">
        <f t="shared" si="192"/>
        <v>2025</v>
      </c>
    </row>
    <row r="2049" spans="1:15" x14ac:dyDescent="0.3">
      <c r="A2049">
        <v>202566</v>
      </c>
      <c r="B2049" t="s">
        <v>39</v>
      </c>
      <c r="C2049" s="2">
        <v>45965</v>
      </c>
      <c r="D2049" s="2">
        <f t="shared" si="190"/>
        <v>45995</v>
      </c>
      <c r="E2049" s="1">
        <f>D2049</f>
        <v>45995</v>
      </c>
      <c r="F2049">
        <v>4826</v>
      </c>
      <c r="G2049">
        <v>30</v>
      </c>
      <c r="H2049">
        <f t="shared" si="195"/>
        <v>0</v>
      </c>
      <c r="I2049" t="str">
        <f t="shared" si="193"/>
        <v>On Time</v>
      </c>
      <c r="J2049" cm="1">
        <f t="array" ref="J2049">_xlfn.IFS(H2049&lt;30,0,H2049&lt;60,1,H2049&lt;90,2,H2049&lt;120,3)</f>
        <v>0</v>
      </c>
      <c r="M2049" t="str">
        <f t="shared" si="194"/>
        <v>Low</v>
      </c>
      <c r="N2049" t="str">
        <f t="shared" si="191"/>
        <v>Nov</v>
      </c>
      <c r="O2049">
        <f t="shared" si="192"/>
        <v>2025</v>
      </c>
    </row>
    <row r="2050" spans="1:15" x14ac:dyDescent="0.3">
      <c r="A2050">
        <v>202567</v>
      </c>
      <c r="B2050" t="s">
        <v>40</v>
      </c>
      <c r="C2050" s="2">
        <v>45965</v>
      </c>
      <c r="D2050" s="2">
        <f t="shared" ref="D2050:D2113" si="196">C2050+G2050</f>
        <v>45995</v>
      </c>
      <c r="E2050" s="1">
        <f>D2050</f>
        <v>45995</v>
      </c>
      <c r="F2050">
        <v>1587</v>
      </c>
      <c r="G2050">
        <v>30</v>
      </c>
      <c r="H2050">
        <f t="shared" si="195"/>
        <v>0</v>
      </c>
      <c r="I2050" t="str">
        <f t="shared" si="193"/>
        <v>On Time</v>
      </c>
      <c r="J2050" cm="1">
        <f t="array" ref="J2050">_xlfn.IFS(H2050&lt;30,0,H2050&lt;60,1,H2050&lt;90,2,H2050&lt;120,3)</f>
        <v>0</v>
      </c>
      <c r="M2050" t="str">
        <f t="shared" si="194"/>
        <v>Low</v>
      </c>
      <c r="N2050" t="str">
        <f t="shared" ref="N2050:N2113" si="197">TEXT(C2050,"mmm")</f>
        <v>Nov</v>
      </c>
      <c r="O2050">
        <f t="shared" ref="O2050:O2113" si="198">YEAR(C2050)</f>
        <v>2025</v>
      </c>
    </row>
    <row r="2051" spans="1:15" x14ac:dyDescent="0.3">
      <c r="A2051">
        <v>202568</v>
      </c>
      <c r="B2051" t="s">
        <v>41</v>
      </c>
      <c r="C2051" s="2">
        <v>45965</v>
      </c>
      <c r="D2051" s="2">
        <f t="shared" si="196"/>
        <v>45995</v>
      </c>
      <c r="E2051" s="1">
        <f>D2051+5</f>
        <v>46000</v>
      </c>
      <c r="F2051">
        <v>2581</v>
      </c>
      <c r="G2051">
        <v>30</v>
      </c>
      <c r="H2051">
        <f t="shared" si="195"/>
        <v>0</v>
      </c>
      <c r="I2051" t="str">
        <f t="shared" si="193"/>
        <v>On Time</v>
      </c>
      <c r="J2051" cm="1">
        <f t="array" ref="J2051">_xlfn.IFS(H2051&lt;30,0,H2051&lt;60,1,H2051&lt;90,2,H2051&lt;120,3)</f>
        <v>0</v>
      </c>
      <c r="M2051" t="str">
        <f t="shared" si="194"/>
        <v>Low</v>
      </c>
      <c r="N2051" t="str">
        <f t="shared" si="197"/>
        <v>Nov</v>
      </c>
      <c r="O2051">
        <f t="shared" si="198"/>
        <v>2025</v>
      </c>
    </row>
    <row r="2052" spans="1:15" x14ac:dyDescent="0.3">
      <c r="A2052">
        <v>202569</v>
      </c>
      <c r="B2052" t="s">
        <v>42</v>
      </c>
      <c r="C2052" s="2">
        <v>45965</v>
      </c>
      <c r="D2052" s="2">
        <f t="shared" si="196"/>
        <v>45995</v>
      </c>
      <c r="E2052" s="1">
        <f>D2052+2</f>
        <v>45997</v>
      </c>
      <c r="F2052">
        <v>6237</v>
      </c>
      <c r="G2052">
        <v>30</v>
      </c>
      <c r="H2052">
        <f t="shared" si="195"/>
        <v>0</v>
      </c>
      <c r="I2052" t="str">
        <f t="shared" si="193"/>
        <v>On Time</v>
      </c>
      <c r="J2052" cm="1">
        <f t="array" ref="J2052">_xlfn.IFS(H2052&lt;30,0,H2052&lt;60,1,H2052&lt;90,2,H2052&lt;120,3)</f>
        <v>0</v>
      </c>
      <c r="M2052" t="str">
        <f t="shared" si="194"/>
        <v>Low</v>
      </c>
      <c r="N2052" t="str">
        <f t="shared" si="197"/>
        <v>Nov</v>
      </c>
      <c r="O2052">
        <f t="shared" si="198"/>
        <v>2025</v>
      </c>
    </row>
    <row r="2053" spans="1:15" x14ac:dyDescent="0.3">
      <c r="A2053">
        <v>202570</v>
      </c>
      <c r="B2053" t="s">
        <v>43</v>
      </c>
      <c r="C2053" s="2">
        <v>45965</v>
      </c>
      <c r="D2053" s="2">
        <f t="shared" si="196"/>
        <v>45995</v>
      </c>
      <c r="E2053" s="1">
        <f>D2053</f>
        <v>45995</v>
      </c>
      <c r="F2053">
        <v>3868</v>
      </c>
      <c r="G2053">
        <v>30</v>
      </c>
      <c r="H2053">
        <f t="shared" si="195"/>
        <v>0</v>
      </c>
      <c r="I2053" t="str">
        <f t="shared" si="193"/>
        <v>On Time</v>
      </c>
      <c r="J2053" cm="1">
        <f t="array" ref="J2053">_xlfn.IFS(H2053&lt;30,0,H2053&lt;60,1,H2053&lt;90,2,H2053&lt;120,3)</f>
        <v>0</v>
      </c>
      <c r="M2053" t="str">
        <f t="shared" si="194"/>
        <v>Low</v>
      </c>
      <c r="N2053" t="str">
        <f t="shared" si="197"/>
        <v>Nov</v>
      </c>
      <c r="O2053">
        <f t="shared" si="198"/>
        <v>2025</v>
      </c>
    </row>
    <row r="2054" spans="1:15" x14ac:dyDescent="0.3">
      <c r="A2054">
        <v>202571</v>
      </c>
      <c r="B2054" t="s">
        <v>44</v>
      </c>
      <c r="C2054" s="2">
        <v>45965</v>
      </c>
      <c r="D2054" s="2">
        <f t="shared" si="196"/>
        <v>46010</v>
      </c>
      <c r="E2054" s="1">
        <f>D2054</f>
        <v>46010</v>
      </c>
      <c r="F2054">
        <v>2507</v>
      </c>
      <c r="G2054">
        <v>45</v>
      </c>
      <c r="H2054">
        <f t="shared" si="195"/>
        <v>0</v>
      </c>
      <c r="I2054" t="str">
        <f t="shared" si="193"/>
        <v>On Time</v>
      </c>
      <c r="J2054" cm="1">
        <f t="array" ref="J2054">_xlfn.IFS(H2054&lt;30,0,H2054&lt;60,1,H2054&lt;90,2,H2054&lt;120,3)</f>
        <v>0</v>
      </c>
      <c r="M2054" t="str">
        <f t="shared" si="194"/>
        <v>Low</v>
      </c>
      <c r="N2054" t="str">
        <f t="shared" si="197"/>
        <v>Nov</v>
      </c>
      <c r="O2054">
        <f t="shared" si="198"/>
        <v>2025</v>
      </c>
    </row>
    <row r="2055" spans="1:15" x14ac:dyDescent="0.3">
      <c r="A2055">
        <v>202572</v>
      </c>
      <c r="B2055" t="s">
        <v>96</v>
      </c>
      <c r="C2055" s="2">
        <v>45965</v>
      </c>
      <c r="D2055" s="2">
        <f t="shared" si="196"/>
        <v>46025</v>
      </c>
      <c r="E2055" s="1">
        <f>D2055</f>
        <v>46025</v>
      </c>
      <c r="F2055">
        <v>1619</v>
      </c>
      <c r="G2055">
        <v>60</v>
      </c>
      <c r="H2055">
        <f t="shared" si="195"/>
        <v>0</v>
      </c>
      <c r="I2055" t="str">
        <f t="shared" si="193"/>
        <v>On Time</v>
      </c>
      <c r="J2055" cm="1">
        <f t="array" ref="J2055">_xlfn.IFS(H2055&lt;30,0,H2055&lt;60,1,H2055&lt;90,2,H2055&lt;120,3)</f>
        <v>0</v>
      </c>
      <c r="M2055" t="str">
        <f t="shared" si="194"/>
        <v>Low</v>
      </c>
      <c r="N2055" t="str">
        <f t="shared" si="197"/>
        <v>Nov</v>
      </c>
      <c r="O2055">
        <f t="shared" si="198"/>
        <v>2025</v>
      </c>
    </row>
    <row r="2056" spans="1:15" x14ac:dyDescent="0.3">
      <c r="A2056">
        <v>202129</v>
      </c>
      <c r="B2056" t="s">
        <v>33</v>
      </c>
      <c r="C2056" s="2">
        <v>45964</v>
      </c>
      <c r="D2056" s="2">
        <f t="shared" si="196"/>
        <v>45994</v>
      </c>
      <c r="E2056" s="1">
        <f>D2056</f>
        <v>45994</v>
      </c>
      <c r="F2056">
        <v>2374</v>
      </c>
      <c r="G2056">
        <v>30</v>
      </c>
      <c r="H2056">
        <f t="shared" si="195"/>
        <v>0</v>
      </c>
      <c r="I2056" t="str">
        <f t="shared" si="193"/>
        <v>On Time</v>
      </c>
      <c r="J2056" cm="1">
        <f t="array" ref="J2056">_xlfn.IFS(H2056&lt;30,0,H2056&lt;60,1,H2056&lt;90,2,H2056&lt;120,3)</f>
        <v>0</v>
      </c>
      <c r="M2056" t="str">
        <f t="shared" si="194"/>
        <v>Low</v>
      </c>
      <c r="N2056" t="str">
        <f t="shared" si="197"/>
        <v>Nov</v>
      </c>
      <c r="O2056">
        <f t="shared" si="198"/>
        <v>2025</v>
      </c>
    </row>
    <row r="2057" spans="1:15" x14ac:dyDescent="0.3">
      <c r="A2057">
        <v>202130</v>
      </c>
      <c r="B2057" t="s">
        <v>34</v>
      </c>
      <c r="C2057" s="2">
        <v>45964</v>
      </c>
      <c r="D2057" s="2">
        <f t="shared" si="196"/>
        <v>46024</v>
      </c>
      <c r="E2057" s="1">
        <f>D2057+2</f>
        <v>46026</v>
      </c>
      <c r="F2057">
        <v>2473</v>
      </c>
      <c r="G2057">
        <v>60</v>
      </c>
      <c r="H2057">
        <f t="shared" si="195"/>
        <v>0</v>
      </c>
      <c r="I2057" t="str">
        <f t="shared" si="193"/>
        <v>On Time</v>
      </c>
      <c r="J2057" cm="1">
        <f t="array" ref="J2057">_xlfn.IFS(H2057&lt;30,0,H2057&lt;60,1,H2057&lt;90,2,H2057&lt;120,3)</f>
        <v>0</v>
      </c>
      <c r="M2057" t="str">
        <f t="shared" si="194"/>
        <v>Low</v>
      </c>
      <c r="N2057" t="str">
        <f t="shared" si="197"/>
        <v>Nov</v>
      </c>
      <c r="O2057">
        <f t="shared" si="198"/>
        <v>2025</v>
      </c>
    </row>
    <row r="2058" spans="1:15" x14ac:dyDescent="0.3">
      <c r="A2058">
        <v>202131</v>
      </c>
      <c r="B2058" t="s">
        <v>35</v>
      </c>
      <c r="C2058" s="2">
        <v>45964</v>
      </c>
      <c r="D2058" s="2">
        <f t="shared" si="196"/>
        <v>46009</v>
      </c>
      <c r="E2058" s="1">
        <f>D2058+2</f>
        <v>46011</v>
      </c>
      <c r="F2058">
        <v>132</v>
      </c>
      <c r="G2058">
        <v>45</v>
      </c>
      <c r="H2058">
        <f t="shared" si="195"/>
        <v>0</v>
      </c>
      <c r="I2058" t="str">
        <f t="shared" si="193"/>
        <v>On Time</v>
      </c>
      <c r="J2058" cm="1">
        <f t="array" ref="J2058">_xlfn.IFS(H2058&lt;30,0,H2058&lt;60,1,H2058&lt;90,2,H2058&lt;120,3)</f>
        <v>0</v>
      </c>
      <c r="M2058" t="str">
        <f t="shared" si="194"/>
        <v>Low</v>
      </c>
      <c r="N2058" t="str">
        <f t="shared" si="197"/>
        <v>Nov</v>
      </c>
      <c r="O2058">
        <f t="shared" si="198"/>
        <v>2025</v>
      </c>
    </row>
    <row r="2059" spans="1:15" x14ac:dyDescent="0.3">
      <c r="A2059">
        <v>202132</v>
      </c>
      <c r="B2059" t="s">
        <v>36</v>
      </c>
      <c r="C2059" s="2">
        <v>45964</v>
      </c>
      <c r="D2059" s="2">
        <f t="shared" si="196"/>
        <v>45994</v>
      </c>
      <c r="E2059" s="1">
        <f>D2059+2</f>
        <v>45996</v>
      </c>
      <c r="F2059">
        <v>3335</v>
      </c>
      <c r="G2059">
        <v>30</v>
      </c>
      <c r="H2059">
        <f t="shared" si="195"/>
        <v>0</v>
      </c>
      <c r="I2059" t="str">
        <f t="shared" si="193"/>
        <v>On Time</v>
      </c>
      <c r="J2059" cm="1">
        <f t="array" ref="J2059">_xlfn.IFS(H2059&lt;30,0,H2059&lt;60,1,H2059&lt;90,2,H2059&lt;120,3)</f>
        <v>0</v>
      </c>
      <c r="M2059" t="str">
        <f t="shared" si="194"/>
        <v>Low</v>
      </c>
      <c r="N2059" t="str">
        <f t="shared" si="197"/>
        <v>Nov</v>
      </c>
      <c r="O2059">
        <f t="shared" si="198"/>
        <v>2025</v>
      </c>
    </row>
    <row r="2060" spans="1:15" x14ac:dyDescent="0.3">
      <c r="A2060">
        <v>202133</v>
      </c>
      <c r="B2060" t="s">
        <v>64</v>
      </c>
      <c r="C2060" s="2">
        <v>45964</v>
      </c>
      <c r="D2060" s="2">
        <f t="shared" si="196"/>
        <v>45994</v>
      </c>
      <c r="E2060" s="1">
        <f>D2060</f>
        <v>45994</v>
      </c>
      <c r="F2060">
        <v>3211</v>
      </c>
      <c r="G2060">
        <v>30</v>
      </c>
      <c r="H2060">
        <f t="shared" si="195"/>
        <v>0</v>
      </c>
      <c r="I2060" t="str">
        <f t="shared" si="193"/>
        <v>On Time</v>
      </c>
      <c r="J2060" cm="1">
        <f t="array" ref="J2060">_xlfn.IFS(H2060&lt;30,0,H2060&lt;60,1,H2060&lt;90,2,H2060&lt;120,3)</f>
        <v>0</v>
      </c>
      <c r="M2060" t="str">
        <f t="shared" si="194"/>
        <v>Low</v>
      </c>
      <c r="N2060" t="str">
        <f t="shared" si="197"/>
        <v>Nov</v>
      </c>
      <c r="O2060">
        <f t="shared" si="198"/>
        <v>2025</v>
      </c>
    </row>
    <row r="2061" spans="1:15" x14ac:dyDescent="0.3">
      <c r="A2061">
        <v>202134</v>
      </c>
      <c r="B2061" t="s">
        <v>45</v>
      </c>
      <c r="C2061" s="2">
        <v>45964</v>
      </c>
      <c r="D2061" s="2">
        <f t="shared" si="196"/>
        <v>46009</v>
      </c>
      <c r="E2061" s="1">
        <f>D2061+20</f>
        <v>46029</v>
      </c>
      <c r="F2061">
        <v>4355</v>
      </c>
      <c r="G2061">
        <v>45</v>
      </c>
      <c r="H2061">
        <f t="shared" si="195"/>
        <v>0</v>
      </c>
      <c r="I2061" t="str">
        <f t="shared" si="193"/>
        <v>On Time</v>
      </c>
      <c r="J2061" cm="1">
        <f t="array" ref="J2061">_xlfn.IFS(H2061&lt;30,0,H2061&lt;60,1,H2061&lt;90,2,H2061&lt;120,3)</f>
        <v>0</v>
      </c>
      <c r="M2061" t="str">
        <f t="shared" si="194"/>
        <v>Low</v>
      </c>
      <c r="N2061" t="str">
        <f t="shared" si="197"/>
        <v>Nov</v>
      </c>
      <c r="O2061">
        <f t="shared" si="198"/>
        <v>2025</v>
      </c>
    </row>
    <row r="2062" spans="1:15" x14ac:dyDescent="0.3">
      <c r="A2062">
        <v>202135</v>
      </c>
      <c r="B2062" t="s">
        <v>46</v>
      </c>
      <c r="C2062" s="2">
        <v>45964</v>
      </c>
      <c r="D2062" s="2">
        <f t="shared" si="196"/>
        <v>46024</v>
      </c>
      <c r="E2062" s="1">
        <f>D2062</f>
        <v>46024</v>
      </c>
      <c r="F2062">
        <v>1642</v>
      </c>
      <c r="G2062">
        <v>60</v>
      </c>
      <c r="H2062">
        <f t="shared" si="195"/>
        <v>0</v>
      </c>
      <c r="I2062" t="str">
        <f t="shared" si="193"/>
        <v>On Time</v>
      </c>
      <c r="J2062" cm="1">
        <f t="array" ref="J2062">_xlfn.IFS(H2062&lt;30,0,H2062&lt;60,1,H2062&lt;90,2,H2062&lt;120,3)</f>
        <v>0</v>
      </c>
      <c r="M2062" t="str">
        <f t="shared" si="194"/>
        <v>Low</v>
      </c>
      <c r="N2062" t="str">
        <f t="shared" si="197"/>
        <v>Nov</v>
      </c>
      <c r="O2062">
        <f t="shared" si="198"/>
        <v>2025</v>
      </c>
    </row>
    <row r="2063" spans="1:15" x14ac:dyDescent="0.3">
      <c r="A2063">
        <v>202136</v>
      </c>
      <c r="B2063" t="s">
        <v>114</v>
      </c>
      <c r="C2063" s="2">
        <v>45964</v>
      </c>
      <c r="D2063" s="2">
        <f t="shared" si="196"/>
        <v>45994</v>
      </c>
      <c r="E2063" s="1">
        <f>D2063+1</f>
        <v>45995</v>
      </c>
      <c r="F2063">
        <v>1873</v>
      </c>
      <c r="G2063">
        <v>30</v>
      </c>
      <c r="H2063">
        <f t="shared" si="195"/>
        <v>0</v>
      </c>
      <c r="I2063" t="str">
        <f t="shared" si="193"/>
        <v>On Time</v>
      </c>
      <c r="J2063" cm="1">
        <f t="array" ref="J2063">_xlfn.IFS(H2063&lt;30,0,H2063&lt;60,1,H2063&lt;90,2,H2063&lt;120,3)</f>
        <v>0</v>
      </c>
      <c r="M2063" t="str">
        <f t="shared" si="194"/>
        <v>Low</v>
      </c>
      <c r="N2063" t="str">
        <f t="shared" si="197"/>
        <v>Nov</v>
      </c>
      <c r="O2063">
        <f t="shared" si="198"/>
        <v>2025</v>
      </c>
    </row>
    <row r="2064" spans="1:15" x14ac:dyDescent="0.3">
      <c r="A2064">
        <v>202137</v>
      </c>
      <c r="B2064" t="s">
        <v>115</v>
      </c>
      <c r="C2064" s="2">
        <v>45964</v>
      </c>
      <c r="D2064" s="2">
        <f t="shared" si="196"/>
        <v>45994</v>
      </c>
      <c r="E2064" s="1">
        <f>D2064</f>
        <v>45994</v>
      </c>
      <c r="F2064">
        <v>3274</v>
      </c>
      <c r="G2064">
        <v>30</v>
      </c>
      <c r="H2064">
        <f t="shared" si="195"/>
        <v>0</v>
      </c>
      <c r="I2064" t="str">
        <f t="shared" si="193"/>
        <v>On Time</v>
      </c>
      <c r="J2064" cm="1">
        <f t="array" ref="J2064">_xlfn.IFS(H2064&lt;30,0,H2064&lt;60,1,H2064&lt;90,2,H2064&lt;120,3)</f>
        <v>0</v>
      </c>
      <c r="M2064" t="str">
        <f t="shared" si="194"/>
        <v>Low</v>
      </c>
      <c r="N2064" t="str">
        <f t="shared" si="197"/>
        <v>Nov</v>
      </c>
      <c r="O2064">
        <f t="shared" si="198"/>
        <v>2025</v>
      </c>
    </row>
    <row r="2065" spans="1:15" x14ac:dyDescent="0.3">
      <c r="A2065">
        <v>202138</v>
      </c>
      <c r="B2065" t="s">
        <v>116</v>
      </c>
      <c r="C2065" s="2">
        <v>45964</v>
      </c>
      <c r="D2065" s="2">
        <f t="shared" si="196"/>
        <v>45994</v>
      </c>
      <c r="E2065" s="1">
        <f>D2065</f>
        <v>45994</v>
      </c>
      <c r="F2065">
        <v>425</v>
      </c>
      <c r="G2065">
        <v>30</v>
      </c>
      <c r="H2065">
        <f t="shared" si="195"/>
        <v>0</v>
      </c>
      <c r="I2065" t="str">
        <f t="shared" si="193"/>
        <v>On Time</v>
      </c>
      <c r="J2065" cm="1">
        <f t="array" ref="J2065">_xlfn.IFS(H2065&lt;30,0,H2065&lt;60,1,H2065&lt;90,2,H2065&lt;120,3)</f>
        <v>0</v>
      </c>
      <c r="M2065" t="str">
        <f t="shared" si="194"/>
        <v>Low</v>
      </c>
      <c r="N2065" t="str">
        <f t="shared" si="197"/>
        <v>Nov</v>
      </c>
      <c r="O2065">
        <f t="shared" si="198"/>
        <v>2025</v>
      </c>
    </row>
    <row r="2066" spans="1:15" x14ac:dyDescent="0.3">
      <c r="A2066">
        <v>202139</v>
      </c>
      <c r="B2066" t="s">
        <v>117</v>
      </c>
      <c r="C2066" s="2">
        <v>45964</v>
      </c>
      <c r="D2066" s="2">
        <f t="shared" si="196"/>
        <v>45994</v>
      </c>
      <c r="E2066" s="1">
        <f>D2066+5</f>
        <v>45999</v>
      </c>
      <c r="F2066">
        <v>565</v>
      </c>
      <c r="G2066">
        <v>30</v>
      </c>
      <c r="H2066">
        <f t="shared" si="195"/>
        <v>0</v>
      </c>
      <c r="I2066" t="str">
        <f t="shared" si="193"/>
        <v>On Time</v>
      </c>
      <c r="J2066" cm="1">
        <f t="array" ref="J2066">_xlfn.IFS(H2066&lt;30,0,H2066&lt;60,1,H2066&lt;90,2,H2066&lt;120,3)</f>
        <v>0</v>
      </c>
      <c r="M2066" t="str">
        <f t="shared" si="194"/>
        <v>Low</v>
      </c>
      <c r="N2066" t="str">
        <f t="shared" si="197"/>
        <v>Nov</v>
      </c>
      <c r="O2066">
        <f t="shared" si="198"/>
        <v>2025</v>
      </c>
    </row>
    <row r="2067" spans="1:15" x14ac:dyDescent="0.3">
      <c r="A2067">
        <v>202140</v>
      </c>
      <c r="B2067" t="s">
        <v>118</v>
      </c>
      <c r="C2067" s="2">
        <v>45964</v>
      </c>
      <c r="D2067" s="2">
        <f t="shared" si="196"/>
        <v>45994</v>
      </c>
      <c r="E2067" s="1">
        <f>D2067+2</f>
        <v>45996</v>
      </c>
      <c r="F2067">
        <v>3352</v>
      </c>
      <c r="G2067">
        <v>30</v>
      </c>
      <c r="H2067">
        <f t="shared" si="195"/>
        <v>0</v>
      </c>
      <c r="I2067" t="str">
        <f t="shared" si="193"/>
        <v>On Time</v>
      </c>
      <c r="J2067" cm="1">
        <f t="array" ref="J2067">_xlfn.IFS(H2067&lt;30,0,H2067&lt;60,1,H2067&lt;90,2,H2067&lt;120,3)</f>
        <v>0</v>
      </c>
      <c r="M2067" t="str">
        <f t="shared" si="194"/>
        <v>Low</v>
      </c>
      <c r="N2067" t="str">
        <f t="shared" si="197"/>
        <v>Nov</v>
      </c>
      <c r="O2067">
        <f t="shared" si="198"/>
        <v>2025</v>
      </c>
    </row>
    <row r="2068" spans="1:15" x14ac:dyDescent="0.3">
      <c r="A2068">
        <v>202141</v>
      </c>
      <c r="B2068" t="s">
        <v>119</v>
      </c>
      <c r="C2068" s="2">
        <v>45964</v>
      </c>
      <c r="D2068" s="2">
        <f t="shared" si="196"/>
        <v>45994</v>
      </c>
      <c r="E2068" s="1">
        <f>D2068+5</f>
        <v>45999</v>
      </c>
      <c r="F2068">
        <v>10915</v>
      </c>
      <c r="G2068">
        <v>30</v>
      </c>
      <c r="H2068">
        <f t="shared" si="195"/>
        <v>0</v>
      </c>
      <c r="I2068" t="str">
        <f t="shared" si="193"/>
        <v>On Time</v>
      </c>
      <c r="J2068" cm="1">
        <f t="array" ref="J2068">_xlfn.IFS(H2068&lt;30,0,H2068&lt;60,1,H2068&lt;90,2,H2068&lt;120,3)</f>
        <v>0</v>
      </c>
      <c r="M2068" t="str">
        <f t="shared" si="194"/>
        <v>Low</v>
      </c>
      <c r="N2068" t="str">
        <f t="shared" si="197"/>
        <v>Nov</v>
      </c>
      <c r="O2068">
        <f t="shared" si="198"/>
        <v>2025</v>
      </c>
    </row>
    <row r="2069" spans="1:15" x14ac:dyDescent="0.3">
      <c r="A2069">
        <v>202142</v>
      </c>
      <c r="B2069" t="s">
        <v>100</v>
      </c>
      <c r="C2069" s="2">
        <v>45964</v>
      </c>
      <c r="D2069" s="2">
        <f t="shared" si="196"/>
        <v>45994</v>
      </c>
      <c r="E2069" s="1">
        <f>D2069</f>
        <v>45994</v>
      </c>
      <c r="F2069">
        <v>4608</v>
      </c>
      <c r="G2069">
        <v>30</v>
      </c>
      <c r="H2069">
        <f t="shared" si="195"/>
        <v>0</v>
      </c>
      <c r="I2069" t="str">
        <f t="shared" si="193"/>
        <v>On Time</v>
      </c>
      <c r="J2069" cm="1">
        <f t="array" ref="J2069">_xlfn.IFS(H2069&lt;30,0,H2069&lt;60,1,H2069&lt;90,2,H2069&lt;120,3)</f>
        <v>0</v>
      </c>
      <c r="M2069" t="str">
        <f t="shared" si="194"/>
        <v>Low</v>
      </c>
      <c r="N2069" t="str">
        <f t="shared" si="197"/>
        <v>Nov</v>
      </c>
      <c r="O2069">
        <f t="shared" si="198"/>
        <v>2025</v>
      </c>
    </row>
    <row r="2070" spans="1:15" x14ac:dyDescent="0.3">
      <c r="A2070">
        <v>202143</v>
      </c>
      <c r="B2070" t="s">
        <v>101</v>
      </c>
      <c r="C2070" s="2">
        <v>45964</v>
      </c>
      <c r="D2070" s="2">
        <f t="shared" si="196"/>
        <v>45994</v>
      </c>
      <c r="E2070" s="1">
        <f>D2070</f>
        <v>45994</v>
      </c>
      <c r="F2070">
        <v>400</v>
      </c>
      <c r="G2070">
        <v>30</v>
      </c>
      <c r="H2070">
        <f t="shared" si="195"/>
        <v>0</v>
      </c>
      <c r="I2070" t="str">
        <f t="shared" ref="I2070:I2133" si="199">IF(H2070=0,"On Time",IF(H2070&lt;=15,"Paid Late","Seriously Late"))</f>
        <v>On Time</v>
      </c>
      <c r="J2070" cm="1">
        <f t="array" ref="J2070">_xlfn.IFS(H2070&lt;30,0,H2070&lt;60,1,H2070&lt;90,2,H2070&lt;120,3)</f>
        <v>0</v>
      </c>
      <c r="M2070" t="str">
        <f t="shared" ref="M2070:M2133" si="200">IF(H2070&gt;30,"High",IF(H2070&gt;10,"Medium","Low"))</f>
        <v>Low</v>
      </c>
      <c r="N2070" t="str">
        <f t="shared" si="197"/>
        <v>Nov</v>
      </c>
      <c r="O2070">
        <f t="shared" si="198"/>
        <v>2025</v>
      </c>
    </row>
    <row r="2071" spans="1:15" x14ac:dyDescent="0.3">
      <c r="A2071">
        <v>202144</v>
      </c>
      <c r="B2071" t="s">
        <v>102</v>
      </c>
      <c r="C2071" s="2">
        <v>45964</v>
      </c>
      <c r="D2071" s="2">
        <f t="shared" si="196"/>
        <v>45994</v>
      </c>
      <c r="E2071" s="1">
        <f>D2071+60</f>
        <v>46054</v>
      </c>
      <c r="F2071">
        <v>1151</v>
      </c>
      <c r="G2071">
        <v>30</v>
      </c>
      <c r="H2071">
        <f t="shared" si="195"/>
        <v>0</v>
      </c>
      <c r="I2071" t="str">
        <f t="shared" si="199"/>
        <v>On Time</v>
      </c>
      <c r="J2071" cm="1">
        <f t="array" ref="J2071">_xlfn.IFS(H2071&lt;30,0,H2071&lt;60,1,H2071&lt;90,2,H2071&lt;120,3)</f>
        <v>0</v>
      </c>
      <c r="M2071" t="str">
        <f t="shared" si="200"/>
        <v>Low</v>
      </c>
      <c r="N2071" t="str">
        <f t="shared" si="197"/>
        <v>Nov</v>
      </c>
      <c r="O2071">
        <f t="shared" si="198"/>
        <v>2025</v>
      </c>
    </row>
    <row r="2072" spans="1:15" x14ac:dyDescent="0.3">
      <c r="A2072">
        <v>202145</v>
      </c>
      <c r="B2072" t="s">
        <v>103</v>
      </c>
      <c r="C2072" s="2">
        <v>45964</v>
      </c>
      <c r="D2072" s="2">
        <f t="shared" si="196"/>
        <v>45994</v>
      </c>
      <c r="E2072" s="1">
        <f>D2072</f>
        <v>45994</v>
      </c>
      <c r="F2072">
        <v>1725</v>
      </c>
      <c r="G2072">
        <v>30</v>
      </c>
      <c r="H2072">
        <f t="shared" si="195"/>
        <v>0</v>
      </c>
      <c r="I2072" t="str">
        <f t="shared" si="199"/>
        <v>On Time</v>
      </c>
      <c r="J2072" cm="1">
        <f t="array" ref="J2072">_xlfn.IFS(H2072&lt;30,0,H2072&lt;60,1,H2072&lt;90,2,H2072&lt;120,3)</f>
        <v>0</v>
      </c>
      <c r="M2072" t="str">
        <f t="shared" si="200"/>
        <v>Low</v>
      </c>
      <c r="N2072" t="str">
        <f t="shared" si="197"/>
        <v>Nov</v>
      </c>
      <c r="O2072">
        <f t="shared" si="198"/>
        <v>2025</v>
      </c>
    </row>
    <row r="2073" spans="1:15" x14ac:dyDescent="0.3">
      <c r="A2073">
        <v>202146</v>
      </c>
      <c r="B2073" t="s">
        <v>104</v>
      </c>
      <c r="C2073" s="2">
        <v>45964</v>
      </c>
      <c r="D2073" s="2">
        <f t="shared" si="196"/>
        <v>45994</v>
      </c>
      <c r="F2073">
        <v>3744</v>
      </c>
      <c r="G2073">
        <v>30</v>
      </c>
      <c r="H2073">
        <f t="shared" si="195"/>
        <v>0</v>
      </c>
      <c r="I2073" t="str">
        <f t="shared" si="199"/>
        <v>On Time</v>
      </c>
      <c r="J2073" cm="1">
        <f t="array" ref="J2073">_xlfn.IFS(H2073&lt;30,0,H2073&lt;60,1,H2073&lt;90,2,H2073&lt;120,3)</f>
        <v>0</v>
      </c>
      <c r="M2073" t="str">
        <f t="shared" si="200"/>
        <v>Low</v>
      </c>
      <c r="N2073" t="str">
        <f t="shared" si="197"/>
        <v>Nov</v>
      </c>
      <c r="O2073">
        <f t="shared" si="198"/>
        <v>2025</v>
      </c>
    </row>
    <row r="2074" spans="1:15" x14ac:dyDescent="0.3">
      <c r="A2074">
        <v>202147</v>
      </c>
      <c r="B2074" t="s">
        <v>105</v>
      </c>
      <c r="C2074" s="2">
        <v>45964</v>
      </c>
      <c r="D2074" s="2">
        <f t="shared" si="196"/>
        <v>45994</v>
      </c>
      <c r="E2074" s="1">
        <f>D2074+3</f>
        <v>45997</v>
      </c>
      <c r="F2074">
        <v>954</v>
      </c>
      <c r="G2074">
        <v>30</v>
      </c>
      <c r="H2074">
        <f t="shared" si="195"/>
        <v>0</v>
      </c>
      <c r="I2074" t="str">
        <f t="shared" si="199"/>
        <v>On Time</v>
      </c>
      <c r="J2074" cm="1">
        <f t="array" ref="J2074">_xlfn.IFS(H2074&lt;30,0,H2074&lt;60,1,H2074&lt;90,2,H2074&lt;120,3)</f>
        <v>0</v>
      </c>
      <c r="M2074" t="str">
        <f t="shared" si="200"/>
        <v>Low</v>
      </c>
      <c r="N2074" t="str">
        <f t="shared" si="197"/>
        <v>Nov</v>
      </c>
      <c r="O2074">
        <f t="shared" si="198"/>
        <v>2025</v>
      </c>
    </row>
    <row r="2075" spans="1:15" x14ac:dyDescent="0.3">
      <c r="A2075">
        <v>202538</v>
      </c>
      <c r="B2075" t="s">
        <v>24</v>
      </c>
      <c r="C2075" s="2">
        <v>45964</v>
      </c>
      <c r="D2075" s="2">
        <f t="shared" si="196"/>
        <v>46009</v>
      </c>
      <c r="E2075" s="1">
        <f>D2075</f>
        <v>46009</v>
      </c>
      <c r="F2075">
        <v>18352</v>
      </c>
      <c r="G2075">
        <v>45</v>
      </c>
      <c r="H2075">
        <f t="shared" si="195"/>
        <v>0</v>
      </c>
      <c r="I2075" t="str">
        <f t="shared" si="199"/>
        <v>On Time</v>
      </c>
      <c r="J2075" cm="1">
        <f t="array" ref="J2075">_xlfn.IFS(H2075&lt;30,0,H2075&lt;60,1,H2075&lt;90,2,H2075&lt;120,3)</f>
        <v>0</v>
      </c>
      <c r="M2075" t="str">
        <f t="shared" si="200"/>
        <v>Low</v>
      </c>
      <c r="N2075" t="str">
        <f t="shared" si="197"/>
        <v>Nov</v>
      </c>
      <c r="O2075">
        <f t="shared" si="198"/>
        <v>2025</v>
      </c>
    </row>
    <row r="2076" spans="1:15" x14ac:dyDescent="0.3">
      <c r="A2076">
        <v>202539</v>
      </c>
      <c r="B2076" t="s">
        <v>25</v>
      </c>
      <c r="C2076" s="2">
        <v>45964</v>
      </c>
      <c r="D2076" s="2">
        <f t="shared" si="196"/>
        <v>46024</v>
      </c>
      <c r="E2076" s="1">
        <f>D2076</f>
        <v>46024</v>
      </c>
      <c r="F2076">
        <v>1989</v>
      </c>
      <c r="G2076">
        <v>60</v>
      </c>
      <c r="H2076">
        <f t="shared" si="195"/>
        <v>0</v>
      </c>
      <c r="I2076" t="str">
        <f t="shared" si="199"/>
        <v>On Time</v>
      </c>
      <c r="J2076" cm="1">
        <f t="array" ref="J2076">_xlfn.IFS(H2076&lt;30,0,H2076&lt;60,1,H2076&lt;90,2,H2076&lt;120,3)</f>
        <v>0</v>
      </c>
      <c r="M2076" t="str">
        <f t="shared" si="200"/>
        <v>Low</v>
      </c>
      <c r="N2076" t="str">
        <f t="shared" si="197"/>
        <v>Nov</v>
      </c>
      <c r="O2076">
        <f t="shared" si="198"/>
        <v>2025</v>
      </c>
    </row>
    <row r="2077" spans="1:15" x14ac:dyDescent="0.3">
      <c r="A2077">
        <v>202540</v>
      </c>
      <c r="B2077" t="s">
        <v>26</v>
      </c>
      <c r="C2077" s="2">
        <v>45964</v>
      </c>
      <c r="D2077" s="2">
        <f t="shared" si="196"/>
        <v>45994</v>
      </c>
      <c r="E2077" s="1">
        <f>D2077+60</f>
        <v>46054</v>
      </c>
      <c r="F2077">
        <v>2739</v>
      </c>
      <c r="G2077">
        <v>30</v>
      </c>
      <c r="H2077">
        <f t="shared" si="195"/>
        <v>0</v>
      </c>
      <c r="I2077" t="str">
        <f t="shared" si="199"/>
        <v>On Time</v>
      </c>
      <c r="J2077" cm="1">
        <f t="array" ref="J2077">_xlfn.IFS(H2077&lt;30,0,H2077&lt;60,1,H2077&lt;90,2,H2077&lt;120,3)</f>
        <v>0</v>
      </c>
      <c r="M2077" t="str">
        <f t="shared" si="200"/>
        <v>Low</v>
      </c>
      <c r="N2077" t="str">
        <f t="shared" si="197"/>
        <v>Nov</v>
      </c>
      <c r="O2077">
        <f t="shared" si="198"/>
        <v>2025</v>
      </c>
    </row>
    <row r="2078" spans="1:15" x14ac:dyDescent="0.3">
      <c r="A2078">
        <v>202541</v>
      </c>
      <c r="B2078" t="s">
        <v>27</v>
      </c>
      <c r="C2078" s="2">
        <v>45964</v>
      </c>
      <c r="D2078" s="2">
        <f t="shared" si="196"/>
        <v>46024</v>
      </c>
      <c r="E2078" s="1">
        <f>D2078</f>
        <v>46024</v>
      </c>
      <c r="F2078">
        <v>2904</v>
      </c>
      <c r="G2078">
        <v>60</v>
      </c>
      <c r="H2078">
        <f t="shared" si="195"/>
        <v>0</v>
      </c>
      <c r="I2078" t="str">
        <f t="shared" si="199"/>
        <v>On Time</v>
      </c>
      <c r="J2078" cm="1">
        <f t="array" ref="J2078">_xlfn.IFS(H2078&lt;30,0,H2078&lt;60,1,H2078&lt;90,2,H2078&lt;120,3)</f>
        <v>0</v>
      </c>
      <c r="M2078" t="str">
        <f t="shared" si="200"/>
        <v>Low</v>
      </c>
      <c r="N2078" t="str">
        <f t="shared" si="197"/>
        <v>Nov</v>
      </c>
      <c r="O2078">
        <f t="shared" si="198"/>
        <v>2025</v>
      </c>
    </row>
    <row r="2079" spans="1:15" x14ac:dyDescent="0.3">
      <c r="A2079">
        <v>202542</v>
      </c>
      <c r="B2079" t="s">
        <v>28</v>
      </c>
      <c r="C2079" s="2">
        <v>45964</v>
      </c>
      <c r="D2079" s="2">
        <f t="shared" si="196"/>
        <v>45994</v>
      </c>
      <c r="F2079">
        <v>702</v>
      </c>
      <c r="G2079">
        <v>30</v>
      </c>
      <c r="H2079">
        <f t="shared" si="195"/>
        <v>0</v>
      </c>
      <c r="I2079" t="str">
        <f t="shared" si="199"/>
        <v>On Time</v>
      </c>
      <c r="J2079" cm="1">
        <f t="array" ref="J2079">_xlfn.IFS(H2079&lt;30,0,H2079&lt;60,1,H2079&lt;90,2,H2079&lt;120,3)</f>
        <v>0</v>
      </c>
      <c r="M2079" t="str">
        <f t="shared" si="200"/>
        <v>Low</v>
      </c>
      <c r="N2079" t="str">
        <f t="shared" si="197"/>
        <v>Nov</v>
      </c>
      <c r="O2079">
        <f t="shared" si="198"/>
        <v>2025</v>
      </c>
    </row>
    <row r="2080" spans="1:15" x14ac:dyDescent="0.3">
      <c r="A2080">
        <v>202543</v>
      </c>
      <c r="B2080" t="s">
        <v>29</v>
      </c>
      <c r="C2080" s="2">
        <v>45964</v>
      </c>
      <c r="D2080" s="2">
        <f t="shared" si="196"/>
        <v>45994</v>
      </c>
      <c r="E2080" s="1">
        <f>D2080+3</f>
        <v>45997</v>
      </c>
      <c r="F2080">
        <v>3762</v>
      </c>
      <c r="G2080">
        <v>30</v>
      </c>
      <c r="H2080">
        <f t="shared" si="195"/>
        <v>0</v>
      </c>
      <c r="I2080" t="str">
        <f t="shared" si="199"/>
        <v>On Time</v>
      </c>
      <c r="J2080" cm="1">
        <f t="array" ref="J2080">_xlfn.IFS(H2080&lt;30,0,H2080&lt;60,1,H2080&lt;90,2,H2080&lt;120,3)</f>
        <v>0</v>
      </c>
      <c r="M2080" t="str">
        <f t="shared" si="200"/>
        <v>Low</v>
      </c>
      <c r="N2080" t="str">
        <f t="shared" si="197"/>
        <v>Nov</v>
      </c>
      <c r="O2080">
        <f t="shared" si="198"/>
        <v>2025</v>
      </c>
    </row>
    <row r="2081" spans="1:15" x14ac:dyDescent="0.3">
      <c r="A2081">
        <v>202544</v>
      </c>
      <c r="B2081" t="s">
        <v>75</v>
      </c>
      <c r="C2081" s="2">
        <v>45964</v>
      </c>
      <c r="D2081" s="2">
        <f t="shared" si="196"/>
        <v>46024</v>
      </c>
      <c r="E2081" s="1">
        <f>D2081+1</f>
        <v>46025</v>
      </c>
      <c r="F2081">
        <v>408</v>
      </c>
      <c r="G2081">
        <v>60</v>
      </c>
      <c r="H2081">
        <f t="shared" si="195"/>
        <v>0</v>
      </c>
      <c r="I2081" t="str">
        <f t="shared" si="199"/>
        <v>On Time</v>
      </c>
      <c r="J2081" cm="1">
        <f t="array" ref="J2081">_xlfn.IFS(H2081&lt;30,0,H2081&lt;60,1,H2081&lt;90,2,H2081&lt;120,3)</f>
        <v>0</v>
      </c>
      <c r="M2081" t="str">
        <f t="shared" si="200"/>
        <v>Low</v>
      </c>
      <c r="N2081" t="str">
        <f t="shared" si="197"/>
        <v>Nov</v>
      </c>
      <c r="O2081">
        <f t="shared" si="198"/>
        <v>2025</v>
      </c>
    </row>
    <row r="2082" spans="1:15" x14ac:dyDescent="0.3">
      <c r="A2082">
        <v>202545</v>
      </c>
      <c r="B2082" t="s">
        <v>76</v>
      </c>
      <c r="C2082" s="2">
        <v>45964</v>
      </c>
      <c r="D2082" s="2">
        <f t="shared" si="196"/>
        <v>45994</v>
      </c>
      <c r="E2082" s="1">
        <f>D2082-1</f>
        <v>45993</v>
      </c>
      <c r="F2082">
        <v>3142</v>
      </c>
      <c r="G2082">
        <v>30</v>
      </c>
      <c r="H2082">
        <f t="shared" si="195"/>
        <v>0</v>
      </c>
      <c r="I2082" t="str">
        <f t="shared" si="199"/>
        <v>On Time</v>
      </c>
      <c r="J2082" cm="1">
        <f t="array" ref="J2082">_xlfn.IFS(H2082&lt;30,0,H2082&lt;60,1,H2082&lt;90,2,H2082&lt;120,3)</f>
        <v>0</v>
      </c>
      <c r="M2082" t="str">
        <f t="shared" si="200"/>
        <v>Low</v>
      </c>
      <c r="N2082" t="str">
        <f t="shared" si="197"/>
        <v>Nov</v>
      </c>
      <c r="O2082">
        <f t="shared" si="198"/>
        <v>2025</v>
      </c>
    </row>
    <row r="2083" spans="1:15" x14ac:dyDescent="0.3">
      <c r="A2083">
        <v>202546</v>
      </c>
      <c r="B2083" t="s">
        <v>77</v>
      </c>
      <c r="C2083" s="2">
        <v>45964</v>
      </c>
      <c r="D2083" s="2">
        <f t="shared" si="196"/>
        <v>45994</v>
      </c>
      <c r="E2083" s="1">
        <f>D2083</f>
        <v>45994</v>
      </c>
      <c r="F2083">
        <v>1780</v>
      </c>
      <c r="G2083">
        <v>30</v>
      </c>
      <c r="H2083">
        <f t="shared" si="195"/>
        <v>0</v>
      </c>
      <c r="I2083" t="str">
        <f t="shared" si="199"/>
        <v>On Time</v>
      </c>
      <c r="J2083" cm="1">
        <f t="array" ref="J2083">_xlfn.IFS(H2083&lt;30,0,H2083&lt;60,1,H2083&lt;90,2,H2083&lt;120,3)</f>
        <v>0</v>
      </c>
      <c r="M2083" t="str">
        <f t="shared" si="200"/>
        <v>Low</v>
      </c>
      <c r="N2083" t="str">
        <f t="shared" si="197"/>
        <v>Nov</v>
      </c>
      <c r="O2083">
        <f t="shared" si="198"/>
        <v>2025</v>
      </c>
    </row>
    <row r="2084" spans="1:15" x14ac:dyDescent="0.3">
      <c r="A2084">
        <v>202547</v>
      </c>
      <c r="B2084" t="s">
        <v>78</v>
      </c>
      <c r="C2084" s="2">
        <v>45964</v>
      </c>
      <c r="D2084" s="2">
        <f t="shared" si="196"/>
        <v>45994</v>
      </c>
      <c r="E2084" s="1">
        <f>D2084-5</f>
        <v>45989</v>
      </c>
      <c r="F2084">
        <v>10047</v>
      </c>
      <c r="G2084">
        <v>30</v>
      </c>
      <c r="H2084">
        <f t="shared" si="195"/>
        <v>0</v>
      </c>
      <c r="I2084" t="str">
        <f t="shared" si="199"/>
        <v>On Time</v>
      </c>
      <c r="J2084" cm="1">
        <f t="array" ref="J2084">_xlfn.IFS(H2084&lt;30,0,H2084&lt;60,1,H2084&lt;90,2,H2084&lt;120,3)</f>
        <v>0</v>
      </c>
      <c r="M2084" t="str">
        <f t="shared" si="200"/>
        <v>Low</v>
      </c>
      <c r="N2084" t="str">
        <f t="shared" si="197"/>
        <v>Nov</v>
      </c>
      <c r="O2084">
        <f t="shared" si="198"/>
        <v>2025</v>
      </c>
    </row>
    <row r="2085" spans="1:15" x14ac:dyDescent="0.3">
      <c r="A2085">
        <v>202548</v>
      </c>
      <c r="B2085" t="s">
        <v>79</v>
      </c>
      <c r="C2085" s="2">
        <v>45964</v>
      </c>
      <c r="D2085" s="2">
        <f t="shared" si="196"/>
        <v>45994</v>
      </c>
      <c r="E2085" s="1">
        <f>D2085+35</f>
        <v>46029</v>
      </c>
      <c r="F2085">
        <v>1530</v>
      </c>
      <c r="G2085">
        <v>30</v>
      </c>
      <c r="H2085">
        <f t="shared" si="195"/>
        <v>0</v>
      </c>
      <c r="I2085" t="str">
        <f t="shared" si="199"/>
        <v>On Time</v>
      </c>
      <c r="J2085" cm="1">
        <f t="array" ref="J2085">_xlfn.IFS(H2085&lt;30,0,H2085&lt;60,1,H2085&lt;90,2,H2085&lt;120,3)</f>
        <v>0</v>
      </c>
      <c r="M2085" t="str">
        <f t="shared" si="200"/>
        <v>Low</v>
      </c>
      <c r="N2085" t="str">
        <f t="shared" si="197"/>
        <v>Nov</v>
      </c>
      <c r="O2085">
        <f t="shared" si="198"/>
        <v>2025</v>
      </c>
    </row>
    <row r="2086" spans="1:15" x14ac:dyDescent="0.3">
      <c r="A2086">
        <v>202549</v>
      </c>
      <c r="B2086" t="s">
        <v>80</v>
      </c>
      <c r="C2086" s="2">
        <v>45964</v>
      </c>
      <c r="D2086" s="2">
        <f t="shared" si="196"/>
        <v>45994</v>
      </c>
      <c r="E2086" s="1">
        <f>D2086+75</f>
        <v>46069</v>
      </c>
      <c r="F2086">
        <v>2488</v>
      </c>
      <c r="G2086">
        <v>30</v>
      </c>
      <c r="H2086">
        <f t="shared" ref="H2086:H2149" si="201">MAX(0,P2051-D2086)</f>
        <v>0</v>
      </c>
      <c r="I2086" t="str">
        <f t="shared" si="199"/>
        <v>On Time</v>
      </c>
      <c r="J2086" cm="1">
        <f t="array" ref="J2086">_xlfn.IFS(H2086&lt;30,0,H2086&lt;60,1,H2086&lt;90,2,H2086&lt;120,3)</f>
        <v>0</v>
      </c>
      <c r="M2086" t="str">
        <f t="shared" si="200"/>
        <v>Low</v>
      </c>
      <c r="N2086" t="str">
        <f t="shared" si="197"/>
        <v>Nov</v>
      </c>
      <c r="O2086">
        <f t="shared" si="198"/>
        <v>2025</v>
      </c>
    </row>
    <row r="2087" spans="1:15" x14ac:dyDescent="0.3">
      <c r="A2087">
        <v>202550</v>
      </c>
      <c r="B2087" t="s">
        <v>81</v>
      </c>
      <c r="C2087" s="2">
        <v>45964</v>
      </c>
      <c r="D2087" s="2">
        <f t="shared" si="196"/>
        <v>45994</v>
      </c>
      <c r="E2087" s="1">
        <f>D2087+5</f>
        <v>45999</v>
      </c>
      <c r="F2087">
        <v>2774</v>
      </c>
      <c r="G2087">
        <v>30</v>
      </c>
      <c r="H2087">
        <f t="shared" si="201"/>
        <v>0</v>
      </c>
      <c r="I2087" t="str">
        <f t="shared" si="199"/>
        <v>On Time</v>
      </c>
      <c r="J2087" cm="1">
        <f t="array" ref="J2087">_xlfn.IFS(H2087&lt;30,0,H2087&lt;60,1,H2087&lt;90,2,H2087&lt;120,3)</f>
        <v>0</v>
      </c>
      <c r="M2087" t="str">
        <f t="shared" si="200"/>
        <v>Low</v>
      </c>
      <c r="N2087" t="str">
        <f t="shared" si="197"/>
        <v>Nov</v>
      </c>
      <c r="O2087">
        <f t="shared" si="198"/>
        <v>2025</v>
      </c>
    </row>
    <row r="2088" spans="1:15" x14ac:dyDescent="0.3">
      <c r="A2088">
        <v>202551</v>
      </c>
      <c r="B2088" t="s">
        <v>82</v>
      </c>
      <c r="C2088" s="2">
        <v>45964</v>
      </c>
      <c r="D2088" s="2">
        <f t="shared" si="196"/>
        <v>46009</v>
      </c>
      <c r="E2088" s="1">
        <f>D2088</f>
        <v>46009</v>
      </c>
      <c r="F2088">
        <v>1747</v>
      </c>
      <c r="G2088">
        <v>45</v>
      </c>
      <c r="H2088">
        <f t="shared" si="201"/>
        <v>0</v>
      </c>
      <c r="I2088" t="str">
        <f t="shared" si="199"/>
        <v>On Time</v>
      </c>
      <c r="J2088" cm="1">
        <f t="array" ref="J2088">_xlfn.IFS(H2088&lt;30,0,H2088&lt;60,1,H2088&lt;90,2,H2088&lt;120,3)</f>
        <v>0</v>
      </c>
      <c r="M2088" t="str">
        <f t="shared" si="200"/>
        <v>Low</v>
      </c>
      <c r="N2088" t="str">
        <f t="shared" si="197"/>
        <v>Nov</v>
      </c>
      <c r="O2088">
        <f t="shared" si="198"/>
        <v>2025</v>
      </c>
    </row>
    <row r="2089" spans="1:15" x14ac:dyDescent="0.3">
      <c r="A2089">
        <v>202552</v>
      </c>
      <c r="B2089" t="s">
        <v>83</v>
      </c>
      <c r="C2089" s="2">
        <v>45964</v>
      </c>
      <c r="D2089" s="2">
        <f t="shared" si="196"/>
        <v>46009</v>
      </c>
      <c r="E2089" s="1">
        <f>D2089-1</f>
        <v>46008</v>
      </c>
      <c r="F2089">
        <v>4337</v>
      </c>
      <c r="G2089">
        <v>45</v>
      </c>
      <c r="H2089">
        <f t="shared" si="201"/>
        <v>0</v>
      </c>
      <c r="I2089" t="str">
        <f t="shared" si="199"/>
        <v>On Time</v>
      </c>
      <c r="J2089" cm="1">
        <f t="array" ref="J2089">_xlfn.IFS(H2089&lt;30,0,H2089&lt;60,1,H2089&lt;90,2,H2089&lt;120,3)</f>
        <v>0</v>
      </c>
      <c r="M2089" t="str">
        <f t="shared" si="200"/>
        <v>Low</v>
      </c>
      <c r="N2089" t="str">
        <f t="shared" si="197"/>
        <v>Nov</v>
      </c>
      <c r="O2089">
        <f t="shared" si="198"/>
        <v>2025</v>
      </c>
    </row>
    <row r="2090" spans="1:15" x14ac:dyDescent="0.3">
      <c r="A2090">
        <v>202553</v>
      </c>
      <c r="B2090" t="s">
        <v>84</v>
      </c>
      <c r="C2090" s="2">
        <v>45964</v>
      </c>
      <c r="D2090" s="2">
        <f t="shared" si="196"/>
        <v>46024</v>
      </c>
      <c r="E2090" s="1">
        <f>D2090</f>
        <v>46024</v>
      </c>
      <c r="F2090">
        <v>2307</v>
      </c>
      <c r="G2090">
        <v>60</v>
      </c>
      <c r="H2090">
        <f t="shared" si="201"/>
        <v>0</v>
      </c>
      <c r="I2090" t="str">
        <f t="shared" si="199"/>
        <v>On Time</v>
      </c>
      <c r="J2090" cm="1">
        <f t="array" ref="J2090">_xlfn.IFS(H2090&lt;30,0,H2090&lt;60,1,H2090&lt;90,2,H2090&lt;120,3)</f>
        <v>0</v>
      </c>
      <c r="M2090" t="str">
        <f t="shared" si="200"/>
        <v>Low</v>
      </c>
      <c r="N2090" t="str">
        <f t="shared" si="197"/>
        <v>Nov</v>
      </c>
      <c r="O2090">
        <f t="shared" si="198"/>
        <v>2025</v>
      </c>
    </row>
    <row r="2091" spans="1:15" x14ac:dyDescent="0.3">
      <c r="A2091">
        <v>202521</v>
      </c>
      <c r="B2091" t="s">
        <v>51</v>
      </c>
      <c r="C2091" s="2">
        <v>45963</v>
      </c>
      <c r="D2091" s="2">
        <f t="shared" si="196"/>
        <v>45993</v>
      </c>
      <c r="E2091" s="1">
        <f>D2091+32</f>
        <v>46025</v>
      </c>
      <c r="F2091">
        <v>1664</v>
      </c>
      <c r="G2091">
        <v>30</v>
      </c>
      <c r="H2091">
        <f t="shared" si="201"/>
        <v>0</v>
      </c>
      <c r="I2091" t="str">
        <f t="shared" si="199"/>
        <v>On Time</v>
      </c>
      <c r="J2091" cm="1">
        <f t="array" ref="J2091">_xlfn.IFS(H2091&lt;30,0,H2091&lt;60,1,H2091&lt;90,2,H2091&lt;120,3)</f>
        <v>0</v>
      </c>
      <c r="M2091" t="str">
        <f t="shared" si="200"/>
        <v>Low</v>
      </c>
      <c r="N2091" t="str">
        <f t="shared" si="197"/>
        <v>Nov</v>
      </c>
      <c r="O2091">
        <f t="shared" si="198"/>
        <v>2025</v>
      </c>
    </row>
    <row r="2092" spans="1:15" x14ac:dyDescent="0.3">
      <c r="A2092">
        <v>202522</v>
      </c>
      <c r="B2092" t="s">
        <v>52</v>
      </c>
      <c r="C2092" s="2">
        <v>45963</v>
      </c>
      <c r="D2092" s="2">
        <f t="shared" si="196"/>
        <v>45993</v>
      </c>
      <c r="E2092" s="1">
        <f>D2092+15</f>
        <v>46008</v>
      </c>
      <c r="F2092">
        <v>420</v>
      </c>
      <c r="G2092">
        <v>30</v>
      </c>
      <c r="H2092">
        <f t="shared" si="201"/>
        <v>0</v>
      </c>
      <c r="I2092" t="str">
        <f t="shared" si="199"/>
        <v>On Time</v>
      </c>
      <c r="J2092" cm="1">
        <f t="array" ref="J2092">_xlfn.IFS(H2092&lt;30,0,H2092&lt;60,1,H2092&lt;90,2,H2092&lt;120,3)</f>
        <v>0</v>
      </c>
      <c r="M2092" t="str">
        <f t="shared" si="200"/>
        <v>Low</v>
      </c>
      <c r="N2092" t="str">
        <f t="shared" si="197"/>
        <v>Nov</v>
      </c>
      <c r="O2092">
        <f t="shared" si="198"/>
        <v>2025</v>
      </c>
    </row>
    <row r="2093" spans="1:15" x14ac:dyDescent="0.3">
      <c r="A2093">
        <v>202523</v>
      </c>
      <c r="B2093" t="s">
        <v>53</v>
      </c>
      <c r="C2093" s="2">
        <v>45963</v>
      </c>
      <c r="D2093" s="2">
        <f t="shared" si="196"/>
        <v>45993</v>
      </c>
      <c r="E2093" s="1">
        <f>D2093-2</f>
        <v>45991</v>
      </c>
      <c r="F2093">
        <v>2500</v>
      </c>
      <c r="G2093">
        <v>30</v>
      </c>
      <c r="H2093">
        <f t="shared" si="201"/>
        <v>0</v>
      </c>
      <c r="I2093" t="str">
        <f t="shared" si="199"/>
        <v>On Time</v>
      </c>
      <c r="J2093" cm="1">
        <f t="array" ref="J2093">_xlfn.IFS(H2093&lt;30,0,H2093&lt;60,1,H2093&lt;90,2,H2093&lt;120,3)</f>
        <v>0</v>
      </c>
      <c r="M2093" t="str">
        <f t="shared" si="200"/>
        <v>Low</v>
      </c>
      <c r="N2093" t="str">
        <f t="shared" si="197"/>
        <v>Nov</v>
      </c>
      <c r="O2093">
        <f t="shared" si="198"/>
        <v>2025</v>
      </c>
    </row>
    <row r="2094" spans="1:15" x14ac:dyDescent="0.3">
      <c r="A2094">
        <v>202524</v>
      </c>
      <c r="B2094" t="s">
        <v>54</v>
      </c>
      <c r="C2094" s="2">
        <v>45963</v>
      </c>
      <c r="D2094" s="2">
        <f t="shared" si="196"/>
        <v>45993</v>
      </c>
      <c r="E2094" s="1">
        <f>D2094-2</f>
        <v>45991</v>
      </c>
      <c r="F2094">
        <v>810</v>
      </c>
      <c r="G2094">
        <v>30</v>
      </c>
      <c r="H2094">
        <f t="shared" si="201"/>
        <v>0</v>
      </c>
      <c r="I2094" t="str">
        <f t="shared" si="199"/>
        <v>On Time</v>
      </c>
      <c r="J2094" cm="1">
        <f t="array" ref="J2094">_xlfn.IFS(H2094&lt;30,0,H2094&lt;60,1,H2094&lt;90,2,H2094&lt;120,3)</f>
        <v>0</v>
      </c>
      <c r="M2094" t="str">
        <f t="shared" si="200"/>
        <v>Low</v>
      </c>
      <c r="N2094" t="str">
        <f t="shared" si="197"/>
        <v>Nov</v>
      </c>
      <c r="O2094">
        <f t="shared" si="198"/>
        <v>2025</v>
      </c>
    </row>
    <row r="2095" spans="1:15" x14ac:dyDescent="0.3">
      <c r="A2095">
        <v>202525</v>
      </c>
      <c r="B2095" t="s">
        <v>36</v>
      </c>
      <c r="C2095" s="2">
        <v>45963</v>
      </c>
      <c r="D2095" s="2">
        <f t="shared" si="196"/>
        <v>45993</v>
      </c>
      <c r="E2095" s="1">
        <f>D2095</f>
        <v>45993</v>
      </c>
      <c r="F2095">
        <v>3532</v>
      </c>
      <c r="G2095">
        <v>30</v>
      </c>
      <c r="H2095">
        <f t="shared" si="201"/>
        <v>0</v>
      </c>
      <c r="I2095" t="str">
        <f t="shared" si="199"/>
        <v>On Time</v>
      </c>
      <c r="J2095" cm="1">
        <f t="array" ref="J2095">_xlfn.IFS(H2095&lt;30,0,H2095&lt;60,1,H2095&lt;90,2,H2095&lt;120,3)</f>
        <v>0</v>
      </c>
      <c r="M2095" t="str">
        <f t="shared" si="200"/>
        <v>Low</v>
      </c>
      <c r="N2095" t="str">
        <f t="shared" si="197"/>
        <v>Nov</v>
      </c>
      <c r="O2095">
        <f t="shared" si="198"/>
        <v>2025</v>
      </c>
    </row>
    <row r="2096" spans="1:15" x14ac:dyDescent="0.3">
      <c r="A2096">
        <v>202526</v>
      </c>
      <c r="B2096" t="s">
        <v>37</v>
      </c>
      <c r="C2096" s="2">
        <v>45963</v>
      </c>
      <c r="D2096" s="2">
        <f t="shared" si="196"/>
        <v>45993</v>
      </c>
      <c r="E2096" s="1">
        <f>D2096+2</f>
        <v>45995</v>
      </c>
      <c r="F2096">
        <v>1873</v>
      </c>
      <c r="G2096">
        <v>30</v>
      </c>
      <c r="H2096">
        <f t="shared" si="201"/>
        <v>0</v>
      </c>
      <c r="I2096" t="str">
        <f t="shared" si="199"/>
        <v>On Time</v>
      </c>
      <c r="J2096" cm="1">
        <f t="array" ref="J2096">_xlfn.IFS(H2096&lt;30,0,H2096&lt;60,1,H2096&lt;90,2,H2096&lt;120,3)</f>
        <v>0</v>
      </c>
      <c r="M2096" t="str">
        <f t="shared" si="200"/>
        <v>Low</v>
      </c>
      <c r="N2096" t="str">
        <f t="shared" si="197"/>
        <v>Nov</v>
      </c>
      <c r="O2096">
        <f t="shared" si="198"/>
        <v>2025</v>
      </c>
    </row>
    <row r="2097" spans="1:15" x14ac:dyDescent="0.3">
      <c r="A2097">
        <v>202527</v>
      </c>
      <c r="B2097" t="s">
        <v>38</v>
      </c>
      <c r="C2097" s="2">
        <v>45963</v>
      </c>
      <c r="D2097" s="2">
        <f t="shared" si="196"/>
        <v>45993</v>
      </c>
      <c r="E2097" s="1">
        <f>D2097+2</f>
        <v>45995</v>
      </c>
      <c r="F2097">
        <v>4363</v>
      </c>
      <c r="G2097">
        <v>30</v>
      </c>
      <c r="H2097">
        <f t="shared" si="201"/>
        <v>0</v>
      </c>
      <c r="I2097" t="str">
        <f t="shared" si="199"/>
        <v>On Time</v>
      </c>
      <c r="J2097" cm="1">
        <f t="array" ref="J2097">_xlfn.IFS(H2097&lt;30,0,H2097&lt;60,1,H2097&lt;90,2,H2097&lt;120,3)</f>
        <v>0</v>
      </c>
      <c r="M2097" t="str">
        <f t="shared" si="200"/>
        <v>Low</v>
      </c>
      <c r="N2097" t="str">
        <f t="shared" si="197"/>
        <v>Nov</v>
      </c>
      <c r="O2097">
        <f t="shared" si="198"/>
        <v>2025</v>
      </c>
    </row>
    <row r="2098" spans="1:15" x14ac:dyDescent="0.3">
      <c r="A2098">
        <v>202528</v>
      </c>
      <c r="B2098" t="s">
        <v>39</v>
      </c>
      <c r="C2098" s="2">
        <v>45963</v>
      </c>
      <c r="D2098" s="2">
        <f t="shared" si="196"/>
        <v>45993</v>
      </c>
      <c r="E2098" s="1">
        <f>D2098+2</f>
        <v>45995</v>
      </c>
      <c r="F2098">
        <v>4751</v>
      </c>
      <c r="G2098">
        <v>30</v>
      </c>
      <c r="H2098">
        <f t="shared" si="201"/>
        <v>0</v>
      </c>
      <c r="I2098" t="str">
        <f t="shared" si="199"/>
        <v>On Time</v>
      </c>
      <c r="J2098" cm="1">
        <f t="array" ref="J2098">_xlfn.IFS(H2098&lt;30,0,H2098&lt;60,1,H2098&lt;90,2,H2098&lt;120,3)</f>
        <v>0</v>
      </c>
      <c r="M2098" t="str">
        <f t="shared" si="200"/>
        <v>Low</v>
      </c>
      <c r="N2098" t="str">
        <f t="shared" si="197"/>
        <v>Nov</v>
      </c>
      <c r="O2098">
        <f t="shared" si="198"/>
        <v>2025</v>
      </c>
    </row>
    <row r="2099" spans="1:15" x14ac:dyDescent="0.3">
      <c r="A2099">
        <v>202529</v>
      </c>
      <c r="B2099" t="s">
        <v>40</v>
      </c>
      <c r="C2099" s="2">
        <v>45963</v>
      </c>
      <c r="D2099" s="2">
        <f t="shared" si="196"/>
        <v>45993</v>
      </c>
      <c r="E2099" s="1">
        <f>D2099</f>
        <v>45993</v>
      </c>
      <c r="F2099">
        <v>1094</v>
      </c>
      <c r="G2099">
        <v>30</v>
      </c>
      <c r="H2099">
        <f t="shared" si="201"/>
        <v>0</v>
      </c>
      <c r="I2099" t="str">
        <f t="shared" si="199"/>
        <v>On Time</v>
      </c>
      <c r="J2099" cm="1">
        <f t="array" ref="J2099">_xlfn.IFS(H2099&lt;30,0,H2099&lt;60,1,H2099&lt;90,2,H2099&lt;120,3)</f>
        <v>0</v>
      </c>
      <c r="M2099" t="str">
        <f t="shared" si="200"/>
        <v>Low</v>
      </c>
      <c r="N2099" t="str">
        <f t="shared" si="197"/>
        <v>Nov</v>
      </c>
      <c r="O2099">
        <f t="shared" si="198"/>
        <v>2025</v>
      </c>
    </row>
    <row r="2100" spans="1:15" x14ac:dyDescent="0.3">
      <c r="A2100">
        <v>202530</v>
      </c>
      <c r="B2100" t="s">
        <v>41</v>
      </c>
      <c r="C2100" s="2">
        <v>45963</v>
      </c>
      <c r="D2100" s="2">
        <f t="shared" si="196"/>
        <v>45993</v>
      </c>
      <c r="E2100" s="1">
        <f>D2100+20</f>
        <v>46013</v>
      </c>
      <c r="F2100">
        <v>4975</v>
      </c>
      <c r="G2100">
        <v>30</v>
      </c>
      <c r="H2100">
        <f t="shared" si="201"/>
        <v>0</v>
      </c>
      <c r="I2100" t="str">
        <f t="shared" si="199"/>
        <v>On Time</v>
      </c>
      <c r="J2100" cm="1">
        <f t="array" ref="J2100">_xlfn.IFS(H2100&lt;30,0,H2100&lt;60,1,H2100&lt;90,2,H2100&lt;120,3)</f>
        <v>0</v>
      </c>
      <c r="M2100" t="str">
        <f t="shared" si="200"/>
        <v>Low</v>
      </c>
      <c r="N2100" t="str">
        <f t="shared" si="197"/>
        <v>Nov</v>
      </c>
      <c r="O2100">
        <f t="shared" si="198"/>
        <v>2025</v>
      </c>
    </row>
    <row r="2101" spans="1:15" x14ac:dyDescent="0.3">
      <c r="A2101">
        <v>202531</v>
      </c>
      <c r="B2101" t="s">
        <v>42</v>
      </c>
      <c r="C2101" s="2">
        <v>45963</v>
      </c>
      <c r="D2101" s="2">
        <f t="shared" si="196"/>
        <v>45993</v>
      </c>
      <c r="E2101" s="1">
        <f>D2101</f>
        <v>45993</v>
      </c>
      <c r="F2101">
        <v>2484</v>
      </c>
      <c r="G2101">
        <v>30</v>
      </c>
      <c r="H2101">
        <f t="shared" si="201"/>
        <v>0</v>
      </c>
      <c r="I2101" t="str">
        <f t="shared" si="199"/>
        <v>On Time</v>
      </c>
      <c r="J2101" cm="1">
        <f t="array" ref="J2101">_xlfn.IFS(H2101&lt;30,0,H2101&lt;60,1,H2101&lt;90,2,H2101&lt;120,3)</f>
        <v>0</v>
      </c>
      <c r="M2101" t="str">
        <f t="shared" si="200"/>
        <v>Low</v>
      </c>
      <c r="N2101" t="str">
        <f t="shared" si="197"/>
        <v>Nov</v>
      </c>
      <c r="O2101">
        <f t="shared" si="198"/>
        <v>2025</v>
      </c>
    </row>
    <row r="2102" spans="1:15" x14ac:dyDescent="0.3">
      <c r="A2102">
        <v>202532</v>
      </c>
      <c r="B2102" t="s">
        <v>43</v>
      </c>
      <c r="C2102" s="2">
        <v>45963</v>
      </c>
      <c r="D2102" s="2">
        <f t="shared" si="196"/>
        <v>45993</v>
      </c>
      <c r="E2102" s="1">
        <f>D2102+1</f>
        <v>45994</v>
      </c>
      <c r="F2102">
        <v>4409</v>
      </c>
      <c r="G2102">
        <v>30</v>
      </c>
      <c r="H2102">
        <f t="shared" si="201"/>
        <v>0</v>
      </c>
      <c r="I2102" t="str">
        <f t="shared" si="199"/>
        <v>On Time</v>
      </c>
      <c r="J2102" cm="1">
        <f t="array" ref="J2102">_xlfn.IFS(H2102&lt;30,0,H2102&lt;60,1,H2102&lt;90,2,H2102&lt;120,3)</f>
        <v>0</v>
      </c>
      <c r="M2102" t="str">
        <f t="shared" si="200"/>
        <v>Low</v>
      </c>
      <c r="N2102" t="str">
        <f t="shared" si="197"/>
        <v>Nov</v>
      </c>
      <c r="O2102">
        <f t="shared" si="198"/>
        <v>2025</v>
      </c>
    </row>
    <row r="2103" spans="1:15" x14ac:dyDescent="0.3">
      <c r="A2103">
        <v>202533</v>
      </c>
      <c r="B2103" t="s">
        <v>44</v>
      </c>
      <c r="C2103" s="2">
        <v>45963</v>
      </c>
      <c r="D2103" s="2">
        <f t="shared" si="196"/>
        <v>46008</v>
      </c>
      <c r="E2103" s="1">
        <f>D2103</f>
        <v>46008</v>
      </c>
      <c r="F2103">
        <v>4142</v>
      </c>
      <c r="G2103">
        <v>45</v>
      </c>
      <c r="H2103">
        <f t="shared" si="201"/>
        <v>0</v>
      </c>
      <c r="I2103" t="str">
        <f t="shared" si="199"/>
        <v>On Time</v>
      </c>
      <c r="J2103" cm="1">
        <f t="array" ref="J2103">_xlfn.IFS(H2103&lt;30,0,H2103&lt;60,1,H2103&lt;90,2,H2103&lt;120,3)</f>
        <v>0</v>
      </c>
      <c r="M2103" t="str">
        <f t="shared" si="200"/>
        <v>Low</v>
      </c>
      <c r="N2103" t="str">
        <f t="shared" si="197"/>
        <v>Nov</v>
      </c>
      <c r="O2103">
        <f t="shared" si="198"/>
        <v>2025</v>
      </c>
    </row>
    <row r="2104" spans="1:15" x14ac:dyDescent="0.3">
      <c r="A2104">
        <v>202534</v>
      </c>
      <c r="B2104" t="s">
        <v>20</v>
      </c>
      <c r="C2104" s="2">
        <v>45963</v>
      </c>
      <c r="D2104" s="2">
        <f t="shared" si="196"/>
        <v>45993</v>
      </c>
      <c r="E2104" s="1">
        <f>D2104</f>
        <v>45993</v>
      </c>
      <c r="F2104">
        <v>2334</v>
      </c>
      <c r="G2104">
        <v>30</v>
      </c>
      <c r="H2104">
        <f t="shared" si="201"/>
        <v>0</v>
      </c>
      <c r="I2104" t="str">
        <f t="shared" si="199"/>
        <v>On Time</v>
      </c>
      <c r="J2104" cm="1">
        <f t="array" ref="J2104">_xlfn.IFS(H2104&lt;30,0,H2104&lt;60,1,H2104&lt;90,2,H2104&lt;120,3)</f>
        <v>0</v>
      </c>
      <c r="M2104" t="str">
        <f t="shared" si="200"/>
        <v>Low</v>
      </c>
      <c r="N2104" t="str">
        <f t="shared" si="197"/>
        <v>Nov</v>
      </c>
      <c r="O2104">
        <f t="shared" si="198"/>
        <v>2025</v>
      </c>
    </row>
    <row r="2105" spans="1:15" x14ac:dyDescent="0.3">
      <c r="A2105">
        <v>202535</v>
      </c>
      <c r="B2105" t="s">
        <v>21</v>
      </c>
      <c r="C2105" s="2">
        <v>45963</v>
      </c>
      <c r="D2105" s="2">
        <f t="shared" si="196"/>
        <v>45993</v>
      </c>
      <c r="E2105" s="1">
        <f>D2105+5</f>
        <v>45998</v>
      </c>
      <c r="F2105">
        <v>2897</v>
      </c>
      <c r="G2105">
        <v>30</v>
      </c>
      <c r="H2105">
        <f t="shared" si="201"/>
        <v>0</v>
      </c>
      <c r="I2105" t="str">
        <f t="shared" si="199"/>
        <v>On Time</v>
      </c>
      <c r="J2105" cm="1">
        <f t="array" ref="J2105">_xlfn.IFS(H2105&lt;30,0,H2105&lt;60,1,H2105&lt;90,2,H2105&lt;120,3)</f>
        <v>0</v>
      </c>
      <c r="M2105" t="str">
        <f t="shared" si="200"/>
        <v>Low</v>
      </c>
      <c r="N2105" t="str">
        <f t="shared" si="197"/>
        <v>Nov</v>
      </c>
      <c r="O2105">
        <f t="shared" si="198"/>
        <v>2025</v>
      </c>
    </row>
    <row r="2106" spans="1:15" x14ac:dyDescent="0.3">
      <c r="A2106">
        <v>202536</v>
      </c>
      <c r="B2106" t="s">
        <v>22</v>
      </c>
      <c r="C2106" s="2">
        <v>45963</v>
      </c>
      <c r="D2106" s="2">
        <f t="shared" si="196"/>
        <v>45993</v>
      </c>
      <c r="E2106" s="1">
        <f>D2106+2</f>
        <v>45995</v>
      </c>
      <c r="F2106">
        <v>4050</v>
      </c>
      <c r="G2106">
        <v>30</v>
      </c>
      <c r="H2106">
        <f t="shared" si="201"/>
        <v>0</v>
      </c>
      <c r="I2106" t="str">
        <f t="shared" si="199"/>
        <v>On Time</v>
      </c>
      <c r="J2106" cm="1">
        <f t="array" ref="J2106">_xlfn.IFS(H2106&lt;30,0,H2106&lt;60,1,H2106&lt;90,2,H2106&lt;120,3)</f>
        <v>0</v>
      </c>
      <c r="M2106" t="str">
        <f t="shared" si="200"/>
        <v>Low</v>
      </c>
      <c r="N2106" t="str">
        <f t="shared" si="197"/>
        <v>Nov</v>
      </c>
      <c r="O2106">
        <f t="shared" si="198"/>
        <v>2025</v>
      </c>
    </row>
    <row r="2107" spans="1:15" x14ac:dyDescent="0.3">
      <c r="A2107">
        <v>202537</v>
      </c>
      <c r="B2107" t="s">
        <v>23</v>
      </c>
      <c r="C2107" s="2">
        <v>45963</v>
      </c>
      <c r="D2107" s="2">
        <f t="shared" si="196"/>
        <v>46008</v>
      </c>
      <c r="E2107" s="1">
        <f>D2107+5</f>
        <v>46013</v>
      </c>
      <c r="F2107">
        <v>4455</v>
      </c>
      <c r="G2107">
        <v>45</v>
      </c>
      <c r="H2107">
        <f t="shared" si="201"/>
        <v>0</v>
      </c>
      <c r="I2107" t="str">
        <f t="shared" si="199"/>
        <v>On Time</v>
      </c>
      <c r="J2107" cm="1">
        <f t="array" ref="J2107">_xlfn.IFS(H2107&lt;30,0,H2107&lt;60,1,H2107&lt;90,2,H2107&lt;120,3)</f>
        <v>0</v>
      </c>
      <c r="M2107" t="str">
        <f t="shared" si="200"/>
        <v>Low</v>
      </c>
      <c r="N2107" t="str">
        <f t="shared" si="197"/>
        <v>Nov</v>
      </c>
      <c r="O2107">
        <f t="shared" si="198"/>
        <v>2025</v>
      </c>
    </row>
    <row r="2108" spans="1:15" x14ac:dyDescent="0.3">
      <c r="A2108">
        <v>202504</v>
      </c>
      <c r="B2108" t="s">
        <v>95</v>
      </c>
      <c r="C2108" s="2">
        <v>45962</v>
      </c>
      <c r="D2108" s="2">
        <f t="shared" si="196"/>
        <v>46007</v>
      </c>
      <c r="E2108" s="1">
        <f>D2108</f>
        <v>46007</v>
      </c>
      <c r="F2108">
        <v>1897</v>
      </c>
      <c r="G2108">
        <v>45</v>
      </c>
      <c r="H2108">
        <f t="shared" si="201"/>
        <v>0</v>
      </c>
      <c r="I2108" t="str">
        <f t="shared" si="199"/>
        <v>On Time</v>
      </c>
      <c r="J2108" cm="1">
        <f t="array" ref="J2108">_xlfn.IFS(H2108&lt;30,0,H2108&lt;60,1,H2108&lt;90,2,H2108&lt;120,3)</f>
        <v>0</v>
      </c>
      <c r="M2108" t="str">
        <f t="shared" si="200"/>
        <v>Low</v>
      </c>
      <c r="N2108" t="str">
        <f t="shared" si="197"/>
        <v>Nov</v>
      </c>
      <c r="O2108">
        <f t="shared" si="198"/>
        <v>2025</v>
      </c>
    </row>
    <row r="2109" spans="1:15" x14ac:dyDescent="0.3">
      <c r="A2109">
        <v>202505</v>
      </c>
      <c r="B2109" t="s">
        <v>68</v>
      </c>
      <c r="C2109" s="2">
        <v>45962</v>
      </c>
      <c r="D2109" s="2">
        <f t="shared" si="196"/>
        <v>45992</v>
      </c>
      <c r="E2109" s="1">
        <f>D2109</f>
        <v>45992</v>
      </c>
      <c r="F2109">
        <v>447</v>
      </c>
      <c r="G2109">
        <v>30</v>
      </c>
      <c r="H2109">
        <f t="shared" si="201"/>
        <v>0</v>
      </c>
      <c r="I2109" t="str">
        <f t="shared" si="199"/>
        <v>On Time</v>
      </c>
      <c r="J2109" cm="1">
        <f t="array" ref="J2109">_xlfn.IFS(H2109&lt;30,0,H2109&lt;60,1,H2109&lt;90,2,H2109&lt;120,3)</f>
        <v>0</v>
      </c>
      <c r="M2109" t="str">
        <f t="shared" si="200"/>
        <v>Low</v>
      </c>
      <c r="N2109" t="str">
        <f t="shared" si="197"/>
        <v>Nov</v>
      </c>
      <c r="O2109">
        <f t="shared" si="198"/>
        <v>2025</v>
      </c>
    </row>
    <row r="2110" spans="1:15" x14ac:dyDescent="0.3">
      <c r="A2110">
        <v>202506</v>
      </c>
      <c r="B2110" t="s">
        <v>69</v>
      </c>
      <c r="C2110" s="2">
        <v>45962</v>
      </c>
      <c r="D2110" s="2">
        <f t="shared" si="196"/>
        <v>45992</v>
      </c>
      <c r="E2110" s="1">
        <f>D2110</f>
        <v>45992</v>
      </c>
      <c r="F2110">
        <v>2891</v>
      </c>
      <c r="G2110">
        <v>30</v>
      </c>
      <c r="H2110">
        <f t="shared" si="201"/>
        <v>0</v>
      </c>
      <c r="I2110" t="str">
        <f t="shared" si="199"/>
        <v>On Time</v>
      </c>
      <c r="J2110" cm="1">
        <f t="array" ref="J2110">_xlfn.IFS(H2110&lt;30,0,H2110&lt;60,1,H2110&lt;90,2,H2110&lt;120,3)</f>
        <v>0</v>
      </c>
      <c r="M2110" t="str">
        <f t="shared" si="200"/>
        <v>Low</v>
      </c>
      <c r="N2110" t="str">
        <f t="shared" si="197"/>
        <v>Nov</v>
      </c>
      <c r="O2110">
        <f t="shared" si="198"/>
        <v>2025</v>
      </c>
    </row>
    <row r="2111" spans="1:15" x14ac:dyDescent="0.3">
      <c r="A2111">
        <v>202507</v>
      </c>
      <c r="B2111" t="s">
        <v>70</v>
      </c>
      <c r="C2111" s="2">
        <v>45962</v>
      </c>
      <c r="D2111" s="2">
        <f t="shared" si="196"/>
        <v>45992</v>
      </c>
      <c r="E2111" s="1">
        <f>D2111+60</f>
        <v>46052</v>
      </c>
      <c r="F2111">
        <v>956</v>
      </c>
      <c r="G2111">
        <v>30</v>
      </c>
      <c r="H2111">
        <f t="shared" si="201"/>
        <v>0</v>
      </c>
      <c r="I2111" t="str">
        <f t="shared" si="199"/>
        <v>On Time</v>
      </c>
      <c r="J2111" cm="1">
        <f t="array" ref="J2111">_xlfn.IFS(H2111&lt;30,0,H2111&lt;60,1,H2111&lt;90,2,H2111&lt;120,3)</f>
        <v>0</v>
      </c>
      <c r="M2111" t="str">
        <f t="shared" si="200"/>
        <v>Low</v>
      </c>
      <c r="N2111" t="str">
        <f t="shared" si="197"/>
        <v>Nov</v>
      </c>
      <c r="O2111">
        <f t="shared" si="198"/>
        <v>2025</v>
      </c>
    </row>
    <row r="2112" spans="1:15" x14ac:dyDescent="0.3">
      <c r="A2112">
        <v>202508</v>
      </c>
      <c r="B2112" t="s">
        <v>71</v>
      </c>
      <c r="C2112" s="2">
        <v>45962</v>
      </c>
      <c r="D2112" s="2">
        <f t="shared" si="196"/>
        <v>45992</v>
      </c>
      <c r="E2112" s="1">
        <f>D2112</f>
        <v>45992</v>
      </c>
      <c r="F2112">
        <v>1803</v>
      </c>
      <c r="G2112">
        <v>30</v>
      </c>
      <c r="H2112">
        <f t="shared" si="201"/>
        <v>0</v>
      </c>
      <c r="I2112" t="str">
        <f t="shared" si="199"/>
        <v>On Time</v>
      </c>
      <c r="J2112" cm="1">
        <f t="array" ref="J2112">_xlfn.IFS(H2112&lt;30,0,H2112&lt;60,1,H2112&lt;90,2,H2112&lt;120,3)</f>
        <v>0</v>
      </c>
      <c r="M2112" t="str">
        <f t="shared" si="200"/>
        <v>Low</v>
      </c>
      <c r="N2112" t="str">
        <f t="shared" si="197"/>
        <v>Nov</v>
      </c>
      <c r="O2112">
        <f t="shared" si="198"/>
        <v>2025</v>
      </c>
    </row>
    <row r="2113" spans="1:15" x14ac:dyDescent="0.3">
      <c r="A2113">
        <v>202509</v>
      </c>
      <c r="B2113" t="s">
        <v>72</v>
      </c>
      <c r="C2113" s="2">
        <v>45962</v>
      </c>
      <c r="D2113" s="2">
        <f t="shared" si="196"/>
        <v>45992</v>
      </c>
      <c r="E2113" s="1">
        <f>D2113</f>
        <v>45992</v>
      </c>
      <c r="F2113">
        <v>588</v>
      </c>
      <c r="G2113">
        <v>30</v>
      </c>
      <c r="H2113">
        <f t="shared" si="201"/>
        <v>0</v>
      </c>
      <c r="I2113" t="str">
        <f t="shared" si="199"/>
        <v>On Time</v>
      </c>
      <c r="J2113" cm="1">
        <f t="array" ref="J2113">_xlfn.IFS(H2113&lt;30,0,H2113&lt;60,1,H2113&lt;90,2,H2113&lt;120,3)</f>
        <v>0</v>
      </c>
      <c r="M2113" t="str">
        <f t="shared" si="200"/>
        <v>Low</v>
      </c>
      <c r="N2113" t="str">
        <f t="shared" si="197"/>
        <v>Nov</v>
      </c>
      <c r="O2113">
        <f t="shared" si="198"/>
        <v>2025</v>
      </c>
    </row>
    <row r="2114" spans="1:15" x14ac:dyDescent="0.3">
      <c r="A2114">
        <v>202510</v>
      </c>
      <c r="B2114" t="s">
        <v>73</v>
      </c>
      <c r="C2114" s="2">
        <v>45962</v>
      </c>
      <c r="D2114" s="2">
        <f t="shared" ref="D2114:D2177" si="202">C2114+G2114</f>
        <v>46007</v>
      </c>
      <c r="E2114" s="1">
        <f>D2114+3</f>
        <v>46010</v>
      </c>
      <c r="F2114">
        <v>10838</v>
      </c>
      <c r="G2114">
        <v>45</v>
      </c>
      <c r="H2114">
        <f t="shared" si="201"/>
        <v>0</v>
      </c>
      <c r="I2114" t="str">
        <f t="shared" si="199"/>
        <v>On Time</v>
      </c>
      <c r="J2114" cm="1">
        <f t="array" ref="J2114">_xlfn.IFS(H2114&lt;30,0,H2114&lt;60,1,H2114&lt;90,2,H2114&lt;120,3)</f>
        <v>0</v>
      </c>
      <c r="M2114" t="str">
        <f t="shared" si="200"/>
        <v>Low</v>
      </c>
      <c r="N2114" t="str">
        <f t="shared" ref="N2114:N2177" si="203">TEXT(C2114,"mmm")</f>
        <v>Nov</v>
      </c>
      <c r="O2114">
        <f t="shared" ref="O2114:O2177" si="204">YEAR(C2114)</f>
        <v>2025</v>
      </c>
    </row>
    <row r="2115" spans="1:15" x14ac:dyDescent="0.3">
      <c r="A2115">
        <v>202511</v>
      </c>
      <c r="B2115" t="s">
        <v>74</v>
      </c>
      <c r="C2115" s="2">
        <v>45962</v>
      </c>
      <c r="D2115" s="2">
        <f t="shared" si="202"/>
        <v>46007</v>
      </c>
      <c r="E2115" s="1">
        <f>D2115+1</f>
        <v>46008</v>
      </c>
      <c r="F2115">
        <v>1536</v>
      </c>
      <c r="G2115">
        <v>45</v>
      </c>
      <c r="H2115">
        <f t="shared" si="201"/>
        <v>0</v>
      </c>
      <c r="I2115" t="str">
        <f t="shared" si="199"/>
        <v>On Time</v>
      </c>
      <c r="J2115" cm="1">
        <f t="array" ref="J2115">_xlfn.IFS(H2115&lt;30,0,H2115&lt;60,1,H2115&lt;90,2,H2115&lt;120,3)</f>
        <v>0</v>
      </c>
      <c r="M2115" t="str">
        <f t="shared" si="200"/>
        <v>Low</v>
      </c>
      <c r="N2115" t="str">
        <f t="shared" si="203"/>
        <v>Nov</v>
      </c>
      <c r="O2115">
        <f t="shared" si="204"/>
        <v>2025</v>
      </c>
    </row>
    <row r="2116" spans="1:15" x14ac:dyDescent="0.3">
      <c r="A2116">
        <v>202512</v>
      </c>
      <c r="B2116" t="s">
        <v>75</v>
      </c>
      <c r="C2116" s="2">
        <v>45962</v>
      </c>
      <c r="D2116" s="2">
        <f t="shared" si="202"/>
        <v>46022</v>
      </c>
      <c r="E2116" s="1">
        <f>D2116-1</f>
        <v>46021</v>
      </c>
      <c r="F2116">
        <v>131</v>
      </c>
      <c r="G2116">
        <v>60</v>
      </c>
      <c r="H2116">
        <f t="shared" si="201"/>
        <v>0</v>
      </c>
      <c r="I2116" t="str">
        <f t="shared" si="199"/>
        <v>On Time</v>
      </c>
      <c r="J2116" cm="1">
        <f t="array" ref="J2116">_xlfn.IFS(H2116&lt;30,0,H2116&lt;60,1,H2116&lt;90,2,H2116&lt;120,3)</f>
        <v>0</v>
      </c>
      <c r="M2116" t="str">
        <f t="shared" si="200"/>
        <v>Low</v>
      </c>
      <c r="N2116" t="str">
        <f t="shared" si="203"/>
        <v>Nov</v>
      </c>
      <c r="O2116">
        <f t="shared" si="204"/>
        <v>2025</v>
      </c>
    </row>
    <row r="2117" spans="1:15" x14ac:dyDescent="0.3">
      <c r="A2117">
        <v>202513</v>
      </c>
      <c r="B2117" t="s">
        <v>76</v>
      </c>
      <c r="C2117" s="2">
        <v>45962</v>
      </c>
      <c r="D2117" s="2">
        <f t="shared" si="202"/>
        <v>45992</v>
      </c>
      <c r="E2117" s="1">
        <f>D2117</f>
        <v>45992</v>
      </c>
      <c r="F2117">
        <v>2403</v>
      </c>
      <c r="G2117">
        <v>30</v>
      </c>
      <c r="H2117">
        <f t="shared" si="201"/>
        <v>0</v>
      </c>
      <c r="I2117" t="str">
        <f t="shared" si="199"/>
        <v>On Time</v>
      </c>
      <c r="J2117" cm="1">
        <f t="array" ref="J2117">_xlfn.IFS(H2117&lt;30,0,H2117&lt;60,1,H2117&lt;90,2,H2117&lt;120,3)</f>
        <v>0</v>
      </c>
      <c r="M2117" t="str">
        <f t="shared" si="200"/>
        <v>Low</v>
      </c>
      <c r="N2117" t="str">
        <f t="shared" si="203"/>
        <v>Nov</v>
      </c>
      <c r="O2117">
        <f t="shared" si="204"/>
        <v>2025</v>
      </c>
    </row>
    <row r="2118" spans="1:15" x14ac:dyDescent="0.3">
      <c r="A2118">
        <v>202514</v>
      </c>
      <c r="B2118" t="s">
        <v>44</v>
      </c>
      <c r="C2118" s="2">
        <v>45962</v>
      </c>
      <c r="D2118" s="2">
        <f t="shared" si="202"/>
        <v>46007</v>
      </c>
      <c r="E2118" s="1">
        <f>D2118+1</f>
        <v>46008</v>
      </c>
      <c r="F2118">
        <v>552</v>
      </c>
      <c r="G2118">
        <v>45</v>
      </c>
      <c r="H2118">
        <f t="shared" si="201"/>
        <v>0</v>
      </c>
      <c r="I2118" t="str">
        <f t="shared" si="199"/>
        <v>On Time</v>
      </c>
      <c r="J2118" cm="1">
        <f t="array" ref="J2118">_xlfn.IFS(H2118&lt;30,0,H2118&lt;60,1,H2118&lt;90,2,H2118&lt;120,3)</f>
        <v>0</v>
      </c>
      <c r="M2118" t="str">
        <f t="shared" si="200"/>
        <v>Low</v>
      </c>
      <c r="N2118" t="str">
        <f t="shared" si="203"/>
        <v>Nov</v>
      </c>
      <c r="O2118">
        <f t="shared" si="204"/>
        <v>2025</v>
      </c>
    </row>
    <row r="2119" spans="1:15" x14ac:dyDescent="0.3">
      <c r="A2119">
        <v>202515</v>
      </c>
      <c r="B2119" t="s">
        <v>45</v>
      </c>
      <c r="C2119" s="2">
        <v>45962</v>
      </c>
      <c r="D2119" s="2">
        <f t="shared" si="202"/>
        <v>46007</v>
      </c>
      <c r="E2119" s="1">
        <f>D2119+35</f>
        <v>46042</v>
      </c>
      <c r="F2119">
        <v>1232</v>
      </c>
      <c r="G2119">
        <v>45</v>
      </c>
      <c r="H2119">
        <f t="shared" si="201"/>
        <v>0</v>
      </c>
      <c r="I2119" t="str">
        <f t="shared" si="199"/>
        <v>On Time</v>
      </c>
      <c r="J2119" cm="1">
        <f t="array" ref="J2119">_xlfn.IFS(H2119&lt;30,0,H2119&lt;60,1,H2119&lt;90,2,H2119&lt;120,3)</f>
        <v>0</v>
      </c>
      <c r="M2119" t="str">
        <f t="shared" si="200"/>
        <v>Low</v>
      </c>
      <c r="N2119" t="str">
        <f t="shared" si="203"/>
        <v>Nov</v>
      </c>
      <c r="O2119">
        <f t="shared" si="204"/>
        <v>2025</v>
      </c>
    </row>
    <row r="2120" spans="1:15" x14ac:dyDescent="0.3">
      <c r="A2120">
        <v>202516</v>
      </c>
      <c r="B2120" t="s">
        <v>46</v>
      </c>
      <c r="C2120" s="2">
        <v>45962</v>
      </c>
      <c r="D2120" s="2">
        <f t="shared" si="202"/>
        <v>46022</v>
      </c>
      <c r="E2120" s="1">
        <f>D2120+75</f>
        <v>46097</v>
      </c>
      <c r="F2120">
        <v>2412</v>
      </c>
      <c r="G2120">
        <v>60</v>
      </c>
      <c r="H2120">
        <f t="shared" si="201"/>
        <v>0</v>
      </c>
      <c r="I2120" t="str">
        <f t="shared" si="199"/>
        <v>On Time</v>
      </c>
      <c r="J2120" cm="1">
        <f t="array" ref="J2120">_xlfn.IFS(H2120&lt;30,0,H2120&lt;60,1,H2120&lt;90,2,H2120&lt;120,3)</f>
        <v>0</v>
      </c>
      <c r="M2120" t="str">
        <f t="shared" si="200"/>
        <v>Low</v>
      </c>
      <c r="N2120" t="str">
        <f t="shared" si="203"/>
        <v>Nov</v>
      </c>
      <c r="O2120">
        <f t="shared" si="204"/>
        <v>2025</v>
      </c>
    </row>
    <row r="2121" spans="1:15" x14ac:dyDescent="0.3">
      <c r="A2121">
        <v>202517</v>
      </c>
      <c r="B2121" t="s">
        <v>47</v>
      </c>
      <c r="C2121" s="2">
        <v>45962</v>
      </c>
      <c r="D2121" s="2">
        <f t="shared" si="202"/>
        <v>46022</v>
      </c>
      <c r="E2121" s="1">
        <f>D2121+5</f>
        <v>46027</v>
      </c>
      <c r="F2121">
        <v>619</v>
      </c>
      <c r="G2121">
        <v>60</v>
      </c>
      <c r="H2121">
        <f t="shared" si="201"/>
        <v>0</v>
      </c>
      <c r="I2121" t="str">
        <f t="shared" si="199"/>
        <v>On Time</v>
      </c>
      <c r="J2121" cm="1">
        <f t="array" ref="J2121">_xlfn.IFS(H2121&lt;30,0,H2121&lt;60,1,H2121&lt;90,2,H2121&lt;120,3)</f>
        <v>0</v>
      </c>
      <c r="M2121" t="str">
        <f t="shared" si="200"/>
        <v>Low</v>
      </c>
      <c r="N2121" t="str">
        <f t="shared" si="203"/>
        <v>Nov</v>
      </c>
      <c r="O2121">
        <f t="shared" si="204"/>
        <v>2025</v>
      </c>
    </row>
    <row r="2122" spans="1:15" x14ac:dyDescent="0.3">
      <c r="A2122">
        <v>202518</v>
      </c>
      <c r="B2122" t="s">
        <v>48</v>
      </c>
      <c r="C2122" s="2">
        <v>45962</v>
      </c>
      <c r="D2122" s="2">
        <f t="shared" si="202"/>
        <v>46007</v>
      </c>
      <c r="E2122" s="1">
        <f>D2122</f>
        <v>46007</v>
      </c>
      <c r="F2122">
        <v>301</v>
      </c>
      <c r="G2122">
        <v>45</v>
      </c>
      <c r="H2122">
        <f t="shared" si="201"/>
        <v>0</v>
      </c>
      <c r="I2122" t="str">
        <f t="shared" si="199"/>
        <v>On Time</v>
      </c>
      <c r="J2122" cm="1">
        <f t="array" ref="J2122">_xlfn.IFS(H2122&lt;30,0,H2122&lt;60,1,H2122&lt;90,2,H2122&lt;120,3)</f>
        <v>0</v>
      </c>
      <c r="M2122" t="str">
        <f t="shared" si="200"/>
        <v>Low</v>
      </c>
      <c r="N2122" t="str">
        <f t="shared" si="203"/>
        <v>Nov</v>
      </c>
      <c r="O2122">
        <f t="shared" si="204"/>
        <v>2025</v>
      </c>
    </row>
    <row r="2123" spans="1:15" x14ac:dyDescent="0.3">
      <c r="A2123">
        <v>202519</v>
      </c>
      <c r="B2123" t="s">
        <v>49</v>
      </c>
      <c r="C2123" s="2">
        <v>45962</v>
      </c>
      <c r="D2123" s="2">
        <f t="shared" si="202"/>
        <v>45992</v>
      </c>
      <c r="E2123" s="1">
        <f>D2123-1</f>
        <v>45991</v>
      </c>
      <c r="F2123">
        <v>2769</v>
      </c>
      <c r="G2123">
        <v>30</v>
      </c>
      <c r="H2123">
        <f t="shared" si="201"/>
        <v>0</v>
      </c>
      <c r="I2123" t="str">
        <f t="shared" si="199"/>
        <v>On Time</v>
      </c>
      <c r="J2123" cm="1">
        <f t="array" ref="J2123">_xlfn.IFS(H2123&lt;30,0,H2123&lt;60,1,H2123&lt;90,2,H2123&lt;120,3)</f>
        <v>0</v>
      </c>
      <c r="M2123" t="str">
        <f t="shared" si="200"/>
        <v>Low</v>
      </c>
      <c r="N2123" t="str">
        <f t="shared" si="203"/>
        <v>Nov</v>
      </c>
      <c r="O2123">
        <f t="shared" si="204"/>
        <v>2025</v>
      </c>
    </row>
    <row r="2124" spans="1:15" x14ac:dyDescent="0.3">
      <c r="A2124">
        <v>202520</v>
      </c>
      <c r="B2124" t="s">
        <v>50</v>
      </c>
      <c r="C2124" s="2">
        <v>45962</v>
      </c>
      <c r="D2124" s="2">
        <f t="shared" si="202"/>
        <v>45992</v>
      </c>
      <c r="E2124" s="1">
        <f>D2124</f>
        <v>45992</v>
      </c>
      <c r="F2124">
        <v>3822</v>
      </c>
      <c r="G2124">
        <v>30</v>
      </c>
      <c r="H2124">
        <f t="shared" si="201"/>
        <v>0</v>
      </c>
      <c r="I2124" t="str">
        <f t="shared" si="199"/>
        <v>On Time</v>
      </c>
      <c r="J2124" cm="1">
        <f t="array" ref="J2124">_xlfn.IFS(H2124&lt;30,0,H2124&lt;60,1,H2124&lt;90,2,H2124&lt;120,3)</f>
        <v>0</v>
      </c>
      <c r="M2124" t="str">
        <f t="shared" si="200"/>
        <v>Low</v>
      </c>
      <c r="N2124" t="str">
        <f t="shared" si="203"/>
        <v>Nov</v>
      </c>
      <c r="O2124">
        <f t="shared" si="204"/>
        <v>2025</v>
      </c>
    </row>
    <row r="2125" spans="1:15" x14ac:dyDescent="0.3">
      <c r="A2125">
        <v>202110</v>
      </c>
      <c r="B2125" t="s">
        <v>68</v>
      </c>
      <c r="C2125" s="2">
        <v>45961</v>
      </c>
      <c r="D2125" s="2">
        <f t="shared" si="202"/>
        <v>45991</v>
      </c>
      <c r="E2125" s="1">
        <f>D2125</f>
        <v>45991</v>
      </c>
      <c r="F2125">
        <v>1753</v>
      </c>
      <c r="G2125">
        <v>30</v>
      </c>
      <c r="H2125">
        <f t="shared" si="201"/>
        <v>0</v>
      </c>
      <c r="I2125" t="str">
        <f t="shared" si="199"/>
        <v>On Time</v>
      </c>
      <c r="J2125" cm="1">
        <f t="array" ref="J2125">_xlfn.IFS(H2125&lt;30,0,H2125&lt;60,1,H2125&lt;90,2,H2125&lt;120,3)</f>
        <v>0</v>
      </c>
      <c r="M2125" t="str">
        <f t="shared" si="200"/>
        <v>Low</v>
      </c>
      <c r="N2125" t="str">
        <f t="shared" si="203"/>
        <v>Oct</v>
      </c>
      <c r="O2125">
        <f t="shared" si="204"/>
        <v>2025</v>
      </c>
    </row>
    <row r="2126" spans="1:15" x14ac:dyDescent="0.3">
      <c r="A2126">
        <v>202111</v>
      </c>
      <c r="B2126" t="s">
        <v>69</v>
      </c>
      <c r="C2126" s="2">
        <v>45961</v>
      </c>
      <c r="D2126" s="2">
        <f t="shared" si="202"/>
        <v>45991</v>
      </c>
      <c r="E2126" s="1">
        <f>D2126+60</f>
        <v>46051</v>
      </c>
      <c r="F2126">
        <v>1458</v>
      </c>
      <c r="G2126">
        <v>30</v>
      </c>
      <c r="H2126">
        <f t="shared" si="201"/>
        <v>0</v>
      </c>
      <c r="I2126" t="str">
        <f t="shared" si="199"/>
        <v>On Time</v>
      </c>
      <c r="J2126" cm="1">
        <f t="array" ref="J2126">_xlfn.IFS(H2126&lt;30,0,H2126&lt;60,1,H2126&lt;90,2,H2126&lt;120,3)</f>
        <v>0</v>
      </c>
      <c r="M2126" t="str">
        <f t="shared" si="200"/>
        <v>Low</v>
      </c>
      <c r="N2126" t="str">
        <f t="shared" si="203"/>
        <v>Oct</v>
      </c>
      <c r="O2126">
        <f t="shared" si="204"/>
        <v>2025</v>
      </c>
    </row>
    <row r="2127" spans="1:15" x14ac:dyDescent="0.3">
      <c r="A2127">
        <v>202112</v>
      </c>
      <c r="B2127" t="s">
        <v>70</v>
      </c>
      <c r="C2127" s="2">
        <v>45961</v>
      </c>
      <c r="D2127" s="2">
        <f t="shared" si="202"/>
        <v>45991</v>
      </c>
      <c r="E2127" s="1">
        <f>D2127</f>
        <v>45991</v>
      </c>
      <c r="F2127">
        <v>1889</v>
      </c>
      <c r="G2127">
        <v>30</v>
      </c>
      <c r="H2127">
        <f t="shared" si="201"/>
        <v>0</v>
      </c>
      <c r="I2127" t="str">
        <f t="shared" si="199"/>
        <v>On Time</v>
      </c>
      <c r="J2127" cm="1">
        <f t="array" ref="J2127">_xlfn.IFS(H2127&lt;30,0,H2127&lt;60,1,H2127&lt;90,2,H2127&lt;120,3)</f>
        <v>0</v>
      </c>
      <c r="M2127" t="str">
        <f t="shared" si="200"/>
        <v>Low</v>
      </c>
      <c r="N2127" t="str">
        <f t="shared" si="203"/>
        <v>Oct</v>
      </c>
      <c r="O2127">
        <f t="shared" si="204"/>
        <v>2025</v>
      </c>
    </row>
    <row r="2128" spans="1:15" x14ac:dyDescent="0.3">
      <c r="A2128">
        <v>202113</v>
      </c>
      <c r="B2128" t="s">
        <v>71</v>
      </c>
      <c r="C2128" s="2">
        <v>45961</v>
      </c>
      <c r="D2128" s="2">
        <f t="shared" si="202"/>
        <v>45991</v>
      </c>
      <c r="E2128" s="1">
        <f>D2128</f>
        <v>45991</v>
      </c>
      <c r="F2128">
        <v>4161</v>
      </c>
      <c r="G2128">
        <v>30</v>
      </c>
      <c r="H2128">
        <f t="shared" si="201"/>
        <v>0</v>
      </c>
      <c r="I2128" t="str">
        <f t="shared" si="199"/>
        <v>On Time</v>
      </c>
      <c r="J2128" cm="1">
        <f t="array" ref="J2128">_xlfn.IFS(H2128&lt;30,0,H2128&lt;60,1,H2128&lt;90,2,H2128&lt;120,3)</f>
        <v>0</v>
      </c>
      <c r="M2128" t="str">
        <f t="shared" si="200"/>
        <v>Low</v>
      </c>
      <c r="N2128" t="str">
        <f t="shared" si="203"/>
        <v>Oct</v>
      </c>
      <c r="O2128">
        <f t="shared" si="204"/>
        <v>2025</v>
      </c>
    </row>
    <row r="2129" spans="1:15" x14ac:dyDescent="0.3">
      <c r="A2129">
        <v>202114</v>
      </c>
      <c r="B2129" t="s">
        <v>72</v>
      </c>
      <c r="C2129" s="2">
        <v>45961</v>
      </c>
      <c r="D2129" s="2">
        <f t="shared" si="202"/>
        <v>45991</v>
      </c>
      <c r="E2129" s="1">
        <f>D2129+3</f>
        <v>45994</v>
      </c>
      <c r="F2129">
        <v>1063</v>
      </c>
      <c r="G2129">
        <v>30</v>
      </c>
      <c r="H2129">
        <f t="shared" si="201"/>
        <v>0</v>
      </c>
      <c r="I2129" t="str">
        <f t="shared" si="199"/>
        <v>On Time</v>
      </c>
      <c r="J2129" cm="1">
        <f t="array" ref="J2129">_xlfn.IFS(H2129&lt;30,0,H2129&lt;60,1,H2129&lt;90,2,H2129&lt;120,3)</f>
        <v>0</v>
      </c>
      <c r="M2129" t="str">
        <f t="shared" si="200"/>
        <v>Low</v>
      </c>
      <c r="N2129" t="str">
        <f t="shared" si="203"/>
        <v>Oct</v>
      </c>
      <c r="O2129">
        <f t="shared" si="204"/>
        <v>2025</v>
      </c>
    </row>
    <row r="2130" spans="1:15" x14ac:dyDescent="0.3">
      <c r="A2130">
        <v>202115</v>
      </c>
      <c r="B2130" t="s">
        <v>73</v>
      </c>
      <c r="C2130" s="2">
        <v>45961</v>
      </c>
      <c r="D2130" s="2">
        <f t="shared" si="202"/>
        <v>46006</v>
      </c>
      <c r="E2130" s="1">
        <f>D2130+1</f>
        <v>46007</v>
      </c>
      <c r="F2130">
        <v>1547</v>
      </c>
      <c r="G2130">
        <v>45</v>
      </c>
      <c r="H2130">
        <f t="shared" si="201"/>
        <v>0</v>
      </c>
      <c r="I2130" t="str">
        <f t="shared" si="199"/>
        <v>On Time</v>
      </c>
      <c r="J2130" cm="1">
        <f t="array" ref="J2130">_xlfn.IFS(H2130&lt;30,0,H2130&lt;60,1,H2130&lt;90,2,H2130&lt;120,3)</f>
        <v>0</v>
      </c>
      <c r="M2130" t="str">
        <f t="shared" si="200"/>
        <v>Low</v>
      </c>
      <c r="N2130" t="str">
        <f t="shared" si="203"/>
        <v>Oct</v>
      </c>
      <c r="O2130">
        <f t="shared" si="204"/>
        <v>2025</v>
      </c>
    </row>
    <row r="2131" spans="1:15" x14ac:dyDescent="0.3">
      <c r="A2131">
        <v>202116</v>
      </c>
      <c r="B2131" t="s">
        <v>101</v>
      </c>
      <c r="C2131" s="2">
        <v>45961</v>
      </c>
      <c r="D2131" s="2">
        <f t="shared" si="202"/>
        <v>45991</v>
      </c>
      <c r="E2131" s="1">
        <f>D2131-1</f>
        <v>45990</v>
      </c>
      <c r="F2131">
        <v>4815</v>
      </c>
      <c r="G2131">
        <v>30</v>
      </c>
      <c r="H2131">
        <f t="shared" si="201"/>
        <v>0</v>
      </c>
      <c r="I2131" t="str">
        <f t="shared" si="199"/>
        <v>On Time</v>
      </c>
      <c r="J2131" cm="1">
        <f t="array" ref="J2131">_xlfn.IFS(H2131&lt;30,0,H2131&lt;60,1,H2131&lt;90,2,H2131&lt;120,3)</f>
        <v>0</v>
      </c>
      <c r="M2131" t="str">
        <f t="shared" si="200"/>
        <v>Low</v>
      </c>
      <c r="N2131" t="str">
        <f t="shared" si="203"/>
        <v>Oct</v>
      </c>
      <c r="O2131">
        <f t="shared" si="204"/>
        <v>2025</v>
      </c>
    </row>
    <row r="2132" spans="1:15" x14ac:dyDescent="0.3">
      <c r="A2132">
        <v>202117</v>
      </c>
      <c r="B2132" t="s">
        <v>102</v>
      </c>
      <c r="C2132" s="2">
        <v>45961</v>
      </c>
      <c r="D2132" s="2">
        <f t="shared" si="202"/>
        <v>45991</v>
      </c>
      <c r="E2132" s="1">
        <f>D2132</f>
        <v>45991</v>
      </c>
      <c r="F2132">
        <v>848</v>
      </c>
      <c r="G2132">
        <v>30</v>
      </c>
      <c r="H2132">
        <f t="shared" si="201"/>
        <v>0</v>
      </c>
      <c r="I2132" t="str">
        <f t="shared" si="199"/>
        <v>On Time</v>
      </c>
      <c r="J2132" cm="1">
        <f t="array" ref="J2132">_xlfn.IFS(H2132&lt;30,0,H2132&lt;60,1,H2132&lt;90,2,H2132&lt;120,3)</f>
        <v>0</v>
      </c>
      <c r="M2132" t="str">
        <f t="shared" si="200"/>
        <v>Low</v>
      </c>
      <c r="N2132" t="str">
        <f t="shared" si="203"/>
        <v>Oct</v>
      </c>
      <c r="O2132">
        <f t="shared" si="204"/>
        <v>2025</v>
      </c>
    </row>
    <row r="2133" spans="1:15" x14ac:dyDescent="0.3">
      <c r="A2133">
        <v>202118</v>
      </c>
      <c r="B2133" t="s">
        <v>103</v>
      </c>
      <c r="C2133" s="2">
        <v>45961</v>
      </c>
      <c r="D2133" s="2">
        <f t="shared" si="202"/>
        <v>45991</v>
      </c>
      <c r="E2133" s="1">
        <f>D2133+1</f>
        <v>45992</v>
      </c>
      <c r="F2133">
        <v>3698</v>
      </c>
      <c r="G2133">
        <v>30</v>
      </c>
      <c r="H2133">
        <f t="shared" si="201"/>
        <v>0</v>
      </c>
      <c r="I2133" t="str">
        <f t="shared" si="199"/>
        <v>On Time</v>
      </c>
      <c r="J2133" cm="1">
        <f t="array" ref="J2133">_xlfn.IFS(H2133&lt;30,0,H2133&lt;60,1,H2133&lt;90,2,H2133&lt;120,3)</f>
        <v>0</v>
      </c>
      <c r="M2133" t="str">
        <f t="shared" si="200"/>
        <v>Low</v>
      </c>
      <c r="N2133" t="str">
        <f t="shared" si="203"/>
        <v>Oct</v>
      </c>
      <c r="O2133">
        <f t="shared" si="204"/>
        <v>2025</v>
      </c>
    </row>
    <row r="2134" spans="1:15" x14ac:dyDescent="0.3">
      <c r="A2134">
        <v>202119</v>
      </c>
      <c r="B2134" t="s">
        <v>104</v>
      </c>
      <c r="C2134" s="2">
        <v>45961</v>
      </c>
      <c r="D2134" s="2">
        <f t="shared" si="202"/>
        <v>45991</v>
      </c>
      <c r="E2134" s="1">
        <f>D2134+35</f>
        <v>46026</v>
      </c>
      <c r="F2134">
        <v>4137</v>
      </c>
      <c r="G2134">
        <v>30</v>
      </c>
      <c r="H2134">
        <f t="shared" si="201"/>
        <v>0</v>
      </c>
      <c r="I2134" t="str">
        <f t="shared" ref="I2134:I2197" si="205">IF(H2134=0,"On Time",IF(H2134&lt;=15,"Paid Late","Seriously Late"))</f>
        <v>On Time</v>
      </c>
      <c r="J2134" cm="1">
        <f t="array" ref="J2134">_xlfn.IFS(H2134&lt;30,0,H2134&lt;60,1,H2134&lt;90,2,H2134&lt;120,3)</f>
        <v>0</v>
      </c>
      <c r="M2134" t="str">
        <f t="shared" ref="M2134:M2197" si="206">IF(H2134&gt;30,"High",IF(H2134&gt;10,"Medium","Low"))</f>
        <v>Low</v>
      </c>
      <c r="N2134" t="str">
        <f t="shared" si="203"/>
        <v>Oct</v>
      </c>
      <c r="O2134">
        <f t="shared" si="204"/>
        <v>2025</v>
      </c>
    </row>
    <row r="2135" spans="1:15" x14ac:dyDescent="0.3">
      <c r="A2135">
        <v>202120</v>
      </c>
      <c r="B2135" t="s">
        <v>105</v>
      </c>
      <c r="C2135" s="2">
        <v>45961</v>
      </c>
      <c r="D2135" s="2">
        <f t="shared" si="202"/>
        <v>45991</v>
      </c>
      <c r="E2135" s="1">
        <f>D2135+75</f>
        <v>46066</v>
      </c>
      <c r="F2135">
        <v>16077</v>
      </c>
      <c r="G2135">
        <v>30</v>
      </c>
      <c r="H2135">
        <f t="shared" si="201"/>
        <v>0</v>
      </c>
      <c r="I2135" t="str">
        <f t="shared" si="205"/>
        <v>On Time</v>
      </c>
      <c r="J2135" cm="1">
        <f t="array" ref="J2135">_xlfn.IFS(H2135&lt;30,0,H2135&lt;60,1,H2135&lt;90,2,H2135&lt;120,3)</f>
        <v>0</v>
      </c>
      <c r="M2135" t="str">
        <f t="shared" si="206"/>
        <v>Low</v>
      </c>
      <c r="N2135" t="str">
        <f t="shared" si="203"/>
        <v>Oct</v>
      </c>
      <c r="O2135">
        <f t="shared" si="204"/>
        <v>2025</v>
      </c>
    </row>
    <row r="2136" spans="1:15" x14ac:dyDescent="0.3">
      <c r="A2136">
        <v>202121</v>
      </c>
      <c r="B2136" t="s">
        <v>114</v>
      </c>
      <c r="C2136" s="2">
        <v>45961</v>
      </c>
      <c r="D2136" s="2">
        <f t="shared" si="202"/>
        <v>45991</v>
      </c>
      <c r="E2136" s="1">
        <f>D2136+5</f>
        <v>45996</v>
      </c>
      <c r="F2136">
        <v>2857</v>
      </c>
      <c r="G2136">
        <v>30</v>
      </c>
      <c r="H2136">
        <f t="shared" si="201"/>
        <v>0</v>
      </c>
      <c r="I2136" t="str">
        <f t="shared" si="205"/>
        <v>On Time</v>
      </c>
      <c r="J2136" cm="1">
        <f t="array" ref="J2136">_xlfn.IFS(H2136&lt;30,0,H2136&lt;60,1,H2136&lt;90,2,H2136&lt;120,3)</f>
        <v>0</v>
      </c>
      <c r="M2136" t="str">
        <f t="shared" si="206"/>
        <v>Low</v>
      </c>
      <c r="N2136" t="str">
        <f t="shared" si="203"/>
        <v>Oct</v>
      </c>
      <c r="O2136">
        <f t="shared" si="204"/>
        <v>2025</v>
      </c>
    </row>
    <row r="2137" spans="1:15" x14ac:dyDescent="0.3">
      <c r="A2137">
        <v>202122</v>
      </c>
      <c r="B2137" t="s">
        <v>115</v>
      </c>
      <c r="C2137" s="2">
        <v>45961</v>
      </c>
      <c r="D2137" s="2">
        <f t="shared" si="202"/>
        <v>45991</v>
      </c>
      <c r="E2137" s="1">
        <f>D2137</f>
        <v>45991</v>
      </c>
      <c r="F2137">
        <v>1904</v>
      </c>
      <c r="G2137">
        <v>30</v>
      </c>
      <c r="H2137">
        <f t="shared" si="201"/>
        <v>0</v>
      </c>
      <c r="I2137" t="str">
        <f t="shared" si="205"/>
        <v>On Time</v>
      </c>
      <c r="J2137" cm="1">
        <f t="array" ref="J2137">_xlfn.IFS(H2137&lt;30,0,H2137&lt;60,1,H2137&lt;90,2,H2137&lt;120,3)</f>
        <v>0</v>
      </c>
      <c r="M2137" t="str">
        <f t="shared" si="206"/>
        <v>Low</v>
      </c>
      <c r="N2137" t="str">
        <f t="shared" si="203"/>
        <v>Oct</v>
      </c>
      <c r="O2137">
        <f t="shared" si="204"/>
        <v>2025</v>
      </c>
    </row>
    <row r="2138" spans="1:15" x14ac:dyDescent="0.3">
      <c r="A2138">
        <v>202123</v>
      </c>
      <c r="B2138" t="s">
        <v>116</v>
      </c>
      <c r="C2138" s="2">
        <v>45961</v>
      </c>
      <c r="D2138" s="2">
        <f t="shared" si="202"/>
        <v>45991</v>
      </c>
      <c r="E2138" s="1">
        <f>D2138-1</f>
        <v>45990</v>
      </c>
      <c r="F2138">
        <v>1434</v>
      </c>
      <c r="G2138">
        <v>30</v>
      </c>
      <c r="H2138">
        <f t="shared" si="201"/>
        <v>0</v>
      </c>
      <c r="I2138" t="str">
        <f t="shared" si="205"/>
        <v>On Time</v>
      </c>
      <c r="J2138" cm="1">
        <f t="array" ref="J2138">_xlfn.IFS(H2138&lt;30,0,H2138&lt;60,1,H2138&lt;90,2,H2138&lt;120,3)</f>
        <v>0</v>
      </c>
      <c r="M2138" t="str">
        <f t="shared" si="206"/>
        <v>Low</v>
      </c>
      <c r="N2138" t="str">
        <f t="shared" si="203"/>
        <v>Oct</v>
      </c>
      <c r="O2138">
        <f t="shared" si="204"/>
        <v>2025</v>
      </c>
    </row>
    <row r="2139" spans="1:15" x14ac:dyDescent="0.3">
      <c r="A2139">
        <v>202124</v>
      </c>
      <c r="B2139" t="s">
        <v>117</v>
      </c>
      <c r="C2139" s="2">
        <v>45961</v>
      </c>
      <c r="D2139" s="2">
        <f t="shared" si="202"/>
        <v>45991</v>
      </c>
      <c r="E2139" s="1">
        <f>D2139</f>
        <v>45991</v>
      </c>
      <c r="F2139">
        <v>402</v>
      </c>
      <c r="G2139">
        <v>30</v>
      </c>
      <c r="H2139">
        <f t="shared" si="201"/>
        <v>0</v>
      </c>
      <c r="I2139" t="str">
        <f t="shared" si="205"/>
        <v>On Time</v>
      </c>
      <c r="J2139" cm="1">
        <f t="array" ref="J2139">_xlfn.IFS(H2139&lt;30,0,H2139&lt;60,1,H2139&lt;90,2,H2139&lt;120,3)</f>
        <v>0</v>
      </c>
      <c r="M2139" t="str">
        <f t="shared" si="206"/>
        <v>Low</v>
      </c>
      <c r="N2139" t="str">
        <f t="shared" si="203"/>
        <v>Oct</v>
      </c>
      <c r="O2139">
        <f t="shared" si="204"/>
        <v>2025</v>
      </c>
    </row>
    <row r="2140" spans="1:15" x14ac:dyDescent="0.3">
      <c r="A2140">
        <v>202125</v>
      </c>
      <c r="B2140" t="s">
        <v>118</v>
      </c>
      <c r="C2140" s="2">
        <v>45961</v>
      </c>
      <c r="D2140" s="2">
        <f t="shared" si="202"/>
        <v>45991</v>
      </c>
      <c r="E2140" s="1">
        <f>D2140+32</f>
        <v>46023</v>
      </c>
      <c r="F2140">
        <v>3808</v>
      </c>
      <c r="G2140">
        <v>30</v>
      </c>
      <c r="H2140">
        <f t="shared" si="201"/>
        <v>0</v>
      </c>
      <c r="I2140" t="str">
        <f t="shared" si="205"/>
        <v>On Time</v>
      </c>
      <c r="J2140" cm="1">
        <f t="array" ref="J2140">_xlfn.IFS(H2140&lt;30,0,H2140&lt;60,1,H2140&lt;90,2,H2140&lt;120,3)</f>
        <v>0</v>
      </c>
      <c r="M2140" t="str">
        <f t="shared" si="206"/>
        <v>Low</v>
      </c>
      <c r="N2140" t="str">
        <f t="shared" si="203"/>
        <v>Oct</v>
      </c>
      <c r="O2140">
        <f t="shared" si="204"/>
        <v>2025</v>
      </c>
    </row>
    <row r="2141" spans="1:15" x14ac:dyDescent="0.3">
      <c r="A2141">
        <v>202126</v>
      </c>
      <c r="B2141" t="s">
        <v>119</v>
      </c>
      <c r="C2141" s="2">
        <v>45961</v>
      </c>
      <c r="D2141" s="2">
        <f t="shared" si="202"/>
        <v>45991</v>
      </c>
      <c r="E2141" s="1">
        <f>D2141+15</f>
        <v>46006</v>
      </c>
      <c r="F2141">
        <v>1464</v>
      </c>
      <c r="G2141">
        <v>30</v>
      </c>
      <c r="H2141">
        <f t="shared" si="201"/>
        <v>0</v>
      </c>
      <c r="I2141" t="str">
        <f t="shared" si="205"/>
        <v>On Time</v>
      </c>
      <c r="J2141" cm="1">
        <f t="array" ref="J2141">_xlfn.IFS(H2141&lt;30,0,H2141&lt;60,1,H2141&lt;90,2,H2141&lt;120,3)</f>
        <v>0</v>
      </c>
      <c r="M2141" t="str">
        <f t="shared" si="206"/>
        <v>Low</v>
      </c>
      <c r="N2141" t="str">
        <f t="shared" si="203"/>
        <v>Oct</v>
      </c>
      <c r="O2141">
        <f t="shared" si="204"/>
        <v>2025</v>
      </c>
    </row>
    <row r="2142" spans="1:15" x14ac:dyDescent="0.3">
      <c r="A2142">
        <v>202127</v>
      </c>
      <c r="B2142" t="s">
        <v>31</v>
      </c>
      <c r="C2142" s="2">
        <v>45961</v>
      </c>
      <c r="D2142" s="2">
        <f t="shared" si="202"/>
        <v>46006</v>
      </c>
      <c r="E2142" s="1">
        <f>D2142-2</f>
        <v>46004</v>
      </c>
      <c r="F2142">
        <v>3237</v>
      </c>
      <c r="G2142">
        <v>45</v>
      </c>
      <c r="H2142">
        <f t="shared" si="201"/>
        <v>0</v>
      </c>
      <c r="I2142" t="str">
        <f t="shared" si="205"/>
        <v>On Time</v>
      </c>
      <c r="J2142" cm="1">
        <f t="array" ref="J2142">_xlfn.IFS(H2142&lt;30,0,H2142&lt;60,1,H2142&lt;90,2,H2142&lt;120,3)</f>
        <v>0</v>
      </c>
      <c r="M2142" t="str">
        <f t="shared" si="206"/>
        <v>Low</v>
      </c>
      <c r="N2142" t="str">
        <f t="shared" si="203"/>
        <v>Oct</v>
      </c>
      <c r="O2142">
        <f t="shared" si="204"/>
        <v>2025</v>
      </c>
    </row>
    <row r="2143" spans="1:15" x14ac:dyDescent="0.3">
      <c r="A2143">
        <v>202128</v>
      </c>
      <c r="B2143" t="s">
        <v>32</v>
      </c>
      <c r="C2143" s="2">
        <v>45961</v>
      </c>
      <c r="D2143" s="2">
        <f t="shared" si="202"/>
        <v>46006</v>
      </c>
      <c r="E2143" s="1">
        <f>D2143-2</f>
        <v>46004</v>
      </c>
      <c r="F2143">
        <v>2665</v>
      </c>
      <c r="G2143">
        <v>45</v>
      </c>
      <c r="H2143">
        <f t="shared" si="201"/>
        <v>0</v>
      </c>
      <c r="I2143" t="str">
        <f t="shared" si="205"/>
        <v>On Time</v>
      </c>
      <c r="J2143" cm="1">
        <f t="array" ref="J2143">_xlfn.IFS(H2143&lt;30,0,H2143&lt;60,1,H2143&lt;90,2,H2143&lt;120,3)</f>
        <v>0</v>
      </c>
      <c r="M2143" t="str">
        <f t="shared" si="206"/>
        <v>Low</v>
      </c>
      <c r="N2143" t="str">
        <f t="shared" si="203"/>
        <v>Oct</v>
      </c>
      <c r="O2143">
        <f t="shared" si="204"/>
        <v>2025</v>
      </c>
    </row>
    <row r="2144" spans="1:15" x14ac:dyDescent="0.3">
      <c r="A2144">
        <v>202486</v>
      </c>
      <c r="B2144" t="s">
        <v>101</v>
      </c>
      <c r="C2144" s="2">
        <v>45961</v>
      </c>
      <c r="D2144" s="2">
        <f t="shared" si="202"/>
        <v>45991</v>
      </c>
      <c r="E2144" s="1">
        <f>D2144-1</f>
        <v>45990</v>
      </c>
      <c r="F2144">
        <v>741</v>
      </c>
      <c r="G2144">
        <v>30</v>
      </c>
      <c r="H2144">
        <f t="shared" si="201"/>
        <v>0</v>
      </c>
      <c r="I2144" t="str">
        <f t="shared" si="205"/>
        <v>On Time</v>
      </c>
      <c r="J2144" cm="1">
        <f t="array" ref="J2144">_xlfn.IFS(H2144&lt;30,0,H2144&lt;60,1,H2144&lt;90,2,H2144&lt;120,3)</f>
        <v>0</v>
      </c>
      <c r="M2144" t="str">
        <f t="shared" si="206"/>
        <v>Low</v>
      </c>
      <c r="N2144" t="str">
        <f t="shared" si="203"/>
        <v>Oct</v>
      </c>
      <c r="O2144">
        <f t="shared" si="204"/>
        <v>2025</v>
      </c>
    </row>
    <row r="2145" spans="1:15" x14ac:dyDescent="0.3">
      <c r="A2145">
        <v>202487</v>
      </c>
      <c r="B2145" t="s">
        <v>102</v>
      </c>
      <c r="C2145" s="2">
        <v>45961</v>
      </c>
      <c r="D2145" s="2">
        <f t="shared" si="202"/>
        <v>45991</v>
      </c>
      <c r="E2145" s="1">
        <f>D2145</f>
        <v>45991</v>
      </c>
      <c r="F2145">
        <v>2872</v>
      </c>
      <c r="G2145">
        <v>30</v>
      </c>
      <c r="H2145">
        <f t="shared" si="201"/>
        <v>0</v>
      </c>
      <c r="I2145" t="str">
        <f t="shared" si="205"/>
        <v>On Time</v>
      </c>
      <c r="J2145" cm="1">
        <f t="array" ref="J2145">_xlfn.IFS(H2145&lt;30,0,H2145&lt;60,1,H2145&lt;90,2,H2145&lt;120,3)</f>
        <v>0</v>
      </c>
      <c r="M2145" t="str">
        <f t="shared" si="206"/>
        <v>Low</v>
      </c>
      <c r="N2145" t="str">
        <f t="shared" si="203"/>
        <v>Oct</v>
      </c>
      <c r="O2145">
        <f t="shared" si="204"/>
        <v>2025</v>
      </c>
    </row>
    <row r="2146" spans="1:15" x14ac:dyDescent="0.3">
      <c r="A2146">
        <v>202488</v>
      </c>
      <c r="B2146" t="s">
        <v>103</v>
      </c>
      <c r="C2146" s="2">
        <v>45961</v>
      </c>
      <c r="D2146" s="2">
        <f t="shared" si="202"/>
        <v>45991</v>
      </c>
      <c r="E2146" s="1">
        <f>D2146+32</f>
        <v>46023</v>
      </c>
      <c r="F2146">
        <v>1327</v>
      </c>
      <c r="G2146">
        <v>30</v>
      </c>
      <c r="H2146">
        <f t="shared" si="201"/>
        <v>0</v>
      </c>
      <c r="I2146" t="str">
        <f t="shared" si="205"/>
        <v>On Time</v>
      </c>
      <c r="J2146" cm="1">
        <f t="array" ref="J2146">_xlfn.IFS(H2146&lt;30,0,H2146&lt;60,1,H2146&lt;90,2,H2146&lt;120,3)</f>
        <v>0</v>
      </c>
      <c r="M2146" t="str">
        <f t="shared" si="206"/>
        <v>Low</v>
      </c>
      <c r="N2146" t="str">
        <f t="shared" si="203"/>
        <v>Oct</v>
      </c>
      <c r="O2146">
        <f t="shared" si="204"/>
        <v>2025</v>
      </c>
    </row>
    <row r="2147" spans="1:15" x14ac:dyDescent="0.3">
      <c r="A2147">
        <v>202489</v>
      </c>
      <c r="B2147" t="s">
        <v>104</v>
      </c>
      <c r="C2147" s="2">
        <v>45961</v>
      </c>
      <c r="D2147" s="2">
        <f t="shared" si="202"/>
        <v>45991</v>
      </c>
      <c r="E2147" s="1">
        <f>D2147+15</f>
        <v>46006</v>
      </c>
      <c r="F2147">
        <v>1984</v>
      </c>
      <c r="G2147">
        <v>30</v>
      </c>
      <c r="H2147">
        <f t="shared" si="201"/>
        <v>0</v>
      </c>
      <c r="I2147" t="str">
        <f t="shared" si="205"/>
        <v>On Time</v>
      </c>
      <c r="J2147" cm="1">
        <f t="array" ref="J2147">_xlfn.IFS(H2147&lt;30,0,H2147&lt;60,1,H2147&lt;90,2,H2147&lt;120,3)</f>
        <v>0</v>
      </c>
      <c r="M2147" t="str">
        <f t="shared" si="206"/>
        <v>Low</v>
      </c>
      <c r="N2147" t="str">
        <f t="shared" si="203"/>
        <v>Oct</v>
      </c>
      <c r="O2147">
        <f t="shared" si="204"/>
        <v>2025</v>
      </c>
    </row>
    <row r="2148" spans="1:15" x14ac:dyDescent="0.3">
      <c r="A2148">
        <v>202490</v>
      </c>
      <c r="B2148" t="s">
        <v>105</v>
      </c>
      <c r="C2148" s="2">
        <v>45961</v>
      </c>
      <c r="D2148" s="2">
        <f t="shared" si="202"/>
        <v>45991</v>
      </c>
      <c r="E2148" s="1">
        <f>D2148</f>
        <v>45991</v>
      </c>
      <c r="F2148">
        <v>4677</v>
      </c>
      <c r="G2148">
        <v>30</v>
      </c>
      <c r="H2148">
        <f t="shared" si="201"/>
        <v>0</v>
      </c>
      <c r="I2148" t="str">
        <f t="shared" si="205"/>
        <v>On Time</v>
      </c>
      <c r="J2148" cm="1">
        <f t="array" ref="J2148">_xlfn.IFS(H2148&lt;30,0,H2148&lt;60,1,H2148&lt;90,2,H2148&lt;120,3)</f>
        <v>0</v>
      </c>
      <c r="M2148" t="str">
        <f t="shared" si="206"/>
        <v>Low</v>
      </c>
      <c r="N2148" t="str">
        <f t="shared" si="203"/>
        <v>Oct</v>
      </c>
      <c r="O2148">
        <f t="shared" si="204"/>
        <v>2025</v>
      </c>
    </row>
    <row r="2149" spans="1:15" x14ac:dyDescent="0.3">
      <c r="A2149">
        <v>202491</v>
      </c>
      <c r="B2149" t="s">
        <v>106</v>
      </c>
      <c r="C2149" s="2">
        <v>45961</v>
      </c>
      <c r="D2149" s="2">
        <f t="shared" si="202"/>
        <v>45991</v>
      </c>
      <c r="E2149" s="1">
        <f>D2149-2</f>
        <v>45989</v>
      </c>
      <c r="F2149">
        <v>706</v>
      </c>
      <c r="G2149">
        <v>30</v>
      </c>
      <c r="H2149">
        <f t="shared" si="201"/>
        <v>0</v>
      </c>
      <c r="I2149" t="str">
        <f t="shared" si="205"/>
        <v>On Time</v>
      </c>
      <c r="J2149" cm="1">
        <f t="array" ref="J2149">_xlfn.IFS(H2149&lt;30,0,H2149&lt;60,1,H2149&lt;90,2,H2149&lt;120,3)</f>
        <v>0</v>
      </c>
      <c r="M2149" t="str">
        <f t="shared" si="206"/>
        <v>Low</v>
      </c>
      <c r="N2149" t="str">
        <f t="shared" si="203"/>
        <v>Oct</v>
      </c>
      <c r="O2149">
        <f t="shared" si="204"/>
        <v>2025</v>
      </c>
    </row>
    <row r="2150" spans="1:15" x14ac:dyDescent="0.3">
      <c r="A2150">
        <v>202492</v>
      </c>
      <c r="B2150" t="s">
        <v>107</v>
      </c>
      <c r="C2150" s="2">
        <v>45961</v>
      </c>
      <c r="D2150" s="2">
        <f t="shared" si="202"/>
        <v>45991</v>
      </c>
      <c r="E2150" s="1">
        <f>D2150</f>
        <v>45991</v>
      </c>
      <c r="F2150">
        <v>2976</v>
      </c>
      <c r="G2150">
        <v>30</v>
      </c>
      <c r="H2150">
        <f t="shared" ref="H2150:H2213" si="207">MAX(0,P2115-D2150)</f>
        <v>0</v>
      </c>
      <c r="I2150" t="str">
        <f t="shared" si="205"/>
        <v>On Time</v>
      </c>
      <c r="J2150" cm="1">
        <f t="array" ref="J2150">_xlfn.IFS(H2150&lt;30,0,H2150&lt;60,1,H2150&lt;90,2,H2150&lt;120,3)</f>
        <v>0</v>
      </c>
      <c r="M2150" t="str">
        <f t="shared" si="206"/>
        <v>Low</v>
      </c>
      <c r="N2150" t="str">
        <f t="shared" si="203"/>
        <v>Oct</v>
      </c>
      <c r="O2150">
        <f t="shared" si="204"/>
        <v>2025</v>
      </c>
    </row>
    <row r="2151" spans="1:15" x14ac:dyDescent="0.3">
      <c r="A2151">
        <v>202493</v>
      </c>
      <c r="B2151" t="s">
        <v>108</v>
      </c>
      <c r="C2151" s="2">
        <v>45961</v>
      </c>
      <c r="D2151" s="2">
        <f t="shared" si="202"/>
        <v>45991</v>
      </c>
      <c r="E2151" s="1">
        <f>D2151+2</f>
        <v>45993</v>
      </c>
      <c r="F2151">
        <v>4582</v>
      </c>
      <c r="G2151">
        <v>30</v>
      </c>
      <c r="H2151">
        <f t="shared" si="207"/>
        <v>0</v>
      </c>
      <c r="I2151" t="str">
        <f t="shared" si="205"/>
        <v>On Time</v>
      </c>
      <c r="J2151" cm="1">
        <f t="array" ref="J2151">_xlfn.IFS(H2151&lt;30,0,H2151&lt;60,1,H2151&lt;90,2,H2151&lt;120,3)</f>
        <v>0</v>
      </c>
      <c r="M2151" t="str">
        <f t="shared" si="206"/>
        <v>Low</v>
      </c>
      <c r="N2151" t="str">
        <f t="shared" si="203"/>
        <v>Oct</v>
      </c>
      <c r="O2151">
        <f t="shared" si="204"/>
        <v>2025</v>
      </c>
    </row>
    <row r="2152" spans="1:15" x14ac:dyDescent="0.3">
      <c r="A2152">
        <v>202494</v>
      </c>
      <c r="B2152" t="s">
        <v>85</v>
      </c>
      <c r="C2152" s="2">
        <v>45961</v>
      </c>
      <c r="D2152" s="2">
        <f t="shared" si="202"/>
        <v>46021</v>
      </c>
      <c r="E2152" s="1">
        <f>D2152+2</f>
        <v>46023</v>
      </c>
      <c r="F2152">
        <v>3451</v>
      </c>
      <c r="G2152">
        <v>60</v>
      </c>
      <c r="H2152">
        <f t="shared" si="207"/>
        <v>0</v>
      </c>
      <c r="I2152" t="str">
        <f t="shared" si="205"/>
        <v>On Time</v>
      </c>
      <c r="J2152" cm="1">
        <f t="array" ref="J2152">_xlfn.IFS(H2152&lt;30,0,H2152&lt;60,1,H2152&lt;90,2,H2152&lt;120,3)</f>
        <v>0</v>
      </c>
      <c r="M2152" t="str">
        <f t="shared" si="206"/>
        <v>Low</v>
      </c>
      <c r="N2152" t="str">
        <f t="shared" si="203"/>
        <v>Oct</v>
      </c>
      <c r="O2152">
        <f t="shared" si="204"/>
        <v>2025</v>
      </c>
    </row>
    <row r="2153" spans="1:15" x14ac:dyDescent="0.3">
      <c r="A2153">
        <v>202495</v>
      </c>
      <c r="B2153" t="s">
        <v>86</v>
      </c>
      <c r="C2153" s="2">
        <v>45961</v>
      </c>
      <c r="D2153" s="2">
        <f t="shared" si="202"/>
        <v>45991</v>
      </c>
      <c r="E2153" s="1">
        <f>D2153+2</f>
        <v>45993</v>
      </c>
      <c r="F2153">
        <v>13585</v>
      </c>
      <c r="G2153">
        <v>30</v>
      </c>
      <c r="H2153">
        <f t="shared" si="207"/>
        <v>0</v>
      </c>
      <c r="I2153" t="str">
        <f t="shared" si="205"/>
        <v>On Time</v>
      </c>
      <c r="J2153" cm="1">
        <f t="array" ref="J2153">_xlfn.IFS(H2153&lt;30,0,H2153&lt;60,1,H2153&lt;90,2,H2153&lt;120,3)</f>
        <v>0</v>
      </c>
      <c r="M2153" t="str">
        <f t="shared" si="206"/>
        <v>Low</v>
      </c>
      <c r="N2153" t="str">
        <f t="shared" si="203"/>
        <v>Oct</v>
      </c>
      <c r="O2153">
        <f t="shared" si="204"/>
        <v>2025</v>
      </c>
    </row>
    <row r="2154" spans="1:15" x14ac:dyDescent="0.3">
      <c r="A2154">
        <v>202496</v>
      </c>
      <c r="B2154" t="s">
        <v>87</v>
      </c>
      <c r="C2154" s="2">
        <v>45961</v>
      </c>
      <c r="D2154" s="2">
        <f t="shared" si="202"/>
        <v>45991</v>
      </c>
      <c r="E2154" s="1">
        <f>D2154</f>
        <v>45991</v>
      </c>
      <c r="F2154">
        <v>4490</v>
      </c>
      <c r="G2154">
        <v>30</v>
      </c>
      <c r="H2154">
        <f t="shared" si="207"/>
        <v>0</v>
      </c>
      <c r="I2154" t="str">
        <f t="shared" si="205"/>
        <v>On Time</v>
      </c>
      <c r="J2154" cm="1">
        <f t="array" ref="J2154">_xlfn.IFS(H2154&lt;30,0,H2154&lt;60,1,H2154&lt;90,2,H2154&lt;120,3)</f>
        <v>0</v>
      </c>
      <c r="M2154" t="str">
        <f t="shared" si="206"/>
        <v>Low</v>
      </c>
      <c r="N2154" t="str">
        <f t="shared" si="203"/>
        <v>Oct</v>
      </c>
      <c r="O2154">
        <f t="shared" si="204"/>
        <v>2025</v>
      </c>
    </row>
    <row r="2155" spans="1:15" x14ac:dyDescent="0.3">
      <c r="A2155">
        <v>202497</v>
      </c>
      <c r="B2155" t="s">
        <v>88</v>
      </c>
      <c r="C2155" s="2">
        <v>45961</v>
      </c>
      <c r="D2155" s="2">
        <f t="shared" si="202"/>
        <v>45991</v>
      </c>
      <c r="E2155" s="1">
        <f>D2155+20</f>
        <v>46011</v>
      </c>
      <c r="F2155">
        <v>4547</v>
      </c>
      <c r="G2155">
        <v>30</v>
      </c>
      <c r="H2155">
        <f t="shared" si="207"/>
        <v>0</v>
      </c>
      <c r="I2155" t="str">
        <f t="shared" si="205"/>
        <v>On Time</v>
      </c>
      <c r="J2155" cm="1">
        <f t="array" ref="J2155">_xlfn.IFS(H2155&lt;30,0,H2155&lt;60,1,H2155&lt;90,2,H2155&lt;120,3)</f>
        <v>0</v>
      </c>
      <c r="M2155" t="str">
        <f t="shared" si="206"/>
        <v>Low</v>
      </c>
      <c r="N2155" t="str">
        <f t="shared" si="203"/>
        <v>Oct</v>
      </c>
      <c r="O2155">
        <f t="shared" si="204"/>
        <v>2025</v>
      </c>
    </row>
    <row r="2156" spans="1:15" x14ac:dyDescent="0.3">
      <c r="A2156">
        <v>202498</v>
      </c>
      <c r="B2156" t="s">
        <v>89</v>
      </c>
      <c r="C2156" s="2">
        <v>45961</v>
      </c>
      <c r="D2156" s="2">
        <f t="shared" si="202"/>
        <v>45991</v>
      </c>
      <c r="E2156" s="1">
        <f>D2156</f>
        <v>45991</v>
      </c>
      <c r="F2156">
        <v>1881</v>
      </c>
      <c r="G2156">
        <v>30</v>
      </c>
      <c r="H2156">
        <f t="shared" si="207"/>
        <v>0</v>
      </c>
      <c r="I2156" t="str">
        <f t="shared" si="205"/>
        <v>On Time</v>
      </c>
      <c r="J2156" cm="1">
        <f t="array" ref="J2156">_xlfn.IFS(H2156&lt;30,0,H2156&lt;60,1,H2156&lt;90,2,H2156&lt;120,3)</f>
        <v>0</v>
      </c>
      <c r="M2156" t="str">
        <f t="shared" si="206"/>
        <v>Low</v>
      </c>
      <c r="N2156" t="str">
        <f t="shared" si="203"/>
        <v>Oct</v>
      </c>
      <c r="O2156">
        <f t="shared" si="204"/>
        <v>2025</v>
      </c>
    </row>
    <row r="2157" spans="1:15" x14ac:dyDescent="0.3">
      <c r="A2157">
        <v>202499</v>
      </c>
      <c r="B2157" t="s">
        <v>90</v>
      </c>
      <c r="C2157" s="2">
        <v>45961</v>
      </c>
      <c r="D2157" s="2">
        <f t="shared" si="202"/>
        <v>45991</v>
      </c>
      <c r="E2157" s="1">
        <f>D2157+1</f>
        <v>45992</v>
      </c>
      <c r="F2157">
        <v>1364</v>
      </c>
      <c r="G2157">
        <v>30</v>
      </c>
      <c r="H2157">
        <f t="shared" si="207"/>
        <v>0</v>
      </c>
      <c r="I2157" t="str">
        <f t="shared" si="205"/>
        <v>On Time</v>
      </c>
      <c r="J2157" cm="1">
        <f t="array" ref="J2157">_xlfn.IFS(H2157&lt;30,0,H2157&lt;60,1,H2157&lt;90,2,H2157&lt;120,3)</f>
        <v>0</v>
      </c>
      <c r="M2157" t="str">
        <f t="shared" si="206"/>
        <v>Low</v>
      </c>
      <c r="N2157" t="str">
        <f t="shared" si="203"/>
        <v>Oct</v>
      </c>
      <c r="O2157">
        <f t="shared" si="204"/>
        <v>2025</v>
      </c>
    </row>
    <row r="2158" spans="1:15" x14ac:dyDescent="0.3">
      <c r="A2158">
        <v>202500</v>
      </c>
      <c r="B2158" t="s">
        <v>91</v>
      </c>
      <c r="C2158" s="2">
        <v>45961</v>
      </c>
      <c r="D2158" s="2">
        <f t="shared" si="202"/>
        <v>45991</v>
      </c>
      <c r="E2158" s="1">
        <f>D2158</f>
        <v>45991</v>
      </c>
      <c r="F2158">
        <v>4254</v>
      </c>
      <c r="G2158">
        <v>30</v>
      </c>
      <c r="H2158">
        <f t="shared" si="207"/>
        <v>0</v>
      </c>
      <c r="I2158" t="str">
        <f t="shared" si="205"/>
        <v>On Time</v>
      </c>
      <c r="J2158" cm="1">
        <f t="array" ref="J2158">_xlfn.IFS(H2158&lt;30,0,H2158&lt;60,1,H2158&lt;90,2,H2158&lt;120,3)</f>
        <v>0</v>
      </c>
      <c r="M2158" t="str">
        <f t="shared" si="206"/>
        <v>Low</v>
      </c>
      <c r="N2158" t="str">
        <f t="shared" si="203"/>
        <v>Oct</v>
      </c>
      <c r="O2158">
        <f t="shared" si="204"/>
        <v>2025</v>
      </c>
    </row>
    <row r="2159" spans="1:15" x14ac:dyDescent="0.3">
      <c r="A2159">
        <v>202501</v>
      </c>
      <c r="B2159" t="s">
        <v>92</v>
      </c>
      <c r="C2159" s="2">
        <v>45961</v>
      </c>
      <c r="D2159" s="2">
        <f t="shared" si="202"/>
        <v>45991</v>
      </c>
      <c r="E2159" s="1">
        <f>D2159</f>
        <v>45991</v>
      </c>
      <c r="F2159">
        <v>4108</v>
      </c>
      <c r="G2159">
        <v>30</v>
      </c>
      <c r="H2159">
        <f t="shared" si="207"/>
        <v>0</v>
      </c>
      <c r="I2159" t="str">
        <f t="shared" si="205"/>
        <v>On Time</v>
      </c>
      <c r="J2159" cm="1">
        <f t="array" ref="J2159">_xlfn.IFS(H2159&lt;30,0,H2159&lt;60,1,H2159&lt;90,2,H2159&lt;120,3)</f>
        <v>0</v>
      </c>
      <c r="M2159" t="str">
        <f t="shared" si="206"/>
        <v>Low</v>
      </c>
      <c r="N2159" t="str">
        <f t="shared" si="203"/>
        <v>Oct</v>
      </c>
      <c r="O2159">
        <f t="shared" si="204"/>
        <v>2025</v>
      </c>
    </row>
    <row r="2160" spans="1:15" x14ac:dyDescent="0.3">
      <c r="A2160">
        <v>202502</v>
      </c>
      <c r="B2160" t="s">
        <v>93</v>
      </c>
      <c r="C2160" s="2">
        <v>45961</v>
      </c>
      <c r="D2160" s="2">
        <f t="shared" si="202"/>
        <v>45991</v>
      </c>
      <c r="E2160" s="1">
        <f>D2160+5</f>
        <v>45996</v>
      </c>
      <c r="F2160">
        <v>2788</v>
      </c>
      <c r="G2160">
        <v>30</v>
      </c>
      <c r="H2160">
        <f t="shared" si="207"/>
        <v>0</v>
      </c>
      <c r="I2160" t="str">
        <f t="shared" si="205"/>
        <v>On Time</v>
      </c>
      <c r="J2160" cm="1">
        <f t="array" ref="J2160">_xlfn.IFS(H2160&lt;30,0,H2160&lt;60,1,H2160&lt;90,2,H2160&lt;120,3)</f>
        <v>0</v>
      </c>
      <c r="M2160" t="str">
        <f t="shared" si="206"/>
        <v>Low</v>
      </c>
      <c r="N2160" t="str">
        <f t="shared" si="203"/>
        <v>Oct</v>
      </c>
      <c r="O2160">
        <f t="shared" si="204"/>
        <v>2025</v>
      </c>
    </row>
    <row r="2161" spans="1:15" x14ac:dyDescent="0.3">
      <c r="A2161">
        <v>202503</v>
      </c>
      <c r="B2161" t="s">
        <v>94</v>
      </c>
      <c r="C2161" s="2">
        <v>45961</v>
      </c>
      <c r="D2161" s="2">
        <f t="shared" si="202"/>
        <v>45991</v>
      </c>
      <c r="E2161" s="1">
        <f>D2161+2</f>
        <v>45993</v>
      </c>
      <c r="F2161">
        <v>1077</v>
      </c>
      <c r="G2161">
        <v>30</v>
      </c>
      <c r="H2161">
        <f t="shared" si="207"/>
        <v>0</v>
      </c>
      <c r="I2161" t="str">
        <f t="shared" si="205"/>
        <v>On Time</v>
      </c>
      <c r="J2161" cm="1">
        <f t="array" ref="J2161">_xlfn.IFS(H2161&lt;30,0,H2161&lt;60,1,H2161&lt;90,2,H2161&lt;120,3)</f>
        <v>0</v>
      </c>
      <c r="M2161" t="str">
        <f t="shared" si="206"/>
        <v>Low</v>
      </c>
      <c r="N2161" t="str">
        <f t="shared" si="203"/>
        <v>Oct</v>
      </c>
      <c r="O2161">
        <f t="shared" si="204"/>
        <v>2025</v>
      </c>
    </row>
    <row r="2162" spans="1:15" x14ac:dyDescent="0.3">
      <c r="A2162">
        <v>202092</v>
      </c>
      <c r="B2162" t="s">
        <v>104</v>
      </c>
      <c r="C2162" s="2">
        <v>45960</v>
      </c>
      <c r="D2162" s="2">
        <f t="shared" si="202"/>
        <v>45990</v>
      </c>
      <c r="E2162" s="1">
        <f>D2162+32</f>
        <v>46022</v>
      </c>
      <c r="F2162">
        <v>3368</v>
      </c>
      <c r="G2162">
        <v>30</v>
      </c>
      <c r="H2162">
        <f t="shared" si="207"/>
        <v>0</v>
      </c>
      <c r="I2162" t="str">
        <f t="shared" si="205"/>
        <v>On Time</v>
      </c>
      <c r="J2162" cm="1">
        <f t="array" ref="J2162">_xlfn.IFS(H2162&lt;30,0,H2162&lt;60,1,H2162&lt;90,2,H2162&lt;120,3)</f>
        <v>0</v>
      </c>
      <c r="M2162" t="str">
        <f t="shared" si="206"/>
        <v>Low</v>
      </c>
      <c r="N2162" t="str">
        <f t="shared" si="203"/>
        <v>Oct</v>
      </c>
      <c r="O2162">
        <f t="shared" si="204"/>
        <v>2025</v>
      </c>
    </row>
    <row r="2163" spans="1:15" x14ac:dyDescent="0.3">
      <c r="A2163">
        <v>202093</v>
      </c>
      <c r="B2163" t="s">
        <v>105</v>
      </c>
      <c r="C2163" s="2">
        <v>45960</v>
      </c>
      <c r="D2163" s="2">
        <f t="shared" si="202"/>
        <v>45990</v>
      </c>
      <c r="E2163" s="1">
        <f>D2163+15</f>
        <v>46005</v>
      </c>
      <c r="F2163">
        <v>1548</v>
      </c>
      <c r="G2163">
        <v>30</v>
      </c>
      <c r="H2163">
        <f t="shared" si="207"/>
        <v>0</v>
      </c>
      <c r="I2163" t="str">
        <f t="shared" si="205"/>
        <v>On Time</v>
      </c>
      <c r="J2163" cm="1">
        <f t="array" ref="J2163">_xlfn.IFS(H2163&lt;30,0,H2163&lt;60,1,H2163&lt;90,2,H2163&lt;120,3)</f>
        <v>0</v>
      </c>
      <c r="M2163" t="str">
        <f t="shared" si="206"/>
        <v>Low</v>
      </c>
      <c r="N2163" t="str">
        <f t="shared" si="203"/>
        <v>Oct</v>
      </c>
      <c r="O2163">
        <f t="shared" si="204"/>
        <v>2025</v>
      </c>
    </row>
    <row r="2164" spans="1:15" x14ac:dyDescent="0.3">
      <c r="A2164">
        <v>202094</v>
      </c>
      <c r="B2164" t="s">
        <v>114</v>
      </c>
      <c r="C2164" s="2">
        <v>45960</v>
      </c>
      <c r="D2164" s="2">
        <f t="shared" si="202"/>
        <v>45990</v>
      </c>
      <c r="E2164" s="1">
        <f>D2164</f>
        <v>45990</v>
      </c>
      <c r="F2164">
        <v>2163</v>
      </c>
      <c r="G2164">
        <v>30</v>
      </c>
      <c r="H2164">
        <f t="shared" si="207"/>
        <v>0</v>
      </c>
      <c r="I2164" t="str">
        <f t="shared" si="205"/>
        <v>On Time</v>
      </c>
      <c r="J2164" cm="1">
        <f t="array" ref="J2164">_xlfn.IFS(H2164&lt;30,0,H2164&lt;60,1,H2164&lt;90,2,H2164&lt;120,3)</f>
        <v>0</v>
      </c>
      <c r="M2164" t="str">
        <f t="shared" si="206"/>
        <v>Low</v>
      </c>
      <c r="N2164" t="str">
        <f t="shared" si="203"/>
        <v>Oct</v>
      </c>
      <c r="O2164">
        <f t="shared" si="204"/>
        <v>2025</v>
      </c>
    </row>
    <row r="2165" spans="1:15" x14ac:dyDescent="0.3">
      <c r="A2165">
        <v>202095</v>
      </c>
      <c r="B2165" t="s">
        <v>115</v>
      </c>
      <c r="C2165" s="2">
        <v>45960</v>
      </c>
      <c r="D2165" s="2">
        <f t="shared" si="202"/>
        <v>45990</v>
      </c>
      <c r="E2165" s="1">
        <f>D2165-2</f>
        <v>45988</v>
      </c>
      <c r="F2165">
        <v>2062</v>
      </c>
      <c r="G2165">
        <v>30</v>
      </c>
      <c r="H2165">
        <f t="shared" si="207"/>
        <v>0</v>
      </c>
      <c r="I2165" t="str">
        <f t="shared" si="205"/>
        <v>On Time</v>
      </c>
      <c r="J2165" cm="1">
        <f t="array" ref="J2165">_xlfn.IFS(H2165&lt;30,0,H2165&lt;60,1,H2165&lt;90,2,H2165&lt;120,3)</f>
        <v>0</v>
      </c>
      <c r="M2165" t="str">
        <f t="shared" si="206"/>
        <v>Low</v>
      </c>
      <c r="N2165" t="str">
        <f t="shared" si="203"/>
        <v>Oct</v>
      </c>
      <c r="O2165">
        <f t="shared" si="204"/>
        <v>2025</v>
      </c>
    </row>
    <row r="2166" spans="1:15" x14ac:dyDescent="0.3">
      <c r="A2166">
        <v>202096</v>
      </c>
      <c r="B2166" t="s">
        <v>116</v>
      </c>
      <c r="C2166" s="2">
        <v>45960</v>
      </c>
      <c r="D2166" s="2">
        <f t="shared" si="202"/>
        <v>45990</v>
      </c>
      <c r="E2166" s="1">
        <f>D2166</f>
        <v>45990</v>
      </c>
      <c r="F2166">
        <v>1549</v>
      </c>
      <c r="G2166">
        <v>30</v>
      </c>
      <c r="H2166">
        <f t="shared" si="207"/>
        <v>0</v>
      </c>
      <c r="I2166" t="str">
        <f t="shared" si="205"/>
        <v>On Time</v>
      </c>
      <c r="J2166" cm="1">
        <f t="array" ref="J2166">_xlfn.IFS(H2166&lt;30,0,H2166&lt;60,1,H2166&lt;90,2,H2166&lt;120,3)</f>
        <v>0</v>
      </c>
      <c r="M2166" t="str">
        <f t="shared" si="206"/>
        <v>Low</v>
      </c>
      <c r="N2166" t="str">
        <f t="shared" si="203"/>
        <v>Oct</v>
      </c>
      <c r="O2166">
        <f t="shared" si="204"/>
        <v>2025</v>
      </c>
    </row>
    <row r="2167" spans="1:15" x14ac:dyDescent="0.3">
      <c r="A2167">
        <v>202097</v>
      </c>
      <c r="B2167" t="s">
        <v>117</v>
      </c>
      <c r="C2167" s="2">
        <v>45960</v>
      </c>
      <c r="D2167" s="2">
        <f t="shared" si="202"/>
        <v>45990</v>
      </c>
      <c r="E2167" s="1">
        <f>D2167+2</f>
        <v>45992</v>
      </c>
      <c r="F2167">
        <v>464</v>
      </c>
      <c r="G2167">
        <v>30</v>
      </c>
      <c r="H2167">
        <f t="shared" si="207"/>
        <v>0</v>
      </c>
      <c r="I2167" t="str">
        <f t="shared" si="205"/>
        <v>On Time</v>
      </c>
      <c r="J2167" cm="1">
        <f t="array" ref="J2167">_xlfn.IFS(H2167&lt;30,0,H2167&lt;60,1,H2167&lt;90,2,H2167&lt;120,3)</f>
        <v>0</v>
      </c>
      <c r="M2167" t="str">
        <f t="shared" si="206"/>
        <v>Low</v>
      </c>
      <c r="N2167" t="str">
        <f t="shared" si="203"/>
        <v>Oct</v>
      </c>
      <c r="O2167">
        <f t="shared" si="204"/>
        <v>2025</v>
      </c>
    </row>
    <row r="2168" spans="1:15" x14ac:dyDescent="0.3">
      <c r="A2168">
        <v>202098</v>
      </c>
      <c r="B2168" t="s">
        <v>118</v>
      </c>
      <c r="C2168" s="2">
        <v>45960</v>
      </c>
      <c r="D2168" s="2">
        <f t="shared" si="202"/>
        <v>45990</v>
      </c>
      <c r="E2168" s="1">
        <f>D2168+2</f>
        <v>45992</v>
      </c>
      <c r="F2168">
        <v>3311</v>
      </c>
      <c r="G2168">
        <v>30</v>
      </c>
      <c r="H2168">
        <f t="shared" si="207"/>
        <v>0</v>
      </c>
      <c r="I2168" t="str">
        <f t="shared" si="205"/>
        <v>On Time</v>
      </c>
      <c r="J2168" cm="1">
        <f t="array" ref="J2168">_xlfn.IFS(H2168&lt;30,0,H2168&lt;60,1,H2168&lt;90,2,H2168&lt;120,3)</f>
        <v>0</v>
      </c>
      <c r="M2168" t="str">
        <f t="shared" si="206"/>
        <v>Low</v>
      </c>
      <c r="N2168" t="str">
        <f t="shared" si="203"/>
        <v>Oct</v>
      </c>
      <c r="O2168">
        <f t="shared" si="204"/>
        <v>2025</v>
      </c>
    </row>
    <row r="2169" spans="1:15" x14ac:dyDescent="0.3">
      <c r="A2169">
        <v>202099</v>
      </c>
      <c r="B2169" t="s">
        <v>119</v>
      </c>
      <c r="C2169" s="2">
        <v>45960</v>
      </c>
      <c r="D2169" s="2">
        <f t="shared" si="202"/>
        <v>45990</v>
      </c>
      <c r="E2169" s="1">
        <f>D2169+2</f>
        <v>45992</v>
      </c>
      <c r="F2169">
        <v>1657</v>
      </c>
      <c r="G2169">
        <v>30</v>
      </c>
      <c r="H2169">
        <f t="shared" si="207"/>
        <v>0</v>
      </c>
      <c r="I2169" t="str">
        <f t="shared" si="205"/>
        <v>On Time</v>
      </c>
      <c r="J2169" cm="1">
        <f t="array" ref="J2169">_xlfn.IFS(H2169&lt;30,0,H2169&lt;60,1,H2169&lt;90,2,H2169&lt;120,3)</f>
        <v>0</v>
      </c>
      <c r="M2169" t="str">
        <f t="shared" si="206"/>
        <v>Low</v>
      </c>
      <c r="N2169" t="str">
        <f t="shared" si="203"/>
        <v>Oct</v>
      </c>
      <c r="O2169">
        <f t="shared" si="204"/>
        <v>2025</v>
      </c>
    </row>
    <row r="2170" spans="1:15" x14ac:dyDescent="0.3">
      <c r="A2170">
        <v>202100</v>
      </c>
      <c r="B2170" t="s">
        <v>31</v>
      </c>
      <c r="C2170" s="2">
        <v>45960</v>
      </c>
      <c r="D2170" s="2">
        <f t="shared" si="202"/>
        <v>46005</v>
      </c>
      <c r="E2170" s="1">
        <f>D2170</f>
        <v>46005</v>
      </c>
      <c r="F2170">
        <v>11046</v>
      </c>
      <c r="G2170">
        <v>45</v>
      </c>
      <c r="H2170">
        <f t="shared" si="207"/>
        <v>0</v>
      </c>
      <c r="I2170" t="str">
        <f t="shared" si="205"/>
        <v>On Time</v>
      </c>
      <c r="J2170" cm="1">
        <f t="array" ref="J2170">_xlfn.IFS(H2170&lt;30,0,H2170&lt;60,1,H2170&lt;90,2,H2170&lt;120,3)</f>
        <v>0</v>
      </c>
      <c r="M2170" t="str">
        <f t="shared" si="206"/>
        <v>Low</v>
      </c>
      <c r="N2170" t="str">
        <f t="shared" si="203"/>
        <v>Oct</v>
      </c>
      <c r="O2170">
        <f t="shared" si="204"/>
        <v>2025</v>
      </c>
    </row>
    <row r="2171" spans="1:15" x14ac:dyDescent="0.3">
      <c r="A2171">
        <v>202101</v>
      </c>
      <c r="B2171" t="s">
        <v>32</v>
      </c>
      <c r="C2171" s="2">
        <v>45960</v>
      </c>
      <c r="D2171" s="2">
        <f t="shared" si="202"/>
        <v>46005</v>
      </c>
      <c r="E2171" s="1">
        <f>D2171+20</f>
        <v>46025</v>
      </c>
      <c r="F2171">
        <v>2093</v>
      </c>
      <c r="G2171">
        <v>45</v>
      </c>
      <c r="H2171">
        <f t="shared" si="207"/>
        <v>0</v>
      </c>
      <c r="I2171" t="str">
        <f t="shared" si="205"/>
        <v>On Time</v>
      </c>
      <c r="J2171" cm="1">
        <f t="array" ref="J2171">_xlfn.IFS(H2171&lt;30,0,H2171&lt;60,1,H2171&lt;90,2,H2171&lt;120,3)</f>
        <v>0</v>
      </c>
      <c r="M2171" t="str">
        <f t="shared" si="206"/>
        <v>Low</v>
      </c>
      <c r="N2171" t="str">
        <f t="shared" si="203"/>
        <v>Oct</v>
      </c>
      <c r="O2171">
        <f t="shared" si="204"/>
        <v>2025</v>
      </c>
    </row>
    <row r="2172" spans="1:15" x14ac:dyDescent="0.3">
      <c r="A2172">
        <v>202102</v>
      </c>
      <c r="B2172" t="s">
        <v>33</v>
      </c>
      <c r="C2172" s="2">
        <v>45960</v>
      </c>
      <c r="D2172" s="2">
        <f t="shared" si="202"/>
        <v>45990</v>
      </c>
      <c r="E2172" s="1">
        <f>D2172</f>
        <v>45990</v>
      </c>
      <c r="F2172">
        <v>1891</v>
      </c>
      <c r="G2172">
        <v>30</v>
      </c>
      <c r="H2172">
        <f t="shared" si="207"/>
        <v>0</v>
      </c>
      <c r="I2172" t="str">
        <f t="shared" si="205"/>
        <v>On Time</v>
      </c>
      <c r="J2172" cm="1">
        <f t="array" ref="J2172">_xlfn.IFS(H2172&lt;30,0,H2172&lt;60,1,H2172&lt;90,2,H2172&lt;120,3)</f>
        <v>0</v>
      </c>
      <c r="M2172" t="str">
        <f t="shared" si="206"/>
        <v>Low</v>
      </c>
      <c r="N2172" t="str">
        <f t="shared" si="203"/>
        <v>Oct</v>
      </c>
      <c r="O2172">
        <f t="shared" si="204"/>
        <v>2025</v>
      </c>
    </row>
    <row r="2173" spans="1:15" x14ac:dyDescent="0.3">
      <c r="A2173">
        <v>202103</v>
      </c>
      <c r="B2173" t="s">
        <v>34</v>
      </c>
      <c r="C2173" s="2">
        <v>45960</v>
      </c>
      <c r="D2173" s="2">
        <f t="shared" si="202"/>
        <v>46020</v>
      </c>
      <c r="E2173" s="1">
        <f>D2173+1</f>
        <v>46021</v>
      </c>
      <c r="F2173">
        <v>177</v>
      </c>
      <c r="G2173">
        <v>60</v>
      </c>
      <c r="H2173">
        <f t="shared" si="207"/>
        <v>0</v>
      </c>
      <c r="I2173" t="str">
        <f t="shared" si="205"/>
        <v>On Time</v>
      </c>
      <c r="J2173" cm="1">
        <f t="array" ref="J2173">_xlfn.IFS(H2173&lt;30,0,H2173&lt;60,1,H2173&lt;90,2,H2173&lt;120,3)</f>
        <v>0</v>
      </c>
      <c r="M2173" t="str">
        <f t="shared" si="206"/>
        <v>Low</v>
      </c>
      <c r="N2173" t="str">
        <f t="shared" si="203"/>
        <v>Oct</v>
      </c>
      <c r="O2173">
        <f t="shared" si="204"/>
        <v>2025</v>
      </c>
    </row>
    <row r="2174" spans="1:15" x14ac:dyDescent="0.3">
      <c r="A2174">
        <v>202104</v>
      </c>
      <c r="B2174" t="s">
        <v>35</v>
      </c>
      <c r="C2174" s="2">
        <v>45960</v>
      </c>
      <c r="D2174" s="2">
        <f t="shared" si="202"/>
        <v>46005</v>
      </c>
      <c r="E2174" s="1">
        <f>D2174</f>
        <v>46005</v>
      </c>
      <c r="F2174">
        <v>1343</v>
      </c>
      <c r="G2174">
        <v>45</v>
      </c>
      <c r="H2174">
        <f t="shared" si="207"/>
        <v>0</v>
      </c>
      <c r="I2174" t="str">
        <f t="shared" si="205"/>
        <v>On Time</v>
      </c>
      <c r="J2174" cm="1">
        <f t="array" ref="J2174">_xlfn.IFS(H2174&lt;30,0,H2174&lt;60,1,H2174&lt;90,2,H2174&lt;120,3)</f>
        <v>0</v>
      </c>
      <c r="M2174" t="str">
        <f t="shared" si="206"/>
        <v>Low</v>
      </c>
      <c r="N2174" t="str">
        <f t="shared" si="203"/>
        <v>Oct</v>
      </c>
      <c r="O2174">
        <f t="shared" si="204"/>
        <v>2025</v>
      </c>
    </row>
    <row r="2175" spans="1:15" x14ac:dyDescent="0.3">
      <c r="A2175">
        <v>202105</v>
      </c>
      <c r="B2175" t="s">
        <v>36</v>
      </c>
      <c r="C2175" s="2">
        <v>45960</v>
      </c>
      <c r="D2175" s="2">
        <f t="shared" si="202"/>
        <v>45990</v>
      </c>
      <c r="E2175" s="1">
        <f>D2175</f>
        <v>45990</v>
      </c>
      <c r="F2175">
        <v>1444</v>
      </c>
      <c r="G2175">
        <v>30</v>
      </c>
      <c r="H2175">
        <f t="shared" si="207"/>
        <v>0</v>
      </c>
      <c r="I2175" t="str">
        <f t="shared" si="205"/>
        <v>On Time</v>
      </c>
      <c r="J2175" cm="1">
        <f t="array" ref="J2175">_xlfn.IFS(H2175&lt;30,0,H2175&lt;60,1,H2175&lt;90,2,H2175&lt;120,3)</f>
        <v>0</v>
      </c>
      <c r="M2175" t="str">
        <f t="shared" si="206"/>
        <v>Low</v>
      </c>
      <c r="N2175" t="str">
        <f t="shared" si="203"/>
        <v>Oct</v>
      </c>
      <c r="O2175">
        <f t="shared" si="204"/>
        <v>2025</v>
      </c>
    </row>
    <row r="2176" spans="1:15" x14ac:dyDescent="0.3">
      <c r="A2176">
        <v>202106</v>
      </c>
      <c r="B2176" t="s">
        <v>64</v>
      </c>
      <c r="C2176" s="2">
        <v>45960</v>
      </c>
      <c r="D2176" s="2">
        <f t="shared" si="202"/>
        <v>45990</v>
      </c>
      <c r="E2176" s="1">
        <f>D2176+5</f>
        <v>45995</v>
      </c>
      <c r="F2176">
        <v>1238</v>
      </c>
      <c r="G2176">
        <v>30</v>
      </c>
      <c r="H2176">
        <f t="shared" si="207"/>
        <v>0</v>
      </c>
      <c r="I2176" t="str">
        <f t="shared" si="205"/>
        <v>On Time</v>
      </c>
      <c r="J2176" cm="1">
        <f t="array" ref="J2176">_xlfn.IFS(H2176&lt;30,0,H2176&lt;60,1,H2176&lt;90,2,H2176&lt;120,3)</f>
        <v>0</v>
      </c>
      <c r="M2176" t="str">
        <f t="shared" si="206"/>
        <v>Low</v>
      </c>
      <c r="N2176" t="str">
        <f t="shared" si="203"/>
        <v>Oct</v>
      </c>
      <c r="O2176">
        <f t="shared" si="204"/>
        <v>2025</v>
      </c>
    </row>
    <row r="2177" spans="1:15" x14ac:dyDescent="0.3">
      <c r="A2177">
        <v>202107</v>
      </c>
      <c r="B2177" t="s">
        <v>65</v>
      </c>
      <c r="C2177" s="2">
        <v>45960</v>
      </c>
      <c r="D2177" s="2">
        <f t="shared" si="202"/>
        <v>46005</v>
      </c>
      <c r="E2177" s="1">
        <f>D2177+2</f>
        <v>46007</v>
      </c>
      <c r="F2177">
        <v>4506</v>
      </c>
      <c r="G2177">
        <v>45</v>
      </c>
      <c r="H2177">
        <f t="shared" si="207"/>
        <v>0</v>
      </c>
      <c r="I2177" t="str">
        <f t="shared" si="205"/>
        <v>On Time</v>
      </c>
      <c r="J2177" cm="1">
        <f t="array" ref="J2177">_xlfn.IFS(H2177&lt;30,0,H2177&lt;60,1,H2177&lt;90,2,H2177&lt;120,3)</f>
        <v>0</v>
      </c>
      <c r="M2177" t="str">
        <f t="shared" si="206"/>
        <v>Low</v>
      </c>
      <c r="N2177" t="str">
        <f t="shared" si="203"/>
        <v>Oct</v>
      </c>
      <c r="O2177">
        <f t="shared" si="204"/>
        <v>2025</v>
      </c>
    </row>
    <row r="2178" spans="1:15" x14ac:dyDescent="0.3">
      <c r="A2178">
        <v>202108</v>
      </c>
      <c r="B2178" t="s">
        <v>66</v>
      </c>
      <c r="C2178" s="2">
        <v>45960</v>
      </c>
      <c r="D2178" s="2">
        <f t="shared" ref="D2178:D2241" si="208">C2178+G2178</f>
        <v>46020</v>
      </c>
      <c r="E2178" s="1">
        <f>D2178</f>
        <v>46020</v>
      </c>
      <c r="F2178">
        <v>512</v>
      </c>
      <c r="G2178">
        <v>60</v>
      </c>
      <c r="H2178">
        <f t="shared" si="207"/>
        <v>0</v>
      </c>
      <c r="I2178" t="str">
        <f t="shared" si="205"/>
        <v>On Time</v>
      </c>
      <c r="J2178" cm="1">
        <f t="array" ref="J2178">_xlfn.IFS(H2178&lt;30,0,H2178&lt;60,1,H2178&lt;90,2,H2178&lt;120,3)</f>
        <v>0</v>
      </c>
      <c r="M2178" t="str">
        <f t="shared" si="206"/>
        <v>Low</v>
      </c>
      <c r="N2178" t="str">
        <f t="shared" ref="N2178:N2241" si="209">TEXT(C2178,"mmm")</f>
        <v>Oct</v>
      </c>
      <c r="O2178">
        <f t="shared" ref="O2178:O2241" si="210">YEAR(C2178)</f>
        <v>2025</v>
      </c>
    </row>
    <row r="2179" spans="1:15" x14ac:dyDescent="0.3">
      <c r="A2179">
        <v>202109</v>
      </c>
      <c r="B2179" t="s">
        <v>67</v>
      </c>
      <c r="C2179" s="2">
        <v>45960</v>
      </c>
      <c r="D2179" s="2">
        <f t="shared" si="208"/>
        <v>45990</v>
      </c>
      <c r="E2179" s="1">
        <f>D2179</f>
        <v>45990</v>
      </c>
      <c r="F2179">
        <v>2448</v>
      </c>
      <c r="G2179">
        <v>30</v>
      </c>
      <c r="H2179">
        <f t="shared" si="207"/>
        <v>0</v>
      </c>
      <c r="I2179" t="str">
        <f t="shared" si="205"/>
        <v>On Time</v>
      </c>
      <c r="J2179" cm="1">
        <f t="array" ref="J2179">_xlfn.IFS(H2179&lt;30,0,H2179&lt;60,1,H2179&lt;90,2,H2179&lt;120,3)</f>
        <v>0</v>
      </c>
      <c r="M2179" t="str">
        <f t="shared" si="206"/>
        <v>Low</v>
      </c>
      <c r="N2179" t="str">
        <f t="shared" si="209"/>
        <v>Oct</v>
      </c>
      <c r="O2179">
        <f t="shared" si="210"/>
        <v>2025</v>
      </c>
    </row>
    <row r="2180" spans="1:15" x14ac:dyDescent="0.3">
      <c r="A2180">
        <v>202072</v>
      </c>
      <c r="B2180" t="s">
        <v>56</v>
      </c>
      <c r="C2180" s="2">
        <v>45959</v>
      </c>
      <c r="D2180" s="2">
        <f t="shared" si="208"/>
        <v>46004</v>
      </c>
      <c r="E2180" s="1">
        <f>D2180</f>
        <v>46004</v>
      </c>
      <c r="F2180">
        <v>4169</v>
      </c>
      <c r="G2180">
        <v>45</v>
      </c>
      <c r="H2180">
        <f t="shared" si="207"/>
        <v>0</v>
      </c>
      <c r="I2180" t="str">
        <f t="shared" si="205"/>
        <v>On Time</v>
      </c>
      <c r="J2180" cm="1">
        <f t="array" ref="J2180">_xlfn.IFS(H2180&lt;30,0,H2180&lt;60,1,H2180&lt;90,2,H2180&lt;120,3)</f>
        <v>0</v>
      </c>
      <c r="M2180" t="str">
        <f t="shared" si="206"/>
        <v>Low</v>
      </c>
      <c r="N2180" t="str">
        <f t="shared" si="209"/>
        <v>Oct</v>
      </c>
      <c r="O2180">
        <f t="shared" si="210"/>
        <v>2025</v>
      </c>
    </row>
    <row r="2181" spans="1:15" x14ac:dyDescent="0.3">
      <c r="A2181">
        <v>202073</v>
      </c>
      <c r="B2181" t="s">
        <v>57</v>
      </c>
      <c r="C2181" s="2">
        <v>45959</v>
      </c>
      <c r="D2181" s="2">
        <f t="shared" si="208"/>
        <v>46019</v>
      </c>
      <c r="E2181" s="1">
        <f>D2181+5</f>
        <v>46024</v>
      </c>
      <c r="F2181">
        <v>503</v>
      </c>
      <c r="G2181">
        <v>60</v>
      </c>
      <c r="H2181">
        <f t="shared" si="207"/>
        <v>0</v>
      </c>
      <c r="I2181" t="str">
        <f t="shared" si="205"/>
        <v>On Time</v>
      </c>
      <c r="J2181" cm="1">
        <f t="array" ref="J2181">_xlfn.IFS(H2181&lt;30,0,H2181&lt;60,1,H2181&lt;90,2,H2181&lt;120,3)</f>
        <v>0</v>
      </c>
      <c r="M2181" t="str">
        <f t="shared" si="206"/>
        <v>Low</v>
      </c>
      <c r="N2181" t="str">
        <f t="shared" si="209"/>
        <v>Oct</v>
      </c>
      <c r="O2181">
        <f t="shared" si="210"/>
        <v>2025</v>
      </c>
    </row>
    <row r="2182" spans="1:15" x14ac:dyDescent="0.3">
      <c r="A2182">
        <v>202074</v>
      </c>
      <c r="B2182" t="s">
        <v>58</v>
      </c>
      <c r="C2182" s="2">
        <v>45959</v>
      </c>
      <c r="D2182" s="2">
        <f t="shared" si="208"/>
        <v>45989</v>
      </c>
      <c r="E2182" s="1">
        <f>D2182+2</f>
        <v>45991</v>
      </c>
      <c r="F2182">
        <v>335</v>
      </c>
      <c r="G2182">
        <v>30</v>
      </c>
      <c r="H2182">
        <f t="shared" si="207"/>
        <v>0</v>
      </c>
      <c r="I2182" t="str">
        <f t="shared" si="205"/>
        <v>On Time</v>
      </c>
      <c r="J2182" cm="1">
        <f t="array" ref="J2182">_xlfn.IFS(H2182&lt;30,0,H2182&lt;60,1,H2182&lt;90,2,H2182&lt;120,3)</f>
        <v>0</v>
      </c>
      <c r="M2182" t="str">
        <f t="shared" si="206"/>
        <v>Low</v>
      </c>
      <c r="N2182" t="str">
        <f t="shared" si="209"/>
        <v>Oct</v>
      </c>
      <c r="O2182">
        <f t="shared" si="210"/>
        <v>2025</v>
      </c>
    </row>
    <row r="2183" spans="1:15" x14ac:dyDescent="0.3">
      <c r="A2183">
        <v>202075</v>
      </c>
      <c r="B2183" t="s">
        <v>59</v>
      </c>
      <c r="C2183" s="2">
        <v>45959</v>
      </c>
      <c r="D2183" s="2">
        <f t="shared" si="208"/>
        <v>45989</v>
      </c>
      <c r="E2183" s="1">
        <f>D2183+5</f>
        <v>45994</v>
      </c>
      <c r="F2183">
        <v>4779</v>
      </c>
      <c r="G2183">
        <v>30</v>
      </c>
      <c r="H2183">
        <f t="shared" si="207"/>
        <v>0</v>
      </c>
      <c r="I2183" t="str">
        <f t="shared" si="205"/>
        <v>On Time</v>
      </c>
      <c r="J2183" cm="1">
        <f t="array" ref="J2183">_xlfn.IFS(H2183&lt;30,0,H2183&lt;60,1,H2183&lt;90,2,H2183&lt;120,3)</f>
        <v>0</v>
      </c>
      <c r="M2183" t="str">
        <f t="shared" si="206"/>
        <v>Low</v>
      </c>
      <c r="N2183" t="str">
        <f t="shared" si="209"/>
        <v>Oct</v>
      </c>
      <c r="O2183">
        <f t="shared" si="210"/>
        <v>2025</v>
      </c>
    </row>
    <row r="2184" spans="1:15" x14ac:dyDescent="0.3">
      <c r="A2184">
        <v>202076</v>
      </c>
      <c r="B2184" t="s">
        <v>60</v>
      </c>
      <c r="C2184" s="2">
        <v>45959</v>
      </c>
      <c r="D2184" s="2">
        <f t="shared" si="208"/>
        <v>45989</v>
      </c>
      <c r="E2184" s="1">
        <f>D2184</f>
        <v>45989</v>
      </c>
      <c r="F2184">
        <v>2989</v>
      </c>
      <c r="G2184">
        <v>30</v>
      </c>
      <c r="H2184">
        <f t="shared" si="207"/>
        <v>0</v>
      </c>
      <c r="I2184" t="str">
        <f t="shared" si="205"/>
        <v>On Time</v>
      </c>
      <c r="J2184" cm="1">
        <f t="array" ref="J2184">_xlfn.IFS(H2184&lt;30,0,H2184&lt;60,1,H2184&lt;90,2,H2184&lt;120,3)</f>
        <v>0</v>
      </c>
      <c r="M2184" t="str">
        <f t="shared" si="206"/>
        <v>Low</v>
      </c>
      <c r="N2184" t="str">
        <f t="shared" si="209"/>
        <v>Oct</v>
      </c>
      <c r="O2184">
        <f t="shared" si="210"/>
        <v>2025</v>
      </c>
    </row>
    <row r="2185" spans="1:15" x14ac:dyDescent="0.3">
      <c r="A2185">
        <v>202077</v>
      </c>
      <c r="B2185" t="s">
        <v>61</v>
      </c>
      <c r="C2185" s="2">
        <v>45959</v>
      </c>
      <c r="D2185" s="2">
        <f t="shared" si="208"/>
        <v>45989</v>
      </c>
      <c r="E2185" s="1">
        <f>D2185</f>
        <v>45989</v>
      </c>
      <c r="F2185">
        <v>14445</v>
      </c>
      <c r="G2185">
        <v>30</v>
      </c>
      <c r="H2185">
        <f t="shared" si="207"/>
        <v>0</v>
      </c>
      <c r="I2185" t="str">
        <f t="shared" si="205"/>
        <v>On Time</v>
      </c>
      <c r="J2185" cm="1">
        <f t="array" ref="J2185">_xlfn.IFS(H2185&lt;30,0,H2185&lt;60,1,H2185&lt;90,2,H2185&lt;120,3)</f>
        <v>0</v>
      </c>
      <c r="M2185" t="str">
        <f t="shared" si="206"/>
        <v>Low</v>
      </c>
      <c r="N2185" t="str">
        <f t="shared" si="209"/>
        <v>Oct</v>
      </c>
      <c r="O2185">
        <f t="shared" si="210"/>
        <v>2025</v>
      </c>
    </row>
    <row r="2186" spans="1:15" x14ac:dyDescent="0.3">
      <c r="A2186">
        <v>202078</v>
      </c>
      <c r="B2186" t="s">
        <v>62</v>
      </c>
      <c r="C2186" s="2">
        <v>45959</v>
      </c>
      <c r="D2186" s="2">
        <f t="shared" si="208"/>
        <v>45989</v>
      </c>
      <c r="E2186" s="1">
        <f>D2186+60</f>
        <v>46049</v>
      </c>
      <c r="F2186">
        <v>2246</v>
      </c>
      <c r="G2186">
        <v>30</v>
      </c>
      <c r="H2186">
        <f t="shared" si="207"/>
        <v>0</v>
      </c>
      <c r="I2186" t="str">
        <f t="shared" si="205"/>
        <v>On Time</v>
      </c>
      <c r="J2186" cm="1">
        <f t="array" ref="J2186">_xlfn.IFS(H2186&lt;30,0,H2186&lt;60,1,H2186&lt;90,2,H2186&lt;120,3)</f>
        <v>0</v>
      </c>
      <c r="M2186" t="str">
        <f t="shared" si="206"/>
        <v>Low</v>
      </c>
      <c r="N2186" t="str">
        <f t="shared" si="209"/>
        <v>Oct</v>
      </c>
      <c r="O2186">
        <f t="shared" si="210"/>
        <v>2025</v>
      </c>
    </row>
    <row r="2187" spans="1:15" x14ac:dyDescent="0.3">
      <c r="A2187">
        <v>202079</v>
      </c>
      <c r="B2187" t="s">
        <v>63</v>
      </c>
      <c r="C2187" s="2">
        <v>45959</v>
      </c>
      <c r="D2187" s="2">
        <f t="shared" si="208"/>
        <v>45989</v>
      </c>
      <c r="E2187" s="1">
        <f>D2187</f>
        <v>45989</v>
      </c>
      <c r="F2187">
        <v>3408</v>
      </c>
      <c r="G2187">
        <v>30</v>
      </c>
      <c r="H2187">
        <f t="shared" si="207"/>
        <v>0</v>
      </c>
      <c r="I2187" t="str">
        <f t="shared" si="205"/>
        <v>On Time</v>
      </c>
      <c r="J2187" cm="1">
        <f t="array" ref="J2187">_xlfn.IFS(H2187&lt;30,0,H2187&lt;60,1,H2187&lt;90,2,H2187&lt;120,3)</f>
        <v>0</v>
      </c>
      <c r="M2187" t="str">
        <f t="shared" si="206"/>
        <v>Low</v>
      </c>
      <c r="N2187" t="str">
        <f t="shared" si="209"/>
        <v>Oct</v>
      </c>
      <c r="O2187">
        <f t="shared" si="210"/>
        <v>2025</v>
      </c>
    </row>
    <row r="2188" spans="1:15" x14ac:dyDescent="0.3">
      <c r="A2188">
        <v>202080</v>
      </c>
      <c r="B2188" t="s">
        <v>64</v>
      </c>
      <c r="C2188" s="2">
        <v>45959</v>
      </c>
      <c r="D2188" s="2">
        <f t="shared" si="208"/>
        <v>45989</v>
      </c>
      <c r="F2188">
        <v>14554</v>
      </c>
      <c r="G2188">
        <v>30</v>
      </c>
      <c r="H2188">
        <f t="shared" si="207"/>
        <v>0</v>
      </c>
      <c r="I2188" t="str">
        <f t="shared" si="205"/>
        <v>On Time</v>
      </c>
      <c r="J2188" cm="1">
        <f t="array" ref="J2188">_xlfn.IFS(H2188&lt;30,0,H2188&lt;60,1,H2188&lt;90,2,H2188&lt;120,3)</f>
        <v>0</v>
      </c>
      <c r="M2188" t="str">
        <f t="shared" si="206"/>
        <v>Low</v>
      </c>
      <c r="N2188" t="str">
        <f t="shared" si="209"/>
        <v>Oct</v>
      </c>
      <c r="O2188">
        <f t="shared" si="210"/>
        <v>2025</v>
      </c>
    </row>
    <row r="2189" spans="1:15" x14ac:dyDescent="0.3">
      <c r="A2189">
        <v>202081</v>
      </c>
      <c r="B2189" t="s">
        <v>65</v>
      </c>
      <c r="C2189" s="2">
        <v>45959</v>
      </c>
      <c r="D2189" s="2">
        <f t="shared" si="208"/>
        <v>46004</v>
      </c>
      <c r="E2189" s="1">
        <f>D2189+3</f>
        <v>46007</v>
      </c>
      <c r="F2189">
        <v>1465</v>
      </c>
      <c r="G2189">
        <v>45</v>
      </c>
      <c r="H2189">
        <f t="shared" si="207"/>
        <v>0</v>
      </c>
      <c r="I2189" t="str">
        <f t="shared" si="205"/>
        <v>On Time</v>
      </c>
      <c r="J2189" cm="1">
        <f t="array" ref="J2189">_xlfn.IFS(H2189&lt;30,0,H2189&lt;60,1,H2189&lt;90,2,H2189&lt;120,3)</f>
        <v>0</v>
      </c>
      <c r="M2189" t="str">
        <f t="shared" si="206"/>
        <v>Low</v>
      </c>
      <c r="N2189" t="str">
        <f t="shared" si="209"/>
        <v>Oct</v>
      </c>
      <c r="O2189">
        <f t="shared" si="210"/>
        <v>2025</v>
      </c>
    </row>
    <row r="2190" spans="1:15" x14ac:dyDescent="0.3">
      <c r="A2190">
        <v>202082</v>
      </c>
      <c r="B2190" t="s">
        <v>94</v>
      </c>
      <c r="C2190" s="2">
        <v>45959</v>
      </c>
      <c r="D2190" s="2">
        <f t="shared" si="208"/>
        <v>45989</v>
      </c>
      <c r="E2190" s="1">
        <f>D2190+1</f>
        <v>45990</v>
      </c>
      <c r="F2190">
        <v>2707</v>
      </c>
      <c r="G2190">
        <v>30</v>
      </c>
      <c r="H2190">
        <f t="shared" si="207"/>
        <v>0</v>
      </c>
      <c r="I2190" t="str">
        <f t="shared" si="205"/>
        <v>On Time</v>
      </c>
      <c r="J2190" cm="1">
        <f t="array" ref="J2190">_xlfn.IFS(H2190&lt;30,0,H2190&lt;60,1,H2190&lt;90,2,H2190&lt;120,3)</f>
        <v>0</v>
      </c>
      <c r="M2190" t="str">
        <f t="shared" si="206"/>
        <v>Low</v>
      </c>
      <c r="N2190" t="str">
        <f t="shared" si="209"/>
        <v>Oct</v>
      </c>
      <c r="O2190">
        <f t="shared" si="210"/>
        <v>2025</v>
      </c>
    </row>
    <row r="2191" spans="1:15" x14ac:dyDescent="0.3">
      <c r="A2191">
        <v>202083</v>
      </c>
      <c r="B2191" t="s">
        <v>95</v>
      </c>
      <c r="C2191" s="2">
        <v>45959</v>
      </c>
      <c r="D2191" s="2">
        <f t="shared" si="208"/>
        <v>46004</v>
      </c>
      <c r="E2191" s="1">
        <f>D2191-1</f>
        <v>46003</v>
      </c>
      <c r="F2191">
        <v>1767</v>
      </c>
      <c r="G2191">
        <v>45</v>
      </c>
      <c r="H2191">
        <f t="shared" si="207"/>
        <v>0</v>
      </c>
      <c r="I2191" t="str">
        <f t="shared" si="205"/>
        <v>On Time</v>
      </c>
      <c r="J2191" cm="1">
        <f t="array" ref="J2191">_xlfn.IFS(H2191&lt;30,0,H2191&lt;60,1,H2191&lt;90,2,H2191&lt;120,3)</f>
        <v>0</v>
      </c>
      <c r="M2191" t="str">
        <f t="shared" si="206"/>
        <v>Low</v>
      </c>
      <c r="N2191" t="str">
        <f t="shared" si="209"/>
        <v>Oct</v>
      </c>
      <c r="O2191">
        <f t="shared" si="210"/>
        <v>2025</v>
      </c>
    </row>
    <row r="2192" spans="1:15" x14ac:dyDescent="0.3">
      <c r="A2192">
        <v>202084</v>
      </c>
      <c r="B2192" t="s">
        <v>96</v>
      </c>
      <c r="C2192" s="2">
        <v>45959</v>
      </c>
      <c r="D2192" s="2">
        <f t="shared" si="208"/>
        <v>46019</v>
      </c>
      <c r="E2192" s="1">
        <f>D2192</f>
        <v>46019</v>
      </c>
      <c r="F2192">
        <v>17337</v>
      </c>
      <c r="G2192">
        <v>60</v>
      </c>
      <c r="H2192">
        <f t="shared" si="207"/>
        <v>0</v>
      </c>
      <c r="I2192" t="str">
        <f t="shared" si="205"/>
        <v>On Time</v>
      </c>
      <c r="J2192" cm="1">
        <f t="array" ref="J2192">_xlfn.IFS(H2192&lt;30,0,H2192&lt;60,1,H2192&lt;90,2,H2192&lt;120,3)</f>
        <v>0</v>
      </c>
      <c r="M2192" t="str">
        <f t="shared" si="206"/>
        <v>Low</v>
      </c>
      <c r="N2192" t="str">
        <f t="shared" si="209"/>
        <v>Oct</v>
      </c>
      <c r="O2192">
        <f t="shared" si="210"/>
        <v>2025</v>
      </c>
    </row>
    <row r="2193" spans="1:15" x14ac:dyDescent="0.3">
      <c r="A2193">
        <v>202085</v>
      </c>
      <c r="B2193" t="s">
        <v>97</v>
      </c>
      <c r="C2193" s="2">
        <v>45959</v>
      </c>
      <c r="D2193" s="2">
        <f t="shared" si="208"/>
        <v>45989</v>
      </c>
      <c r="E2193" s="1">
        <f>D2193-5</f>
        <v>45984</v>
      </c>
      <c r="F2193">
        <v>2175</v>
      </c>
      <c r="G2193">
        <v>30</v>
      </c>
      <c r="H2193">
        <f t="shared" si="207"/>
        <v>0</v>
      </c>
      <c r="I2193" t="str">
        <f t="shared" si="205"/>
        <v>On Time</v>
      </c>
      <c r="J2193" cm="1">
        <f t="array" ref="J2193">_xlfn.IFS(H2193&lt;30,0,H2193&lt;60,1,H2193&lt;90,2,H2193&lt;120,3)</f>
        <v>0</v>
      </c>
      <c r="M2193" t="str">
        <f t="shared" si="206"/>
        <v>Low</v>
      </c>
      <c r="N2193" t="str">
        <f t="shared" si="209"/>
        <v>Oct</v>
      </c>
      <c r="O2193">
        <f t="shared" si="210"/>
        <v>2025</v>
      </c>
    </row>
    <row r="2194" spans="1:15" x14ac:dyDescent="0.3">
      <c r="A2194">
        <v>202086</v>
      </c>
      <c r="B2194" t="s">
        <v>98</v>
      </c>
      <c r="C2194" s="2">
        <v>45959</v>
      </c>
      <c r="D2194" s="2">
        <f t="shared" si="208"/>
        <v>45989</v>
      </c>
      <c r="E2194" s="1">
        <f>D2194+35</f>
        <v>46024</v>
      </c>
      <c r="F2194">
        <v>4920</v>
      </c>
      <c r="G2194">
        <v>30</v>
      </c>
      <c r="H2194">
        <f t="shared" si="207"/>
        <v>0</v>
      </c>
      <c r="I2194" t="str">
        <f t="shared" si="205"/>
        <v>On Time</v>
      </c>
      <c r="J2194" cm="1">
        <f t="array" ref="J2194">_xlfn.IFS(H2194&lt;30,0,H2194&lt;60,1,H2194&lt;90,2,H2194&lt;120,3)</f>
        <v>0</v>
      </c>
      <c r="M2194" t="str">
        <f t="shared" si="206"/>
        <v>Low</v>
      </c>
      <c r="N2194" t="str">
        <f t="shared" si="209"/>
        <v>Oct</v>
      </c>
      <c r="O2194">
        <f t="shared" si="210"/>
        <v>2025</v>
      </c>
    </row>
    <row r="2195" spans="1:15" x14ac:dyDescent="0.3">
      <c r="A2195">
        <v>202087</v>
      </c>
      <c r="B2195" t="s">
        <v>99</v>
      </c>
      <c r="C2195" s="2">
        <v>45959</v>
      </c>
      <c r="D2195" s="2">
        <f t="shared" si="208"/>
        <v>45989</v>
      </c>
      <c r="E2195" s="1">
        <f>D2195+75</f>
        <v>46064</v>
      </c>
      <c r="F2195">
        <v>3617</v>
      </c>
      <c r="G2195">
        <v>30</v>
      </c>
      <c r="H2195">
        <f t="shared" si="207"/>
        <v>0</v>
      </c>
      <c r="I2195" t="str">
        <f t="shared" si="205"/>
        <v>On Time</v>
      </c>
      <c r="J2195" cm="1">
        <f t="array" ref="J2195">_xlfn.IFS(H2195&lt;30,0,H2195&lt;60,1,H2195&lt;90,2,H2195&lt;120,3)</f>
        <v>0</v>
      </c>
      <c r="M2195" t="str">
        <f t="shared" si="206"/>
        <v>Low</v>
      </c>
      <c r="N2195" t="str">
        <f t="shared" si="209"/>
        <v>Oct</v>
      </c>
      <c r="O2195">
        <f t="shared" si="210"/>
        <v>2025</v>
      </c>
    </row>
    <row r="2196" spans="1:15" x14ac:dyDescent="0.3">
      <c r="A2196">
        <v>202088</v>
      </c>
      <c r="B2196" t="s">
        <v>100</v>
      </c>
      <c r="C2196" s="2">
        <v>45959</v>
      </c>
      <c r="D2196" s="2">
        <f t="shared" si="208"/>
        <v>45989</v>
      </c>
      <c r="E2196" s="1">
        <f>D2196+5</f>
        <v>45994</v>
      </c>
      <c r="F2196">
        <v>2999</v>
      </c>
      <c r="G2196">
        <v>30</v>
      </c>
      <c r="H2196">
        <f t="shared" si="207"/>
        <v>0</v>
      </c>
      <c r="I2196" t="str">
        <f t="shared" si="205"/>
        <v>On Time</v>
      </c>
      <c r="J2196" cm="1">
        <f t="array" ref="J2196">_xlfn.IFS(H2196&lt;30,0,H2196&lt;60,1,H2196&lt;90,2,H2196&lt;120,3)</f>
        <v>0</v>
      </c>
      <c r="M2196" t="str">
        <f t="shared" si="206"/>
        <v>Low</v>
      </c>
      <c r="N2196" t="str">
        <f t="shared" si="209"/>
        <v>Oct</v>
      </c>
      <c r="O2196">
        <f t="shared" si="210"/>
        <v>2025</v>
      </c>
    </row>
    <row r="2197" spans="1:15" x14ac:dyDescent="0.3">
      <c r="A2197">
        <v>202089</v>
      </c>
      <c r="B2197" t="s">
        <v>101</v>
      </c>
      <c r="C2197" s="2">
        <v>45959</v>
      </c>
      <c r="D2197" s="2">
        <f t="shared" si="208"/>
        <v>45989</v>
      </c>
      <c r="E2197" s="1">
        <f>D2197</f>
        <v>45989</v>
      </c>
      <c r="F2197">
        <v>1655</v>
      </c>
      <c r="G2197">
        <v>30</v>
      </c>
      <c r="H2197">
        <f t="shared" si="207"/>
        <v>0</v>
      </c>
      <c r="I2197" t="str">
        <f t="shared" si="205"/>
        <v>On Time</v>
      </c>
      <c r="J2197" cm="1">
        <f t="array" ref="J2197">_xlfn.IFS(H2197&lt;30,0,H2197&lt;60,1,H2197&lt;90,2,H2197&lt;120,3)</f>
        <v>0</v>
      </c>
      <c r="M2197" t="str">
        <f t="shared" si="206"/>
        <v>Low</v>
      </c>
      <c r="N2197" t="str">
        <f t="shared" si="209"/>
        <v>Oct</v>
      </c>
      <c r="O2197">
        <f t="shared" si="210"/>
        <v>2025</v>
      </c>
    </row>
    <row r="2198" spans="1:15" x14ac:dyDescent="0.3">
      <c r="A2198">
        <v>202090</v>
      </c>
      <c r="B2198" t="s">
        <v>102</v>
      </c>
      <c r="C2198" s="2">
        <v>45959</v>
      </c>
      <c r="D2198" s="2">
        <f t="shared" si="208"/>
        <v>45989</v>
      </c>
      <c r="E2198" s="1">
        <f>D2198-1</f>
        <v>45988</v>
      </c>
      <c r="F2198">
        <v>1488</v>
      </c>
      <c r="G2198">
        <v>30</v>
      </c>
      <c r="H2198">
        <f t="shared" si="207"/>
        <v>0</v>
      </c>
      <c r="I2198" t="str">
        <f t="shared" ref="I2198:I2261" si="211">IF(H2198=0,"On Time",IF(H2198&lt;=15,"Paid Late","Seriously Late"))</f>
        <v>On Time</v>
      </c>
      <c r="J2198" cm="1">
        <f t="array" ref="J2198">_xlfn.IFS(H2198&lt;30,0,H2198&lt;60,1,H2198&lt;90,2,H2198&lt;120,3)</f>
        <v>0</v>
      </c>
      <c r="M2198" t="str">
        <f t="shared" ref="M2198:M2261" si="212">IF(H2198&gt;30,"High",IF(H2198&gt;10,"Medium","Low"))</f>
        <v>Low</v>
      </c>
      <c r="N2198" t="str">
        <f t="shared" si="209"/>
        <v>Oct</v>
      </c>
      <c r="O2198">
        <f t="shared" si="210"/>
        <v>2025</v>
      </c>
    </row>
    <row r="2199" spans="1:15" x14ac:dyDescent="0.3">
      <c r="A2199">
        <v>202091</v>
      </c>
      <c r="B2199" t="s">
        <v>103</v>
      </c>
      <c r="C2199" s="2">
        <v>45959</v>
      </c>
      <c r="D2199" s="2">
        <f t="shared" si="208"/>
        <v>45989</v>
      </c>
      <c r="E2199" s="1">
        <f>D2199</f>
        <v>45989</v>
      </c>
      <c r="F2199">
        <v>3560</v>
      </c>
      <c r="G2199">
        <v>30</v>
      </c>
      <c r="H2199">
        <f t="shared" si="207"/>
        <v>0</v>
      </c>
      <c r="I2199" t="str">
        <f t="shared" si="211"/>
        <v>On Time</v>
      </c>
      <c r="J2199" cm="1">
        <f t="array" ref="J2199">_xlfn.IFS(H2199&lt;30,0,H2199&lt;60,1,H2199&lt;90,2,H2199&lt;120,3)</f>
        <v>0</v>
      </c>
      <c r="M2199" t="str">
        <f t="shared" si="212"/>
        <v>Low</v>
      </c>
      <c r="N2199" t="str">
        <f t="shared" si="209"/>
        <v>Oct</v>
      </c>
      <c r="O2199">
        <f t="shared" si="210"/>
        <v>2025</v>
      </c>
    </row>
    <row r="2200" spans="1:15" x14ac:dyDescent="0.3">
      <c r="A2200">
        <v>202049</v>
      </c>
      <c r="B2200" t="s">
        <v>108</v>
      </c>
      <c r="C2200" s="2">
        <v>45958</v>
      </c>
      <c r="D2200" s="2">
        <f t="shared" si="208"/>
        <v>45988</v>
      </c>
      <c r="E2200" s="1">
        <f>D2200+1</f>
        <v>45989</v>
      </c>
      <c r="F2200">
        <v>3986</v>
      </c>
      <c r="G2200">
        <v>30</v>
      </c>
      <c r="H2200">
        <f t="shared" si="207"/>
        <v>0</v>
      </c>
      <c r="I2200" t="str">
        <f t="shared" si="211"/>
        <v>On Time</v>
      </c>
      <c r="J2200" cm="1">
        <f t="array" ref="J2200">_xlfn.IFS(H2200&lt;30,0,H2200&lt;60,1,H2200&lt;90,2,H2200&lt;120,3)</f>
        <v>0</v>
      </c>
      <c r="M2200" t="str">
        <f t="shared" si="212"/>
        <v>Low</v>
      </c>
      <c r="N2200" t="str">
        <f t="shared" si="209"/>
        <v>Oct</v>
      </c>
      <c r="O2200">
        <f t="shared" si="210"/>
        <v>2025</v>
      </c>
    </row>
    <row r="2201" spans="1:15" x14ac:dyDescent="0.3">
      <c r="A2201">
        <v>202050</v>
      </c>
      <c r="B2201" t="s">
        <v>109</v>
      </c>
      <c r="C2201" s="2">
        <v>45958</v>
      </c>
      <c r="D2201" s="2">
        <f t="shared" si="208"/>
        <v>45988</v>
      </c>
      <c r="E2201" s="1">
        <f>D2201-1</f>
        <v>45987</v>
      </c>
      <c r="F2201">
        <v>1631</v>
      </c>
      <c r="G2201">
        <v>30</v>
      </c>
      <c r="H2201">
        <f t="shared" si="207"/>
        <v>0</v>
      </c>
      <c r="I2201" t="str">
        <f t="shared" si="211"/>
        <v>On Time</v>
      </c>
      <c r="J2201" cm="1">
        <f t="array" ref="J2201">_xlfn.IFS(H2201&lt;30,0,H2201&lt;60,1,H2201&lt;90,2,H2201&lt;120,3)</f>
        <v>0</v>
      </c>
      <c r="M2201" t="str">
        <f t="shared" si="212"/>
        <v>Low</v>
      </c>
      <c r="N2201" t="str">
        <f t="shared" si="209"/>
        <v>Oct</v>
      </c>
      <c r="O2201">
        <f t="shared" si="210"/>
        <v>2025</v>
      </c>
    </row>
    <row r="2202" spans="1:15" x14ac:dyDescent="0.3">
      <c r="A2202">
        <v>202051</v>
      </c>
      <c r="B2202" t="s">
        <v>110</v>
      </c>
      <c r="C2202" s="2">
        <v>45958</v>
      </c>
      <c r="D2202" s="2">
        <f t="shared" si="208"/>
        <v>46003</v>
      </c>
      <c r="E2202" s="1">
        <f>D2202</f>
        <v>46003</v>
      </c>
      <c r="F2202">
        <v>3618</v>
      </c>
      <c r="G2202">
        <v>45</v>
      </c>
      <c r="H2202">
        <f t="shared" si="207"/>
        <v>0</v>
      </c>
      <c r="I2202" t="str">
        <f t="shared" si="211"/>
        <v>On Time</v>
      </c>
      <c r="J2202" cm="1">
        <f t="array" ref="J2202">_xlfn.IFS(H2202&lt;30,0,H2202&lt;60,1,H2202&lt;90,2,H2202&lt;120,3)</f>
        <v>0</v>
      </c>
      <c r="M2202" t="str">
        <f t="shared" si="212"/>
        <v>Low</v>
      </c>
      <c r="N2202" t="str">
        <f t="shared" si="209"/>
        <v>Oct</v>
      </c>
      <c r="O2202">
        <f t="shared" si="210"/>
        <v>2025</v>
      </c>
    </row>
    <row r="2203" spans="1:15" x14ac:dyDescent="0.3">
      <c r="A2203">
        <v>202052</v>
      </c>
      <c r="B2203" t="s">
        <v>111</v>
      </c>
      <c r="C2203" s="2">
        <v>45958</v>
      </c>
      <c r="D2203" s="2">
        <f t="shared" si="208"/>
        <v>46018</v>
      </c>
      <c r="E2203" s="1">
        <f>D2203+1</f>
        <v>46019</v>
      </c>
      <c r="F2203">
        <v>4533</v>
      </c>
      <c r="G2203">
        <v>60</v>
      </c>
      <c r="H2203">
        <f t="shared" si="207"/>
        <v>0</v>
      </c>
      <c r="I2203" t="str">
        <f t="shared" si="211"/>
        <v>On Time</v>
      </c>
      <c r="J2203" cm="1">
        <f t="array" ref="J2203">_xlfn.IFS(H2203&lt;30,0,H2203&lt;60,1,H2203&lt;90,2,H2203&lt;120,3)</f>
        <v>0</v>
      </c>
      <c r="M2203" t="str">
        <f t="shared" si="212"/>
        <v>Low</v>
      </c>
      <c r="N2203" t="str">
        <f t="shared" si="209"/>
        <v>Oct</v>
      </c>
      <c r="O2203">
        <f t="shared" si="210"/>
        <v>2025</v>
      </c>
    </row>
    <row r="2204" spans="1:15" x14ac:dyDescent="0.3">
      <c r="A2204">
        <v>202053</v>
      </c>
      <c r="B2204" t="s">
        <v>112</v>
      </c>
      <c r="C2204" s="2">
        <v>45958</v>
      </c>
      <c r="D2204" s="2">
        <f t="shared" si="208"/>
        <v>46003</v>
      </c>
      <c r="E2204" s="1">
        <f>D2204+35</f>
        <v>46038</v>
      </c>
      <c r="F2204">
        <v>1506</v>
      </c>
      <c r="G2204">
        <v>45</v>
      </c>
      <c r="H2204">
        <f t="shared" si="207"/>
        <v>0</v>
      </c>
      <c r="I2204" t="str">
        <f t="shared" si="211"/>
        <v>On Time</v>
      </c>
      <c r="J2204" cm="1">
        <f t="array" ref="J2204">_xlfn.IFS(H2204&lt;30,0,H2204&lt;60,1,H2204&lt;90,2,H2204&lt;120,3)</f>
        <v>0</v>
      </c>
      <c r="M2204" t="str">
        <f t="shared" si="212"/>
        <v>Low</v>
      </c>
      <c r="N2204" t="str">
        <f t="shared" si="209"/>
        <v>Oct</v>
      </c>
      <c r="O2204">
        <f t="shared" si="210"/>
        <v>2025</v>
      </c>
    </row>
    <row r="2205" spans="1:15" x14ac:dyDescent="0.3">
      <c r="A2205">
        <v>202054</v>
      </c>
      <c r="B2205" t="s">
        <v>113</v>
      </c>
      <c r="C2205" s="2">
        <v>45958</v>
      </c>
      <c r="D2205" s="2">
        <f t="shared" si="208"/>
        <v>46003</v>
      </c>
      <c r="E2205" s="1">
        <f>D2205+75</f>
        <v>46078</v>
      </c>
      <c r="F2205">
        <v>1124</v>
      </c>
      <c r="G2205">
        <v>45</v>
      </c>
      <c r="H2205">
        <f t="shared" si="207"/>
        <v>0</v>
      </c>
      <c r="I2205" t="str">
        <f t="shared" si="211"/>
        <v>On Time</v>
      </c>
      <c r="J2205" cm="1">
        <f t="array" ref="J2205">_xlfn.IFS(H2205&lt;30,0,H2205&lt;60,1,H2205&lt;90,2,H2205&lt;120,3)</f>
        <v>0</v>
      </c>
      <c r="M2205" t="str">
        <f t="shared" si="212"/>
        <v>Low</v>
      </c>
      <c r="N2205" t="str">
        <f t="shared" si="209"/>
        <v>Oct</v>
      </c>
      <c r="O2205">
        <f t="shared" si="210"/>
        <v>2025</v>
      </c>
    </row>
    <row r="2206" spans="1:15" x14ac:dyDescent="0.3">
      <c r="A2206">
        <v>202055</v>
      </c>
      <c r="B2206" t="s">
        <v>114</v>
      </c>
      <c r="C2206" s="2">
        <v>45958</v>
      </c>
      <c r="D2206" s="2">
        <f t="shared" si="208"/>
        <v>45988</v>
      </c>
      <c r="E2206" s="1">
        <f>D2206+5</f>
        <v>45993</v>
      </c>
      <c r="F2206">
        <v>1254</v>
      </c>
      <c r="G2206">
        <v>30</v>
      </c>
      <c r="H2206">
        <f t="shared" si="207"/>
        <v>0</v>
      </c>
      <c r="I2206" t="str">
        <f t="shared" si="211"/>
        <v>On Time</v>
      </c>
      <c r="J2206" cm="1">
        <f t="array" ref="J2206">_xlfn.IFS(H2206&lt;30,0,H2206&lt;60,1,H2206&lt;90,2,H2206&lt;120,3)</f>
        <v>0</v>
      </c>
      <c r="M2206" t="str">
        <f t="shared" si="212"/>
        <v>Low</v>
      </c>
      <c r="N2206" t="str">
        <f t="shared" si="209"/>
        <v>Oct</v>
      </c>
      <c r="O2206">
        <f t="shared" si="210"/>
        <v>2025</v>
      </c>
    </row>
    <row r="2207" spans="1:15" x14ac:dyDescent="0.3">
      <c r="A2207">
        <v>202056</v>
      </c>
      <c r="B2207" t="s">
        <v>115</v>
      </c>
      <c r="C2207" s="2">
        <v>45958</v>
      </c>
      <c r="D2207" s="2">
        <f t="shared" si="208"/>
        <v>45988</v>
      </c>
      <c r="E2207" s="1">
        <f>D2207</f>
        <v>45988</v>
      </c>
      <c r="F2207">
        <v>2574</v>
      </c>
      <c r="G2207">
        <v>30</v>
      </c>
      <c r="H2207">
        <f t="shared" si="207"/>
        <v>0</v>
      </c>
      <c r="I2207" t="str">
        <f t="shared" si="211"/>
        <v>On Time</v>
      </c>
      <c r="J2207" cm="1">
        <f t="array" ref="J2207">_xlfn.IFS(H2207&lt;30,0,H2207&lt;60,1,H2207&lt;90,2,H2207&lt;120,3)</f>
        <v>0</v>
      </c>
      <c r="M2207" t="str">
        <f t="shared" si="212"/>
        <v>Low</v>
      </c>
      <c r="N2207" t="str">
        <f t="shared" si="209"/>
        <v>Oct</v>
      </c>
      <c r="O2207">
        <f t="shared" si="210"/>
        <v>2025</v>
      </c>
    </row>
    <row r="2208" spans="1:15" x14ac:dyDescent="0.3">
      <c r="A2208">
        <v>202057</v>
      </c>
      <c r="B2208" t="s">
        <v>116</v>
      </c>
      <c r="C2208" s="2">
        <v>45958</v>
      </c>
      <c r="D2208" s="2">
        <f t="shared" si="208"/>
        <v>45988</v>
      </c>
      <c r="E2208" s="1">
        <f>D2208-1</f>
        <v>45987</v>
      </c>
      <c r="F2208">
        <v>3926</v>
      </c>
      <c r="G2208">
        <v>30</v>
      </c>
      <c r="H2208">
        <f t="shared" si="207"/>
        <v>0</v>
      </c>
      <c r="I2208" t="str">
        <f t="shared" si="211"/>
        <v>On Time</v>
      </c>
      <c r="J2208" cm="1">
        <f t="array" ref="J2208">_xlfn.IFS(H2208&lt;30,0,H2208&lt;60,1,H2208&lt;90,2,H2208&lt;120,3)</f>
        <v>0</v>
      </c>
      <c r="M2208" t="str">
        <f t="shared" si="212"/>
        <v>Low</v>
      </c>
      <c r="N2208" t="str">
        <f t="shared" si="209"/>
        <v>Oct</v>
      </c>
      <c r="O2208">
        <f t="shared" si="210"/>
        <v>2025</v>
      </c>
    </row>
    <row r="2209" spans="1:15" x14ac:dyDescent="0.3">
      <c r="A2209">
        <v>202058</v>
      </c>
      <c r="B2209" t="s">
        <v>20</v>
      </c>
      <c r="C2209" s="2">
        <v>45958</v>
      </c>
      <c r="D2209" s="2">
        <f t="shared" si="208"/>
        <v>45988</v>
      </c>
      <c r="E2209" s="1">
        <f>D2209</f>
        <v>45988</v>
      </c>
      <c r="F2209">
        <v>12443</v>
      </c>
      <c r="G2209">
        <v>30</v>
      </c>
      <c r="H2209">
        <f t="shared" si="207"/>
        <v>0</v>
      </c>
      <c r="I2209" t="str">
        <f t="shared" si="211"/>
        <v>On Time</v>
      </c>
      <c r="J2209" cm="1">
        <f t="array" ref="J2209">_xlfn.IFS(H2209&lt;30,0,H2209&lt;60,1,H2209&lt;90,2,H2209&lt;120,3)</f>
        <v>0</v>
      </c>
      <c r="M2209" t="str">
        <f t="shared" si="212"/>
        <v>Low</v>
      </c>
      <c r="N2209" t="str">
        <f t="shared" si="209"/>
        <v>Oct</v>
      </c>
      <c r="O2209">
        <f t="shared" si="210"/>
        <v>2025</v>
      </c>
    </row>
    <row r="2210" spans="1:15" x14ac:dyDescent="0.3">
      <c r="A2210">
        <v>202059</v>
      </c>
      <c r="B2210" t="s">
        <v>21</v>
      </c>
      <c r="C2210" s="2">
        <v>45958</v>
      </c>
      <c r="D2210" s="2">
        <f t="shared" si="208"/>
        <v>45988</v>
      </c>
      <c r="E2210" s="1">
        <f>D2210+32</f>
        <v>46020</v>
      </c>
      <c r="F2210">
        <v>420</v>
      </c>
      <c r="G2210">
        <v>30</v>
      </c>
      <c r="H2210">
        <f t="shared" si="207"/>
        <v>0</v>
      </c>
      <c r="I2210" t="str">
        <f t="shared" si="211"/>
        <v>On Time</v>
      </c>
      <c r="J2210" cm="1">
        <f t="array" ref="J2210">_xlfn.IFS(H2210&lt;30,0,H2210&lt;60,1,H2210&lt;90,2,H2210&lt;120,3)</f>
        <v>0</v>
      </c>
      <c r="M2210" t="str">
        <f t="shared" si="212"/>
        <v>Low</v>
      </c>
      <c r="N2210" t="str">
        <f t="shared" si="209"/>
        <v>Oct</v>
      </c>
      <c r="O2210">
        <f t="shared" si="210"/>
        <v>2025</v>
      </c>
    </row>
    <row r="2211" spans="1:15" x14ac:dyDescent="0.3">
      <c r="A2211">
        <v>202060</v>
      </c>
      <c r="B2211" t="s">
        <v>22</v>
      </c>
      <c r="C2211" s="2">
        <v>45958</v>
      </c>
      <c r="D2211" s="2">
        <f t="shared" si="208"/>
        <v>45988</v>
      </c>
      <c r="E2211" s="1">
        <f>D2211+15</f>
        <v>46003</v>
      </c>
      <c r="F2211">
        <v>587</v>
      </c>
      <c r="G2211">
        <v>30</v>
      </c>
      <c r="H2211">
        <f t="shared" si="207"/>
        <v>0</v>
      </c>
      <c r="I2211" t="str">
        <f t="shared" si="211"/>
        <v>On Time</v>
      </c>
      <c r="J2211" cm="1">
        <f t="array" ref="J2211">_xlfn.IFS(H2211&lt;30,0,H2211&lt;60,1,H2211&lt;90,2,H2211&lt;120,3)</f>
        <v>0</v>
      </c>
      <c r="M2211" t="str">
        <f t="shared" si="212"/>
        <v>Low</v>
      </c>
      <c r="N2211" t="str">
        <f t="shared" si="209"/>
        <v>Oct</v>
      </c>
      <c r="O2211">
        <f t="shared" si="210"/>
        <v>2025</v>
      </c>
    </row>
    <row r="2212" spans="1:15" x14ac:dyDescent="0.3">
      <c r="A2212">
        <v>202061</v>
      </c>
      <c r="B2212" t="s">
        <v>23</v>
      </c>
      <c r="C2212" s="2">
        <v>45958</v>
      </c>
      <c r="D2212" s="2">
        <f t="shared" si="208"/>
        <v>46003</v>
      </c>
      <c r="E2212" s="1">
        <f>D2212-2</f>
        <v>46001</v>
      </c>
      <c r="F2212">
        <v>1162</v>
      </c>
      <c r="G2212">
        <v>45</v>
      </c>
      <c r="H2212">
        <f t="shared" si="207"/>
        <v>0</v>
      </c>
      <c r="I2212" t="str">
        <f t="shared" si="211"/>
        <v>On Time</v>
      </c>
      <c r="J2212" cm="1">
        <f t="array" ref="J2212">_xlfn.IFS(H2212&lt;30,0,H2212&lt;60,1,H2212&lt;90,2,H2212&lt;120,3)</f>
        <v>0</v>
      </c>
      <c r="M2212" t="str">
        <f t="shared" si="212"/>
        <v>Low</v>
      </c>
      <c r="N2212" t="str">
        <f t="shared" si="209"/>
        <v>Oct</v>
      </c>
      <c r="O2212">
        <f t="shared" si="210"/>
        <v>2025</v>
      </c>
    </row>
    <row r="2213" spans="1:15" x14ac:dyDescent="0.3">
      <c r="A2213">
        <v>202062</v>
      </c>
      <c r="B2213" t="s">
        <v>24</v>
      </c>
      <c r="C2213" s="2">
        <v>45958</v>
      </c>
      <c r="D2213" s="2">
        <f t="shared" si="208"/>
        <v>46003</v>
      </c>
      <c r="E2213" s="1">
        <f>D2213-2</f>
        <v>46001</v>
      </c>
      <c r="F2213">
        <v>2453</v>
      </c>
      <c r="G2213">
        <v>45</v>
      </c>
      <c r="H2213">
        <f t="shared" si="207"/>
        <v>0</v>
      </c>
      <c r="I2213" t="str">
        <f t="shared" si="211"/>
        <v>On Time</v>
      </c>
      <c r="J2213" cm="1">
        <f t="array" ref="J2213">_xlfn.IFS(H2213&lt;30,0,H2213&lt;60,1,H2213&lt;90,2,H2213&lt;120,3)</f>
        <v>0</v>
      </c>
      <c r="M2213" t="str">
        <f t="shared" si="212"/>
        <v>Low</v>
      </c>
      <c r="N2213" t="str">
        <f t="shared" si="209"/>
        <v>Oct</v>
      </c>
      <c r="O2213">
        <f t="shared" si="210"/>
        <v>2025</v>
      </c>
    </row>
    <row r="2214" spans="1:15" x14ac:dyDescent="0.3">
      <c r="A2214">
        <v>202063</v>
      </c>
      <c r="B2214" t="s">
        <v>25</v>
      </c>
      <c r="C2214" s="2">
        <v>45958</v>
      </c>
      <c r="D2214" s="2">
        <f t="shared" si="208"/>
        <v>46018</v>
      </c>
      <c r="E2214" s="1">
        <f>D2214</f>
        <v>46018</v>
      </c>
      <c r="F2214">
        <v>460</v>
      </c>
      <c r="G2214">
        <v>60</v>
      </c>
      <c r="H2214">
        <f t="shared" ref="H2214:H2277" si="213">MAX(0,P2179-D2214)</f>
        <v>0</v>
      </c>
      <c r="I2214" t="str">
        <f t="shared" si="211"/>
        <v>On Time</v>
      </c>
      <c r="J2214" cm="1">
        <f t="array" ref="J2214">_xlfn.IFS(H2214&lt;30,0,H2214&lt;60,1,H2214&lt;90,2,H2214&lt;120,3)</f>
        <v>0</v>
      </c>
      <c r="M2214" t="str">
        <f t="shared" si="212"/>
        <v>Low</v>
      </c>
      <c r="N2214" t="str">
        <f t="shared" si="209"/>
        <v>Oct</v>
      </c>
      <c r="O2214">
        <f t="shared" si="210"/>
        <v>2025</v>
      </c>
    </row>
    <row r="2215" spans="1:15" x14ac:dyDescent="0.3">
      <c r="A2215">
        <v>202064</v>
      </c>
      <c r="B2215" t="s">
        <v>26</v>
      </c>
      <c r="C2215" s="2">
        <v>45958</v>
      </c>
      <c r="D2215" s="2">
        <f t="shared" si="208"/>
        <v>45988</v>
      </c>
      <c r="E2215" s="1">
        <f>D2215+2</f>
        <v>45990</v>
      </c>
      <c r="F2215">
        <v>4894</v>
      </c>
      <c r="G2215">
        <v>30</v>
      </c>
      <c r="H2215">
        <f t="shared" si="213"/>
        <v>0</v>
      </c>
      <c r="I2215" t="str">
        <f t="shared" si="211"/>
        <v>On Time</v>
      </c>
      <c r="J2215" cm="1">
        <f t="array" ref="J2215">_xlfn.IFS(H2215&lt;30,0,H2215&lt;60,1,H2215&lt;90,2,H2215&lt;120,3)</f>
        <v>0</v>
      </c>
      <c r="M2215" t="str">
        <f t="shared" si="212"/>
        <v>Low</v>
      </c>
      <c r="N2215" t="str">
        <f t="shared" si="209"/>
        <v>Oct</v>
      </c>
      <c r="O2215">
        <f t="shared" si="210"/>
        <v>2025</v>
      </c>
    </row>
    <row r="2216" spans="1:15" x14ac:dyDescent="0.3">
      <c r="A2216">
        <v>202065</v>
      </c>
      <c r="B2216" t="s">
        <v>27</v>
      </c>
      <c r="C2216" s="2">
        <v>45958</v>
      </c>
      <c r="D2216" s="2">
        <f t="shared" si="208"/>
        <v>46018</v>
      </c>
      <c r="E2216" s="1">
        <f>D2216+2</f>
        <v>46020</v>
      </c>
      <c r="F2216">
        <v>845</v>
      </c>
      <c r="G2216">
        <v>60</v>
      </c>
      <c r="H2216">
        <f t="shared" si="213"/>
        <v>0</v>
      </c>
      <c r="I2216" t="str">
        <f t="shared" si="211"/>
        <v>On Time</v>
      </c>
      <c r="J2216" cm="1">
        <f t="array" ref="J2216">_xlfn.IFS(H2216&lt;30,0,H2216&lt;60,1,H2216&lt;90,2,H2216&lt;120,3)</f>
        <v>0</v>
      </c>
      <c r="M2216" t="str">
        <f t="shared" si="212"/>
        <v>Low</v>
      </c>
      <c r="N2216" t="str">
        <f t="shared" si="209"/>
        <v>Oct</v>
      </c>
      <c r="O2216">
        <f t="shared" si="210"/>
        <v>2025</v>
      </c>
    </row>
    <row r="2217" spans="1:15" x14ac:dyDescent="0.3">
      <c r="A2217">
        <v>202066</v>
      </c>
      <c r="B2217" t="s">
        <v>28</v>
      </c>
      <c r="C2217" s="2">
        <v>45958</v>
      </c>
      <c r="D2217" s="2">
        <f t="shared" si="208"/>
        <v>45988</v>
      </c>
      <c r="E2217" s="1">
        <f>D2217+2</f>
        <v>45990</v>
      </c>
      <c r="F2217">
        <v>3976</v>
      </c>
      <c r="G2217">
        <v>30</v>
      </c>
      <c r="H2217">
        <f t="shared" si="213"/>
        <v>0</v>
      </c>
      <c r="I2217" t="str">
        <f t="shared" si="211"/>
        <v>On Time</v>
      </c>
      <c r="J2217" cm="1">
        <f t="array" ref="J2217">_xlfn.IFS(H2217&lt;30,0,H2217&lt;60,1,H2217&lt;90,2,H2217&lt;120,3)</f>
        <v>0</v>
      </c>
      <c r="M2217" t="str">
        <f t="shared" si="212"/>
        <v>Low</v>
      </c>
      <c r="N2217" t="str">
        <f t="shared" si="209"/>
        <v>Oct</v>
      </c>
      <c r="O2217">
        <f t="shared" si="210"/>
        <v>2025</v>
      </c>
    </row>
    <row r="2218" spans="1:15" x14ac:dyDescent="0.3">
      <c r="A2218">
        <v>202067</v>
      </c>
      <c r="B2218" t="s">
        <v>29</v>
      </c>
      <c r="C2218" s="2">
        <v>45958</v>
      </c>
      <c r="D2218" s="2">
        <f t="shared" si="208"/>
        <v>45988</v>
      </c>
      <c r="E2218" s="1">
        <f>D2218</f>
        <v>45988</v>
      </c>
      <c r="F2218">
        <v>226</v>
      </c>
      <c r="G2218">
        <v>30</v>
      </c>
      <c r="H2218">
        <f t="shared" si="213"/>
        <v>0</v>
      </c>
      <c r="I2218" t="str">
        <f t="shared" si="211"/>
        <v>On Time</v>
      </c>
      <c r="J2218" cm="1">
        <f t="array" ref="J2218">_xlfn.IFS(H2218&lt;30,0,H2218&lt;60,1,H2218&lt;90,2,H2218&lt;120,3)</f>
        <v>0</v>
      </c>
      <c r="M2218" t="str">
        <f t="shared" si="212"/>
        <v>Low</v>
      </c>
      <c r="N2218" t="str">
        <f t="shared" si="209"/>
        <v>Oct</v>
      </c>
      <c r="O2218">
        <f t="shared" si="210"/>
        <v>2025</v>
      </c>
    </row>
    <row r="2219" spans="1:15" x14ac:dyDescent="0.3">
      <c r="A2219">
        <v>202068</v>
      </c>
      <c r="B2219" t="s">
        <v>30</v>
      </c>
      <c r="C2219" s="2">
        <v>45958</v>
      </c>
      <c r="D2219" s="2">
        <f t="shared" si="208"/>
        <v>45988</v>
      </c>
      <c r="E2219" s="1">
        <f>D2219+20</f>
        <v>46008</v>
      </c>
      <c r="F2219">
        <v>2233</v>
      </c>
      <c r="G2219">
        <v>30</v>
      </c>
      <c r="H2219">
        <f t="shared" si="213"/>
        <v>0</v>
      </c>
      <c r="I2219" t="str">
        <f t="shared" si="211"/>
        <v>On Time</v>
      </c>
      <c r="J2219" cm="1">
        <f t="array" ref="J2219">_xlfn.IFS(H2219&lt;30,0,H2219&lt;60,1,H2219&lt;90,2,H2219&lt;120,3)</f>
        <v>0</v>
      </c>
      <c r="M2219" t="str">
        <f t="shared" si="212"/>
        <v>Low</v>
      </c>
      <c r="N2219" t="str">
        <f t="shared" si="209"/>
        <v>Oct</v>
      </c>
      <c r="O2219">
        <f t="shared" si="210"/>
        <v>2025</v>
      </c>
    </row>
    <row r="2220" spans="1:15" x14ac:dyDescent="0.3">
      <c r="A2220">
        <v>202069</v>
      </c>
      <c r="B2220" t="s">
        <v>31</v>
      </c>
      <c r="C2220" s="2">
        <v>45958</v>
      </c>
      <c r="D2220" s="2">
        <f t="shared" si="208"/>
        <v>46003</v>
      </c>
      <c r="E2220" s="1">
        <f>D2220</f>
        <v>46003</v>
      </c>
      <c r="F2220">
        <v>4139</v>
      </c>
      <c r="G2220">
        <v>45</v>
      </c>
      <c r="H2220">
        <f t="shared" si="213"/>
        <v>0</v>
      </c>
      <c r="I2220" t="str">
        <f t="shared" si="211"/>
        <v>On Time</v>
      </c>
      <c r="J2220" cm="1">
        <f t="array" ref="J2220">_xlfn.IFS(H2220&lt;30,0,H2220&lt;60,1,H2220&lt;90,2,H2220&lt;120,3)</f>
        <v>0</v>
      </c>
      <c r="M2220" t="str">
        <f t="shared" si="212"/>
        <v>Low</v>
      </c>
      <c r="N2220" t="str">
        <f t="shared" si="209"/>
        <v>Oct</v>
      </c>
      <c r="O2220">
        <f t="shared" si="210"/>
        <v>2025</v>
      </c>
    </row>
    <row r="2221" spans="1:15" x14ac:dyDescent="0.3">
      <c r="A2221">
        <v>202070</v>
      </c>
      <c r="B2221" t="s">
        <v>54</v>
      </c>
      <c r="C2221" s="2">
        <v>45958</v>
      </c>
      <c r="D2221" s="2">
        <f t="shared" si="208"/>
        <v>45988</v>
      </c>
      <c r="E2221" s="1">
        <f>D2221+1</f>
        <v>45989</v>
      </c>
      <c r="F2221">
        <v>321</v>
      </c>
      <c r="G2221">
        <v>30</v>
      </c>
      <c r="H2221">
        <f t="shared" si="213"/>
        <v>0</v>
      </c>
      <c r="I2221" t="str">
        <f t="shared" si="211"/>
        <v>On Time</v>
      </c>
      <c r="J2221" cm="1">
        <f t="array" ref="J2221">_xlfn.IFS(H2221&lt;30,0,H2221&lt;60,1,H2221&lt;90,2,H2221&lt;120,3)</f>
        <v>0</v>
      </c>
      <c r="M2221" t="str">
        <f t="shared" si="212"/>
        <v>Low</v>
      </c>
      <c r="N2221" t="str">
        <f t="shared" si="209"/>
        <v>Oct</v>
      </c>
      <c r="O2221">
        <f t="shared" si="210"/>
        <v>2025</v>
      </c>
    </row>
    <row r="2222" spans="1:15" x14ac:dyDescent="0.3">
      <c r="A2222">
        <v>202071</v>
      </c>
      <c r="B2222" t="s">
        <v>55</v>
      </c>
      <c r="C2222" s="2">
        <v>45958</v>
      </c>
      <c r="D2222" s="2">
        <f t="shared" si="208"/>
        <v>45988</v>
      </c>
      <c r="E2222" s="1">
        <f>D2222</f>
        <v>45988</v>
      </c>
      <c r="F2222">
        <v>4652</v>
      </c>
      <c r="G2222">
        <v>30</v>
      </c>
      <c r="H2222">
        <f t="shared" si="213"/>
        <v>0</v>
      </c>
      <c r="I2222" t="str">
        <f t="shared" si="211"/>
        <v>On Time</v>
      </c>
      <c r="J2222" cm="1">
        <f t="array" ref="J2222">_xlfn.IFS(H2222&lt;30,0,H2222&lt;60,1,H2222&lt;90,2,H2222&lt;120,3)</f>
        <v>0</v>
      </c>
      <c r="M2222" t="str">
        <f t="shared" si="212"/>
        <v>Low</v>
      </c>
      <c r="N2222" t="str">
        <f t="shared" si="209"/>
        <v>Oct</v>
      </c>
      <c r="O2222">
        <f t="shared" si="210"/>
        <v>2025</v>
      </c>
    </row>
    <row r="2223" spans="1:15" x14ac:dyDescent="0.3">
      <c r="A2223">
        <v>202466</v>
      </c>
      <c r="B2223" t="s">
        <v>27</v>
      </c>
      <c r="C2223" s="2">
        <v>45958</v>
      </c>
      <c r="D2223" s="2">
        <f t="shared" si="208"/>
        <v>46018</v>
      </c>
      <c r="E2223" s="1">
        <f>D2223+1</f>
        <v>46019</v>
      </c>
      <c r="F2223">
        <v>1806</v>
      </c>
      <c r="G2223">
        <v>60</v>
      </c>
      <c r="H2223">
        <f t="shared" si="213"/>
        <v>0</v>
      </c>
      <c r="I2223" t="str">
        <f t="shared" si="211"/>
        <v>On Time</v>
      </c>
      <c r="J2223" cm="1">
        <f t="array" ref="J2223">_xlfn.IFS(H2223&lt;30,0,H2223&lt;60,1,H2223&lt;90,2,H2223&lt;120,3)</f>
        <v>0</v>
      </c>
      <c r="M2223" t="str">
        <f t="shared" si="212"/>
        <v>Low</v>
      </c>
      <c r="N2223" t="str">
        <f t="shared" si="209"/>
        <v>Oct</v>
      </c>
      <c r="O2223">
        <f t="shared" si="210"/>
        <v>2025</v>
      </c>
    </row>
    <row r="2224" spans="1:15" x14ac:dyDescent="0.3">
      <c r="A2224">
        <v>202467</v>
      </c>
      <c r="B2224" t="s">
        <v>28</v>
      </c>
      <c r="C2224" s="2">
        <v>45958</v>
      </c>
      <c r="D2224" s="2">
        <f t="shared" si="208"/>
        <v>45988</v>
      </c>
      <c r="E2224" s="1">
        <f>D2224</f>
        <v>45988</v>
      </c>
      <c r="F2224">
        <v>3989</v>
      </c>
      <c r="G2224">
        <v>30</v>
      </c>
      <c r="H2224">
        <f t="shared" si="213"/>
        <v>0</v>
      </c>
      <c r="I2224" t="str">
        <f t="shared" si="211"/>
        <v>On Time</v>
      </c>
      <c r="J2224" cm="1">
        <f t="array" ref="J2224">_xlfn.IFS(H2224&lt;30,0,H2224&lt;60,1,H2224&lt;90,2,H2224&lt;120,3)</f>
        <v>0</v>
      </c>
      <c r="M2224" t="str">
        <f t="shared" si="212"/>
        <v>Low</v>
      </c>
      <c r="N2224" t="str">
        <f t="shared" si="209"/>
        <v>Oct</v>
      </c>
      <c r="O2224">
        <f t="shared" si="210"/>
        <v>2025</v>
      </c>
    </row>
    <row r="2225" spans="1:15" x14ac:dyDescent="0.3">
      <c r="A2225">
        <v>202468</v>
      </c>
      <c r="B2225" t="s">
        <v>29</v>
      </c>
      <c r="C2225" s="2">
        <v>45958</v>
      </c>
      <c r="D2225" s="2">
        <f t="shared" si="208"/>
        <v>45988</v>
      </c>
      <c r="E2225" s="1">
        <f>D2225</f>
        <v>45988</v>
      </c>
      <c r="F2225">
        <v>850</v>
      </c>
      <c r="G2225">
        <v>30</v>
      </c>
      <c r="H2225">
        <f t="shared" si="213"/>
        <v>0</v>
      </c>
      <c r="I2225" t="str">
        <f t="shared" si="211"/>
        <v>On Time</v>
      </c>
      <c r="J2225" cm="1">
        <f t="array" ref="J2225">_xlfn.IFS(H2225&lt;30,0,H2225&lt;60,1,H2225&lt;90,2,H2225&lt;120,3)</f>
        <v>0</v>
      </c>
      <c r="M2225" t="str">
        <f t="shared" si="212"/>
        <v>Low</v>
      </c>
      <c r="N2225" t="str">
        <f t="shared" si="209"/>
        <v>Oct</v>
      </c>
      <c r="O2225">
        <f t="shared" si="210"/>
        <v>2025</v>
      </c>
    </row>
    <row r="2226" spans="1:15" x14ac:dyDescent="0.3">
      <c r="A2226">
        <v>202469</v>
      </c>
      <c r="B2226" t="s">
        <v>30</v>
      </c>
      <c r="C2226" s="2">
        <v>45958</v>
      </c>
      <c r="D2226" s="2">
        <f t="shared" si="208"/>
        <v>45988</v>
      </c>
      <c r="E2226" s="1">
        <f>D2226+5</f>
        <v>45993</v>
      </c>
      <c r="F2226">
        <v>4412</v>
      </c>
      <c r="G2226">
        <v>30</v>
      </c>
      <c r="H2226">
        <f t="shared" si="213"/>
        <v>0</v>
      </c>
      <c r="I2226" t="str">
        <f t="shared" si="211"/>
        <v>On Time</v>
      </c>
      <c r="J2226" cm="1">
        <f t="array" ref="J2226">_xlfn.IFS(H2226&lt;30,0,H2226&lt;60,1,H2226&lt;90,2,H2226&lt;120,3)</f>
        <v>0</v>
      </c>
      <c r="M2226" t="str">
        <f t="shared" si="212"/>
        <v>Low</v>
      </c>
      <c r="N2226" t="str">
        <f t="shared" si="209"/>
        <v>Oct</v>
      </c>
      <c r="O2226">
        <f t="shared" si="210"/>
        <v>2025</v>
      </c>
    </row>
    <row r="2227" spans="1:15" x14ac:dyDescent="0.3">
      <c r="A2227">
        <v>202470</v>
      </c>
      <c r="B2227" t="s">
        <v>31</v>
      </c>
      <c r="C2227" s="2">
        <v>45958</v>
      </c>
      <c r="D2227" s="2">
        <f t="shared" si="208"/>
        <v>46003</v>
      </c>
      <c r="E2227" s="1">
        <f>D2227+2</f>
        <v>46005</v>
      </c>
      <c r="F2227">
        <v>2048</v>
      </c>
      <c r="G2227">
        <v>45</v>
      </c>
      <c r="H2227">
        <f t="shared" si="213"/>
        <v>0</v>
      </c>
      <c r="I2227" t="str">
        <f t="shared" si="211"/>
        <v>On Time</v>
      </c>
      <c r="J2227" cm="1">
        <f t="array" ref="J2227">_xlfn.IFS(H2227&lt;30,0,H2227&lt;60,1,H2227&lt;90,2,H2227&lt;120,3)</f>
        <v>0</v>
      </c>
      <c r="M2227" t="str">
        <f t="shared" si="212"/>
        <v>Low</v>
      </c>
      <c r="N2227" t="str">
        <f t="shared" si="209"/>
        <v>Oct</v>
      </c>
      <c r="O2227">
        <f t="shared" si="210"/>
        <v>2025</v>
      </c>
    </row>
    <row r="2228" spans="1:15" x14ac:dyDescent="0.3">
      <c r="A2228">
        <v>202471</v>
      </c>
      <c r="B2228" t="s">
        <v>39</v>
      </c>
      <c r="C2228" s="2">
        <v>45958</v>
      </c>
      <c r="D2228" s="2">
        <f t="shared" si="208"/>
        <v>45988</v>
      </c>
      <c r="E2228" s="1">
        <f>D2228+5</f>
        <v>45993</v>
      </c>
      <c r="F2228">
        <v>2880</v>
      </c>
      <c r="G2228">
        <v>30</v>
      </c>
      <c r="H2228">
        <f t="shared" si="213"/>
        <v>0</v>
      </c>
      <c r="I2228" t="str">
        <f t="shared" si="211"/>
        <v>On Time</v>
      </c>
      <c r="J2228" cm="1">
        <f t="array" ref="J2228">_xlfn.IFS(H2228&lt;30,0,H2228&lt;60,1,H2228&lt;90,2,H2228&lt;120,3)</f>
        <v>0</v>
      </c>
      <c r="M2228" t="str">
        <f t="shared" si="212"/>
        <v>Low</v>
      </c>
      <c r="N2228" t="str">
        <f t="shared" si="209"/>
        <v>Oct</v>
      </c>
      <c r="O2228">
        <f t="shared" si="210"/>
        <v>2025</v>
      </c>
    </row>
    <row r="2229" spans="1:15" x14ac:dyDescent="0.3">
      <c r="A2229">
        <v>202472</v>
      </c>
      <c r="B2229" t="s">
        <v>40</v>
      </c>
      <c r="C2229" s="2">
        <v>45958</v>
      </c>
      <c r="D2229" s="2">
        <f t="shared" si="208"/>
        <v>45988</v>
      </c>
      <c r="E2229" s="1">
        <f>D2229</f>
        <v>45988</v>
      </c>
      <c r="F2229">
        <v>8301</v>
      </c>
      <c r="G2229">
        <v>30</v>
      </c>
      <c r="H2229">
        <f t="shared" si="213"/>
        <v>0</v>
      </c>
      <c r="I2229" t="str">
        <f t="shared" si="211"/>
        <v>On Time</v>
      </c>
      <c r="J2229" cm="1">
        <f t="array" ref="J2229">_xlfn.IFS(H2229&lt;30,0,H2229&lt;60,1,H2229&lt;90,2,H2229&lt;120,3)</f>
        <v>0</v>
      </c>
      <c r="M2229" t="str">
        <f t="shared" si="212"/>
        <v>Low</v>
      </c>
      <c r="N2229" t="str">
        <f t="shared" si="209"/>
        <v>Oct</v>
      </c>
      <c r="O2229">
        <f t="shared" si="210"/>
        <v>2025</v>
      </c>
    </row>
    <row r="2230" spans="1:15" x14ac:dyDescent="0.3">
      <c r="A2230">
        <v>202473</v>
      </c>
      <c r="B2230" t="s">
        <v>41</v>
      </c>
      <c r="C2230" s="2">
        <v>45958</v>
      </c>
      <c r="D2230" s="2">
        <f t="shared" si="208"/>
        <v>45988</v>
      </c>
      <c r="E2230" s="1">
        <f>D2230</f>
        <v>45988</v>
      </c>
      <c r="F2230">
        <v>3490</v>
      </c>
      <c r="G2230">
        <v>30</v>
      </c>
      <c r="H2230">
        <f t="shared" si="213"/>
        <v>0</v>
      </c>
      <c r="I2230" t="str">
        <f t="shared" si="211"/>
        <v>On Time</v>
      </c>
      <c r="J2230" cm="1">
        <f t="array" ref="J2230">_xlfn.IFS(H2230&lt;30,0,H2230&lt;60,1,H2230&lt;90,2,H2230&lt;120,3)</f>
        <v>0</v>
      </c>
      <c r="M2230" t="str">
        <f t="shared" si="212"/>
        <v>Low</v>
      </c>
      <c r="N2230" t="str">
        <f t="shared" si="209"/>
        <v>Oct</v>
      </c>
      <c r="O2230">
        <f t="shared" si="210"/>
        <v>2025</v>
      </c>
    </row>
    <row r="2231" spans="1:15" x14ac:dyDescent="0.3">
      <c r="A2231">
        <v>202474</v>
      </c>
      <c r="B2231" t="s">
        <v>42</v>
      </c>
      <c r="C2231" s="2">
        <v>45958</v>
      </c>
      <c r="D2231" s="2">
        <f t="shared" si="208"/>
        <v>45988</v>
      </c>
      <c r="E2231" s="1">
        <f>D2231+60</f>
        <v>46048</v>
      </c>
      <c r="F2231">
        <v>3292</v>
      </c>
      <c r="G2231">
        <v>30</v>
      </c>
      <c r="H2231">
        <f t="shared" si="213"/>
        <v>0</v>
      </c>
      <c r="I2231" t="str">
        <f t="shared" si="211"/>
        <v>On Time</v>
      </c>
      <c r="J2231" cm="1">
        <f t="array" ref="J2231">_xlfn.IFS(H2231&lt;30,0,H2231&lt;60,1,H2231&lt;90,2,H2231&lt;120,3)</f>
        <v>0</v>
      </c>
      <c r="M2231" t="str">
        <f t="shared" si="212"/>
        <v>Low</v>
      </c>
      <c r="N2231" t="str">
        <f t="shared" si="209"/>
        <v>Oct</v>
      </c>
      <c r="O2231">
        <f t="shared" si="210"/>
        <v>2025</v>
      </c>
    </row>
    <row r="2232" spans="1:15" x14ac:dyDescent="0.3">
      <c r="A2232">
        <v>202475</v>
      </c>
      <c r="B2232" t="s">
        <v>43</v>
      </c>
      <c r="C2232" s="2">
        <v>45958</v>
      </c>
      <c r="D2232" s="2">
        <f t="shared" si="208"/>
        <v>45988</v>
      </c>
      <c r="E2232" s="1">
        <f>D2232</f>
        <v>45988</v>
      </c>
      <c r="F2232">
        <v>306</v>
      </c>
      <c r="G2232">
        <v>30</v>
      </c>
      <c r="H2232">
        <f t="shared" si="213"/>
        <v>0</v>
      </c>
      <c r="I2232" t="str">
        <f t="shared" si="211"/>
        <v>On Time</v>
      </c>
      <c r="J2232" cm="1">
        <f t="array" ref="J2232">_xlfn.IFS(H2232&lt;30,0,H2232&lt;60,1,H2232&lt;90,2,H2232&lt;120,3)</f>
        <v>0</v>
      </c>
      <c r="M2232" t="str">
        <f t="shared" si="212"/>
        <v>Low</v>
      </c>
      <c r="N2232" t="str">
        <f t="shared" si="209"/>
        <v>Oct</v>
      </c>
      <c r="O2232">
        <f t="shared" si="210"/>
        <v>2025</v>
      </c>
    </row>
    <row r="2233" spans="1:15" x14ac:dyDescent="0.3">
      <c r="A2233">
        <v>202476</v>
      </c>
      <c r="B2233" t="s">
        <v>44</v>
      </c>
      <c r="C2233" s="2">
        <v>45958</v>
      </c>
      <c r="D2233" s="2">
        <f t="shared" si="208"/>
        <v>46003</v>
      </c>
      <c r="F2233">
        <v>4776</v>
      </c>
      <c r="G2233">
        <v>45</v>
      </c>
      <c r="H2233">
        <f t="shared" si="213"/>
        <v>0</v>
      </c>
      <c r="I2233" t="str">
        <f t="shared" si="211"/>
        <v>On Time</v>
      </c>
      <c r="J2233" cm="1">
        <f t="array" ref="J2233">_xlfn.IFS(H2233&lt;30,0,H2233&lt;60,1,H2233&lt;90,2,H2233&lt;120,3)</f>
        <v>0</v>
      </c>
      <c r="M2233" t="str">
        <f t="shared" si="212"/>
        <v>Low</v>
      </c>
      <c r="N2233" t="str">
        <f t="shared" si="209"/>
        <v>Oct</v>
      </c>
      <c r="O2233">
        <f t="shared" si="210"/>
        <v>2025</v>
      </c>
    </row>
    <row r="2234" spans="1:15" x14ac:dyDescent="0.3">
      <c r="A2234">
        <v>202477</v>
      </c>
      <c r="B2234" t="s">
        <v>45</v>
      </c>
      <c r="C2234" s="2">
        <v>45958</v>
      </c>
      <c r="D2234" s="2">
        <f t="shared" si="208"/>
        <v>46003</v>
      </c>
      <c r="E2234" s="1">
        <f>D2234+3</f>
        <v>46006</v>
      </c>
      <c r="F2234">
        <v>2647</v>
      </c>
      <c r="G2234">
        <v>45</v>
      </c>
      <c r="H2234">
        <f t="shared" si="213"/>
        <v>0</v>
      </c>
      <c r="I2234" t="str">
        <f t="shared" si="211"/>
        <v>On Time</v>
      </c>
      <c r="J2234" cm="1">
        <f t="array" ref="J2234">_xlfn.IFS(H2234&lt;30,0,H2234&lt;60,1,H2234&lt;90,2,H2234&lt;120,3)</f>
        <v>0</v>
      </c>
      <c r="M2234" t="str">
        <f t="shared" si="212"/>
        <v>Low</v>
      </c>
      <c r="N2234" t="str">
        <f t="shared" si="209"/>
        <v>Oct</v>
      </c>
      <c r="O2234">
        <f t="shared" si="210"/>
        <v>2025</v>
      </c>
    </row>
    <row r="2235" spans="1:15" x14ac:dyDescent="0.3">
      <c r="A2235">
        <v>202478</v>
      </c>
      <c r="B2235" t="s">
        <v>46</v>
      </c>
      <c r="C2235" s="2">
        <v>45958</v>
      </c>
      <c r="D2235" s="2">
        <f t="shared" si="208"/>
        <v>46018</v>
      </c>
      <c r="E2235" s="1">
        <f>D2235+1</f>
        <v>46019</v>
      </c>
      <c r="F2235">
        <v>2284</v>
      </c>
      <c r="G2235">
        <v>60</v>
      </c>
      <c r="H2235">
        <f t="shared" si="213"/>
        <v>0</v>
      </c>
      <c r="I2235" t="str">
        <f t="shared" si="211"/>
        <v>On Time</v>
      </c>
      <c r="J2235" cm="1">
        <f t="array" ref="J2235">_xlfn.IFS(H2235&lt;30,0,H2235&lt;60,1,H2235&lt;90,2,H2235&lt;120,3)</f>
        <v>0</v>
      </c>
      <c r="M2235" t="str">
        <f t="shared" si="212"/>
        <v>Low</v>
      </c>
      <c r="N2235" t="str">
        <f t="shared" si="209"/>
        <v>Oct</v>
      </c>
      <c r="O2235">
        <f t="shared" si="210"/>
        <v>2025</v>
      </c>
    </row>
    <row r="2236" spans="1:15" x14ac:dyDescent="0.3">
      <c r="A2236">
        <v>202479</v>
      </c>
      <c r="B2236" t="s">
        <v>114</v>
      </c>
      <c r="C2236" s="2">
        <v>45958</v>
      </c>
      <c r="D2236" s="2">
        <f t="shared" si="208"/>
        <v>45988</v>
      </c>
      <c r="E2236" s="1">
        <f>D2236-1</f>
        <v>45987</v>
      </c>
      <c r="F2236">
        <v>2999</v>
      </c>
      <c r="G2236">
        <v>30</v>
      </c>
      <c r="H2236">
        <f t="shared" si="213"/>
        <v>0</v>
      </c>
      <c r="I2236" t="str">
        <f t="shared" si="211"/>
        <v>On Time</v>
      </c>
      <c r="J2236" cm="1">
        <f t="array" ref="J2236">_xlfn.IFS(H2236&lt;30,0,H2236&lt;60,1,H2236&lt;90,2,H2236&lt;120,3)</f>
        <v>0</v>
      </c>
      <c r="M2236" t="str">
        <f t="shared" si="212"/>
        <v>Low</v>
      </c>
      <c r="N2236" t="str">
        <f t="shared" si="209"/>
        <v>Oct</v>
      </c>
      <c r="O2236">
        <f t="shared" si="210"/>
        <v>2025</v>
      </c>
    </row>
    <row r="2237" spans="1:15" x14ac:dyDescent="0.3">
      <c r="A2237">
        <v>202480</v>
      </c>
      <c r="B2237" t="s">
        <v>115</v>
      </c>
      <c r="C2237" s="2">
        <v>45958</v>
      </c>
      <c r="D2237" s="2">
        <f t="shared" si="208"/>
        <v>45988</v>
      </c>
      <c r="E2237" s="1">
        <f>D2237</f>
        <v>45988</v>
      </c>
      <c r="F2237">
        <v>1411</v>
      </c>
      <c r="G2237">
        <v>30</v>
      </c>
      <c r="H2237">
        <f t="shared" si="213"/>
        <v>0</v>
      </c>
      <c r="I2237" t="str">
        <f t="shared" si="211"/>
        <v>On Time</v>
      </c>
      <c r="J2237" cm="1">
        <f t="array" ref="J2237">_xlfn.IFS(H2237&lt;30,0,H2237&lt;60,1,H2237&lt;90,2,H2237&lt;120,3)</f>
        <v>0</v>
      </c>
      <c r="M2237" t="str">
        <f t="shared" si="212"/>
        <v>Low</v>
      </c>
      <c r="N2237" t="str">
        <f t="shared" si="209"/>
        <v>Oct</v>
      </c>
      <c r="O2237">
        <f t="shared" si="210"/>
        <v>2025</v>
      </c>
    </row>
    <row r="2238" spans="1:15" x14ac:dyDescent="0.3">
      <c r="A2238">
        <v>202481</v>
      </c>
      <c r="B2238" t="s">
        <v>116</v>
      </c>
      <c r="C2238" s="2">
        <v>45958</v>
      </c>
      <c r="D2238" s="2">
        <f t="shared" si="208"/>
        <v>45988</v>
      </c>
      <c r="E2238" s="1">
        <f>D2238-5</f>
        <v>45983</v>
      </c>
      <c r="F2238">
        <v>3158</v>
      </c>
      <c r="G2238">
        <v>30</v>
      </c>
      <c r="H2238">
        <f t="shared" si="213"/>
        <v>0</v>
      </c>
      <c r="I2238" t="str">
        <f t="shared" si="211"/>
        <v>On Time</v>
      </c>
      <c r="J2238" cm="1">
        <f t="array" ref="J2238">_xlfn.IFS(H2238&lt;30,0,H2238&lt;60,1,H2238&lt;90,2,H2238&lt;120,3)</f>
        <v>0</v>
      </c>
      <c r="M2238" t="str">
        <f t="shared" si="212"/>
        <v>Low</v>
      </c>
      <c r="N2238" t="str">
        <f t="shared" si="209"/>
        <v>Oct</v>
      </c>
      <c r="O2238">
        <f t="shared" si="210"/>
        <v>2025</v>
      </c>
    </row>
    <row r="2239" spans="1:15" x14ac:dyDescent="0.3">
      <c r="A2239">
        <v>202482</v>
      </c>
      <c r="B2239" t="s">
        <v>117</v>
      </c>
      <c r="C2239" s="2">
        <v>45958</v>
      </c>
      <c r="D2239" s="2">
        <f t="shared" si="208"/>
        <v>45988</v>
      </c>
      <c r="E2239" s="1">
        <f>D2239+35</f>
        <v>46023</v>
      </c>
      <c r="F2239">
        <v>2103</v>
      </c>
      <c r="G2239">
        <v>30</v>
      </c>
      <c r="H2239">
        <f t="shared" si="213"/>
        <v>0</v>
      </c>
      <c r="I2239" t="str">
        <f t="shared" si="211"/>
        <v>On Time</v>
      </c>
      <c r="J2239" cm="1">
        <f t="array" ref="J2239">_xlfn.IFS(H2239&lt;30,0,H2239&lt;60,1,H2239&lt;90,2,H2239&lt;120,3)</f>
        <v>0</v>
      </c>
      <c r="M2239" t="str">
        <f t="shared" si="212"/>
        <v>Low</v>
      </c>
      <c r="N2239" t="str">
        <f t="shared" si="209"/>
        <v>Oct</v>
      </c>
      <c r="O2239">
        <f t="shared" si="210"/>
        <v>2025</v>
      </c>
    </row>
    <row r="2240" spans="1:15" x14ac:dyDescent="0.3">
      <c r="A2240">
        <v>202483</v>
      </c>
      <c r="B2240" t="s">
        <v>118</v>
      </c>
      <c r="C2240" s="2">
        <v>45958</v>
      </c>
      <c r="D2240" s="2">
        <f t="shared" si="208"/>
        <v>45988</v>
      </c>
      <c r="E2240" s="1">
        <f>D2240+82</f>
        <v>46070</v>
      </c>
      <c r="F2240">
        <v>745</v>
      </c>
      <c r="G2240">
        <v>30</v>
      </c>
      <c r="H2240">
        <f t="shared" si="213"/>
        <v>0</v>
      </c>
      <c r="I2240" t="str">
        <f t="shared" si="211"/>
        <v>On Time</v>
      </c>
      <c r="J2240" cm="1">
        <f t="array" ref="J2240">_xlfn.IFS(H2240&lt;30,0,H2240&lt;60,1,H2240&lt;90,2,H2240&lt;120,3)</f>
        <v>0</v>
      </c>
      <c r="M2240" t="str">
        <f t="shared" si="212"/>
        <v>Low</v>
      </c>
      <c r="N2240" t="str">
        <f t="shared" si="209"/>
        <v>Oct</v>
      </c>
      <c r="O2240">
        <f t="shared" si="210"/>
        <v>2025</v>
      </c>
    </row>
    <row r="2241" spans="1:15" x14ac:dyDescent="0.3">
      <c r="A2241">
        <v>202484</v>
      </c>
      <c r="B2241" t="s">
        <v>119</v>
      </c>
      <c r="C2241" s="2">
        <v>45958</v>
      </c>
      <c r="D2241" s="2">
        <f t="shared" si="208"/>
        <v>45988</v>
      </c>
      <c r="E2241" s="1">
        <f>D2241+5</f>
        <v>45993</v>
      </c>
      <c r="F2241">
        <v>2735</v>
      </c>
      <c r="G2241">
        <v>30</v>
      </c>
      <c r="H2241">
        <f t="shared" si="213"/>
        <v>0</v>
      </c>
      <c r="I2241" t="str">
        <f t="shared" si="211"/>
        <v>On Time</v>
      </c>
      <c r="J2241" cm="1">
        <f t="array" ref="J2241">_xlfn.IFS(H2241&lt;30,0,H2241&lt;60,1,H2241&lt;90,2,H2241&lt;120,3)</f>
        <v>0</v>
      </c>
      <c r="M2241" t="str">
        <f t="shared" si="212"/>
        <v>Low</v>
      </c>
      <c r="N2241" t="str">
        <f t="shared" si="209"/>
        <v>Oct</v>
      </c>
      <c r="O2241">
        <f t="shared" si="210"/>
        <v>2025</v>
      </c>
    </row>
    <row r="2242" spans="1:15" x14ac:dyDescent="0.3">
      <c r="A2242">
        <v>202485</v>
      </c>
      <c r="B2242" t="s">
        <v>100</v>
      </c>
      <c r="C2242" s="2">
        <v>45958</v>
      </c>
      <c r="D2242" s="2">
        <f t="shared" ref="D2242:D2305" si="214">C2242+G2242</f>
        <v>45988</v>
      </c>
      <c r="E2242" s="1">
        <f>D2242</f>
        <v>45988</v>
      </c>
      <c r="F2242">
        <v>3562</v>
      </c>
      <c r="G2242">
        <v>30</v>
      </c>
      <c r="H2242">
        <f t="shared" si="213"/>
        <v>0</v>
      </c>
      <c r="I2242" t="str">
        <f t="shared" si="211"/>
        <v>On Time</v>
      </c>
      <c r="J2242" cm="1">
        <f t="array" ref="J2242">_xlfn.IFS(H2242&lt;30,0,H2242&lt;60,1,H2242&lt;90,2,H2242&lt;120,3)</f>
        <v>0</v>
      </c>
      <c r="M2242" t="str">
        <f t="shared" si="212"/>
        <v>Low</v>
      </c>
      <c r="N2242" t="str">
        <f t="shared" ref="N2242:N2305" si="215">TEXT(C2242,"mmm")</f>
        <v>Oct</v>
      </c>
      <c r="O2242">
        <f t="shared" ref="O2242:O2305" si="216">YEAR(C2242)</f>
        <v>2025</v>
      </c>
    </row>
    <row r="2243" spans="1:15" x14ac:dyDescent="0.3">
      <c r="A2243">
        <v>202028</v>
      </c>
      <c r="B2243" t="s">
        <v>98</v>
      </c>
      <c r="C2243" s="2">
        <v>45957</v>
      </c>
      <c r="D2243" s="2">
        <f t="shared" si="214"/>
        <v>45987</v>
      </c>
      <c r="E2243" s="1">
        <f>D2243</f>
        <v>45987</v>
      </c>
      <c r="F2243">
        <v>556</v>
      </c>
      <c r="G2243">
        <v>30</v>
      </c>
      <c r="H2243">
        <f t="shared" si="213"/>
        <v>0</v>
      </c>
      <c r="I2243" t="str">
        <f t="shared" si="211"/>
        <v>On Time</v>
      </c>
      <c r="J2243" cm="1">
        <f t="array" ref="J2243">_xlfn.IFS(H2243&lt;30,0,H2243&lt;60,1,H2243&lt;90,2,H2243&lt;120,3)</f>
        <v>0</v>
      </c>
      <c r="M2243" t="str">
        <f t="shared" si="212"/>
        <v>Low</v>
      </c>
      <c r="N2243" t="str">
        <f t="shared" si="215"/>
        <v>Oct</v>
      </c>
      <c r="O2243">
        <f t="shared" si="216"/>
        <v>2025</v>
      </c>
    </row>
    <row r="2244" spans="1:15" x14ac:dyDescent="0.3">
      <c r="A2244">
        <v>202029</v>
      </c>
      <c r="B2244" t="s">
        <v>99</v>
      </c>
      <c r="C2244" s="2">
        <v>45957</v>
      </c>
      <c r="D2244" s="2">
        <f t="shared" si="214"/>
        <v>45987</v>
      </c>
      <c r="E2244" s="1">
        <f>D2244-2</f>
        <v>45985</v>
      </c>
      <c r="F2244">
        <v>3153</v>
      </c>
      <c r="G2244">
        <v>30</v>
      </c>
      <c r="H2244">
        <f t="shared" si="213"/>
        <v>0</v>
      </c>
      <c r="I2244" t="str">
        <f t="shared" si="211"/>
        <v>On Time</v>
      </c>
      <c r="J2244" cm="1">
        <f t="array" ref="J2244">_xlfn.IFS(H2244&lt;30,0,H2244&lt;60,1,H2244&lt;90,2,H2244&lt;120,3)</f>
        <v>0</v>
      </c>
      <c r="M2244" t="str">
        <f t="shared" si="212"/>
        <v>Low</v>
      </c>
      <c r="N2244" t="str">
        <f t="shared" si="215"/>
        <v>Oct</v>
      </c>
      <c r="O2244">
        <f t="shared" si="216"/>
        <v>2025</v>
      </c>
    </row>
    <row r="2245" spans="1:15" x14ac:dyDescent="0.3">
      <c r="A2245">
        <v>202030</v>
      </c>
      <c r="B2245" t="s">
        <v>100</v>
      </c>
      <c r="C2245" s="2">
        <v>45957</v>
      </c>
      <c r="D2245" s="2">
        <f t="shared" si="214"/>
        <v>45987</v>
      </c>
      <c r="E2245" s="1">
        <f>D2245</f>
        <v>45987</v>
      </c>
      <c r="F2245">
        <v>2257</v>
      </c>
      <c r="G2245">
        <v>30</v>
      </c>
      <c r="H2245">
        <f t="shared" si="213"/>
        <v>0</v>
      </c>
      <c r="I2245" t="str">
        <f t="shared" si="211"/>
        <v>On Time</v>
      </c>
      <c r="J2245" cm="1">
        <f t="array" ref="J2245">_xlfn.IFS(H2245&lt;30,0,H2245&lt;60,1,H2245&lt;90,2,H2245&lt;120,3)</f>
        <v>0</v>
      </c>
      <c r="M2245" t="str">
        <f t="shared" si="212"/>
        <v>Low</v>
      </c>
      <c r="N2245" t="str">
        <f t="shared" si="215"/>
        <v>Oct</v>
      </c>
      <c r="O2245">
        <f t="shared" si="216"/>
        <v>2025</v>
      </c>
    </row>
    <row r="2246" spans="1:15" x14ac:dyDescent="0.3">
      <c r="A2246">
        <v>202031</v>
      </c>
      <c r="B2246" t="s">
        <v>101</v>
      </c>
      <c r="C2246" s="2">
        <v>45957</v>
      </c>
      <c r="D2246" s="2">
        <f t="shared" si="214"/>
        <v>45987</v>
      </c>
      <c r="E2246" s="1">
        <f>D2246+2</f>
        <v>45989</v>
      </c>
      <c r="F2246">
        <v>2117</v>
      </c>
      <c r="G2246">
        <v>30</v>
      </c>
      <c r="H2246">
        <f t="shared" si="213"/>
        <v>0</v>
      </c>
      <c r="I2246" t="str">
        <f t="shared" si="211"/>
        <v>On Time</v>
      </c>
      <c r="J2246" cm="1">
        <f t="array" ref="J2246">_xlfn.IFS(H2246&lt;30,0,H2246&lt;60,1,H2246&lt;90,2,H2246&lt;120,3)</f>
        <v>0</v>
      </c>
      <c r="M2246" t="str">
        <f t="shared" si="212"/>
        <v>Low</v>
      </c>
      <c r="N2246" t="str">
        <f t="shared" si="215"/>
        <v>Oct</v>
      </c>
      <c r="O2246">
        <f t="shared" si="216"/>
        <v>2025</v>
      </c>
    </row>
    <row r="2247" spans="1:15" x14ac:dyDescent="0.3">
      <c r="A2247">
        <v>202032</v>
      </c>
      <c r="B2247" t="s">
        <v>102</v>
      </c>
      <c r="C2247" s="2">
        <v>45957</v>
      </c>
      <c r="D2247" s="2">
        <f t="shared" si="214"/>
        <v>45987</v>
      </c>
      <c r="E2247" s="1">
        <f>D2247+2</f>
        <v>45989</v>
      </c>
      <c r="F2247">
        <v>4370</v>
      </c>
      <c r="G2247">
        <v>30</v>
      </c>
      <c r="H2247">
        <f t="shared" si="213"/>
        <v>0</v>
      </c>
      <c r="I2247" t="str">
        <f t="shared" si="211"/>
        <v>On Time</v>
      </c>
      <c r="J2247" cm="1">
        <f t="array" ref="J2247">_xlfn.IFS(H2247&lt;30,0,H2247&lt;60,1,H2247&lt;90,2,H2247&lt;120,3)</f>
        <v>0</v>
      </c>
      <c r="M2247" t="str">
        <f t="shared" si="212"/>
        <v>Low</v>
      </c>
      <c r="N2247" t="str">
        <f t="shared" si="215"/>
        <v>Oct</v>
      </c>
      <c r="O2247">
        <f t="shared" si="216"/>
        <v>2025</v>
      </c>
    </row>
    <row r="2248" spans="1:15" x14ac:dyDescent="0.3">
      <c r="A2248">
        <v>202033</v>
      </c>
      <c r="B2248" t="s">
        <v>103</v>
      </c>
      <c r="C2248" s="2">
        <v>45957</v>
      </c>
      <c r="D2248" s="2">
        <f t="shared" si="214"/>
        <v>45987</v>
      </c>
      <c r="E2248" s="1">
        <f>D2248+2</f>
        <v>45989</v>
      </c>
      <c r="F2248">
        <v>3724</v>
      </c>
      <c r="G2248">
        <v>30</v>
      </c>
      <c r="H2248">
        <f t="shared" si="213"/>
        <v>0</v>
      </c>
      <c r="I2248" t="str">
        <f t="shared" si="211"/>
        <v>On Time</v>
      </c>
      <c r="J2248" cm="1">
        <f t="array" ref="J2248">_xlfn.IFS(H2248&lt;30,0,H2248&lt;60,1,H2248&lt;90,2,H2248&lt;120,3)</f>
        <v>0</v>
      </c>
      <c r="M2248" t="str">
        <f t="shared" si="212"/>
        <v>Low</v>
      </c>
      <c r="N2248" t="str">
        <f t="shared" si="215"/>
        <v>Oct</v>
      </c>
      <c r="O2248">
        <f t="shared" si="216"/>
        <v>2025</v>
      </c>
    </row>
    <row r="2249" spans="1:15" x14ac:dyDescent="0.3">
      <c r="A2249">
        <v>202034</v>
      </c>
      <c r="B2249" t="s">
        <v>104</v>
      </c>
      <c r="C2249" s="2">
        <v>45957</v>
      </c>
      <c r="D2249" s="2">
        <f t="shared" si="214"/>
        <v>45987</v>
      </c>
      <c r="E2249" s="1">
        <f>D2249</f>
        <v>45987</v>
      </c>
      <c r="F2249">
        <v>2962</v>
      </c>
      <c r="G2249">
        <v>30</v>
      </c>
      <c r="H2249">
        <f t="shared" si="213"/>
        <v>0</v>
      </c>
      <c r="I2249" t="str">
        <f t="shared" si="211"/>
        <v>On Time</v>
      </c>
      <c r="J2249" cm="1">
        <f t="array" ref="J2249">_xlfn.IFS(H2249&lt;30,0,H2249&lt;60,1,H2249&lt;90,2,H2249&lt;120,3)</f>
        <v>0</v>
      </c>
      <c r="M2249" t="str">
        <f t="shared" si="212"/>
        <v>Low</v>
      </c>
      <c r="N2249" t="str">
        <f t="shared" si="215"/>
        <v>Oct</v>
      </c>
      <c r="O2249">
        <f t="shared" si="216"/>
        <v>2025</v>
      </c>
    </row>
    <row r="2250" spans="1:15" x14ac:dyDescent="0.3">
      <c r="A2250">
        <v>202035</v>
      </c>
      <c r="B2250" t="s">
        <v>105</v>
      </c>
      <c r="C2250" s="2">
        <v>45957</v>
      </c>
      <c r="D2250" s="2">
        <f t="shared" si="214"/>
        <v>45987</v>
      </c>
      <c r="E2250" s="1">
        <f>D2250+20</f>
        <v>46007</v>
      </c>
      <c r="F2250">
        <v>677</v>
      </c>
      <c r="G2250">
        <v>30</v>
      </c>
      <c r="H2250">
        <f t="shared" si="213"/>
        <v>0</v>
      </c>
      <c r="I2250" t="str">
        <f t="shared" si="211"/>
        <v>On Time</v>
      </c>
      <c r="J2250" cm="1">
        <f t="array" ref="J2250">_xlfn.IFS(H2250&lt;30,0,H2250&lt;60,1,H2250&lt;90,2,H2250&lt;120,3)</f>
        <v>0</v>
      </c>
      <c r="M2250" t="str">
        <f t="shared" si="212"/>
        <v>Low</v>
      </c>
      <c r="N2250" t="str">
        <f t="shared" si="215"/>
        <v>Oct</v>
      </c>
      <c r="O2250">
        <f t="shared" si="216"/>
        <v>2025</v>
      </c>
    </row>
    <row r="2251" spans="1:15" x14ac:dyDescent="0.3">
      <c r="A2251">
        <v>202036</v>
      </c>
      <c r="B2251" t="s">
        <v>106</v>
      </c>
      <c r="C2251" s="2">
        <v>45957</v>
      </c>
      <c r="D2251" s="2">
        <f t="shared" si="214"/>
        <v>45987</v>
      </c>
      <c r="E2251" s="1">
        <f>D2251</f>
        <v>45987</v>
      </c>
      <c r="F2251">
        <v>4826</v>
      </c>
      <c r="G2251">
        <v>30</v>
      </c>
      <c r="H2251">
        <f t="shared" si="213"/>
        <v>0</v>
      </c>
      <c r="I2251" t="str">
        <f t="shared" si="211"/>
        <v>On Time</v>
      </c>
      <c r="J2251" cm="1">
        <f t="array" ref="J2251">_xlfn.IFS(H2251&lt;30,0,H2251&lt;60,1,H2251&lt;90,2,H2251&lt;120,3)</f>
        <v>0</v>
      </c>
      <c r="M2251" t="str">
        <f t="shared" si="212"/>
        <v>Low</v>
      </c>
      <c r="N2251" t="str">
        <f t="shared" si="215"/>
        <v>Oct</v>
      </c>
      <c r="O2251">
        <f t="shared" si="216"/>
        <v>2025</v>
      </c>
    </row>
    <row r="2252" spans="1:15" x14ac:dyDescent="0.3">
      <c r="A2252">
        <v>202037</v>
      </c>
      <c r="B2252" t="s">
        <v>107</v>
      </c>
      <c r="C2252" s="2">
        <v>45957</v>
      </c>
      <c r="D2252" s="2">
        <f t="shared" si="214"/>
        <v>45987</v>
      </c>
      <c r="E2252" s="1">
        <f>D2252+1</f>
        <v>45988</v>
      </c>
      <c r="F2252">
        <v>13943</v>
      </c>
      <c r="G2252">
        <v>30</v>
      </c>
      <c r="H2252">
        <f t="shared" si="213"/>
        <v>0</v>
      </c>
      <c r="I2252" t="str">
        <f t="shared" si="211"/>
        <v>On Time</v>
      </c>
      <c r="J2252" cm="1">
        <f t="array" ref="J2252">_xlfn.IFS(H2252&lt;30,0,H2252&lt;60,1,H2252&lt;90,2,H2252&lt;120,3)</f>
        <v>0</v>
      </c>
      <c r="M2252" t="str">
        <f t="shared" si="212"/>
        <v>Low</v>
      </c>
      <c r="N2252" t="str">
        <f t="shared" si="215"/>
        <v>Oct</v>
      </c>
      <c r="O2252">
        <f t="shared" si="216"/>
        <v>2025</v>
      </c>
    </row>
    <row r="2253" spans="1:15" x14ac:dyDescent="0.3">
      <c r="A2253">
        <v>202038</v>
      </c>
      <c r="B2253" t="s">
        <v>56</v>
      </c>
      <c r="C2253" s="2">
        <v>45957</v>
      </c>
      <c r="D2253" s="2">
        <f t="shared" si="214"/>
        <v>46002</v>
      </c>
      <c r="E2253" s="1">
        <f>D2253</f>
        <v>46002</v>
      </c>
      <c r="F2253">
        <v>3087</v>
      </c>
      <c r="G2253">
        <v>45</v>
      </c>
      <c r="H2253">
        <f t="shared" si="213"/>
        <v>0</v>
      </c>
      <c r="I2253" t="str">
        <f t="shared" si="211"/>
        <v>On Time</v>
      </c>
      <c r="J2253" cm="1">
        <f t="array" ref="J2253">_xlfn.IFS(H2253&lt;30,0,H2253&lt;60,1,H2253&lt;90,2,H2253&lt;120,3)</f>
        <v>0</v>
      </c>
      <c r="M2253" t="str">
        <f t="shared" si="212"/>
        <v>Low</v>
      </c>
      <c r="N2253" t="str">
        <f t="shared" si="215"/>
        <v>Oct</v>
      </c>
      <c r="O2253">
        <f t="shared" si="216"/>
        <v>2025</v>
      </c>
    </row>
    <row r="2254" spans="1:15" x14ac:dyDescent="0.3">
      <c r="A2254">
        <v>202039</v>
      </c>
      <c r="B2254" t="s">
        <v>57</v>
      </c>
      <c r="C2254" s="2">
        <v>45957</v>
      </c>
      <c r="D2254" s="2">
        <f t="shared" si="214"/>
        <v>46017</v>
      </c>
      <c r="E2254" s="1">
        <f>D2254</f>
        <v>46017</v>
      </c>
      <c r="F2254">
        <v>3653</v>
      </c>
      <c r="G2254">
        <v>60</v>
      </c>
      <c r="H2254">
        <f t="shared" si="213"/>
        <v>0</v>
      </c>
      <c r="I2254" t="str">
        <f t="shared" si="211"/>
        <v>On Time</v>
      </c>
      <c r="J2254" cm="1">
        <f t="array" ref="J2254">_xlfn.IFS(H2254&lt;30,0,H2254&lt;60,1,H2254&lt;90,2,H2254&lt;120,3)</f>
        <v>0</v>
      </c>
      <c r="M2254" t="str">
        <f t="shared" si="212"/>
        <v>Low</v>
      </c>
      <c r="N2254" t="str">
        <f t="shared" si="215"/>
        <v>Oct</v>
      </c>
      <c r="O2254">
        <f t="shared" si="216"/>
        <v>2025</v>
      </c>
    </row>
    <row r="2255" spans="1:15" x14ac:dyDescent="0.3">
      <c r="A2255">
        <v>202040</v>
      </c>
      <c r="B2255" t="s">
        <v>58</v>
      </c>
      <c r="C2255" s="2">
        <v>45957</v>
      </c>
      <c r="D2255" s="2">
        <f t="shared" si="214"/>
        <v>45987</v>
      </c>
      <c r="E2255" s="1">
        <f>D2255+5</f>
        <v>45992</v>
      </c>
      <c r="F2255">
        <v>4690</v>
      </c>
      <c r="G2255">
        <v>30</v>
      </c>
      <c r="H2255">
        <f t="shared" si="213"/>
        <v>0</v>
      </c>
      <c r="I2255" t="str">
        <f t="shared" si="211"/>
        <v>On Time</v>
      </c>
      <c r="J2255" cm="1">
        <f t="array" ref="J2255">_xlfn.IFS(H2255&lt;30,0,H2255&lt;60,1,H2255&lt;90,2,H2255&lt;120,3)</f>
        <v>0</v>
      </c>
      <c r="M2255" t="str">
        <f t="shared" si="212"/>
        <v>Low</v>
      </c>
      <c r="N2255" t="str">
        <f t="shared" si="215"/>
        <v>Oct</v>
      </c>
      <c r="O2255">
        <f t="shared" si="216"/>
        <v>2025</v>
      </c>
    </row>
    <row r="2256" spans="1:15" x14ac:dyDescent="0.3">
      <c r="A2256">
        <v>202041</v>
      </c>
      <c r="B2256" t="s">
        <v>59</v>
      </c>
      <c r="C2256" s="2">
        <v>45957</v>
      </c>
      <c r="D2256" s="2">
        <f t="shared" si="214"/>
        <v>45987</v>
      </c>
      <c r="E2256" s="1">
        <f>D2256+2</f>
        <v>45989</v>
      </c>
      <c r="F2256">
        <v>1280</v>
      </c>
      <c r="G2256">
        <v>30</v>
      </c>
      <c r="H2256">
        <f t="shared" si="213"/>
        <v>0</v>
      </c>
      <c r="I2256" t="str">
        <f t="shared" si="211"/>
        <v>On Time</v>
      </c>
      <c r="J2256" cm="1">
        <f t="array" ref="J2256">_xlfn.IFS(H2256&lt;30,0,H2256&lt;60,1,H2256&lt;90,2,H2256&lt;120,3)</f>
        <v>0</v>
      </c>
      <c r="M2256" t="str">
        <f t="shared" si="212"/>
        <v>Low</v>
      </c>
      <c r="N2256" t="str">
        <f t="shared" si="215"/>
        <v>Oct</v>
      </c>
      <c r="O2256">
        <f t="shared" si="216"/>
        <v>2025</v>
      </c>
    </row>
    <row r="2257" spans="1:15" x14ac:dyDescent="0.3">
      <c r="A2257">
        <v>202042</v>
      </c>
      <c r="B2257" t="s">
        <v>60</v>
      </c>
      <c r="C2257" s="2">
        <v>45957</v>
      </c>
      <c r="D2257" s="2">
        <f t="shared" si="214"/>
        <v>45987</v>
      </c>
      <c r="E2257" s="1">
        <f>D2257</f>
        <v>45987</v>
      </c>
      <c r="F2257">
        <v>369</v>
      </c>
      <c r="G2257">
        <v>30</v>
      </c>
      <c r="H2257">
        <f t="shared" si="213"/>
        <v>0</v>
      </c>
      <c r="I2257" t="str">
        <f t="shared" si="211"/>
        <v>On Time</v>
      </c>
      <c r="J2257" cm="1">
        <f t="array" ref="J2257">_xlfn.IFS(H2257&lt;30,0,H2257&lt;60,1,H2257&lt;90,2,H2257&lt;120,3)</f>
        <v>0</v>
      </c>
      <c r="M2257" t="str">
        <f t="shared" si="212"/>
        <v>Low</v>
      </c>
      <c r="N2257" t="str">
        <f t="shared" si="215"/>
        <v>Oct</v>
      </c>
      <c r="O2257">
        <f t="shared" si="216"/>
        <v>2025</v>
      </c>
    </row>
    <row r="2258" spans="1:15" x14ac:dyDescent="0.3">
      <c r="A2258">
        <v>202043</v>
      </c>
      <c r="B2258" t="s">
        <v>61</v>
      </c>
      <c r="C2258" s="2">
        <v>45957</v>
      </c>
      <c r="D2258" s="2">
        <f t="shared" si="214"/>
        <v>45987</v>
      </c>
      <c r="E2258" s="1">
        <f>D2258</f>
        <v>45987</v>
      </c>
      <c r="F2258">
        <v>4143</v>
      </c>
      <c r="G2258">
        <v>30</v>
      </c>
      <c r="H2258">
        <f t="shared" si="213"/>
        <v>0</v>
      </c>
      <c r="I2258" t="str">
        <f t="shared" si="211"/>
        <v>On Time</v>
      </c>
      <c r="J2258" cm="1">
        <f t="array" ref="J2258">_xlfn.IFS(H2258&lt;30,0,H2258&lt;60,1,H2258&lt;90,2,H2258&lt;120,3)</f>
        <v>0</v>
      </c>
      <c r="M2258" t="str">
        <f t="shared" si="212"/>
        <v>Low</v>
      </c>
      <c r="N2258" t="str">
        <f t="shared" si="215"/>
        <v>Oct</v>
      </c>
      <c r="O2258">
        <f t="shared" si="216"/>
        <v>2025</v>
      </c>
    </row>
    <row r="2259" spans="1:15" x14ac:dyDescent="0.3">
      <c r="A2259">
        <v>202044</v>
      </c>
      <c r="B2259" t="s">
        <v>62</v>
      </c>
      <c r="C2259" s="2">
        <v>45957</v>
      </c>
      <c r="D2259" s="2">
        <f t="shared" si="214"/>
        <v>45987</v>
      </c>
      <c r="E2259" s="1">
        <f>D2259</f>
        <v>45987</v>
      </c>
      <c r="F2259">
        <v>1457</v>
      </c>
      <c r="G2259">
        <v>30</v>
      </c>
      <c r="H2259">
        <f t="shared" si="213"/>
        <v>0</v>
      </c>
      <c r="I2259" t="str">
        <f t="shared" si="211"/>
        <v>On Time</v>
      </c>
      <c r="J2259" cm="1">
        <f t="array" ref="J2259">_xlfn.IFS(H2259&lt;30,0,H2259&lt;60,1,H2259&lt;90,2,H2259&lt;120,3)</f>
        <v>0</v>
      </c>
      <c r="M2259" t="str">
        <f t="shared" si="212"/>
        <v>Low</v>
      </c>
      <c r="N2259" t="str">
        <f t="shared" si="215"/>
        <v>Oct</v>
      </c>
      <c r="O2259">
        <f t="shared" si="216"/>
        <v>2025</v>
      </c>
    </row>
    <row r="2260" spans="1:15" x14ac:dyDescent="0.3">
      <c r="A2260">
        <v>202045</v>
      </c>
      <c r="B2260" t="s">
        <v>63</v>
      </c>
      <c r="C2260" s="2">
        <v>45957</v>
      </c>
      <c r="D2260" s="2">
        <f t="shared" si="214"/>
        <v>45987</v>
      </c>
      <c r="E2260" s="1">
        <f>D2260+60</f>
        <v>46047</v>
      </c>
      <c r="F2260">
        <v>2390</v>
      </c>
      <c r="G2260">
        <v>30</v>
      </c>
      <c r="H2260">
        <f t="shared" si="213"/>
        <v>0</v>
      </c>
      <c r="I2260" t="str">
        <f t="shared" si="211"/>
        <v>On Time</v>
      </c>
      <c r="J2260" cm="1">
        <f t="array" ref="J2260">_xlfn.IFS(H2260&lt;30,0,H2260&lt;60,1,H2260&lt;90,2,H2260&lt;120,3)</f>
        <v>0</v>
      </c>
      <c r="M2260" t="str">
        <f t="shared" si="212"/>
        <v>Low</v>
      </c>
      <c r="N2260" t="str">
        <f t="shared" si="215"/>
        <v>Oct</v>
      </c>
      <c r="O2260">
        <f t="shared" si="216"/>
        <v>2025</v>
      </c>
    </row>
    <row r="2261" spans="1:15" x14ac:dyDescent="0.3">
      <c r="A2261">
        <v>202046</v>
      </c>
      <c r="B2261" t="s">
        <v>64</v>
      </c>
      <c r="C2261" s="2">
        <v>45957</v>
      </c>
      <c r="D2261" s="2">
        <f t="shared" si="214"/>
        <v>45987</v>
      </c>
      <c r="E2261" s="1">
        <f>D2261</f>
        <v>45987</v>
      </c>
      <c r="F2261">
        <v>4744</v>
      </c>
      <c r="G2261">
        <v>30</v>
      </c>
      <c r="H2261">
        <f t="shared" si="213"/>
        <v>0</v>
      </c>
      <c r="I2261" t="str">
        <f t="shared" si="211"/>
        <v>On Time</v>
      </c>
      <c r="J2261" cm="1">
        <f t="array" ref="J2261">_xlfn.IFS(H2261&lt;30,0,H2261&lt;60,1,H2261&lt;90,2,H2261&lt;120,3)</f>
        <v>0</v>
      </c>
      <c r="M2261" t="str">
        <f t="shared" si="212"/>
        <v>Low</v>
      </c>
      <c r="N2261" t="str">
        <f t="shared" si="215"/>
        <v>Oct</v>
      </c>
      <c r="O2261">
        <f t="shared" si="216"/>
        <v>2025</v>
      </c>
    </row>
    <row r="2262" spans="1:15" x14ac:dyDescent="0.3">
      <c r="A2262">
        <v>202047</v>
      </c>
      <c r="B2262" t="s">
        <v>65</v>
      </c>
      <c r="C2262" s="2">
        <v>45957</v>
      </c>
      <c r="D2262" s="2">
        <f t="shared" si="214"/>
        <v>46002</v>
      </c>
      <c r="E2262" s="1">
        <f>D2262</f>
        <v>46002</v>
      </c>
      <c r="F2262">
        <v>3788</v>
      </c>
      <c r="G2262">
        <v>45</v>
      </c>
      <c r="H2262">
        <f t="shared" si="213"/>
        <v>0</v>
      </c>
      <c r="I2262" t="str">
        <f t="shared" ref="I2262:I2325" si="217">IF(H2262=0,"On Time",IF(H2262&lt;=15,"Paid Late","Seriously Late"))</f>
        <v>On Time</v>
      </c>
      <c r="J2262" cm="1">
        <f t="array" ref="J2262">_xlfn.IFS(H2262&lt;30,0,H2262&lt;60,1,H2262&lt;90,2,H2262&lt;120,3)</f>
        <v>0</v>
      </c>
      <c r="M2262" t="str">
        <f t="shared" ref="M2262:M2325" si="218">IF(H2262&gt;30,"High",IF(H2262&gt;10,"Medium","Low"))</f>
        <v>Low</v>
      </c>
      <c r="N2262" t="str">
        <f t="shared" si="215"/>
        <v>Oct</v>
      </c>
      <c r="O2262">
        <f t="shared" si="216"/>
        <v>2025</v>
      </c>
    </row>
    <row r="2263" spans="1:15" x14ac:dyDescent="0.3">
      <c r="A2263">
        <v>202048</v>
      </c>
      <c r="B2263" t="s">
        <v>66</v>
      </c>
      <c r="C2263" s="2">
        <v>45957</v>
      </c>
      <c r="D2263" s="2">
        <f t="shared" si="214"/>
        <v>46017</v>
      </c>
      <c r="E2263" s="1">
        <f>D2263+3</f>
        <v>46020</v>
      </c>
      <c r="F2263">
        <v>3726</v>
      </c>
      <c r="G2263">
        <v>60</v>
      </c>
      <c r="H2263">
        <f t="shared" si="213"/>
        <v>0</v>
      </c>
      <c r="I2263" t="str">
        <f t="shared" si="217"/>
        <v>On Time</v>
      </c>
      <c r="J2263" cm="1">
        <f t="array" ref="J2263">_xlfn.IFS(H2263&lt;30,0,H2263&lt;60,1,H2263&lt;90,2,H2263&lt;120,3)</f>
        <v>0</v>
      </c>
      <c r="M2263" t="str">
        <f t="shared" si="218"/>
        <v>Low</v>
      </c>
      <c r="N2263" t="str">
        <f t="shared" si="215"/>
        <v>Oct</v>
      </c>
      <c r="O2263">
        <f t="shared" si="216"/>
        <v>2025</v>
      </c>
    </row>
    <row r="2264" spans="1:15" x14ac:dyDescent="0.3">
      <c r="A2264">
        <v>202449</v>
      </c>
      <c r="B2264" t="s">
        <v>48</v>
      </c>
      <c r="C2264" s="2">
        <v>45957</v>
      </c>
      <c r="D2264" s="2">
        <f t="shared" si="214"/>
        <v>46002</v>
      </c>
      <c r="E2264" s="1">
        <f>D2264+35</f>
        <v>46037</v>
      </c>
      <c r="F2264">
        <v>11558</v>
      </c>
      <c r="G2264">
        <v>45</v>
      </c>
      <c r="H2264">
        <f t="shared" si="213"/>
        <v>0</v>
      </c>
      <c r="I2264" t="str">
        <f t="shared" si="217"/>
        <v>On Time</v>
      </c>
      <c r="J2264" cm="1">
        <f t="array" ref="J2264">_xlfn.IFS(H2264&lt;30,0,H2264&lt;60,1,H2264&lt;90,2,H2264&lt;120,3)</f>
        <v>0</v>
      </c>
      <c r="M2264" t="str">
        <f t="shared" si="218"/>
        <v>Low</v>
      </c>
      <c r="N2264" t="str">
        <f t="shared" si="215"/>
        <v>Oct</v>
      </c>
      <c r="O2264">
        <f t="shared" si="216"/>
        <v>2025</v>
      </c>
    </row>
    <row r="2265" spans="1:15" x14ac:dyDescent="0.3">
      <c r="A2265">
        <v>202450</v>
      </c>
      <c r="B2265" t="s">
        <v>49</v>
      </c>
      <c r="C2265" s="2">
        <v>45957</v>
      </c>
      <c r="D2265" s="2">
        <f t="shared" si="214"/>
        <v>45987</v>
      </c>
      <c r="E2265" s="1">
        <f>D2265+75</f>
        <v>46062</v>
      </c>
      <c r="F2265">
        <v>2292</v>
      </c>
      <c r="G2265">
        <v>30</v>
      </c>
      <c r="H2265">
        <f t="shared" si="213"/>
        <v>0</v>
      </c>
      <c r="I2265" t="str">
        <f t="shared" si="217"/>
        <v>On Time</v>
      </c>
      <c r="J2265" cm="1">
        <f t="array" ref="J2265">_xlfn.IFS(H2265&lt;30,0,H2265&lt;60,1,H2265&lt;90,2,H2265&lt;120,3)</f>
        <v>0</v>
      </c>
      <c r="M2265" t="str">
        <f t="shared" si="218"/>
        <v>Low</v>
      </c>
      <c r="N2265" t="str">
        <f t="shared" si="215"/>
        <v>Oct</v>
      </c>
      <c r="O2265">
        <f t="shared" si="216"/>
        <v>2025</v>
      </c>
    </row>
    <row r="2266" spans="1:15" x14ac:dyDescent="0.3">
      <c r="A2266">
        <v>202451</v>
      </c>
      <c r="B2266" t="s">
        <v>50</v>
      </c>
      <c r="C2266" s="2">
        <v>45957</v>
      </c>
      <c r="D2266" s="2">
        <f t="shared" si="214"/>
        <v>45987</v>
      </c>
      <c r="E2266" s="1">
        <f>D2266+5</f>
        <v>45992</v>
      </c>
      <c r="F2266">
        <v>1461</v>
      </c>
      <c r="G2266">
        <v>30</v>
      </c>
      <c r="H2266">
        <f t="shared" si="213"/>
        <v>0</v>
      </c>
      <c r="I2266" t="str">
        <f t="shared" si="217"/>
        <v>On Time</v>
      </c>
      <c r="J2266" cm="1">
        <f t="array" ref="J2266">_xlfn.IFS(H2266&lt;30,0,H2266&lt;60,1,H2266&lt;90,2,H2266&lt;120,3)</f>
        <v>0</v>
      </c>
      <c r="M2266" t="str">
        <f t="shared" si="218"/>
        <v>Low</v>
      </c>
      <c r="N2266" t="str">
        <f t="shared" si="215"/>
        <v>Oct</v>
      </c>
      <c r="O2266">
        <f t="shared" si="216"/>
        <v>2025</v>
      </c>
    </row>
    <row r="2267" spans="1:15" x14ac:dyDescent="0.3">
      <c r="A2267">
        <v>202452</v>
      </c>
      <c r="B2267" t="s">
        <v>51</v>
      </c>
      <c r="C2267" s="2">
        <v>45957</v>
      </c>
      <c r="D2267" s="2">
        <f t="shared" si="214"/>
        <v>45987</v>
      </c>
      <c r="E2267" s="1">
        <f>D2267</f>
        <v>45987</v>
      </c>
      <c r="F2267">
        <v>5000</v>
      </c>
      <c r="G2267">
        <v>30</v>
      </c>
      <c r="H2267">
        <f t="shared" si="213"/>
        <v>0</v>
      </c>
      <c r="I2267" t="str">
        <f t="shared" si="217"/>
        <v>On Time</v>
      </c>
      <c r="J2267" cm="1">
        <f t="array" ref="J2267">_xlfn.IFS(H2267&lt;30,0,H2267&lt;60,1,H2267&lt;90,2,H2267&lt;120,3)</f>
        <v>0</v>
      </c>
      <c r="M2267" t="str">
        <f t="shared" si="218"/>
        <v>Low</v>
      </c>
      <c r="N2267" t="str">
        <f t="shared" si="215"/>
        <v>Oct</v>
      </c>
      <c r="O2267">
        <f t="shared" si="216"/>
        <v>2025</v>
      </c>
    </row>
    <row r="2268" spans="1:15" x14ac:dyDescent="0.3">
      <c r="A2268">
        <v>202453</v>
      </c>
      <c r="B2268" t="s">
        <v>52</v>
      </c>
      <c r="C2268" s="2">
        <v>45957</v>
      </c>
      <c r="D2268" s="2">
        <f t="shared" si="214"/>
        <v>45987</v>
      </c>
      <c r="E2268" s="1">
        <f>D2268-1</f>
        <v>45986</v>
      </c>
      <c r="F2268">
        <v>3339</v>
      </c>
      <c r="G2268">
        <v>30</v>
      </c>
      <c r="H2268">
        <f t="shared" si="213"/>
        <v>0</v>
      </c>
      <c r="I2268" t="str">
        <f t="shared" si="217"/>
        <v>On Time</v>
      </c>
      <c r="J2268" cm="1">
        <f t="array" ref="J2268">_xlfn.IFS(H2268&lt;30,0,H2268&lt;60,1,H2268&lt;90,2,H2268&lt;120,3)</f>
        <v>0</v>
      </c>
      <c r="M2268" t="str">
        <f t="shared" si="218"/>
        <v>Low</v>
      </c>
      <c r="N2268" t="str">
        <f t="shared" si="215"/>
        <v>Oct</v>
      </c>
      <c r="O2268">
        <f t="shared" si="216"/>
        <v>2025</v>
      </c>
    </row>
    <row r="2269" spans="1:15" x14ac:dyDescent="0.3">
      <c r="A2269">
        <v>202454</v>
      </c>
      <c r="B2269" t="s">
        <v>53</v>
      </c>
      <c r="C2269" s="2">
        <v>45957</v>
      </c>
      <c r="D2269" s="2">
        <f t="shared" si="214"/>
        <v>45987</v>
      </c>
      <c r="E2269" s="1">
        <f>D2269</f>
        <v>45987</v>
      </c>
      <c r="F2269">
        <v>12942</v>
      </c>
      <c r="G2269">
        <v>30</v>
      </c>
      <c r="H2269">
        <f t="shared" si="213"/>
        <v>0</v>
      </c>
      <c r="I2269" t="str">
        <f t="shared" si="217"/>
        <v>On Time</v>
      </c>
      <c r="J2269" cm="1">
        <f t="array" ref="J2269">_xlfn.IFS(H2269&lt;30,0,H2269&lt;60,1,H2269&lt;90,2,H2269&lt;120,3)</f>
        <v>0</v>
      </c>
      <c r="M2269" t="str">
        <f t="shared" si="218"/>
        <v>Low</v>
      </c>
      <c r="N2269" t="str">
        <f t="shared" si="215"/>
        <v>Oct</v>
      </c>
      <c r="O2269">
        <f t="shared" si="216"/>
        <v>2025</v>
      </c>
    </row>
    <row r="2270" spans="1:15" x14ac:dyDescent="0.3">
      <c r="A2270">
        <v>202455</v>
      </c>
      <c r="B2270" t="s">
        <v>54</v>
      </c>
      <c r="C2270" s="2">
        <v>45957</v>
      </c>
      <c r="D2270" s="2">
        <f t="shared" si="214"/>
        <v>45987</v>
      </c>
      <c r="E2270" s="1">
        <f>D2270+32</f>
        <v>46019</v>
      </c>
      <c r="F2270">
        <v>1859</v>
      </c>
      <c r="G2270">
        <v>30</v>
      </c>
      <c r="H2270">
        <f t="shared" si="213"/>
        <v>0</v>
      </c>
      <c r="I2270" t="str">
        <f t="shared" si="217"/>
        <v>On Time</v>
      </c>
      <c r="J2270" cm="1">
        <f t="array" ref="J2270">_xlfn.IFS(H2270&lt;30,0,H2270&lt;60,1,H2270&lt;90,2,H2270&lt;120,3)</f>
        <v>0</v>
      </c>
      <c r="M2270" t="str">
        <f t="shared" si="218"/>
        <v>Low</v>
      </c>
      <c r="N2270" t="str">
        <f t="shared" si="215"/>
        <v>Oct</v>
      </c>
      <c r="O2270">
        <f t="shared" si="216"/>
        <v>2025</v>
      </c>
    </row>
    <row r="2271" spans="1:15" x14ac:dyDescent="0.3">
      <c r="A2271">
        <v>202456</v>
      </c>
      <c r="B2271" t="s">
        <v>36</v>
      </c>
      <c r="C2271" s="2">
        <v>45957</v>
      </c>
      <c r="D2271" s="2">
        <f t="shared" si="214"/>
        <v>45987</v>
      </c>
      <c r="E2271" s="1">
        <f>D2271+15</f>
        <v>46002</v>
      </c>
      <c r="F2271">
        <v>2106</v>
      </c>
      <c r="G2271">
        <v>30</v>
      </c>
      <c r="H2271">
        <f t="shared" si="213"/>
        <v>0</v>
      </c>
      <c r="I2271" t="str">
        <f t="shared" si="217"/>
        <v>On Time</v>
      </c>
      <c r="J2271" cm="1">
        <f t="array" ref="J2271">_xlfn.IFS(H2271&lt;30,0,H2271&lt;60,1,H2271&lt;90,2,H2271&lt;120,3)</f>
        <v>0</v>
      </c>
      <c r="M2271" t="str">
        <f t="shared" si="218"/>
        <v>Low</v>
      </c>
      <c r="N2271" t="str">
        <f t="shared" si="215"/>
        <v>Oct</v>
      </c>
      <c r="O2271">
        <f t="shared" si="216"/>
        <v>2025</v>
      </c>
    </row>
    <row r="2272" spans="1:15" x14ac:dyDescent="0.3">
      <c r="A2272">
        <v>202457</v>
      </c>
      <c r="B2272" t="s">
        <v>37</v>
      </c>
      <c r="C2272" s="2">
        <v>45957</v>
      </c>
      <c r="D2272" s="2">
        <f t="shared" si="214"/>
        <v>45987</v>
      </c>
      <c r="E2272" s="1">
        <f>D2272-2</f>
        <v>45985</v>
      </c>
      <c r="F2272">
        <v>3167</v>
      </c>
      <c r="G2272">
        <v>30</v>
      </c>
      <c r="H2272">
        <f t="shared" si="213"/>
        <v>0</v>
      </c>
      <c r="I2272" t="str">
        <f t="shared" si="217"/>
        <v>On Time</v>
      </c>
      <c r="J2272" cm="1">
        <f t="array" ref="J2272">_xlfn.IFS(H2272&lt;30,0,H2272&lt;60,1,H2272&lt;90,2,H2272&lt;120,3)</f>
        <v>0</v>
      </c>
      <c r="M2272" t="str">
        <f t="shared" si="218"/>
        <v>Low</v>
      </c>
      <c r="N2272" t="str">
        <f t="shared" si="215"/>
        <v>Oct</v>
      </c>
      <c r="O2272">
        <f t="shared" si="216"/>
        <v>2025</v>
      </c>
    </row>
    <row r="2273" spans="1:15" x14ac:dyDescent="0.3">
      <c r="A2273">
        <v>202458</v>
      </c>
      <c r="B2273" t="s">
        <v>38</v>
      </c>
      <c r="C2273" s="2">
        <v>45957</v>
      </c>
      <c r="D2273" s="2">
        <f t="shared" si="214"/>
        <v>45987</v>
      </c>
      <c r="E2273" s="1">
        <f>D2273-2</f>
        <v>45985</v>
      </c>
      <c r="F2273">
        <v>3529</v>
      </c>
      <c r="G2273">
        <v>30</v>
      </c>
      <c r="H2273">
        <f t="shared" si="213"/>
        <v>0</v>
      </c>
      <c r="I2273" t="str">
        <f t="shared" si="217"/>
        <v>On Time</v>
      </c>
      <c r="J2273" cm="1">
        <f t="array" ref="J2273">_xlfn.IFS(H2273&lt;30,0,H2273&lt;60,1,H2273&lt;90,2,H2273&lt;120,3)</f>
        <v>0</v>
      </c>
      <c r="M2273" t="str">
        <f t="shared" si="218"/>
        <v>Low</v>
      </c>
      <c r="N2273" t="str">
        <f t="shared" si="215"/>
        <v>Oct</v>
      </c>
      <c r="O2273">
        <f t="shared" si="216"/>
        <v>2025</v>
      </c>
    </row>
    <row r="2274" spans="1:15" x14ac:dyDescent="0.3">
      <c r="A2274">
        <v>202459</v>
      </c>
      <c r="B2274" t="s">
        <v>39</v>
      </c>
      <c r="C2274" s="2">
        <v>45957</v>
      </c>
      <c r="D2274" s="2">
        <f t="shared" si="214"/>
        <v>45987</v>
      </c>
      <c r="E2274" s="1">
        <f>D2274</f>
        <v>45987</v>
      </c>
      <c r="F2274">
        <v>2576</v>
      </c>
      <c r="G2274">
        <v>30</v>
      </c>
      <c r="H2274">
        <f t="shared" si="213"/>
        <v>0</v>
      </c>
      <c r="I2274" t="str">
        <f t="shared" si="217"/>
        <v>On Time</v>
      </c>
      <c r="J2274" cm="1">
        <f t="array" ref="J2274">_xlfn.IFS(H2274&lt;30,0,H2274&lt;60,1,H2274&lt;90,2,H2274&lt;120,3)</f>
        <v>0</v>
      </c>
      <c r="M2274" t="str">
        <f t="shared" si="218"/>
        <v>Low</v>
      </c>
      <c r="N2274" t="str">
        <f t="shared" si="215"/>
        <v>Oct</v>
      </c>
      <c r="O2274">
        <f t="shared" si="216"/>
        <v>2025</v>
      </c>
    </row>
    <row r="2275" spans="1:15" x14ac:dyDescent="0.3">
      <c r="A2275">
        <v>202460</v>
      </c>
      <c r="B2275" t="s">
        <v>40</v>
      </c>
      <c r="C2275" s="2">
        <v>45957</v>
      </c>
      <c r="D2275" s="2">
        <f t="shared" si="214"/>
        <v>45987</v>
      </c>
      <c r="E2275" s="1">
        <f>D2275+2</f>
        <v>45989</v>
      </c>
      <c r="F2275">
        <v>2938</v>
      </c>
      <c r="G2275">
        <v>30</v>
      </c>
      <c r="H2275">
        <f t="shared" si="213"/>
        <v>0</v>
      </c>
      <c r="I2275" t="str">
        <f t="shared" si="217"/>
        <v>On Time</v>
      </c>
      <c r="J2275" cm="1">
        <f t="array" ref="J2275">_xlfn.IFS(H2275&lt;30,0,H2275&lt;60,1,H2275&lt;90,2,H2275&lt;120,3)</f>
        <v>0</v>
      </c>
      <c r="M2275" t="str">
        <f t="shared" si="218"/>
        <v>Low</v>
      </c>
      <c r="N2275" t="str">
        <f t="shared" si="215"/>
        <v>Oct</v>
      </c>
      <c r="O2275">
        <f t="shared" si="216"/>
        <v>2025</v>
      </c>
    </row>
    <row r="2276" spans="1:15" x14ac:dyDescent="0.3">
      <c r="A2276">
        <v>202461</v>
      </c>
      <c r="B2276" t="s">
        <v>41</v>
      </c>
      <c r="C2276" s="2">
        <v>45957</v>
      </c>
      <c r="D2276" s="2">
        <f t="shared" si="214"/>
        <v>45987</v>
      </c>
      <c r="E2276" s="1">
        <f>D2276+2</f>
        <v>45989</v>
      </c>
      <c r="F2276">
        <v>13517</v>
      </c>
      <c r="G2276">
        <v>30</v>
      </c>
      <c r="H2276">
        <f t="shared" si="213"/>
        <v>0</v>
      </c>
      <c r="I2276" t="str">
        <f t="shared" si="217"/>
        <v>On Time</v>
      </c>
      <c r="J2276" cm="1">
        <f t="array" ref="J2276">_xlfn.IFS(H2276&lt;30,0,H2276&lt;60,1,H2276&lt;90,2,H2276&lt;120,3)</f>
        <v>0</v>
      </c>
      <c r="M2276" t="str">
        <f t="shared" si="218"/>
        <v>Low</v>
      </c>
      <c r="N2276" t="str">
        <f t="shared" si="215"/>
        <v>Oct</v>
      </c>
      <c r="O2276">
        <f t="shared" si="216"/>
        <v>2025</v>
      </c>
    </row>
    <row r="2277" spans="1:15" x14ac:dyDescent="0.3">
      <c r="A2277">
        <v>202462</v>
      </c>
      <c r="B2277" t="s">
        <v>42</v>
      </c>
      <c r="C2277" s="2">
        <v>45957</v>
      </c>
      <c r="D2277" s="2">
        <f t="shared" si="214"/>
        <v>45987</v>
      </c>
      <c r="E2277" s="1">
        <f>D2277+2</f>
        <v>45989</v>
      </c>
      <c r="F2277">
        <v>173</v>
      </c>
      <c r="G2277">
        <v>30</v>
      </c>
      <c r="H2277">
        <f t="shared" si="213"/>
        <v>0</v>
      </c>
      <c r="I2277" t="str">
        <f t="shared" si="217"/>
        <v>On Time</v>
      </c>
      <c r="J2277" cm="1">
        <f t="array" ref="J2277">_xlfn.IFS(H2277&lt;30,0,H2277&lt;60,1,H2277&lt;90,2,H2277&lt;120,3)</f>
        <v>0</v>
      </c>
      <c r="M2277" t="str">
        <f t="shared" si="218"/>
        <v>Low</v>
      </c>
      <c r="N2277" t="str">
        <f t="shared" si="215"/>
        <v>Oct</v>
      </c>
      <c r="O2277">
        <f t="shared" si="216"/>
        <v>2025</v>
      </c>
    </row>
    <row r="2278" spans="1:15" x14ac:dyDescent="0.3">
      <c r="A2278">
        <v>202463</v>
      </c>
      <c r="B2278" t="s">
        <v>43</v>
      </c>
      <c r="C2278" s="2">
        <v>45957</v>
      </c>
      <c r="D2278" s="2">
        <f t="shared" si="214"/>
        <v>45987</v>
      </c>
      <c r="E2278" s="1">
        <f>D2278</f>
        <v>45987</v>
      </c>
      <c r="F2278">
        <v>1292</v>
      </c>
      <c r="G2278">
        <v>30</v>
      </c>
      <c r="H2278">
        <f t="shared" ref="H2278:H2341" si="219">MAX(0,P2243-D2278)</f>
        <v>0</v>
      </c>
      <c r="I2278" t="str">
        <f t="shared" si="217"/>
        <v>On Time</v>
      </c>
      <c r="J2278" cm="1">
        <f t="array" ref="J2278">_xlfn.IFS(H2278&lt;30,0,H2278&lt;60,1,H2278&lt;90,2,H2278&lt;120,3)</f>
        <v>0</v>
      </c>
      <c r="M2278" t="str">
        <f t="shared" si="218"/>
        <v>Low</v>
      </c>
      <c r="N2278" t="str">
        <f t="shared" si="215"/>
        <v>Oct</v>
      </c>
      <c r="O2278">
        <f t="shared" si="216"/>
        <v>2025</v>
      </c>
    </row>
    <row r="2279" spans="1:15" x14ac:dyDescent="0.3">
      <c r="A2279">
        <v>202464</v>
      </c>
      <c r="B2279" t="s">
        <v>25</v>
      </c>
      <c r="C2279" s="2">
        <v>45957</v>
      </c>
      <c r="D2279" s="2">
        <f t="shared" si="214"/>
        <v>46017</v>
      </c>
      <c r="E2279" s="1">
        <f>D2279+20</f>
        <v>46037</v>
      </c>
      <c r="F2279">
        <v>2398</v>
      </c>
      <c r="G2279">
        <v>60</v>
      </c>
      <c r="H2279">
        <f t="shared" si="219"/>
        <v>0</v>
      </c>
      <c r="I2279" t="str">
        <f t="shared" si="217"/>
        <v>On Time</v>
      </c>
      <c r="J2279" cm="1">
        <f t="array" ref="J2279">_xlfn.IFS(H2279&lt;30,0,H2279&lt;60,1,H2279&lt;90,2,H2279&lt;120,3)</f>
        <v>0</v>
      </c>
      <c r="M2279" t="str">
        <f t="shared" si="218"/>
        <v>Low</v>
      </c>
      <c r="N2279" t="str">
        <f t="shared" si="215"/>
        <v>Oct</v>
      </c>
      <c r="O2279">
        <f t="shared" si="216"/>
        <v>2025</v>
      </c>
    </row>
    <row r="2280" spans="1:15" x14ac:dyDescent="0.3">
      <c r="A2280">
        <v>202465</v>
      </c>
      <c r="B2280" t="s">
        <v>26</v>
      </c>
      <c r="C2280" s="2">
        <v>45957</v>
      </c>
      <c r="D2280" s="2">
        <f t="shared" si="214"/>
        <v>45987</v>
      </c>
      <c r="E2280" s="1">
        <f>D2280</f>
        <v>45987</v>
      </c>
      <c r="F2280">
        <v>2707</v>
      </c>
      <c r="G2280">
        <v>30</v>
      </c>
      <c r="H2280">
        <f t="shared" si="219"/>
        <v>0</v>
      </c>
      <c r="I2280" t="str">
        <f t="shared" si="217"/>
        <v>On Time</v>
      </c>
      <c r="J2280" cm="1">
        <f t="array" ref="J2280">_xlfn.IFS(H2280&lt;30,0,H2280&lt;60,1,H2280&lt;90,2,H2280&lt;120,3)</f>
        <v>0</v>
      </c>
      <c r="M2280" t="str">
        <f t="shared" si="218"/>
        <v>Low</v>
      </c>
      <c r="N2280" t="str">
        <f t="shared" si="215"/>
        <v>Oct</v>
      </c>
      <c r="O2280">
        <f t="shared" si="216"/>
        <v>2025</v>
      </c>
    </row>
    <row r="2281" spans="1:15" x14ac:dyDescent="0.3">
      <c r="A2281">
        <v>202432</v>
      </c>
      <c r="B2281" t="s">
        <v>89</v>
      </c>
      <c r="C2281" s="2">
        <v>45956</v>
      </c>
      <c r="D2281" s="2">
        <f t="shared" si="214"/>
        <v>45986</v>
      </c>
      <c r="E2281" s="1">
        <f>D2281</f>
        <v>45986</v>
      </c>
      <c r="F2281">
        <v>871</v>
      </c>
      <c r="G2281">
        <v>30</v>
      </c>
      <c r="H2281">
        <f t="shared" si="219"/>
        <v>0</v>
      </c>
      <c r="I2281" t="str">
        <f t="shared" si="217"/>
        <v>On Time</v>
      </c>
      <c r="J2281" cm="1">
        <f t="array" ref="J2281">_xlfn.IFS(H2281&lt;30,0,H2281&lt;60,1,H2281&lt;90,2,H2281&lt;120,3)</f>
        <v>0</v>
      </c>
      <c r="M2281" t="str">
        <f t="shared" si="218"/>
        <v>Low</v>
      </c>
      <c r="N2281" t="str">
        <f t="shared" si="215"/>
        <v>Oct</v>
      </c>
      <c r="O2281">
        <f t="shared" si="216"/>
        <v>2025</v>
      </c>
    </row>
    <row r="2282" spans="1:15" x14ac:dyDescent="0.3">
      <c r="A2282">
        <v>202433</v>
      </c>
      <c r="B2282" t="s">
        <v>90</v>
      </c>
      <c r="C2282" s="2">
        <v>45956</v>
      </c>
      <c r="D2282" s="2">
        <f t="shared" si="214"/>
        <v>45986</v>
      </c>
      <c r="E2282" s="1">
        <f>D2282+1</f>
        <v>45987</v>
      </c>
      <c r="F2282">
        <v>4723</v>
      </c>
      <c r="G2282">
        <v>30</v>
      </c>
      <c r="H2282">
        <f t="shared" si="219"/>
        <v>0</v>
      </c>
      <c r="I2282" t="str">
        <f t="shared" si="217"/>
        <v>On Time</v>
      </c>
      <c r="J2282" cm="1">
        <f t="array" ref="J2282">_xlfn.IFS(H2282&lt;30,0,H2282&lt;60,1,H2282&lt;90,2,H2282&lt;120,3)</f>
        <v>0</v>
      </c>
      <c r="M2282" t="str">
        <f t="shared" si="218"/>
        <v>Low</v>
      </c>
      <c r="N2282" t="str">
        <f t="shared" si="215"/>
        <v>Oct</v>
      </c>
      <c r="O2282">
        <f t="shared" si="216"/>
        <v>2025</v>
      </c>
    </row>
    <row r="2283" spans="1:15" x14ac:dyDescent="0.3">
      <c r="A2283">
        <v>202434</v>
      </c>
      <c r="B2283" t="s">
        <v>91</v>
      </c>
      <c r="C2283" s="2">
        <v>45956</v>
      </c>
      <c r="D2283" s="2">
        <f t="shared" si="214"/>
        <v>45986</v>
      </c>
      <c r="E2283" s="1">
        <f>D2283</f>
        <v>45986</v>
      </c>
      <c r="F2283">
        <v>4337</v>
      </c>
      <c r="G2283">
        <v>30</v>
      </c>
      <c r="H2283">
        <f t="shared" si="219"/>
        <v>0</v>
      </c>
      <c r="I2283" t="str">
        <f t="shared" si="217"/>
        <v>On Time</v>
      </c>
      <c r="J2283" cm="1">
        <f t="array" ref="J2283">_xlfn.IFS(H2283&lt;30,0,H2283&lt;60,1,H2283&lt;90,2,H2283&lt;120,3)</f>
        <v>0</v>
      </c>
      <c r="M2283" t="str">
        <f t="shared" si="218"/>
        <v>Low</v>
      </c>
      <c r="N2283" t="str">
        <f t="shared" si="215"/>
        <v>Oct</v>
      </c>
      <c r="O2283">
        <f t="shared" si="216"/>
        <v>2025</v>
      </c>
    </row>
    <row r="2284" spans="1:15" x14ac:dyDescent="0.3">
      <c r="A2284">
        <v>202435</v>
      </c>
      <c r="B2284" t="s">
        <v>92</v>
      </c>
      <c r="C2284" s="2">
        <v>45956</v>
      </c>
      <c r="D2284" s="2">
        <f t="shared" si="214"/>
        <v>45986</v>
      </c>
      <c r="E2284" s="1">
        <f>D2284</f>
        <v>45986</v>
      </c>
      <c r="F2284">
        <v>1764</v>
      </c>
      <c r="G2284">
        <v>30</v>
      </c>
      <c r="H2284">
        <f t="shared" si="219"/>
        <v>0</v>
      </c>
      <c r="I2284" t="str">
        <f t="shared" si="217"/>
        <v>On Time</v>
      </c>
      <c r="J2284" cm="1">
        <f t="array" ref="J2284">_xlfn.IFS(H2284&lt;30,0,H2284&lt;60,1,H2284&lt;90,2,H2284&lt;120,3)</f>
        <v>0</v>
      </c>
      <c r="M2284" t="str">
        <f t="shared" si="218"/>
        <v>Low</v>
      </c>
      <c r="N2284" t="str">
        <f t="shared" si="215"/>
        <v>Oct</v>
      </c>
      <c r="O2284">
        <f t="shared" si="216"/>
        <v>2025</v>
      </c>
    </row>
    <row r="2285" spans="1:15" x14ac:dyDescent="0.3">
      <c r="A2285">
        <v>202436</v>
      </c>
      <c r="B2285" t="s">
        <v>93</v>
      </c>
      <c r="C2285" s="2">
        <v>45956</v>
      </c>
      <c r="D2285" s="2">
        <f t="shared" si="214"/>
        <v>45986</v>
      </c>
      <c r="E2285" s="1">
        <f>D2285+5</f>
        <v>45991</v>
      </c>
      <c r="F2285">
        <v>1668</v>
      </c>
      <c r="G2285">
        <v>30</v>
      </c>
      <c r="H2285">
        <f t="shared" si="219"/>
        <v>0</v>
      </c>
      <c r="I2285" t="str">
        <f t="shared" si="217"/>
        <v>On Time</v>
      </c>
      <c r="J2285" cm="1">
        <f t="array" ref="J2285">_xlfn.IFS(H2285&lt;30,0,H2285&lt;60,1,H2285&lt;90,2,H2285&lt;120,3)</f>
        <v>0</v>
      </c>
      <c r="M2285" t="str">
        <f t="shared" si="218"/>
        <v>Low</v>
      </c>
      <c r="N2285" t="str">
        <f t="shared" si="215"/>
        <v>Oct</v>
      </c>
      <c r="O2285">
        <f t="shared" si="216"/>
        <v>2025</v>
      </c>
    </row>
    <row r="2286" spans="1:15" x14ac:dyDescent="0.3">
      <c r="A2286">
        <v>202437</v>
      </c>
      <c r="B2286" t="s">
        <v>94</v>
      </c>
      <c r="C2286" s="2">
        <v>45956</v>
      </c>
      <c r="D2286" s="2">
        <f t="shared" si="214"/>
        <v>45986</v>
      </c>
      <c r="E2286" s="1">
        <f>D2286+2</f>
        <v>45988</v>
      </c>
      <c r="F2286">
        <v>4896</v>
      </c>
      <c r="G2286">
        <v>30</v>
      </c>
      <c r="H2286">
        <f t="shared" si="219"/>
        <v>0</v>
      </c>
      <c r="I2286" t="str">
        <f t="shared" si="217"/>
        <v>On Time</v>
      </c>
      <c r="J2286" cm="1">
        <f t="array" ref="J2286">_xlfn.IFS(H2286&lt;30,0,H2286&lt;60,1,H2286&lt;90,2,H2286&lt;120,3)</f>
        <v>0</v>
      </c>
      <c r="M2286" t="str">
        <f t="shared" si="218"/>
        <v>Low</v>
      </c>
      <c r="N2286" t="str">
        <f t="shared" si="215"/>
        <v>Oct</v>
      </c>
      <c r="O2286">
        <f t="shared" si="216"/>
        <v>2025</v>
      </c>
    </row>
    <row r="2287" spans="1:15" x14ac:dyDescent="0.3">
      <c r="A2287">
        <v>202438</v>
      </c>
      <c r="B2287" t="s">
        <v>95</v>
      </c>
      <c r="C2287" s="2">
        <v>45956</v>
      </c>
      <c r="D2287" s="2">
        <f t="shared" si="214"/>
        <v>46001</v>
      </c>
      <c r="E2287" s="1">
        <f>D2287</f>
        <v>46001</v>
      </c>
      <c r="F2287">
        <v>1836</v>
      </c>
      <c r="G2287">
        <v>45</v>
      </c>
      <c r="H2287">
        <f t="shared" si="219"/>
        <v>0</v>
      </c>
      <c r="I2287" t="str">
        <f t="shared" si="217"/>
        <v>On Time</v>
      </c>
      <c r="J2287" cm="1">
        <f t="array" ref="J2287">_xlfn.IFS(H2287&lt;30,0,H2287&lt;60,1,H2287&lt;90,2,H2287&lt;120,3)</f>
        <v>0</v>
      </c>
      <c r="M2287" t="str">
        <f t="shared" si="218"/>
        <v>Low</v>
      </c>
      <c r="N2287" t="str">
        <f t="shared" si="215"/>
        <v>Oct</v>
      </c>
      <c r="O2287">
        <f t="shared" si="216"/>
        <v>2025</v>
      </c>
    </row>
    <row r="2288" spans="1:15" x14ac:dyDescent="0.3">
      <c r="A2288">
        <v>202439</v>
      </c>
      <c r="B2288" t="s">
        <v>68</v>
      </c>
      <c r="C2288" s="2">
        <v>45956</v>
      </c>
      <c r="D2288" s="2">
        <f t="shared" si="214"/>
        <v>45986</v>
      </c>
      <c r="E2288" s="1">
        <f>D2288</f>
        <v>45986</v>
      </c>
      <c r="F2288">
        <v>2111</v>
      </c>
      <c r="G2288">
        <v>30</v>
      </c>
      <c r="H2288">
        <f t="shared" si="219"/>
        <v>0</v>
      </c>
      <c r="I2288" t="str">
        <f t="shared" si="217"/>
        <v>On Time</v>
      </c>
      <c r="J2288" cm="1">
        <f t="array" ref="J2288">_xlfn.IFS(H2288&lt;30,0,H2288&lt;60,1,H2288&lt;90,2,H2288&lt;120,3)</f>
        <v>0</v>
      </c>
      <c r="M2288" t="str">
        <f t="shared" si="218"/>
        <v>Low</v>
      </c>
      <c r="N2288" t="str">
        <f t="shared" si="215"/>
        <v>Oct</v>
      </c>
      <c r="O2288">
        <f t="shared" si="216"/>
        <v>2025</v>
      </c>
    </row>
    <row r="2289" spans="1:15" x14ac:dyDescent="0.3">
      <c r="A2289">
        <v>202440</v>
      </c>
      <c r="B2289" t="s">
        <v>69</v>
      </c>
      <c r="C2289" s="2">
        <v>45956</v>
      </c>
      <c r="D2289" s="2">
        <f t="shared" si="214"/>
        <v>45986</v>
      </c>
      <c r="E2289" s="1">
        <f>D2289</f>
        <v>45986</v>
      </c>
      <c r="F2289">
        <v>3098</v>
      </c>
      <c r="G2289">
        <v>30</v>
      </c>
      <c r="H2289">
        <f t="shared" si="219"/>
        <v>0</v>
      </c>
      <c r="I2289" t="str">
        <f t="shared" si="217"/>
        <v>On Time</v>
      </c>
      <c r="J2289" cm="1">
        <f t="array" ref="J2289">_xlfn.IFS(H2289&lt;30,0,H2289&lt;60,1,H2289&lt;90,2,H2289&lt;120,3)</f>
        <v>0</v>
      </c>
      <c r="M2289" t="str">
        <f t="shared" si="218"/>
        <v>Low</v>
      </c>
      <c r="N2289" t="str">
        <f t="shared" si="215"/>
        <v>Oct</v>
      </c>
      <c r="O2289">
        <f t="shared" si="216"/>
        <v>2025</v>
      </c>
    </row>
    <row r="2290" spans="1:15" x14ac:dyDescent="0.3">
      <c r="A2290">
        <v>202441</v>
      </c>
      <c r="B2290" t="s">
        <v>70</v>
      </c>
      <c r="C2290" s="2">
        <v>45956</v>
      </c>
      <c r="D2290" s="2">
        <f t="shared" si="214"/>
        <v>45986</v>
      </c>
      <c r="E2290" s="1">
        <f>D2290+60</f>
        <v>46046</v>
      </c>
      <c r="F2290">
        <v>6773</v>
      </c>
      <c r="G2290">
        <v>30</v>
      </c>
      <c r="H2290">
        <f t="shared" si="219"/>
        <v>0</v>
      </c>
      <c r="I2290" t="str">
        <f t="shared" si="217"/>
        <v>On Time</v>
      </c>
      <c r="J2290" cm="1">
        <f t="array" ref="J2290">_xlfn.IFS(H2290&lt;30,0,H2290&lt;60,1,H2290&lt;90,2,H2290&lt;120,3)</f>
        <v>0</v>
      </c>
      <c r="M2290" t="str">
        <f t="shared" si="218"/>
        <v>Low</v>
      </c>
      <c r="N2290" t="str">
        <f t="shared" si="215"/>
        <v>Oct</v>
      </c>
      <c r="O2290">
        <f t="shared" si="216"/>
        <v>2025</v>
      </c>
    </row>
    <row r="2291" spans="1:15" x14ac:dyDescent="0.3">
      <c r="A2291">
        <v>202442</v>
      </c>
      <c r="B2291" t="s">
        <v>71</v>
      </c>
      <c r="C2291" s="2">
        <v>45956</v>
      </c>
      <c r="D2291" s="2">
        <f t="shared" si="214"/>
        <v>45986</v>
      </c>
      <c r="E2291" s="1">
        <f>D2291</f>
        <v>45986</v>
      </c>
      <c r="F2291">
        <v>3380</v>
      </c>
      <c r="G2291">
        <v>30</v>
      </c>
      <c r="H2291">
        <f t="shared" si="219"/>
        <v>0</v>
      </c>
      <c r="I2291" t="str">
        <f t="shared" si="217"/>
        <v>On Time</v>
      </c>
      <c r="J2291" cm="1">
        <f t="array" ref="J2291">_xlfn.IFS(H2291&lt;30,0,H2291&lt;60,1,H2291&lt;90,2,H2291&lt;120,3)</f>
        <v>0</v>
      </c>
      <c r="M2291" t="str">
        <f t="shared" si="218"/>
        <v>Low</v>
      </c>
      <c r="N2291" t="str">
        <f t="shared" si="215"/>
        <v>Oct</v>
      </c>
      <c r="O2291">
        <f t="shared" si="216"/>
        <v>2025</v>
      </c>
    </row>
    <row r="2292" spans="1:15" x14ac:dyDescent="0.3">
      <c r="A2292">
        <v>202443</v>
      </c>
      <c r="B2292" t="s">
        <v>72</v>
      </c>
      <c r="C2292" s="2">
        <v>45956</v>
      </c>
      <c r="D2292" s="2">
        <f t="shared" si="214"/>
        <v>45986</v>
      </c>
      <c r="E2292" s="1">
        <f>D2292</f>
        <v>45986</v>
      </c>
      <c r="F2292">
        <v>3660</v>
      </c>
      <c r="G2292">
        <v>30</v>
      </c>
      <c r="H2292">
        <f t="shared" si="219"/>
        <v>0</v>
      </c>
      <c r="I2292" t="str">
        <f t="shared" si="217"/>
        <v>On Time</v>
      </c>
      <c r="J2292" cm="1">
        <f t="array" ref="J2292">_xlfn.IFS(H2292&lt;30,0,H2292&lt;60,1,H2292&lt;90,2,H2292&lt;120,3)</f>
        <v>0</v>
      </c>
      <c r="M2292" t="str">
        <f t="shared" si="218"/>
        <v>Low</v>
      </c>
      <c r="N2292" t="str">
        <f t="shared" si="215"/>
        <v>Oct</v>
      </c>
      <c r="O2292">
        <f t="shared" si="216"/>
        <v>2025</v>
      </c>
    </row>
    <row r="2293" spans="1:15" x14ac:dyDescent="0.3">
      <c r="A2293">
        <v>202444</v>
      </c>
      <c r="B2293" t="s">
        <v>73</v>
      </c>
      <c r="C2293" s="2">
        <v>45956</v>
      </c>
      <c r="D2293" s="2">
        <f t="shared" si="214"/>
        <v>46001</v>
      </c>
      <c r="E2293" s="1">
        <f>D2293+3</f>
        <v>46004</v>
      </c>
      <c r="F2293">
        <v>1373</v>
      </c>
      <c r="G2293">
        <v>45</v>
      </c>
      <c r="H2293">
        <f t="shared" si="219"/>
        <v>0</v>
      </c>
      <c r="I2293" t="str">
        <f t="shared" si="217"/>
        <v>On Time</v>
      </c>
      <c r="J2293" cm="1">
        <f t="array" ref="J2293">_xlfn.IFS(H2293&lt;30,0,H2293&lt;60,1,H2293&lt;90,2,H2293&lt;120,3)</f>
        <v>0</v>
      </c>
      <c r="M2293" t="str">
        <f t="shared" si="218"/>
        <v>Low</v>
      </c>
      <c r="N2293" t="str">
        <f t="shared" si="215"/>
        <v>Oct</v>
      </c>
      <c r="O2293">
        <f t="shared" si="216"/>
        <v>2025</v>
      </c>
    </row>
    <row r="2294" spans="1:15" x14ac:dyDescent="0.3">
      <c r="A2294">
        <v>202445</v>
      </c>
      <c r="B2294" t="s">
        <v>74</v>
      </c>
      <c r="C2294" s="2">
        <v>45956</v>
      </c>
      <c r="D2294" s="2">
        <f t="shared" si="214"/>
        <v>46001</v>
      </c>
      <c r="E2294" s="1">
        <f>D2294+1</f>
        <v>46002</v>
      </c>
      <c r="F2294">
        <v>4702</v>
      </c>
      <c r="G2294">
        <v>45</v>
      </c>
      <c r="H2294">
        <f t="shared" si="219"/>
        <v>0</v>
      </c>
      <c r="I2294" t="str">
        <f t="shared" si="217"/>
        <v>On Time</v>
      </c>
      <c r="J2294" cm="1">
        <f t="array" ref="J2294">_xlfn.IFS(H2294&lt;30,0,H2294&lt;60,1,H2294&lt;90,2,H2294&lt;120,3)</f>
        <v>0</v>
      </c>
      <c r="M2294" t="str">
        <f t="shared" si="218"/>
        <v>Low</v>
      </c>
      <c r="N2294" t="str">
        <f t="shared" si="215"/>
        <v>Oct</v>
      </c>
      <c r="O2294">
        <f t="shared" si="216"/>
        <v>2025</v>
      </c>
    </row>
    <row r="2295" spans="1:15" x14ac:dyDescent="0.3">
      <c r="A2295">
        <v>202446</v>
      </c>
      <c r="B2295" t="s">
        <v>45</v>
      </c>
      <c r="C2295" s="2">
        <v>45956</v>
      </c>
      <c r="D2295" s="2">
        <f t="shared" si="214"/>
        <v>46001</v>
      </c>
      <c r="E2295" s="1">
        <f>D2295-1</f>
        <v>46000</v>
      </c>
      <c r="F2295">
        <v>1692</v>
      </c>
      <c r="G2295">
        <v>45</v>
      </c>
      <c r="H2295">
        <f t="shared" si="219"/>
        <v>0</v>
      </c>
      <c r="I2295" t="str">
        <f t="shared" si="217"/>
        <v>On Time</v>
      </c>
      <c r="J2295" cm="1">
        <f t="array" ref="J2295">_xlfn.IFS(H2295&lt;30,0,H2295&lt;60,1,H2295&lt;90,2,H2295&lt;120,3)</f>
        <v>0</v>
      </c>
      <c r="M2295" t="str">
        <f t="shared" si="218"/>
        <v>Low</v>
      </c>
      <c r="N2295" t="str">
        <f t="shared" si="215"/>
        <v>Oct</v>
      </c>
      <c r="O2295">
        <f t="shared" si="216"/>
        <v>2025</v>
      </c>
    </row>
    <row r="2296" spans="1:15" x14ac:dyDescent="0.3">
      <c r="A2296">
        <v>202447</v>
      </c>
      <c r="B2296" t="s">
        <v>46</v>
      </c>
      <c r="C2296" s="2">
        <v>45956</v>
      </c>
      <c r="D2296" s="2">
        <f t="shared" si="214"/>
        <v>46016</v>
      </c>
      <c r="E2296" s="1">
        <f>D2296</f>
        <v>46016</v>
      </c>
      <c r="F2296">
        <v>4841</v>
      </c>
      <c r="G2296">
        <v>60</v>
      </c>
      <c r="H2296">
        <f t="shared" si="219"/>
        <v>0</v>
      </c>
      <c r="I2296" t="str">
        <f t="shared" si="217"/>
        <v>On Time</v>
      </c>
      <c r="J2296" cm="1">
        <f t="array" ref="J2296">_xlfn.IFS(H2296&lt;30,0,H2296&lt;60,1,H2296&lt;90,2,H2296&lt;120,3)</f>
        <v>0</v>
      </c>
      <c r="M2296" t="str">
        <f t="shared" si="218"/>
        <v>Low</v>
      </c>
      <c r="N2296" t="str">
        <f t="shared" si="215"/>
        <v>Oct</v>
      </c>
      <c r="O2296">
        <f t="shared" si="216"/>
        <v>2025</v>
      </c>
    </row>
    <row r="2297" spans="1:15" x14ac:dyDescent="0.3">
      <c r="A2297">
        <v>202448</v>
      </c>
      <c r="B2297" t="s">
        <v>47</v>
      </c>
      <c r="C2297" s="2">
        <v>45956</v>
      </c>
      <c r="D2297" s="2">
        <f t="shared" si="214"/>
        <v>46016</v>
      </c>
      <c r="E2297" s="1">
        <f>D2297+1</f>
        <v>46017</v>
      </c>
      <c r="F2297">
        <v>1332</v>
      </c>
      <c r="G2297">
        <v>60</v>
      </c>
      <c r="H2297">
        <f t="shared" si="219"/>
        <v>0</v>
      </c>
      <c r="I2297" t="str">
        <f t="shared" si="217"/>
        <v>On Time</v>
      </c>
      <c r="J2297" cm="1">
        <f t="array" ref="J2297">_xlfn.IFS(H2297&lt;30,0,H2297&lt;60,1,H2297&lt;90,2,H2297&lt;120,3)</f>
        <v>0</v>
      </c>
      <c r="M2297" t="str">
        <f t="shared" si="218"/>
        <v>Low</v>
      </c>
      <c r="N2297" t="str">
        <f t="shared" si="215"/>
        <v>Oct</v>
      </c>
      <c r="O2297">
        <f t="shared" si="216"/>
        <v>2025</v>
      </c>
    </row>
    <row r="2298" spans="1:15" x14ac:dyDescent="0.3">
      <c r="A2298">
        <v>202413</v>
      </c>
      <c r="B2298" t="s">
        <v>36</v>
      </c>
      <c r="C2298" s="2">
        <v>45955</v>
      </c>
      <c r="D2298" s="2">
        <f t="shared" si="214"/>
        <v>45985</v>
      </c>
      <c r="E2298" s="1">
        <f>D2298-1</f>
        <v>45984</v>
      </c>
      <c r="F2298">
        <v>1680</v>
      </c>
      <c r="G2298">
        <v>30</v>
      </c>
      <c r="H2298">
        <f t="shared" si="219"/>
        <v>0</v>
      </c>
      <c r="I2298" t="str">
        <f t="shared" si="217"/>
        <v>On Time</v>
      </c>
      <c r="J2298" cm="1">
        <f t="array" ref="J2298">_xlfn.IFS(H2298&lt;30,0,H2298&lt;60,1,H2298&lt;90,2,H2298&lt;120,3)</f>
        <v>0</v>
      </c>
      <c r="M2298" t="str">
        <f t="shared" si="218"/>
        <v>Low</v>
      </c>
      <c r="N2298" t="str">
        <f t="shared" si="215"/>
        <v>Oct</v>
      </c>
      <c r="O2298">
        <f t="shared" si="216"/>
        <v>2025</v>
      </c>
    </row>
    <row r="2299" spans="1:15" x14ac:dyDescent="0.3">
      <c r="A2299">
        <v>202414</v>
      </c>
      <c r="B2299" t="s">
        <v>64</v>
      </c>
      <c r="C2299" s="2">
        <v>45955</v>
      </c>
      <c r="D2299" s="2">
        <f t="shared" si="214"/>
        <v>45985</v>
      </c>
      <c r="E2299" s="1">
        <f>D2299</f>
        <v>45985</v>
      </c>
      <c r="F2299">
        <v>3579</v>
      </c>
      <c r="G2299">
        <v>30</v>
      </c>
      <c r="H2299">
        <f t="shared" si="219"/>
        <v>0</v>
      </c>
      <c r="I2299" t="str">
        <f t="shared" si="217"/>
        <v>On Time</v>
      </c>
      <c r="J2299" cm="1">
        <f t="array" ref="J2299">_xlfn.IFS(H2299&lt;30,0,H2299&lt;60,1,H2299&lt;90,2,H2299&lt;120,3)</f>
        <v>0</v>
      </c>
      <c r="M2299" t="str">
        <f t="shared" si="218"/>
        <v>Low</v>
      </c>
      <c r="N2299" t="str">
        <f t="shared" si="215"/>
        <v>Oct</v>
      </c>
      <c r="O2299">
        <f t="shared" si="216"/>
        <v>2025</v>
      </c>
    </row>
    <row r="2300" spans="1:15" x14ac:dyDescent="0.3">
      <c r="A2300">
        <v>202415</v>
      </c>
      <c r="B2300" t="s">
        <v>45</v>
      </c>
      <c r="C2300" s="2">
        <v>45955</v>
      </c>
      <c r="D2300" s="2">
        <f t="shared" si="214"/>
        <v>46000</v>
      </c>
      <c r="E2300" s="1">
        <f>D2300-5</f>
        <v>45995</v>
      </c>
      <c r="F2300">
        <v>3087</v>
      </c>
      <c r="G2300">
        <v>45</v>
      </c>
      <c r="H2300">
        <f t="shared" si="219"/>
        <v>0</v>
      </c>
      <c r="I2300" t="str">
        <f t="shared" si="217"/>
        <v>On Time</v>
      </c>
      <c r="J2300" cm="1">
        <f t="array" ref="J2300">_xlfn.IFS(H2300&lt;30,0,H2300&lt;60,1,H2300&lt;90,2,H2300&lt;120,3)</f>
        <v>0</v>
      </c>
      <c r="M2300" t="str">
        <f t="shared" si="218"/>
        <v>Low</v>
      </c>
      <c r="N2300" t="str">
        <f t="shared" si="215"/>
        <v>Oct</v>
      </c>
      <c r="O2300">
        <f t="shared" si="216"/>
        <v>2025</v>
      </c>
    </row>
    <row r="2301" spans="1:15" x14ac:dyDescent="0.3">
      <c r="A2301">
        <v>202416</v>
      </c>
      <c r="B2301" t="s">
        <v>46</v>
      </c>
      <c r="C2301" s="2">
        <v>45955</v>
      </c>
      <c r="D2301" s="2">
        <f t="shared" si="214"/>
        <v>46015</v>
      </c>
      <c r="E2301" s="1">
        <f>D2301+35</f>
        <v>46050</v>
      </c>
      <c r="F2301">
        <v>203</v>
      </c>
      <c r="G2301">
        <v>60</v>
      </c>
      <c r="H2301">
        <f t="shared" si="219"/>
        <v>0</v>
      </c>
      <c r="I2301" t="str">
        <f t="shared" si="217"/>
        <v>On Time</v>
      </c>
      <c r="J2301" cm="1">
        <f t="array" ref="J2301">_xlfn.IFS(H2301&lt;30,0,H2301&lt;60,1,H2301&lt;90,2,H2301&lt;120,3)</f>
        <v>0</v>
      </c>
      <c r="M2301" t="str">
        <f t="shared" si="218"/>
        <v>Low</v>
      </c>
      <c r="N2301" t="str">
        <f t="shared" si="215"/>
        <v>Oct</v>
      </c>
      <c r="O2301">
        <f t="shared" si="216"/>
        <v>2025</v>
      </c>
    </row>
    <row r="2302" spans="1:15" x14ac:dyDescent="0.3">
      <c r="A2302">
        <v>202417</v>
      </c>
      <c r="B2302" t="s">
        <v>114</v>
      </c>
      <c r="C2302" s="2">
        <v>45955</v>
      </c>
      <c r="D2302" s="2">
        <f t="shared" si="214"/>
        <v>45985</v>
      </c>
      <c r="E2302" s="1">
        <f>D2302+75</f>
        <v>46060</v>
      </c>
      <c r="F2302">
        <v>1806</v>
      </c>
      <c r="G2302">
        <v>30</v>
      </c>
      <c r="H2302">
        <f t="shared" si="219"/>
        <v>0</v>
      </c>
      <c r="I2302" t="str">
        <f t="shared" si="217"/>
        <v>On Time</v>
      </c>
      <c r="J2302" cm="1">
        <f t="array" ref="J2302">_xlfn.IFS(H2302&lt;30,0,H2302&lt;60,1,H2302&lt;90,2,H2302&lt;120,3)</f>
        <v>0</v>
      </c>
      <c r="M2302" t="str">
        <f t="shared" si="218"/>
        <v>Low</v>
      </c>
      <c r="N2302" t="str">
        <f t="shared" si="215"/>
        <v>Oct</v>
      </c>
      <c r="O2302">
        <f t="shared" si="216"/>
        <v>2025</v>
      </c>
    </row>
    <row r="2303" spans="1:15" x14ac:dyDescent="0.3">
      <c r="A2303">
        <v>202418</v>
      </c>
      <c r="B2303" t="s">
        <v>115</v>
      </c>
      <c r="C2303" s="2">
        <v>45955</v>
      </c>
      <c r="D2303" s="2">
        <f t="shared" si="214"/>
        <v>45985</v>
      </c>
      <c r="E2303" s="1">
        <f>D2303+5</f>
        <v>45990</v>
      </c>
      <c r="F2303">
        <v>2773</v>
      </c>
      <c r="G2303">
        <v>30</v>
      </c>
      <c r="H2303">
        <f t="shared" si="219"/>
        <v>0</v>
      </c>
      <c r="I2303" t="str">
        <f t="shared" si="217"/>
        <v>On Time</v>
      </c>
      <c r="J2303" cm="1">
        <f t="array" ref="J2303">_xlfn.IFS(H2303&lt;30,0,H2303&lt;60,1,H2303&lt;90,2,H2303&lt;120,3)</f>
        <v>0</v>
      </c>
      <c r="M2303" t="str">
        <f t="shared" si="218"/>
        <v>Low</v>
      </c>
      <c r="N2303" t="str">
        <f t="shared" si="215"/>
        <v>Oct</v>
      </c>
      <c r="O2303">
        <f t="shared" si="216"/>
        <v>2025</v>
      </c>
    </row>
    <row r="2304" spans="1:15" x14ac:dyDescent="0.3">
      <c r="A2304">
        <v>202419</v>
      </c>
      <c r="B2304" t="s">
        <v>116</v>
      </c>
      <c r="C2304" s="2">
        <v>45955</v>
      </c>
      <c r="D2304" s="2">
        <f t="shared" si="214"/>
        <v>45985</v>
      </c>
      <c r="E2304" s="1">
        <f>D2304</f>
        <v>45985</v>
      </c>
      <c r="F2304">
        <v>3783</v>
      </c>
      <c r="G2304">
        <v>30</v>
      </c>
      <c r="H2304">
        <f t="shared" si="219"/>
        <v>0</v>
      </c>
      <c r="I2304" t="str">
        <f t="shared" si="217"/>
        <v>On Time</v>
      </c>
      <c r="J2304" cm="1">
        <f t="array" ref="J2304">_xlfn.IFS(H2304&lt;30,0,H2304&lt;60,1,H2304&lt;90,2,H2304&lt;120,3)</f>
        <v>0</v>
      </c>
      <c r="M2304" t="str">
        <f t="shared" si="218"/>
        <v>Low</v>
      </c>
      <c r="N2304" t="str">
        <f t="shared" si="215"/>
        <v>Oct</v>
      </c>
      <c r="O2304">
        <f t="shared" si="216"/>
        <v>2025</v>
      </c>
    </row>
    <row r="2305" spans="1:15" x14ac:dyDescent="0.3">
      <c r="A2305">
        <v>202420</v>
      </c>
      <c r="B2305" t="s">
        <v>117</v>
      </c>
      <c r="C2305" s="2">
        <v>45955</v>
      </c>
      <c r="D2305" s="2">
        <f t="shared" si="214"/>
        <v>45985</v>
      </c>
      <c r="E2305" s="1">
        <f>D2305-1</f>
        <v>45984</v>
      </c>
      <c r="F2305">
        <v>1649</v>
      </c>
      <c r="G2305">
        <v>30</v>
      </c>
      <c r="H2305">
        <f t="shared" si="219"/>
        <v>0</v>
      </c>
      <c r="I2305" t="str">
        <f t="shared" si="217"/>
        <v>On Time</v>
      </c>
      <c r="J2305" cm="1">
        <f t="array" ref="J2305">_xlfn.IFS(H2305&lt;30,0,H2305&lt;60,1,H2305&lt;90,2,H2305&lt;120,3)</f>
        <v>0</v>
      </c>
      <c r="M2305" t="str">
        <f t="shared" si="218"/>
        <v>Low</v>
      </c>
      <c r="N2305" t="str">
        <f t="shared" si="215"/>
        <v>Oct</v>
      </c>
      <c r="O2305">
        <f t="shared" si="216"/>
        <v>2025</v>
      </c>
    </row>
    <row r="2306" spans="1:15" x14ac:dyDescent="0.3">
      <c r="A2306">
        <v>202421</v>
      </c>
      <c r="B2306" t="s">
        <v>118</v>
      </c>
      <c r="C2306" s="2">
        <v>45955</v>
      </c>
      <c r="D2306" s="2">
        <f t="shared" ref="D2306:D2369" si="220">C2306+G2306</f>
        <v>45985</v>
      </c>
      <c r="E2306" s="1">
        <f>D2306</f>
        <v>45985</v>
      </c>
      <c r="F2306">
        <v>1154</v>
      </c>
      <c r="G2306">
        <v>30</v>
      </c>
      <c r="H2306">
        <f t="shared" si="219"/>
        <v>0</v>
      </c>
      <c r="I2306" t="str">
        <f t="shared" si="217"/>
        <v>On Time</v>
      </c>
      <c r="J2306" cm="1">
        <f t="array" ref="J2306">_xlfn.IFS(H2306&lt;30,0,H2306&lt;60,1,H2306&lt;90,2,H2306&lt;120,3)</f>
        <v>0</v>
      </c>
      <c r="M2306" t="str">
        <f t="shared" si="218"/>
        <v>Low</v>
      </c>
      <c r="N2306" t="str">
        <f t="shared" ref="N2306:N2369" si="221">TEXT(C2306,"mmm")</f>
        <v>Oct</v>
      </c>
      <c r="O2306">
        <f t="shared" ref="O2306:O2369" si="222">YEAR(C2306)</f>
        <v>2025</v>
      </c>
    </row>
    <row r="2307" spans="1:15" x14ac:dyDescent="0.3">
      <c r="A2307">
        <v>202422</v>
      </c>
      <c r="B2307" t="s">
        <v>119</v>
      </c>
      <c r="C2307" s="2">
        <v>45955</v>
      </c>
      <c r="D2307" s="2">
        <f t="shared" si="220"/>
        <v>45985</v>
      </c>
      <c r="E2307" s="1">
        <f>D2307+32</f>
        <v>46017</v>
      </c>
      <c r="F2307">
        <v>1971</v>
      </c>
      <c r="G2307">
        <v>30</v>
      </c>
      <c r="H2307">
        <f t="shared" si="219"/>
        <v>0</v>
      </c>
      <c r="I2307" t="str">
        <f t="shared" si="217"/>
        <v>On Time</v>
      </c>
      <c r="J2307" cm="1">
        <f t="array" ref="J2307">_xlfn.IFS(H2307&lt;30,0,H2307&lt;60,1,H2307&lt;90,2,H2307&lt;120,3)</f>
        <v>0</v>
      </c>
      <c r="M2307" t="str">
        <f t="shared" si="218"/>
        <v>Low</v>
      </c>
      <c r="N2307" t="str">
        <f t="shared" si="221"/>
        <v>Oct</v>
      </c>
      <c r="O2307">
        <f t="shared" si="222"/>
        <v>2025</v>
      </c>
    </row>
    <row r="2308" spans="1:15" x14ac:dyDescent="0.3">
      <c r="A2308">
        <v>202423</v>
      </c>
      <c r="B2308" t="s">
        <v>100</v>
      </c>
      <c r="C2308" s="2">
        <v>45955</v>
      </c>
      <c r="D2308" s="2">
        <f t="shared" si="220"/>
        <v>45985</v>
      </c>
      <c r="E2308" s="1">
        <f>D2308+15</f>
        <v>46000</v>
      </c>
      <c r="F2308">
        <v>970</v>
      </c>
      <c r="G2308">
        <v>30</v>
      </c>
      <c r="H2308">
        <f t="shared" si="219"/>
        <v>0</v>
      </c>
      <c r="I2308" t="str">
        <f t="shared" si="217"/>
        <v>On Time</v>
      </c>
      <c r="J2308" cm="1">
        <f t="array" ref="J2308">_xlfn.IFS(H2308&lt;30,0,H2308&lt;60,1,H2308&lt;90,2,H2308&lt;120,3)</f>
        <v>0</v>
      </c>
      <c r="M2308" t="str">
        <f t="shared" si="218"/>
        <v>Low</v>
      </c>
      <c r="N2308" t="str">
        <f t="shared" si="221"/>
        <v>Oct</v>
      </c>
      <c r="O2308">
        <f t="shared" si="222"/>
        <v>2025</v>
      </c>
    </row>
    <row r="2309" spans="1:15" x14ac:dyDescent="0.3">
      <c r="A2309">
        <v>202424</v>
      </c>
      <c r="B2309" t="s">
        <v>101</v>
      </c>
      <c r="C2309" s="2">
        <v>45955</v>
      </c>
      <c r="D2309" s="2">
        <f t="shared" si="220"/>
        <v>45985</v>
      </c>
      <c r="E2309" s="1">
        <f>D2309</f>
        <v>45985</v>
      </c>
      <c r="F2309">
        <v>2515</v>
      </c>
      <c r="G2309">
        <v>30</v>
      </c>
      <c r="H2309">
        <f t="shared" si="219"/>
        <v>0</v>
      </c>
      <c r="I2309" t="str">
        <f t="shared" si="217"/>
        <v>On Time</v>
      </c>
      <c r="J2309" cm="1">
        <f t="array" ref="J2309">_xlfn.IFS(H2309&lt;30,0,H2309&lt;60,1,H2309&lt;90,2,H2309&lt;120,3)</f>
        <v>0</v>
      </c>
      <c r="M2309" t="str">
        <f t="shared" si="218"/>
        <v>Low</v>
      </c>
      <c r="N2309" t="str">
        <f t="shared" si="221"/>
        <v>Oct</v>
      </c>
      <c r="O2309">
        <f t="shared" si="222"/>
        <v>2025</v>
      </c>
    </row>
    <row r="2310" spans="1:15" x14ac:dyDescent="0.3">
      <c r="A2310">
        <v>202425</v>
      </c>
      <c r="B2310" t="s">
        <v>102</v>
      </c>
      <c r="C2310" s="2">
        <v>45955</v>
      </c>
      <c r="D2310" s="2">
        <f t="shared" si="220"/>
        <v>45985</v>
      </c>
      <c r="E2310" s="1">
        <f>D2310-2</f>
        <v>45983</v>
      </c>
      <c r="F2310">
        <v>8270</v>
      </c>
      <c r="G2310">
        <v>30</v>
      </c>
      <c r="H2310">
        <f t="shared" si="219"/>
        <v>0</v>
      </c>
      <c r="I2310" t="str">
        <f t="shared" si="217"/>
        <v>On Time</v>
      </c>
      <c r="J2310" cm="1">
        <f t="array" ref="J2310">_xlfn.IFS(H2310&lt;30,0,H2310&lt;60,1,H2310&lt;90,2,H2310&lt;120,3)</f>
        <v>0</v>
      </c>
      <c r="M2310" t="str">
        <f t="shared" si="218"/>
        <v>Low</v>
      </c>
      <c r="N2310" t="str">
        <f t="shared" si="221"/>
        <v>Oct</v>
      </c>
      <c r="O2310">
        <f t="shared" si="222"/>
        <v>2025</v>
      </c>
    </row>
    <row r="2311" spans="1:15" x14ac:dyDescent="0.3">
      <c r="A2311">
        <v>202426</v>
      </c>
      <c r="B2311" t="s">
        <v>103</v>
      </c>
      <c r="C2311" s="2">
        <v>45955</v>
      </c>
      <c r="D2311" s="2">
        <f t="shared" si="220"/>
        <v>45985</v>
      </c>
      <c r="E2311" s="1">
        <f>D2311</f>
        <v>45985</v>
      </c>
      <c r="F2311">
        <v>3910</v>
      </c>
      <c r="G2311">
        <v>30</v>
      </c>
      <c r="H2311">
        <f t="shared" si="219"/>
        <v>0</v>
      </c>
      <c r="I2311" t="str">
        <f t="shared" si="217"/>
        <v>On Time</v>
      </c>
      <c r="J2311" cm="1">
        <f t="array" ref="J2311">_xlfn.IFS(H2311&lt;30,0,H2311&lt;60,1,H2311&lt;90,2,H2311&lt;120,3)</f>
        <v>0</v>
      </c>
      <c r="M2311" t="str">
        <f t="shared" si="218"/>
        <v>Low</v>
      </c>
      <c r="N2311" t="str">
        <f t="shared" si="221"/>
        <v>Oct</v>
      </c>
      <c r="O2311">
        <f t="shared" si="222"/>
        <v>2025</v>
      </c>
    </row>
    <row r="2312" spans="1:15" x14ac:dyDescent="0.3">
      <c r="A2312">
        <v>202427</v>
      </c>
      <c r="B2312" t="s">
        <v>104</v>
      </c>
      <c r="C2312" s="2">
        <v>45955</v>
      </c>
      <c r="D2312" s="2">
        <f t="shared" si="220"/>
        <v>45985</v>
      </c>
      <c r="E2312" s="1">
        <f>D2312+2</f>
        <v>45987</v>
      </c>
      <c r="F2312">
        <v>2345</v>
      </c>
      <c r="G2312">
        <v>30</v>
      </c>
      <c r="H2312">
        <f t="shared" si="219"/>
        <v>0</v>
      </c>
      <c r="I2312" t="str">
        <f t="shared" si="217"/>
        <v>On Time</v>
      </c>
      <c r="J2312" cm="1">
        <f t="array" ref="J2312">_xlfn.IFS(H2312&lt;30,0,H2312&lt;60,1,H2312&lt;90,2,H2312&lt;120,3)</f>
        <v>0</v>
      </c>
      <c r="M2312" t="str">
        <f t="shared" si="218"/>
        <v>Low</v>
      </c>
      <c r="N2312" t="str">
        <f t="shared" si="221"/>
        <v>Oct</v>
      </c>
      <c r="O2312">
        <f t="shared" si="222"/>
        <v>2025</v>
      </c>
    </row>
    <row r="2313" spans="1:15" x14ac:dyDescent="0.3">
      <c r="A2313">
        <v>202428</v>
      </c>
      <c r="B2313" t="s">
        <v>105</v>
      </c>
      <c r="C2313" s="2">
        <v>45955</v>
      </c>
      <c r="D2313" s="2">
        <f t="shared" si="220"/>
        <v>45985</v>
      </c>
      <c r="E2313" s="1">
        <f>D2313+2</f>
        <v>45987</v>
      </c>
      <c r="F2313">
        <v>1750</v>
      </c>
      <c r="G2313">
        <v>30</v>
      </c>
      <c r="H2313">
        <f t="shared" si="219"/>
        <v>0</v>
      </c>
      <c r="I2313" t="str">
        <f t="shared" si="217"/>
        <v>On Time</v>
      </c>
      <c r="J2313" cm="1">
        <f t="array" ref="J2313">_xlfn.IFS(H2313&lt;30,0,H2313&lt;60,1,H2313&lt;90,2,H2313&lt;120,3)</f>
        <v>0</v>
      </c>
      <c r="M2313" t="str">
        <f t="shared" si="218"/>
        <v>Low</v>
      </c>
      <c r="N2313" t="str">
        <f t="shared" si="221"/>
        <v>Oct</v>
      </c>
      <c r="O2313">
        <f t="shared" si="222"/>
        <v>2025</v>
      </c>
    </row>
    <row r="2314" spans="1:15" x14ac:dyDescent="0.3">
      <c r="A2314">
        <v>202429</v>
      </c>
      <c r="B2314" t="s">
        <v>86</v>
      </c>
      <c r="C2314" s="2">
        <v>45955</v>
      </c>
      <c r="D2314" s="2">
        <f t="shared" si="220"/>
        <v>45985</v>
      </c>
      <c r="E2314" s="1">
        <f>D2314+2</f>
        <v>45987</v>
      </c>
      <c r="F2314">
        <v>1849</v>
      </c>
      <c r="G2314">
        <v>30</v>
      </c>
      <c r="H2314">
        <f t="shared" si="219"/>
        <v>0</v>
      </c>
      <c r="I2314" t="str">
        <f t="shared" si="217"/>
        <v>On Time</v>
      </c>
      <c r="J2314" cm="1">
        <f t="array" ref="J2314">_xlfn.IFS(H2314&lt;30,0,H2314&lt;60,1,H2314&lt;90,2,H2314&lt;120,3)</f>
        <v>0</v>
      </c>
      <c r="M2314" t="str">
        <f t="shared" si="218"/>
        <v>Low</v>
      </c>
      <c r="N2314" t="str">
        <f t="shared" si="221"/>
        <v>Oct</v>
      </c>
      <c r="O2314">
        <f t="shared" si="222"/>
        <v>2025</v>
      </c>
    </row>
    <row r="2315" spans="1:15" x14ac:dyDescent="0.3">
      <c r="A2315">
        <v>202430</v>
      </c>
      <c r="B2315" t="s">
        <v>87</v>
      </c>
      <c r="C2315" s="2">
        <v>45955</v>
      </c>
      <c r="D2315" s="2">
        <f t="shared" si="220"/>
        <v>45985</v>
      </c>
      <c r="E2315" s="1">
        <f>D2315</f>
        <v>45985</v>
      </c>
      <c r="F2315">
        <v>3608</v>
      </c>
      <c r="G2315">
        <v>30</v>
      </c>
      <c r="H2315">
        <f t="shared" si="219"/>
        <v>0</v>
      </c>
      <c r="I2315" t="str">
        <f t="shared" si="217"/>
        <v>On Time</v>
      </c>
      <c r="J2315" cm="1">
        <f t="array" ref="J2315">_xlfn.IFS(H2315&lt;30,0,H2315&lt;60,1,H2315&lt;90,2,H2315&lt;120,3)</f>
        <v>0</v>
      </c>
      <c r="M2315" t="str">
        <f t="shared" si="218"/>
        <v>Low</v>
      </c>
      <c r="N2315" t="str">
        <f t="shared" si="221"/>
        <v>Oct</v>
      </c>
      <c r="O2315">
        <f t="shared" si="222"/>
        <v>2025</v>
      </c>
    </row>
    <row r="2316" spans="1:15" x14ac:dyDescent="0.3">
      <c r="A2316">
        <v>202431</v>
      </c>
      <c r="B2316" t="s">
        <v>88</v>
      </c>
      <c r="C2316" s="2">
        <v>45955</v>
      </c>
      <c r="D2316" s="2">
        <f t="shared" si="220"/>
        <v>45985</v>
      </c>
      <c r="E2316" s="1">
        <f>D2316+20</f>
        <v>46005</v>
      </c>
      <c r="F2316">
        <v>1969</v>
      </c>
      <c r="G2316">
        <v>30</v>
      </c>
      <c r="H2316">
        <f t="shared" si="219"/>
        <v>0</v>
      </c>
      <c r="I2316" t="str">
        <f t="shared" si="217"/>
        <v>On Time</v>
      </c>
      <c r="J2316" cm="1">
        <f t="array" ref="J2316">_xlfn.IFS(H2316&lt;30,0,H2316&lt;60,1,H2316&lt;90,2,H2316&lt;120,3)</f>
        <v>0</v>
      </c>
      <c r="M2316" t="str">
        <f t="shared" si="218"/>
        <v>Low</v>
      </c>
      <c r="N2316" t="str">
        <f t="shared" si="221"/>
        <v>Oct</v>
      </c>
      <c r="O2316">
        <f t="shared" si="222"/>
        <v>2025</v>
      </c>
    </row>
    <row r="2317" spans="1:15" x14ac:dyDescent="0.3">
      <c r="A2317">
        <v>202009</v>
      </c>
      <c r="B2317" t="s">
        <v>93</v>
      </c>
      <c r="C2317" s="2">
        <v>45954</v>
      </c>
      <c r="D2317" s="2">
        <f t="shared" si="220"/>
        <v>45984</v>
      </c>
      <c r="E2317" s="1">
        <f>D2317+5</f>
        <v>45989</v>
      </c>
      <c r="F2317">
        <v>3080</v>
      </c>
      <c r="G2317">
        <v>30</v>
      </c>
      <c r="H2317">
        <f t="shared" si="219"/>
        <v>0</v>
      </c>
      <c r="I2317" t="str">
        <f t="shared" si="217"/>
        <v>On Time</v>
      </c>
      <c r="J2317" cm="1">
        <f t="array" ref="J2317">_xlfn.IFS(H2317&lt;30,0,H2317&lt;60,1,H2317&lt;90,2,H2317&lt;120,3)</f>
        <v>0</v>
      </c>
      <c r="M2317" t="str">
        <f t="shared" si="218"/>
        <v>Low</v>
      </c>
      <c r="N2317" t="str">
        <f t="shared" si="221"/>
        <v>Oct</v>
      </c>
      <c r="O2317">
        <f t="shared" si="222"/>
        <v>2025</v>
      </c>
    </row>
    <row r="2318" spans="1:15" x14ac:dyDescent="0.3">
      <c r="A2318">
        <v>202010</v>
      </c>
      <c r="B2318" t="s">
        <v>94</v>
      </c>
      <c r="C2318" s="2">
        <v>45954</v>
      </c>
      <c r="D2318" s="2">
        <f t="shared" si="220"/>
        <v>45984</v>
      </c>
      <c r="E2318" s="1">
        <f>D2318</f>
        <v>45984</v>
      </c>
      <c r="F2318">
        <v>4177</v>
      </c>
      <c r="G2318">
        <v>30</v>
      </c>
      <c r="H2318">
        <f t="shared" si="219"/>
        <v>0</v>
      </c>
      <c r="I2318" t="str">
        <f t="shared" si="217"/>
        <v>On Time</v>
      </c>
      <c r="J2318" cm="1">
        <f t="array" ref="J2318">_xlfn.IFS(H2318&lt;30,0,H2318&lt;60,1,H2318&lt;90,2,H2318&lt;120,3)</f>
        <v>0</v>
      </c>
      <c r="M2318" t="str">
        <f t="shared" si="218"/>
        <v>Low</v>
      </c>
      <c r="N2318" t="str">
        <f t="shared" si="221"/>
        <v>Oct</v>
      </c>
      <c r="O2318">
        <f t="shared" si="222"/>
        <v>2025</v>
      </c>
    </row>
    <row r="2319" spans="1:15" x14ac:dyDescent="0.3">
      <c r="A2319">
        <v>202011</v>
      </c>
      <c r="B2319" t="s">
        <v>95</v>
      </c>
      <c r="C2319" s="2">
        <v>45954</v>
      </c>
      <c r="D2319" s="2">
        <f t="shared" si="220"/>
        <v>45999</v>
      </c>
      <c r="E2319" s="1">
        <f>D2319</f>
        <v>45999</v>
      </c>
      <c r="F2319">
        <v>4843</v>
      </c>
      <c r="G2319">
        <v>45</v>
      </c>
      <c r="H2319">
        <f t="shared" si="219"/>
        <v>0</v>
      </c>
      <c r="I2319" t="str">
        <f t="shared" si="217"/>
        <v>On Time</v>
      </c>
      <c r="J2319" cm="1">
        <f t="array" ref="J2319">_xlfn.IFS(H2319&lt;30,0,H2319&lt;60,1,H2319&lt;90,2,H2319&lt;120,3)</f>
        <v>0</v>
      </c>
      <c r="M2319" t="str">
        <f t="shared" si="218"/>
        <v>Low</v>
      </c>
      <c r="N2319" t="str">
        <f t="shared" si="221"/>
        <v>Oct</v>
      </c>
      <c r="O2319">
        <f t="shared" si="222"/>
        <v>2025</v>
      </c>
    </row>
    <row r="2320" spans="1:15" x14ac:dyDescent="0.3">
      <c r="A2320">
        <v>202012</v>
      </c>
      <c r="B2320" t="s">
        <v>96</v>
      </c>
      <c r="C2320" s="2">
        <v>45954</v>
      </c>
      <c r="D2320" s="2">
        <f t="shared" si="220"/>
        <v>46014</v>
      </c>
      <c r="E2320" s="1">
        <f>D2320+59</f>
        <v>46073</v>
      </c>
      <c r="F2320">
        <v>1744</v>
      </c>
      <c r="G2320">
        <v>60</v>
      </c>
      <c r="H2320">
        <f t="shared" si="219"/>
        <v>0</v>
      </c>
      <c r="I2320" t="str">
        <f t="shared" si="217"/>
        <v>On Time</v>
      </c>
      <c r="J2320" cm="1">
        <f t="array" ref="J2320">_xlfn.IFS(H2320&lt;30,0,H2320&lt;60,1,H2320&lt;90,2,H2320&lt;120,3)</f>
        <v>0</v>
      </c>
      <c r="M2320" t="str">
        <f t="shared" si="218"/>
        <v>Low</v>
      </c>
      <c r="N2320" t="str">
        <f t="shared" si="221"/>
        <v>Oct</v>
      </c>
      <c r="O2320">
        <f t="shared" si="222"/>
        <v>2025</v>
      </c>
    </row>
    <row r="2321" spans="1:15" x14ac:dyDescent="0.3">
      <c r="A2321">
        <v>202013</v>
      </c>
      <c r="B2321" t="s">
        <v>97</v>
      </c>
      <c r="C2321" s="2">
        <v>45954</v>
      </c>
      <c r="D2321" s="2">
        <f t="shared" si="220"/>
        <v>45984</v>
      </c>
      <c r="E2321" s="1">
        <f>D2321</f>
        <v>45984</v>
      </c>
      <c r="F2321">
        <v>1695</v>
      </c>
      <c r="G2321">
        <v>30</v>
      </c>
      <c r="H2321">
        <f t="shared" si="219"/>
        <v>0</v>
      </c>
      <c r="I2321" t="str">
        <f t="shared" si="217"/>
        <v>On Time</v>
      </c>
      <c r="J2321" cm="1">
        <f t="array" ref="J2321">_xlfn.IFS(H2321&lt;30,0,H2321&lt;60,1,H2321&lt;90,2,H2321&lt;120,3)</f>
        <v>0</v>
      </c>
      <c r="M2321" t="str">
        <f t="shared" si="218"/>
        <v>Low</v>
      </c>
      <c r="N2321" t="str">
        <f t="shared" si="221"/>
        <v>Oct</v>
      </c>
      <c r="O2321">
        <f t="shared" si="222"/>
        <v>2025</v>
      </c>
    </row>
    <row r="2322" spans="1:15" x14ac:dyDescent="0.3">
      <c r="A2322">
        <v>202014</v>
      </c>
      <c r="B2322" t="s">
        <v>98</v>
      </c>
      <c r="C2322" s="2">
        <v>45954</v>
      </c>
      <c r="D2322" s="2">
        <f t="shared" si="220"/>
        <v>45984</v>
      </c>
      <c r="F2322">
        <v>2947</v>
      </c>
      <c r="G2322">
        <v>30</v>
      </c>
      <c r="H2322">
        <f t="shared" si="219"/>
        <v>0</v>
      </c>
      <c r="I2322" t="str">
        <f t="shared" si="217"/>
        <v>On Time</v>
      </c>
      <c r="J2322" cm="1">
        <f t="array" ref="J2322">_xlfn.IFS(H2322&lt;30,0,H2322&lt;60,1,H2322&lt;90,2,H2322&lt;120,3)</f>
        <v>0</v>
      </c>
      <c r="M2322" t="str">
        <f t="shared" si="218"/>
        <v>Low</v>
      </c>
      <c r="N2322" t="str">
        <f t="shared" si="221"/>
        <v>Oct</v>
      </c>
      <c r="O2322">
        <f t="shared" si="222"/>
        <v>2025</v>
      </c>
    </row>
    <row r="2323" spans="1:15" x14ac:dyDescent="0.3">
      <c r="A2323">
        <v>202015</v>
      </c>
      <c r="B2323" t="s">
        <v>99</v>
      </c>
      <c r="C2323" s="2">
        <v>45954</v>
      </c>
      <c r="D2323" s="2">
        <f t="shared" si="220"/>
        <v>45984</v>
      </c>
      <c r="E2323" s="1">
        <f>D2323+3</f>
        <v>45987</v>
      </c>
      <c r="F2323">
        <v>3055</v>
      </c>
      <c r="G2323">
        <v>30</v>
      </c>
      <c r="H2323">
        <f t="shared" si="219"/>
        <v>0</v>
      </c>
      <c r="I2323" t="str">
        <f t="shared" si="217"/>
        <v>On Time</v>
      </c>
      <c r="J2323" cm="1">
        <f t="array" ref="J2323">_xlfn.IFS(H2323&lt;30,0,H2323&lt;60,1,H2323&lt;90,2,H2323&lt;120,3)</f>
        <v>0</v>
      </c>
      <c r="M2323" t="str">
        <f t="shared" si="218"/>
        <v>Low</v>
      </c>
      <c r="N2323" t="str">
        <f t="shared" si="221"/>
        <v>Oct</v>
      </c>
      <c r="O2323">
        <f t="shared" si="222"/>
        <v>2025</v>
      </c>
    </row>
    <row r="2324" spans="1:15" x14ac:dyDescent="0.3">
      <c r="A2324">
        <v>202016</v>
      </c>
      <c r="B2324" t="s">
        <v>100</v>
      </c>
      <c r="C2324" s="2">
        <v>45954</v>
      </c>
      <c r="D2324" s="2">
        <f t="shared" si="220"/>
        <v>45984</v>
      </c>
      <c r="E2324" s="1">
        <f>D2324+1</f>
        <v>45985</v>
      </c>
      <c r="F2324">
        <v>350</v>
      </c>
      <c r="G2324">
        <v>30</v>
      </c>
      <c r="H2324">
        <f t="shared" si="219"/>
        <v>0</v>
      </c>
      <c r="I2324" t="str">
        <f t="shared" si="217"/>
        <v>On Time</v>
      </c>
      <c r="J2324" cm="1">
        <f t="array" ref="J2324">_xlfn.IFS(H2324&lt;30,0,H2324&lt;60,1,H2324&lt;90,2,H2324&lt;120,3)</f>
        <v>0</v>
      </c>
      <c r="M2324" t="str">
        <f t="shared" si="218"/>
        <v>Low</v>
      </c>
      <c r="N2324" t="str">
        <f t="shared" si="221"/>
        <v>Oct</v>
      </c>
      <c r="O2324">
        <f t="shared" si="222"/>
        <v>2025</v>
      </c>
    </row>
    <row r="2325" spans="1:15" x14ac:dyDescent="0.3">
      <c r="A2325">
        <v>202017</v>
      </c>
      <c r="B2325" t="s">
        <v>101</v>
      </c>
      <c r="C2325" s="2">
        <v>45954</v>
      </c>
      <c r="D2325" s="2">
        <f t="shared" si="220"/>
        <v>45984</v>
      </c>
      <c r="E2325" s="1">
        <f>D2325-1</f>
        <v>45983</v>
      </c>
      <c r="F2325">
        <v>529</v>
      </c>
      <c r="G2325">
        <v>30</v>
      </c>
      <c r="H2325">
        <f t="shared" si="219"/>
        <v>0</v>
      </c>
      <c r="I2325" t="str">
        <f t="shared" si="217"/>
        <v>On Time</v>
      </c>
      <c r="J2325" cm="1">
        <f t="array" ref="J2325">_xlfn.IFS(H2325&lt;30,0,H2325&lt;60,1,H2325&lt;90,2,H2325&lt;120,3)</f>
        <v>0</v>
      </c>
      <c r="M2325" t="str">
        <f t="shared" si="218"/>
        <v>Low</v>
      </c>
      <c r="N2325" t="str">
        <f t="shared" si="221"/>
        <v>Oct</v>
      </c>
      <c r="O2325">
        <f t="shared" si="222"/>
        <v>2025</v>
      </c>
    </row>
    <row r="2326" spans="1:15" x14ac:dyDescent="0.3">
      <c r="A2326">
        <v>202018</v>
      </c>
      <c r="B2326" t="s">
        <v>102</v>
      </c>
      <c r="C2326" s="2">
        <v>45954</v>
      </c>
      <c r="D2326" s="2">
        <f t="shared" si="220"/>
        <v>45984</v>
      </c>
      <c r="E2326" s="1">
        <f>D2326</f>
        <v>45984</v>
      </c>
      <c r="F2326">
        <v>4460</v>
      </c>
      <c r="G2326">
        <v>30</v>
      </c>
      <c r="H2326">
        <f t="shared" si="219"/>
        <v>0</v>
      </c>
      <c r="I2326" t="str">
        <f t="shared" ref="I2326:I2389" si="223">IF(H2326=0,"On Time",IF(H2326&lt;=15,"Paid Late","Seriously Late"))</f>
        <v>On Time</v>
      </c>
      <c r="J2326" cm="1">
        <f t="array" ref="J2326">_xlfn.IFS(H2326&lt;30,0,H2326&lt;60,1,H2326&lt;90,2,H2326&lt;120,3)</f>
        <v>0</v>
      </c>
      <c r="M2326" t="str">
        <f t="shared" ref="M2326:M2389" si="224">IF(H2326&gt;30,"High",IF(H2326&gt;10,"Medium","Low"))</f>
        <v>Low</v>
      </c>
      <c r="N2326" t="str">
        <f t="shared" si="221"/>
        <v>Oct</v>
      </c>
      <c r="O2326">
        <f t="shared" si="222"/>
        <v>2025</v>
      </c>
    </row>
    <row r="2327" spans="1:15" x14ac:dyDescent="0.3">
      <c r="A2327">
        <v>202019</v>
      </c>
      <c r="B2327" t="s">
        <v>38</v>
      </c>
      <c r="C2327" s="2">
        <v>45954</v>
      </c>
      <c r="D2327" s="2">
        <f t="shared" si="220"/>
        <v>45984</v>
      </c>
      <c r="E2327" s="1">
        <f>D2327-5</f>
        <v>45979</v>
      </c>
      <c r="F2327">
        <v>5825</v>
      </c>
      <c r="G2327">
        <v>30</v>
      </c>
      <c r="H2327">
        <f t="shared" si="219"/>
        <v>0</v>
      </c>
      <c r="I2327" t="str">
        <f t="shared" si="223"/>
        <v>On Time</v>
      </c>
      <c r="J2327" cm="1">
        <f t="array" ref="J2327">_xlfn.IFS(H2327&lt;30,0,H2327&lt;60,1,H2327&lt;90,2,H2327&lt;120,3)</f>
        <v>0</v>
      </c>
      <c r="M2327" t="str">
        <f t="shared" si="224"/>
        <v>Low</v>
      </c>
      <c r="N2327" t="str">
        <f t="shared" si="221"/>
        <v>Oct</v>
      </c>
      <c r="O2327">
        <f t="shared" si="222"/>
        <v>2025</v>
      </c>
    </row>
    <row r="2328" spans="1:15" x14ac:dyDescent="0.3">
      <c r="A2328">
        <v>202020</v>
      </c>
      <c r="B2328" t="s">
        <v>39</v>
      </c>
      <c r="C2328" s="2">
        <v>45954</v>
      </c>
      <c r="D2328" s="2">
        <f t="shared" si="220"/>
        <v>45984</v>
      </c>
      <c r="E2328" s="1">
        <f>D2328+35</f>
        <v>46019</v>
      </c>
      <c r="F2328">
        <v>2382</v>
      </c>
      <c r="G2328">
        <v>30</v>
      </c>
      <c r="H2328">
        <f t="shared" si="219"/>
        <v>0</v>
      </c>
      <c r="I2328" t="str">
        <f t="shared" si="223"/>
        <v>On Time</v>
      </c>
      <c r="J2328" cm="1">
        <f t="array" ref="J2328">_xlfn.IFS(H2328&lt;30,0,H2328&lt;60,1,H2328&lt;90,2,H2328&lt;120,3)</f>
        <v>0</v>
      </c>
      <c r="M2328" t="str">
        <f t="shared" si="224"/>
        <v>Low</v>
      </c>
      <c r="N2328" t="str">
        <f t="shared" si="221"/>
        <v>Oct</v>
      </c>
      <c r="O2328">
        <f t="shared" si="222"/>
        <v>2025</v>
      </c>
    </row>
    <row r="2329" spans="1:15" x14ac:dyDescent="0.3">
      <c r="A2329">
        <v>202021</v>
      </c>
      <c r="B2329" t="s">
        <v>40</v>
      </c>
      <c r="C2329" s="2">
        <v>45954</v>
      </c>
      <c r="D2329" s="2">
        <f t="shared" si="220"/>
        <v>45984</v>
      </c>
      <c r="E2329" s="1">
        <f>D2329+54</f>
        <v>46038</v>
      </c>
      <c r="F2329">
        <v>2478</v>
      </c>
      <c r="G2329">
        <v>30</v>
      </c>
      <c r="H2329">
        <f t="shared" si="219"/>
        <v>0</v>
      </c>
      <c r="I2329" t="str">
        <f t="shared" si="223"/>
        <v>On Time</v>
      </c>
      <c r="J2329" cm="1">
        <f t="array" ref="J2329">_xlfn.IFS(H2329&lt;30,0,H2329&lt;60,1,H2329&lt;90,2,H2329&lt;120,3)</f>
        <v>0</v>
      </c>
      <c r="M2329" t="str">
        <f t="shared" si="224"/>
        <v>Low</v>
      </c>
      <c r="N2329" t="str">
        <f t="shared" si="221"/>
        <v>Oct</v>
      </c>
      <c r="O2329">
        <f t="shared" si="222"/>
        <v>2025</v>
      </c>
    </row>
    <row r="2330" spans="1:15" x14ac:dyDescent="0.3">
      <c r="A2330">
        <v>202022</v>
      </c>
      <c r="B2330" t="s">
        <v>41</v>
      </c>
      <c r="C2330" s="2">
        <v>45954</v>
      </c>
      <c r="D2330" s="2">
        <f t="shared" si="220"/>
        <v>45984</v>
      </c>
      <c r="E2330" s="1">
        <f>D2330+5</f>
        <v>45989</v>
      </c>
      <c r="F2330">
        <v>683</v>
      </c>
      <c r="G2330">
        <v>30</v>
      </c>
      <c r="H2330">
        <f t="shared" si="219"/>
        <v>0</v>
      </c>
      <c r="I2330" t="str">
        <f t="shared" si="223"/>
        <v>On Time</v>
      </c>
      <c r="J2330" cm="1">
        <f t="array" ref="J2330">_xlfn.IFS(H2330&lt;30,0,H2330&lt;60,1,H2330&lt;90,2,H2330&lt;120,3)</f>
        <v>0</v>
      </c>
      <c r="M2330" t="str">
        <f t="shared" si="224"/>
        <v>Low</v>
      </c>
      <c r="N2330" t="str">
        <f t="shared" si="221"/>
        <v>Oct</v>
      </c>
      <c r="O2330">
        <f t="shared" si="222"/>
        <v>2025</v>
      </c>
    </row>
    <row r="2331" spans="1:15" x14ac:dyDescent="0.3">
      <c r="A2331">
        <v>202023</v>
      </c>
      <c r="B2331" t="s">
        <v>42</v>
      </c>
      <c r="C2331" s="2">
        <v>45954</v>
      </c>
      <c r="D2331" s="2">
        <f t="shared" si="220"/>
        <v>45984</v>
      </c>
      <c r="E2331" s="1">
        <f>D2331</f>
        <v>45984</v>
      </c>
      <c r="F2331">
        <v>2622</v>
      </c>
      <c r="G2331">
        <v>30</v>
      </c>
      <c r="H2331">
        <f t="shared" si="219"/>
        <v>0</v>
      </c>
      <c r="I2331" t="str">
        <f t="shared" si="223"/>
        <v>On Time</v>
      </c>
      <c r="J2331" cm="1">
        <f t="array" ref="J2331">_xlfn.IFS(H2331&lt;30,0,H2331&lt;60,1,H2331&lt;90,2,H2331&lt;120,3)</f>
        <v>0</v>
      </c>
      <c r="M2331" t="str">
        <f t="shared" si="224"/>
        <v>Low</v>
      </c>
      <c r="N2331" t="str">
        <f t="shared" si="221"/>
        <v>Oct</v>
      </c>
      <c r="O2331">
        <f t="shared" si="222"/>
        <v>2025</v>
      </c>
    </row>
    <row r="2332" spans="1:15" x14ac:dyDescent="0.3">
      <c r="A2332">
        <v>202024</v>
      </c>
      <c r="B2332" t="s">
        <v>43</v>
      </c>
      <c r="C2332" s="2">
        <v>45954</v>
      </c>
      <c r="D2332" s="2">
        <f t="shared" si="220"/>
        <v>45984</v>
      </c>
      <c r="E2332" s="1">
        <f>D2332-1</f>
        <v>45983</v>
      </c>
      <c r="F2332">
        <v>9204</v>
      </c>
      <c r="G2332">
        <v>30</v>
      </c>
      <c r="H2332">
        <f t="shared" si="219"/>
        <v>0</v>
      </c>
      <c r="I2332" t="str">
        <f t="shared" si="223"/>
        <v>On Time</v>
      </c>
      <c r="J2332" cm="1">
        <f t="array" ref="J2332">_xlfn.IFS(H2332&lt;30,0,H2332&lt;60,1,H2332&lt;90,2,H2332&lt;120,3)</f>
        <v>0</v>
      </c>
      <c r="M2332" t="str">
        <f t="shared" si="224"/>
        <v>Low</v>
      </c>
      <c r="N2332" t="str">
        <f t="shared" si="221"/>
        <v>Oct</v>
      </c>
      <c r="O2332">
        <f t="shared" si="222"/>
        <v>2025</v>
      </c>
    </row>
    <row r="2333" spans="1:15" x14ac:dyDescent="0.3">
      <c r="A2333">
        <v>202025</v>
      </c>
      <c r="B2333" t="s">
        <v>44</v>
      </c>
      <c r="C2333" s="2">
        <v>45954</v>
      </c>
      <c r="D2333" s="2">
        <f t="shared" si="220"/>
        <v>45999</v>
      </c>
      <c r="E2333" s="1">
        <f>D2333</f>
        <v>45999</v>
      </c>
      <c r="F2333">
        <v>535</v>
      </c>
      <c r="G2333">
        <v>45</v>
      </c>
      <c r="H2333">
        <f t="shared" si="219"/>
        <v>0</v>
      </c>
      <c r="I2333" t="str">
        <f t="shared" si="223"/>
        <v>On Time</v>
      </c>
      <c r="J2333" cm="1">
        <f t="array" ref="J2333">_xlfn.IFS(H2333&lt;30,0,H2333&lt;60,1,H2333&lt;90,2,H2333&lt;120,3)</f>
        <v>0</v>
      </c>
      <c r="M2333" t="str">
        <f t="shared" si="224"/>
        <v>Low</v>
      </c>
      <c r="N2333" t="str">
        <f t="shared" si="221"/>
        <v>Oct</v>
      </c>
      <c r="O2333">
        <f t="shared" si="222"/>
        <v>2025</v>
      </c>
    </row>
    <row r="2334" spans="1:15" x14ac:dyDescent="0.3">
      <c r="A2334">
        <v>202026</v>
      </c>
      <c r="B2334" t="s">
        <v>96</v>
      </c>
      <c r="C2334" s="2">
        <v>45954</v>
      </c>
      <c r="D2334" s="2">
        <f t="shared" si="220"/>
        <v>46014</v>
      </c>
      <c r="E2334" s="1">
        <f>D2334+32</f>
        <v>46046</v>
      </c>
      <c r="F2334">
        <v>3297</v>
      </c>
      <c r="G2334">
        <v>60</v>
      </c>
      <c r="H2334">
        <f t="shared" si="219"/>
        <v>0</v>
      </c>
      <c r="I2334" t="str">
        <f t="shared" si="223"/>
        <v>On Time</v>
      </c>
      <c r="J2334" cm="1">
        <f t="array" ref="J2334">_xlfn.IFS(H2334&lt;30,0,H2334&lt;60,1,H2334&lt;90,2,H2334&lt;120,3)</f>
        <v>0</v>
      </c>
      <c r="M2334" t="str">
        <f t="shared" si="224"/>
        <v>Low</v>
      </c>
      <c r="N2334" t="str">
        <f t="shared" si="221"/>
        <v>Oct</v>
      </c>
      <c r="O2334">
        <f t="shared" si="222"/>
        <v>2025</v>
      </c>
    </row>
    <row r="2335" spans="1:15" x14ac:dyDescent="0.3">
      <c r="A2335">
        <v>202027</v>
      </c>
      <c r="B2335" t="s">
        <v>97</v>
      </c>
      <c r="C2335" s="2">
        <v>45954</v>
      </c>
      <c r="D2335" s="2">
        <f t="shared" si="220"/>
        <v>45984</v>
      </c>
      <c r="E2335" s="1">
        <f>D2335+15</f>
        <v>45999</v>
      </c>
      <c r="F2335">
        <v>3843</v>
      </c>
      <c r="G2335">
        <v>30</v>
      </c>
      <c r="H2335">
        <f t="shared" si="219"/>
        <v>0</v>
      </c>
      <c r="I2335" t="str">
        <f t="shared" si="223"/>
        <v>On Time</v>
      </c>
      <c r="J2335" cm="1">
        <f t="array" ref="J2335">_xlfn.IFS(H2335&lt;30,0,H2335&lt;60,1,H2335&lt;90,2,H2335&lt;120,3)</f>
        <v>0</v>
      </c>
      <c r="M2335" t="str">
        <f t="shared" si="224"/>
        <v>Low</v>
      </c>
      <c r="N2335" t="str">
        <f t="shared" si="221"/>
        <v>Oct</v>
      </c>
      <c r="O2335">
        <f t="shared" si="222"/>
        <v>2025</v>
      </c>
    </row>
    <row r="2336" spans="1:15" x14ac:dyDescent="0.3">
      <c r="A2336">
        <v>202393</v>
      </c>
      <c r="B2336" t="s">
        <v>70</v>
      </c>
      <c r="C2336" s="2">
        <v>45954</v>
      </c>
      <c r="D2336" s="2">
        <f t="shared" si="220"/>
        <v>45984</v>
      </c>
      <c r="E2336" s="1">
        <f>D2336</f>
        <v>45984</v>
      </c>
      <c r="F2336">
        <v>2126</v>
      </c>
      <c r="G2336">
        <v>30</v>
      </c>
      <c r="H2336">
        <f t="shared" si="219"/>
        <v>0</v>
      </c>
      <c r="I2336" t="str">
        <f t="shared" si="223"/>
        <v>On Time</v>
      </c>
      <c r="J2336" cm="1">
        <f t="array" ref="J2336">_xlfn.IFS(H2336&lt;30,0,H2336&lt;60,1,H2336&lt;90,2,H2336&lt;120,3)</f>
        <v>0</v>
      </c>
      <c r="M2336" t="str">
        <f t="shared" si="224"/>
        <v>Low</v>
      </c>
      <c r="N2336" t="str">
        <f t="shared" si="221"/>
        <v>Oct</v>
      </c>
      <c r="O2336">
        <f t="shared" si="222"/>
        <v>2025</v>
      </c>
    </row>
    <row r="2337" spans="1:15" x14ac:dyDescent="0.3">
      <c r="A2337">
        <v>202394</v>
      </c>
      <c r="B2337" t="s">
        <v>71</v>
      </c>
      <c r="C2337" s="2">
        <v>45954</v>
      </c>
      <c r="D2337" s="2">
        <f t="shared" si="220"/>
        <v>45984</v>
      </c>
      <c r="E2337" s="1">
        <f>D2337+2</f>
        <v>45986</v>
      </c>
      <c r="F2337">
        <v>3666</v>
      </c>
      <c r="G2337">
        <v>30</v>
      </c>
      <c r="H2337">
        <f t="shared" si="219"/>
        <v>0</v>
      </c>
      <c r="I2337" t="str">
        <f t="shared" si="223"/>
        <v>On Time</v>
      </c>
      <c r="J2337" cm="1">
        <f t="array" ref="J2337">_xlfn.IFS(H2337&lt;30,0,H2337&lt;60,1,H2337&lt;90,2,H2337&lt;120,3)</f>
        <v>0</v>
      </c>
      <c r="M2337" t="str">
        <f t="shared" si="224"/>
        <v>Low</v>
      </c>
      <c r="N2337" t="str">
        <f t="shared" si="221"/>
        <v>Oct</v>
      </c>
      <c r="O2337">
        <f t="shared" si="222"/>
        <v>2025</v>
      </c>
    </row>
    <row r="2338" spans="1:15" x14ac:dyDescent="0.3">
      <c r="A2338">
        <v>202395</v>
      </c>
      <c r="B2338" t="s">
        <v>72</v>
      </c>
      <c r="C2338" s="2">
        <v>45954</v>
      </c>
      <c r="D2338" s="2">
        <f t="shared" si="220"/>
        <v>45984</v>
      </c>
      <c r="E2338" s="1">
        <f>D2338+2</f>
        <v>45986</v>
      </c>
      <c r="F2338">
        <v>1215</v>
      </c>
      <c r="G2338">
        <v>30</v>
      </c>
      <c r="H2338">
        <f t="shared" si="219"/>
        <v>0</v>
      </c>
      <c r="I2338" t="str">
        <f t="shared" si="223"/>
        <v>On Time</v>
      </c>
      <c r="J2338" cm="1">
        <f t="array" ref="J2338">_xlfn.IFS(H2338&lt;30,0,H2338&lt;60,1,H2338&lt;90,2,H2338&lt;120,3)</f>
        <v>0</v>
      </c>
      <c r="M2338" t="str">
        <f t="shared" si="224"/>
        <v>Low</v>
      </c>
      <c r="N2338" t="str">
        <f t="shared" si="221"/>
        <v>Oct</v>
      </c>
      <c r="O2338">
        <f t="shared" si="222"/>
        <v>2025</v>
      </c>
    </row>
    <row r="2339" spans="1:15" x14ac:dyDescent="0.3">
      <c r="A2339">
        <v>202396</v>
      </c>
      <c r="B2339" t="s">
        <v>73</v>
      </c>
      <c r="C2339" s="2">
        <v>45954</v>
      </c>
      <c r="D2339" s="2">
        <f t="shared" si="220"/>
        <v>45999</v>
      </c>
      <c r="E2339" s="1">
        <f>D2339+2</f>
        <v>46001</v>
      </c>
      <c r="F2339">
        <v>258</v>
      </c>
      <c r="G2339">
        <v>45</v>
      </c>
      <c r="H2339">
        <f t="shared" si="219"/>
        <v>0</v>
      </c>
      <c r="I2339" t="str">
        <f t="shared" si="223"/>
        <v>On Time</v>
      </c>
      <c r="J2339" cm="1">
        <f t="array" ref="J2339">_xlfn.IFS(H2339&lt;30,0,H2339&lt;60,1,H2339&lt;90,2,H2339&lt;120,3)</f>
        <v>0</v>
      </c>
      <c r="M2339" t="str">
        <f t="shared" si="224"/>
        <v>Low</v>
      </c>
      <c r="N2339" t="str">
        <f t="shared" si="221"/>
        <v>Oct</v>
      </c>
      <c r="O2339">
        <f t="shared" si="222"/>
        <v>2025</v>
      </c>
    </row>
    <row r="2340" spans="1:15" x14ac:dyDescent="0.3">
      <c r="A2340">
        <v>202397</v>
      </c>
      <c r="B2340" t="s">
        <v>101</v>
      </c>
      <c r="C2340" s="2">
        <v>45954</v>
      </c>
      <c r="D2340" s="2">
        <f t="shared" si="220"/>
        <v>45984</v>
      </c>
      <c r="E2340" s="1">
        <f>D2340</f>
        <v>45984</v>
      </c>
      <c r="F2340">
        <v>4985</v>
      </c>
      <c r="G2340">
        <v>30</v>
      </c>
      <c r="H2340">
        <f t="shared" si="219"/>
        <v>0</v>
      </c>
      <c r="I2340" t="str">
        <f t="shared" si="223"/>
        <v>On Time</v>
      </c>
      <c r="J2340" cm="1">
        <f t="array" ref="J2340">_xlfn.IFS(H2340&lt;30,0,H2340&lt;60,1,H2340&lt;90,2,H2340&lt;120,3)</f>
        <v>0</v>
      </c>
      <c r="M2340" t="str">
        <f t="shared" si="224"/>
        <v>Low</v>
      </c>
      <c r="N2340" t="str">
        <f t="shared" si="221"/>
        <v>Oct</v>
      </c>
      <c r="O2340">
        <f t="shared" si="222"/>
        <v>2025</v>
      </c>
    </row>
    <row r="2341" spans="1:15" x14ac:dyDescent="0.3">
      <c r="A2341">
        <v>202398</v>
      </c>
      <c r="B2341" t="s">
        <v>102</v>
      </c>
      <c r="C2341" s="2">
        <v>45954</v>
      </c>
      <c r="D2341" s="2">
        <f t="shared" si="220"/>
        <v>45984</v>
      </c>
      <c r="E2341" s="1">
        <f>D2341+20</f>
        <v>46004</v>
      </c>
      <c r="F2341">
        <v>2759</v>
      </c>
      <c r="G2341">
        <v>30</v>
      </c>
      <c r="H2341">
        <f t="shared" si="219"/>
        <v>0</v>
      </c>
      <c r="I2341" t="str">
        <f t="shared" si="223"/>
        <v>On Time</v>
      </c>
      <c r="J2341" cm="1">
        <f t="array" ref="J2341">_xlfn.IFS(H2341&lt;30,0,H2341&lt;60,1,H2341&lt;90,2,H2341&lt;120,3)</f>
        <v>0</v>
      </c>
      <c r="M2341" t="str">
        <f t="shared" si="224"/>
        <v>Low</v>
      </c>
      <c r="N2341" t="str">
        <f t="shared" si="221"/>
        <v>Oct</v>
      </c>
      <c r="O2341">
        <f t="shared" si="222"/>
        <v>2025</v>
      </c>
    </row>
    <row r="2342" spans="1:15" x14ac:dyDescent="0.3">
      <c r="A2342">
        <v>202399</v>
      </c>
      <c r="B2342" t="s">
        <v>103</v>
      </c>
      <c r="C2342" s="2">
        <v>45954</v>
      </c>
      <c r="D2342" s="2">
        <f t="shared" si="220"/>
        <v>45984</v>
      </c>
      <c r="E2342" s="1">
        <f>D2342</f>
        <v>45984</v>
      </c>
      <c r="F2342">
        <v>2996</v>
      </c>
      <c r="G2342">
        <v>30</v>
      </c>
      <c r="H2342">
        <f t="shared" ref="H2342:H2405" si="225">MAX(0,P2307-D2342)</f>
        <v>0</v>
      </c>
      <c r="I2342" t="str">
        <f t="shared" si="223"/>
        <v>On Time</v>
      </c>
      <c r="J2342" cm="1">
        <f t="array" ref="J2342">_xlfn.IFS(H2342&lt;30,0,H2342&lt;60,1,H2342&lt;90,2,H2342&lt;120,3)</f>
        <v>0</v>
      </c>
      <c r="M2342" t="str">
        <f t="shared" si="224"/>
        <v>Low</v>
      </c>
      <c r="N2342" t="str">
        <f t="shared" si="221"/>
        <v>Oct</v>
      </c>
      <c r="O2342">
        <f t="shared" si="222"/>
        <v>2025</v>
      </c>
    </row>
    <row r="2343" spans="1:15" x14ac:dyDescent="0.3">
      <c r="A2343">
        <v>202400</v>
      </c>
      <c r="B2343" t="s">
        <v>104</v>
      </c>
      <c r="C2343" s="2">
        <v>45954</v>
      </c>
      <c r="D2343" s="2">
        <f t="shared" si="220"/>
        <v>45984</v>
      </c>
      <c r="E2343" s="1">
        <f>D2343+1</f>
        <v>45985</v>
      </c>
      <c r="F2343">
        <v>1652</v>
      </c>
      <c r="G2343">
        <v>30</v>
      </c>
      <c r="H2343">
        <f t="shared" si="225"/>
        <v>0</v>
      </c>
      <c r="I2343" t="str">
        <f t="shared" si="223"/>
        <v>On Time</v>
      </c>
      <c r="J2343" cm="1">
        <f t="array" ref="J2343">_xlfn.IFS(H2343&lt;30,0,H2343&lt;60,1,H2343&lt;90,2,H2343&lt;120,3)</f>
        <v>0</v>
      </c>
      <c r="M2343" t="str">
        <f t="shared" si="224"/>
        <v>Low</v>
      </c>
      <c r="N2343" t="str">
        <f t="shared" si="221"/>
        <v>Oct</v>
      </c>
      <c r="O2343">
        <f t="shared" si="222"/>
        <v>2025</v>
      </c>
    </row>
    <row r="2344" spans="1:15" x14ac:dyDescent="0.3">
      <c r="A2344">
        <v>202401</v>
      </c>
      <c r="B2344" t="s">
        <v>105</v>
      </c>
      <c r="C2344" s="2">
        <v>45954</v>
      </c>
      <c r="D2344" s="2">
        <f t="shared" si="220"/>
        <v>45984</v>
      </c>
      <c r="E2344" s="1">
        <f>D2344</f>
        <v>45984</v>
      </c>
      <c r="F2344">
        <v>3928</v>
      </c>
      <c r="G2344">
        <v>30</v>
      </c>
      <c r="H2344">
        <f t="shared" si="225"/>
        <v>0</v>
      </c>
      <c r="I2344" t="str">
        <f t="shared" si="223"/>
        <v>On Time</v>
      </c>
      <c r="J2344" cm="1">
        <f t="array" ref="J2344">_xlfn.IFS(H2344&lt;30,0,H2344&lt;60,1,H2344&lt;90,2,H2344&lt;120,3)</f>
        <v>0</v>
      </c>
      <c r="M2344" t="str">
        <f t="shared" si="224"/>
        <v>Low</v>
      </c>
      <c r="N2344" t="str">
        <f t="shared" si="221"/>
        <v>Oct</v>
      </c>
      <c r="O2344">
        <f t="shared" si="222"/>
        <v>2025</v>
      </c>
    </row>
    <row r="2345" spans="1:15" x14ac:dyDescent="0.3">
      <c r="A2345">
        <v>202402</v>
      </c>
      <c r="B2345" t="s">
        <v>114</v>
      </c>
      <c r="C2345" s="2">
        <v>45954</v>
      </c>
      <c r="D2345" s="2">
        <f t="shared" si="220"/>
        <v>45984</v>
      </c>
      <c r="E2345" s="1">
        <f>D2345</f>
        <v>45984</v>
      </c>
      <c r="F2345">
        <v>1963</v>
      </c>
      <c r="G2345">
        <v>30</v>
      </c>
      <c r="H2345">
        <f t="shared" si="225"/>
        <v>0</v>
      </c>
      <c r="I2345" t="str">
        <f t="shared" si="223"/>
        <v>On Time</v>
      </c>
      <c r="J2345" cm="1">
        <f t="array" ref="J2345">_xlfn.IFS(H2345&lt;30,0,H2345&lt;60,1,H2345&lt;90,2,H2345&lt;120,3)</f>
        <v>0</v>
      </c>
      <c r="M2345" t="str">
        <f t="shared" si="224"/>
        <v>Low</v>
      </c>
      <c r="N2345" t="str">
        <f t="shared" si="221"/>
        <v>Oct</v>
      </c>
      <c r="O2345">
        <f t="shared" si="222"/>
        <v>2025</v>
      </c>
    </row>
    <row r="2346" spans="1:15" x14ac:dyDescent="0.3">
      <c r="A2346">
        <v>202403</v>
      </c>
      <c r="B2346" t="s">
        <v>115</v>
      </c>
      <c r="C2346" s="2">
        <v>45954</v>
      </c>
      <c r="D2346" s="2">
        <f t="shared" si="220"/>
        <v>45984</v>
      </c>
      <c r="E2346" s="1">
        <f>D2346+5</f>
        <v>45989</v>
      </c>
      <c r="F2346">
        <v>18982</v>
      </c>
      <c r="G2346">
        <v>30</v>
      </c>
      <c r="H2346">
        <f t="shared" si="225"/>
        <v>0</v>
      </c>
      <c r="I2346" t="str">
        <f t="shared" si="223"/>
        <v>On Time</v>
      </c>
      <c r="J2346" cm="1">
        <f t="array" ref="J2346">_xlfn.IFS(H2346&lt;30,0,H2346&lt;60,1,H2346&lt;90,2,H2346&lt;120,3)</f>
        <v>0</v>
      </c>
      <c r="M2346" t="str">
        <f t="shared" si="224"/>
        <v>Low</v>
      </c>
      <c r="N2346" t="str">
        <f t="shared" si="221"/>
        <v>Oct</v>
      </c>
      <c r="O2346">
        <f t="shared" si="222"/>
        <v>2025</v>
      </c>
    </row>
    <row r="2347" spans="1:15" x14ac:dyDescent="0.3">
      <c r="A2347">
        <v>202404</v>
      </c>
      <c r="B2347" t="s">
        <v>116</v>
      </c>
      <c r="C2347" s="2">
        <v>45954</v>
      </c>
      <c r="D2347" s="2">
        <f t="shared" si="220"/>
        <v>45984</v>
      </c>
      <c r="E2347" s="1">
        <f>D2347+2</f>
        <v>45986</v>
      </c>
      <c r="F2347">
        <v>2311</v>
      </c>
      <c r="G2347">
        <v>30</v>
      </c>
      <c r="H2347">
        <f t="shared" si="225"/>
        <v>0</v>
      </c>
      <c r="I2347" t="str">
        <f t="shared" si="223"/>
        <v>On Time</v>
      </c>
      <c r="J2347" cm="1">
        <f t="array" ref="J2347">_xlfn.IFS(H2347&lt;30,0,H2347&lt;60,1,H2347&lt;90,2,H2347&lt;120,3)</f>
        <v>0</v>
      </c>
      <c r="M2347" t="str">
        <f t="shared" si="224"/>
        <v>Low</v>
      </c>
      <c r="N2347" t="str">
        <f t="shared" si="221"/>
        <v>Oct</v>
      </c>
      <c r="O2347">
        <f t="shared" si="222"/>
        <v>2025</v>
      </c>
    </row>
    <row r="2348" spans="1:15" x14ac:dyDescent="0.3">
      <c r="A2348">
        <v>202405</v>
      </c>
      <c r="B2348" t="s">
        <v>117</v>
      </c>
      <c r="C2348" s="2">
        <v>45954</v>
      </c>
      <c r="D2348" s="2">
        <f t="shared" si="220"/>
        <v>45984</v>
      </c>
      <c r="E2348" s="1">
        <f>D2348+5</f>
        <v>45989</v>
      </c>
      <c r="F2348">
        <v>6942</v>
      </c>
      <c r="G2348">
        <v>30</v>
      </c>
      <c r="H2348">
        <f t="shared" si="225"/>
        <v>0</v>
      </c>
      <c r="I2348" t="str">
        <f t="shared" si="223"/>
        <v>On Time</v>
      </c>
      <c r="J2348" cm="1">
        <f t="array" ref="J2348">_xlfn.IFS(H2348&lt;30,0,H2348&lt;60,1,H2348&lt;90,2,H2348&lt;120,3)</f>
        <v>0</v>
      </c>
      <c r="M2348" t="str">
        <f t="shared" si="224"/>
        <v>Low</v>
      </c>
      <c r="N2348" t="str">
        <f t="shared" si="221"/>
        <v>Oct</v>
      </c>
      <c r="O2348">
        <f t="shared" si="222"/>
        <v>2025</v>
      </c>
    </row>
    <row r="2349" spans="1:15" x14ac:dyDescent="0.3">
      <c r="A2349">
        <v>202406</v>
      </c>
      <c r="B2349" t="s">
        <v>118</v>
      </c>
      <c r="C2349" s="2">
        <v>45954</v>
      </c>
      <c r="D2349" s="2">
        <f t="shared" si="220"/>
        <v>45984</v>
      </c>
      <c r="E2349" s="1">
        <f>D2349</f>
        <v>45984</v>
      </c>
      <c r="F2349">
        <v>3859</v>
      </c>
      <c r="G2349">
        <v>30</v>
      </c>
      <c r="H2349">
        <f t="shared" si="225"/>
        <v>0</v>
      </c>
      <c r="I2349" t="str">
        <f t="shared" si="223"/>
        <v>On Time</v>
      </c>
      <c r="J2349" cm="1">
        <f t="array" ref="J2349">_xlfn.IFS(H2349&lt;30,0,H2349&lt;60,1,H2349&lt;90,2,H2349&lt;120,3)</f>
        <v>0</v>
      </c>
      <c r="M2349" t="str">
        <f t="shared" si="224"/>
        <v>Low</v>
      </c>
      <c r="N2349" t="str">
        <f t="shared" si="221"/>
        <v>Oct</v>
      </c>
      <c r="O2349">
        <f t="shared" si="222"/>
        <v>2025</v>
      </c>
    </row>
    <row r="2350" spans="1:15" x14ac:dyDescent="0.3">
      <c r="A2350">
        <v>202407</v>
      </c>
      <c r="B2350" t="s">
        <v>119</v>
      </c>
      <c r="C2350" s="2">
        <v>45954</v>
      </c>
      <c r="D2350" s="2">
        <f t="shared" si="220"/>
        <v>45984</v>
      </c>
      <c r="E2350" s="1">
        <f>D2350</f>
        <v>45984</v>
      </c>
      <c r="F2350">
        <v>4841</v>
      </c>
      <c r="G2350">
        <v>30</v>
      </c>
      <c r="H2350">
        <f t="shared" si="225"/>
        <v>0</v>
      </c>
      <c r="I2350" t="str">
        <f t="shared" si="223"/>
        <v>On Time</v>
      </c>
      <c r="J2350" cm="1">
        <f t="array" ref="J2350">_xlfn.IFS(H2350&lt;30,0,H2350&lt;60,1,H2350&lt;90,2,H2350&lt;120,3)</f>
        <v>0</v>
      </c>
      <c r="M2350" t="str">
        <f t="shared" si="224"/>
        <v>Low</v>
      </c>
      <c r="N2350" t="str">
        <f t="shared" si="221"/>
        <v>Oct</v>
      </c>
      <c r="O2350">
        <f t="shared" si="222"/>
        <v>2025</v>
      </c>
    </row>
    <row r="2351" spans="1:15" x14ac:dyDescent="0.3">
      <c r="A2351">
        <v>202408</v>
      </c>
      <c r="B2351" t="s">
        <v>31</v>
      </c>
      <c r="C2351" s="2">
        <v>45954</v>
      </c>
      <c r="D2351" s="2">
        <f t="shared" si="220"/>
        <v>45999</v>
      </c>
      <c r="E2351" s="1">
        <f>D2351+60</f>
        <v>46059</v>
      </c>
      <c r="F2351">
        <v>409</v>
      </c>
      <c r="G2351">
        <v>45</v>
      </c>
      <c r="H2351">
        <f t="shared" si="225"/>
        <v>0</v>
      </c>
      <c r="I2351" t="str">
        <f t="shared" si="223"/>
        <v>On Time</v>
      </c>
      <c r="J2351" cm="1">
        <f t="array" ref="J2351">_xlfn.IFS(H2351&lt;30,0,H2351&lt;60,1,H2351&lt;90,2,H2351&lt;120,3)</f>
        <v>0</v>
      </c>
      <c r="M2351" t="str">
        <f t="shared" si="224"/>
        <v>Low</v>
      </c>
      <c r="N2351" t="str">
        <f t="shared" si="221"/>
        <v>Oct</v>
      </c>
      <c r="O2351">
        <f t="shared" si="222"/>
        <v>2025</v>
      </c>
    </row>
    <row r="2352" spans="1:15" x14ac:dyDescent="0.3">
      <c r="A2352">
        <v>202409</v>
      </c>
      <c r="B2352" t="s">
        <v>32</v>
      </c>
      <c r="C2352" s="2">
        <v>45954</v>
      </c>
      <c r="D2352" s="2">
        <f t="shared" si="220"/>
        <v>45999</v>
      </c>
      <c r="E2352" s="1">
        <f>D2352</f>
        <v>45999</v>
      </c>
      <c r="F2352">
        <v>3143</v>
      </c>
      <c r="G2352">
        <v>45</v>
      </c>
      <c r="H2352">
        <f t="shared" si="225"/>
        <v>0</v>
      </c>
      <c r="I2352" t="str">
        <f t="shared" si="223"/>
        <v>On Time</v>
      </c>
      <c r="J2352" cm="1">
        <f t="array" ref="J2352">_xlfn.IFS(H2352&lt;30,0,H2352&lt;60,1,H2352&lt;90,2,H2352&lt;120,3)</f>
        <v>0</v>
      </c>
      <c r="M2352" t="str">
        <f t="shared" si="224"/>
        <v>Low</v>
      </c>
      <c r="N2352" t="str">
        <f t="shared" si="221"/>
        <v>Oct</v>
      </c>
      <c r="O2352">
        <f t="shared" si="222"/>
        <v>2025</v>
      </c>
    </row>
    <row r="2353" spans="1:15" x14ac:dyDescent="0.3">
      <c r="A2353">
        <v>202410</v>
      </c>
      <c r="B2353" t="s">
        <v>33</v>
      </c>
      <c r="C2353" s="2">
        <v>45954</v>
      </c>
      <c r="D2353" s="2">
        <f t="shared" si="220"/>
        <v>45984</v>
      </c>
      <c r="F2353">
        <v>263</v>
      </c>
      <c r="G2353">
        <v>30</v>
      </c>
      <c r="H2353">
        <f t="shared" si="225"/>
        <v>0</v>
      </c>
      <c r="I2353" t="str">
        <f t="shared" si="223"/>
        <v>On Time</v>
      </c>
      <c r="J2353" cm="1">
        <f t="array" ref="J2353">_xlfn.IFS(H2353&lt;30,0,H2353&lt;60,1,H2353&lt;90,2,H2353&lt;120,3)</f>
        <v>0</v>
      </c>
      <c r="M2353" t="str">
        <f t="shared" si="224"/>
        <v>Low</v>
      </c>
      <c r="N2353" t="str">
        <f t="shared" si="221"/>
        <v>Oct</v>
      </c>
      <c r="O2353">
        <f t="shared" si="222"/>
        <v>2025</v>
      </c>
    </row>
    <row r="2354" spans="1:15" x14ac:dyDescent="0.3">
      <c r="A2354">
        <v>202411</v>
      </c>
      <c r="B2354" t="s">
        <v>34</v>
      </c>
      <c r="C2354" s="2">
        <v>45954</v>
      </c>
      <c r="D2354" s="2">
        <f t="shared" si="220"/>
        <v>46014</v>
      </c>
      <c r="E2354" s="1">
        <f>D2354+3</f>
        <v>46017</v>
      </c>
      <c r="F2354">
        <v>15876</v>
      </c>
      <c r="G2354">
        <v>60</v>
      </c>
      <c r="H2354">
        <f t="shared" si="225"/>
        <v>0</v>
      </c>
      <c r="I2354" t="str">
        <f t="shared" si="223"/>
        <v>On Time</v>
      </c>
      <c r="J2354" cm="1">
        <f t="array" ref="J2354">_xlfn.IFS(H2354&lt;30,0,H2354&lt;60,1,H2354&lt;90,2,H2354&lt;120,3)</f>
        <v>0</v>
      </c>
      <c r="M2354" t="str">
        <f t="shared" si="224"/>
        <v>Low</v>
      </c>
      <c r="N2354" t="str">
        <f t="shared" si="221"/>
        <v>Oct</v>
      </c>
      <c r="O2354">
        <f t="shared" si="222"/>
        <v>2025</v>
      </c>
    </row>
    <row r="2355" spans="1:15" x14ac:dyDescent="0.3">
      <c r="A2355">
        <v>202412</v>
      </c>
      <c r="B2355" t="s">
        <v>35</v>
      </c>
      <c r="C2355" s="2">
        <v>45954</v>
      </c>
      <c r="D2355" s="2">
        <f t="shared" si="220"/>
        <v>45999</v>
      </c>
      <c r="E2355" s="1">
        <f>D2355+1</f>
        <v>46000</v>
      </c>
      <c r="F2355">
        <v>2590</v>
      </c>
      <c r="G2355">
        <v>45</v>
      </c>
      <c r="H2355">
        <f t="shared" si="225"/>
        <v>0</v>
      </c>
      <c r="I2355" t="str">
        <f t="shared" si="223"/>
        <v>On Time</v>
      </c>
      <c r="J2355" cm="1">
        <f t="array" ref="J2355">_xlfn.IFS(H2355&lt;30,0,H2355&lt;60,1,H2355&lt;90,2,H2355&lt;120,3)</f>
        <v>0</v>
      </c>
      <c r="M2355" t="str">
        <f t="shared" si="224"/>
        <v>Low</v>
      </c>
      <c r="N2355" t="str">
        <f t="shared" si="221"/>
        <v>Oct</v>
      </c>
      <c r="O2355">
        <f t="shared" si="222"/>
        <v>2025</v>
      </c>
    </row>
    <row r="2356" spans="1:15" x14ac:dyDescent="0.3">
      <c r="A2356">
        <v>201990</v>
      </c>
      <c r="B2356" t="s">
        <v>22</v>
      </c>
      <c r="C2356" s="2">
        <v>45953</v>
      </c>
      <c r="D2356" s="2">
        <f t="shared" si="220"/>
        <v>45983</v>
      </c>
      <c r="E2356" s="1">
        <f>D2356</f>
        <v>45983</v>
      </c>
      <c r="F2356">
        <v>629</v>
      </c>
      <c r="G2356">
        <v>30</v>
      </c>
      <c r="H2356">
        <f t="shared" si="225"/>
        <v>0</v>
      </c>
      <c r="I2356" t="str">
        <f t="shared" si="223"/>
        <v>On Time</v>
      </c>
      <c r="J2356" cm="1">
        <f t="array" ref="J2356">_xlfn.IFS(H2356&lt;30,0,H2356&lt;60,1,H2356&lt;90,2,H2356&lt;120,3)</f>
        <v>0</v>
      </c>
      <c r="M2356" t="str">
        <f t="shared" si="224"/>
        <v>Low</v>
      </c>
      <c r="N2356" t="str">
        <f t="shared" si="221"/>
        <v>Oct</v>
      </c>
      <c r="O2356">
        <f t="shared" si="222"/>
        <v>2025</v>
      </c>
    </row>
    <row r="2357" spans="1:15" x14ac:dyDescent="0.3">
      <c r="A2357">
        <v>201991</v>
      </c>
      <c r="B2357" t="s">
        <v>23</v>
      </c>
      <c r="C2357" s="2">
        <v>45953</v>
      </c>
      <c r="D2357" s="2">
        <f t="shared" si="220"/>
        <v>45998</v>
      </c>
      <c r="E2357" s="1">
        <f>D2357-1</f>
        <v>45997</v>
      </c>
      <c r="F2357">
        <v>4462</v>
      </c>
      <c r="G2357">
        <v>45</v>
      </c>
      <c r="H2357">
        <f t="shared" si="225"/>
        <v>0</v>
      </c>
      <c r="I2357" t="str">
        <f t="shared" si="223"/>
        <v>On Time</v>
      </c>
      <c r="J2357" cm="1">
        <f t="array" ref="J2357">_xlfn.IFS(H2357&lt;30,0,H2357&lt;60,1,H2357&lt;90,2,H2357&lt;120,3)</f>
        <v>0</v>
      </c>
      <c r="M2357" t="str">
        <f t="shared" si="224"/>
        <v>Low</v>
      </c>
      <c r="N2357" t="str">
        <f t="shared" si="221"/>
        <v>Oct</v>
      </c>
      <c r="O2357">
        <f t="shared" si="222"/>
        <v>2025</v>
      </c>
    </row>
    <row r="2358" spans="1:15" x14ac:dyDescent="0.3">
      <c r="A2358">
        <v>201992</v>
      </c>
      <c r="B2358" t="s">
        <v>24</v>
      </c>
      <c r="C2358" s="2">
        <v>45953</v>
      </c>
      <c r="D2358" s="2">
        <f t="shared" si="220"/>
        <v>45998</v>
      </c>
      <c r="E2358" s="1">
        <f>D2358</f>
        <v>45998</v>
      </c>
      <c r="F2358">
        <v>3293</v>
      </c>
      <c r="G2358">
        <v>45</v>
      </c>
      <c r="H2358">
        <f t="shared" si="225"/>
        <v>0</v>
      </c>
      <c r="I2358" t="str">
        <f t="shared" si="223"/>
        <v>On Time</v>
      </c>
      <c r="J2358" cm="1">
        <f t="array" ref="J2358">_xlfn.IFS(H2358&lt;30,0,H2358&lt;60,1,H2358&lt;90,2,H2358&lt;120,3)</f>
        <v>0</v>
      </c>
      <c r="M2358" t="str">
        <f t="shared" si="224"/>
        <v>Low</v>
      </c>
      <c r="N2358" t="str">
        <f t="shared" si="221"/>
        <v>Oct</v>
      </c>
      <c r="O2358">
        <f t="shared" si="222"/>
        <v>2025</v>
      </c>
    </row>
    <row r="2359" spans="1:15" x14ac:dyDescent="0.3">
      <c r="A2359">
        <v>201993</v>
      </c>
      <c r="B2359" t="s">
        <v>25</v>
      </c>
      <c r="C2359" s="2">
        <v>45953</v>
      </c>
      <c r="D2359" s="2">
        <f t="shared" si="220"/>
        <v>46013</v>
      </c>
      <c r="E2359" s="1">
        <f>D2359+32</f>
        <v>46045</v>
      </c>
      <c r="F2359">
        <v>2026</v>
      </c>
      <c r="G2359">
        <v>60</v>
      </c>
      <c r="H2359">
        <f t="shared" si="225"/>
        <v>0</v>
      </c>
      <c r="I2359" t="str">
        <f t="shared" si="223"/>
        <v>On Time</v>
      </c>
      <c r="J2359" cm="1">
        <f t="array" ref="J2359">_xlfn.IFS(H2359&lt;30,0,H2359&lt;60,1,H2359&lt;90,2,H2359&lt;120,3)</f>
        <v>0</v>
      </c>
      <c r="M2359" t="str">
        <f t="shared" si="224"/>
        <v>Low</v>
      </c>
      <c r="N2359" t="str">
        <f t="shared" si="221"/>
        <v>Oct</v>
      </c>
      <c r="O2359">
        <f t="shared" si="222"/>
        <v>2025</v>
      </c>
    </row>
    <row r="2360" spans="1:15" x14ac:dyDescent="0.3">
      <c r="A2360">
        <v>201994</v>
      </c>
      <c r="B2360" t="s">
        <v>26</v>
      </c>
      <c r="C2360" s="2">
        <v>45953</v>
      </c>
      <c r="D2360" s="2">
        <f t="shared" si="220"/>
        <v>45983</v>
      </c>
      <c r="E2360" s="1">
        <f>D2360+15</f>
        <v>45998</v>
      </c>
      <c r="F2360">
        <v>2710</v>
      </c>
      <c r="G2360">
        <v>30</v>
      </c>
      <c r="H2360">
        <f t="shared" si="225"/>
        <v>0</v>
      </c>
      <c r="I2360" t="str">
        <f t="shared" si="223"/>
        <v>On Time</v>
      </c>
      <c r="J2360" cm="1">
        <f t="array" ref="J2360">_xlfn.IFS(H2360&lt;30,0,H2360&lt;60,1,H2360&lt;90,2,H2360&lt;120,3)</f>
        <v>0</v>
      </c>
      <c r="M2360" t="str">
        <f t="shared" si="224"/>
        <v>Low</v>
      </c>
      <c r="N2360" t="str">
        <f t="shared" si="221"/>
        <v>Oct</v>
      </c>
      <c r="O2360">
        <f t="shared" si="222"/>
        <v>2025</v>
      </c>
    </row>
    <row r="2361" spans="1:15" x14ac:dyDescent="0.3">
      <c r="A2361">
        <v>201995</v>
      </c>
      <c r="B2361" t="s">
        <v>27</v>
      </c>
      <c r="C2361" s="2">
        <v>45953</v>
      </c>
      <c r="D2361" s="2">
        <f t="shared" si="220"/>
        <v>46013</v>
      </c>
      <c r="E2361" s="1">
        <f>D2361-2</f>
        <v>46011</v>
      </c>
      <c r="F2361">
        <v>10803</v>
      </c>
      <c r="G2361">
        <v>60</v>
      </c>
      <c r="H2361">
        <f t="shared" si="225"/>
        <v>0</v>
      </c>
      <c r="I2361" t="str">
        <f t="shared" si="223"/>
        <v>On Time</v>
      </c>
      <c r="J2361" cm="1">
        <f t="array" ref="J2361">_xlfn.IFS(H2361&lt;30,0,H2361&lt;60,1,H2361&lt;90,2,H2361&lt;120,3)</f>
        <v>0</v>
      </c>
      <c r="M2361" t="str">
        <f t="shared" si="224"/>
        <v>Low</v>
      </c>
      <c r="N2361" t="str">
        <f t="shared" si="221"/>
        <v>Oct</v>
      </c>
      <c r="O2361">
        <f t="shared" si="222"/>
        <v>2025</v>
      </c>
    </row>
    <row r="2362" spans="1:15" x14ac:dyDescent="0.3">
      <c r="A2362">
        <v>201996</v>
      </c>
      <c r="B2362" t="s">
        <v>28</v>
      </c>
      <c r="C2362" s="2">
        <v>45953</v>
      </c>
      <c r="D2362" s="2">
        <f t="shared" si="220"/>
        <v>45983</v>
      </c>
      <c r="E2362" s="1">
        <f>D2362-2</f>
        <v>45981</v>
      </c>
      <c r="F2362">
        <v>679</v>
      </c>
      <c r="G2362">
        <v>30</v>
      </c>
      <c r="H2362">
        <f t="shared" si="225"/>
        <v>0</v>
      </c>
      <c r="I2362" t="str">
        <f t="shared" si="223"/>
        <v>On Time</v>
      </c>
      <c r="J2362" cm="1">
        <f t="array" ref="J2362">_xlfn.IFS(H2362&lt;30,0,H2362&lt;60,1,H2362&lt;90,2,H2362&lt;120,3)</f>
        <v>0</v>
      </c>
      <c r="M2362" t="str">
        <f t="shared" si="224"/>
        <v>Low</v>
      </c>
      <c r="N2362" t="str">
        <f t="shared" si="221"/>
        <v>Oct</v>
      </c>
      <c r="O2362">
        <f t="shared" si="222"/>
        <v>2025</v>
      </c>
    </row>
    <row r="2363" spans="1:15" x14ac:dyDescent="0.3">
      <c r="A2363">
        <v>201997</v>
      </c>
      <c r="B2363" t="s">
        <v>29</v>
      </c>
      <c r="C2363" s="2">
        <v>45953</v>
      </c>
      <c r="D2363" s="2">
        <f t="shared" si="220"/>
        <v>45983</v>
      </c>
      <c r="E2363" s="1">
        <f>D2363</f>
        <v>45983</v>
      </c>
      <c r="F2363">
        <v>2354</v>
      </c>
      <c r="G2363">
        <v>30</v>
      </c>
      <c r="H2363">
        <f t="shared" si="225"/>
        <v>0</v>
      </c>
      <c r="I2363" t="str">
        <f t="shared" si="223"/>
        <v>On Time</v>
      </c>
      <c r="J2363" cm="1">
        <f t="array" ref="J2363">_xlfn.IFS(H2363&lt;30,0,H2363&lt;60,1,H2363&lt;90,2,H2363&lt;120,3)</f>
        <v>0</v>
      </c>
      <c r="M2363" t="str">
        <f t="shared" si="224"/>
        <v>Low</v>
      </c>
      <c r="N2363" t="str">
        <f t="shared" si="221"/>
        <v>Oct</v>
      </c>
      <c r="O2363">
        <f t="shared" si="222"/>
        <v>2025</v>
      </c>
    </row>
    <row r="2364" spans="1:15" x14ac:dyDescent="0.3">
      <c r="A2364">
        <v>201998</v>
      </c>
      <c r="B2364" t="s">
        <v>75</v>
      </c>
      <c r="C2364" s="2">
        <v>45953</v>
      </c>
      <c r="D2364" s="2">
        <f t="shared" si="220"/>
        <v>46013</v>
      </c>
      <c r="E2364" s="1">
        <f>D2364+2</f>
        <v>46015</v>
      </c>
      <c r="F2364">
        <v>8035</v>
      </c>
      <c r="G2364">
        <v>60</v>
      </c>
      <c r="H2364">
        <f t="shared" si="225"/>
        <v>0</v>
      </c>
      <c r="I2364" t="str">
        <f t="shared" si="223"/>
        <v>On Time</v>
      </c>
      <c r="J2364" cm="1">
        <f t="array" ref="J2364">_xlfn.IFS(H2364&lt;30,0,H2364&lt;60,1,H2364&lt;90,2,H2364&lt;120,3)</f>
        <v>0</v>
      </c>
      <c r="M2364" t="str">
        <f t="shared" si="224"/>
        <v>Low</v>
      </c>
      <c r="N2364" t="str">
        <f t="shared" si="221"/>
        <v>Oct</v>
      </c>
      <c r="O2364">
        <f t="shared" si="222"/>
        <v>2025</v>
      </c>
    </row>
    <row r="2365" spans="1:15" x14ac:dyDescent="0.3">
      <c r="A2365">
        <v>201999</v>
      </c>
      <c r="B2365" t="s">
        <v>76</v>
      </c>
      <c r="C2365" s="2">
        <v>45953</v>
      </c>
      <c r="D2365" s="2">
        <f t="shared" si="220"/>
        <v>45983</v>
      </c>
      <c r="E2365" s="1">
        <f>D2365+2</f>
        <v>45985</v>
      </c>
      <c r="F2365">
        <v>4190</v>
      </c>
      <c r="G2365">
        <v>30</v>
      </c>
      <c r="H2365">
        <f t="shared" si="225"/>
        <v>0</v>
      </c>
      <c r="I2365" t="str">
        <f t="shared" si="223"/>
        <v>On Time</v>
      </c>
      <c r="J2365" cm="1">
        <f t="array" ref="J2365">_xlfn.IFS(H2365&lt;30,0,H2365&lt;60,1,H2365&lt;90,2,H2365&lt;120,3)</f>
        <v>0</v>
      </c>
      <c r="M2365" t="str">
        <f t="shared" si="224"/>
        <v>Low</v>
      </c>
      <c r="N2365" t="str">
        <f t="shared" si="221"/>
        <v>Oct</v>
      </c>
      <c r="O2365">
        <f t="shared" si="222"/>
        <v>2025</v>
      </c>
    </row>
    <row r="2366" spans="1:15" x14ac:dyDescent="0.3">
      <c r="A2366">
        <v>202000</v>
      </c>
      <c r="B2366" t="s">
        <v>77</v>
      </c>
      <c r="C2366" s="2">
        <v>45953</v>
      </c>
      <c r="D2366" s="2">
        <f t="shared" si="220"/>
        <v>45983</v>
      </c>
      <c r="E2366" s="1">
        <f>D2366+2</f>
        <v>45985</v>
      </c>
      <c r="F2366">
        <v>3956</v>
      </c>
      <c r="G2366">
        <v>30</v>
      </c>
      <c r="H2366">
        <f t="shared" si="225"/>
        <v>0</v>
      </c>
      <c r="I2366" t="str">
        <f t="shared" si="223"/>
        <v>On Time</v>
      </c>
      <c r="J2366" cm="1">
        <f t="array" ref="J2366">_xlfn.IFS(H2366&lt;30,0,H2366&lt;60,1,H2366&lt;90,2,H2366&lt;120,3)</f>
        <v>0</v>
      </c>
      <c r="M2366" t="str">
        <f t="shared" si="224"/>
        <v>Low</v>
      </c>
      <c r="N2366" t="str">
        <f t="shared" si="221"/>
        <v>Oct</v>
      </c>
      <c r="O2366">
        <f t="shared" si="222"/>
        <v>2025</v>
      </c>
    </row>
    <row r="2367" spans="1:15" x14ac:dyDescent="0.3">
      <c r="A2367">
        <v>202001</v>
      </c>
      <c r="B2367" t="s">
        <v>78</v>
      </c>
      <c r="C2367" s="2">
        <v>45953</v>
      </c>
      <c r="D2367" s="2">
        <f t="shared" si="220"/>
        <v>45983</v>
      </c>
      <c r="E2367" s="1">
        <f>D2367</f>
        <v>45983</v>
      </c>
      <c r="F2367">
        <v>3017</v>
      </c>
      <c r="G2367">
        <v>30</v>
      </c>
      <c r="H2367">
        <f t="shared" si="225"/>
        <v>0</v>
      </c>
      <c r="I2367" t="str">
        <f t="shared" si="223"/>
        <v>On Time</v>
      </c>
      <c r="J2367" cm="1">
        <f t="array" ref="J2367">_xlfn.IFS(H2367&lt;30,0,H2367&lt;60,1,H2367&lt;90,2,H2367&lt;120,3)</f>
        <v>0</v>
      </c>
      <c r="M2367" t="str">
        <f t="shared" si="224"/>
        <v>Low</v>
      </c>
      <c r="N2367" t="str">
        <f t="shared" si="221"/>
        <v>Oct</v>
      </c>
      <c r="O2367">
        <f t="shared" si="222"/>
        <v>2025</v>
      </c>
    </row>
    <row r="2368" spans="1:15" x14ac:dyDescent="0.3">
      <c r="A2368">
        <v>202002</v>
      </c>
      <c r="B2368" t="s">
        <v>79</v>
      </c>
      <c r="C2368" s="2">
        <v>45953</v>
      </c>
      <c r="D2368" s="2">
        <f t="shared" si="220"/>
        <v>45983</v>
      </c>
      <c r="E2368" s="1">
        <f>D2368+20</f>
        <v>46003</v>
      </c>
      <c r="F2368">
        <v>1405</v>
      </c>
      <c r="G2368">
        <v>30</v>
      </c>
      <c r="H2368">
        <f t="shared" si="225"/>
        <v>0</v>
      </c>
      <c r="I2368" t="str">
        <f t="shared" si="223"/>
        <v>On Time</v>
      </c>
      <c r="J2368" cm="1">
        <f t="array" ref="J2368">_xlfn.IFS(H2368&lt;30,0,H2368&lt;60,1,H2368&lt;90,2,H2368&lt;120,3)</f>
        <v>0</v>
      </c>
      <c r="M2368" t="str">
        <f t="shared" si="224"/>
        <v>Low</v>
      </c>
      <c r="N2368" t="str">
        <f t="shared" si="221"/>
        <v>Oct</v>
      </c>
      <c r="O2368">
        <f t="shared" si="222"/>
        <v>2025</v>
      </c>
    </row>
    <row r="2369" spans="1:15" x14ac:dyDescent="0.3">
      <c r="A2369">
        <v>202003</v>
      </c>
      <c r="B2369" t="s">
        <v>80</v>
      </c>
      <c r="C2369" s="2">
        <v>45953</v>
      </c>
      <c r="D2369" s="2">
        <f t="shared" si="220"/>
        <v>45983</v>
      </c>
      <c r="E2369" s="1">
        <f>D2369</f>
        <v>45983</v>
      </c>
      <c r="F2369">
        <v>5978</v>
      </c>
      <c r="G2369">
        <v>30</v>
      </c>
      <c r="H2369">
        <f t="shared" si="225"/>
        <v>0</v>
      </c>
      <c r="I2369" t="str">
        <f t="shared" si="223"/>
        <v>On Time</v>
      </c>
      <c r="J2369" cm="1">
        <f t="array" ref="J2369">_xlfn.IFS(H2369&lt;30,0,H2369&lt;60,1,H2369&lt;90,2,H2369&lt;120,3)</f>
        <v>0</v>
      </c>
      <c r="M2369" t="str">
        <f t="shared" si="224"/>
        <v>Low</v>
      </c>
      <c r="N2369" t="str">
        <f t="shared" si="221"/>
        <v>Oct</v>
      </c>
      <c r="O2369">
        <f t="shared" si="222"/>
        <v>2025</v>
      </c>
    </row>
    <row r="2370" spans="1:15" x14ac:dyDescent="0.3">
      <c r="A2370">
        <v>202004</v>
      </c>
      <c r="B2370" t="s">
        <v>81</v>
      </c>
      <c r="C2370" s="2">
        <v>45953</v>
      </c>
      <c r="D2370" s="2">
        <f t="shared" ref="D2370:D2433" si="226">C2370+G2370</f>
        <v>45983</v>
      </c>
      <c r="E2370" s="1">
        <f>D2370+1</f>
        <v>45984</v>
      </c>
      <c r="F2370">
        <v>17626</v>
      </c>
      <c r="G2370">
        <v>30</v>
      </c>
      <c r="H2370">
        <f t="shared" si="225"/>
        <v>0</v>
      </c>
      <c r="I2370" t="str">
        <f t="shared" si="223"/>
        <v>On Time</v>
      </c>
      <c r="J2370" cm="1">
        <f t="array" ref="J2370">_xlfn.IFS(H2370&lt;30,0,H2370&lt;60,1,H2370&lt;90,2,H2370&lt;120,3)</f>
        <v>0</v>
      </c>
      <c r="M2370" t="str">
        <f t="shared" si="224"/>
        <v>Low</v>
      </c>
      <c r="N2370" t="str">
        <f t="shared" ref="N2370:N2433" si="227">TEXT(C2370,"mmm")</f>
        <v>Oct</v>
      </c>
      <c r="O2370">
        <f t="shared" ref="O2370:O2433" si="228">YEAR(C2370)</f>
        <v>2025</v>
      </c>
    </row>
    <row r="2371" spans="1:15" x14ac:dyDescent="0.3">
      <c r="A2371">
        <v>202005</v>
      </c>
      <c r="B2371" t="s">
        <v>82</v>
      </c>
      <c r="C2371" s="2">
        <v>45953</v>
      </c>
      <c r="D2371" s="2">
        <f t="shared" si="226"/>
        <v>45998</v>
      </c>
      <c r="E2371" s="1">
        <f>D2371</f>
        <v>45998</v>
      </c>
      <c r="F2371">
        <v>4610</v>
      </c>
      <c r="G2371">
        <v>45</v>
      </c>
      <c r="H2371">
        <f t="shared" si="225"/>
        <v>0</v>
      </c>
      <c r="I2371" t="str">
        <f t="shared" si="223"/>
        <v>On Time</v>
      </c>
      <c r="J2371" cm="1">
        <f t="array" ref="J2371">_xlfn.IFS(H2371&lt;30,0,H2371&lt;60,1,H2371&lt;90,2,H2371&lt;120,3)</f>
        <v>0</v>
      </c>
      <c r="M2371" t="str">
        <f t="shared" si="224"/>
        <v>Low</v>
      </c>
      <c r="N2371" t="str">
        <f t="shared" si="227"/>
        <v>Oct</v>
      </c>
      <c r="O2371">
        <f t="shared" si="228"/>
        <v>2025</v>
      </c>
    </row>
    <row r="2372" spans="1:15" x14ac:dyDescent="0.3">
      <c r="A2372">
        <v>202006</v>
      </c>
      <c r="B2372" t="s">
        <v>83</v>
      </c>
      <c r="C2372" s="2">
        <v>45953</v>
      </c>
      <c r="D2372" s="2">
        <f t="shared" si="226"/>
        <v>45998</v>
      </c>
      <c r="E2372" s="1">
        <f>D2372</f>
        <v>45998</v>
      </c>
      <c r="F2372">
        <v>4694</v>
      </c>
      <c r="G2372">
        <v>45</v>
      </c>
      <c r="H2372">
        <f t="shared" si="225"/>
        <v>0</v>
      </c>
      <c r="I2372" t="str">
        <f t="shared" si="223"/>
        <v>On Time</v>
      </c>
      <c r="J2372" cm="1">
        <f t="array" ref="J2372">_xlfn.IFS(H2372&lt;30,0,H2372&lt;60,1,H2372&lt;90,2,H2372&lt;120,3)</f>
        <v>0</v>
      </c>
      <c r="M2372" t="str">
        <f t="shared" si="224"/>
        <v>Low</v>
      </c>
      <c r="N2372" t="str">
        <f t="shared" si="227"/>
        <v>Oct</v>
      </c>
      <c r="O2372">
        <f t="shared" si="228"/>
        <v>2025</v>
      </c>
    </row>
    <row r="2373" spans="1:15" x14ac:dyDescent="0.3">
      <c r="A2373">
        <v>202007</v>
      </c>
      <c r="B2373" t="s">
        <v>84</v>
      </c>
      <c r="C2373" s="2">
        <v>45953</v>
      </c>
      <c r="D2373" s="2">
        <f t="shared" si="226"/>
        <v>46013</v>
      </c>
      <c r="E2373" s="1">
        <f>D2373+5</f>
        <v>46018</v>
      </c>
      <c r="F2373">
        <v>4360</v>
      </c>
      <c r="G2373">
        <v>60</v>
      </c>
      <c r="H2373">
        <f t="shared" si="225"/>
        <v>0</v>
      </c>
      <c r="I2373" t="str">
        <f t="shared" si="223"/>
        <v>On Time</v>
      </c>
      <c r="J2373" cm="1">
        <f t="array" ref="J2373">_xlfn.IFS(H2373&lt;30,0,H2373&lt;60,1,H2373&lt;90,2,H2373&lt;120,3)</f>
        <v>0</v>
      </c>
      <c r="M2373" t="str">
        <f t="shared" si="224"/>
        <v>Low</v>
      </c>
      <c r="N2373" t="str">
        <f t="shared" si="227"/>
        <v>Oct</v>
      </c>
      <c r="O2373">
        <f t="shared" si="228"/>
        <v>2025</v>
      </c>
    </row>
    <row r="2374" spans="1:15" x14ac:dyDescent="0.3">
      <c r="A2374">
        <v>202008</v>
      </c>
      <c r="B2374" t="s">
        <v>92</v>
      </c>
      <c r="C2374" s="2">
        <v>45953</v>
      </c>
      <c r="D2374" s="2">
        <f t="shared" si="226"/>
        <v>45983</v>
      </c>
      <c r="E2374" s="1">
        <f>D2374+2</f>
        <v>45985</v>
      </c>
      <c r="F2374">
        <v>3105</v>
      </c>
      <c r="G2374">
        <v>30</v>
      </c>
      <c r="H2374">
        <f t="shared" si="225"/>
        <v>0</v>
      </c>
      <c r="I2374" t="str">
        <f t="shared" si="223"/>
        <v>On Time</v>
      </c>
      <c r="J2374" cm="1">
        <f t="array" ref="J2374">_xlfn.IFS(H2374&lt;30,0,H2374&lt;60,1,H2374&lt;90,2,H2374&lt;120,3)</f>
        <v>0</v>
      </c>
      <c r="M2374" t="str">
        <f t="shared" si="224"/>
        <v>Low</v>
      </c>
      <c r="N2374" t="str">
        <f t="shared" si="227"/>
        <v>Oct</v>
      </c>
      <c r="O2374">
        <f t="shared" si="228"/>
        <v>2025</v>
      </c>
    </row>
    <row r="2375" spans="1:15" x14ac:dyDescent="0.3">
      <c r="A2375">
        <v>201970</v>
      </c>
      <c r="B2375" t="s">
        <v>46</v>
      </c>
      <c r="C2375" s="2">
        <v>45952</v>
      </c>
      <c r="D2375" s="2">
        <f t="shared" si="226"/>
        <v>46012</v>
      </c>
      <c r="E2375" s="1">
        <f>D2375</f>
        <v>46012</v>
      </c>
      <c r="F2375">
        <v>4803</v>
      </c>
      <c r="G2375">
        <v>60</v>
      </c>
      <c r="H2375">
        <f t="shared" si="225"/>
        <v>0</v>
      </c>
      <c r="I2375" t="str">
        <f t="shared" si="223"/>
        <v>On Time</v>
      </c>
      <c r="J2375" cm="1">
        <f t="array" ref="J2375">_xlfn.IFS(H2375&lt;30,0,H2375&lt;60,1,H2375&lt;90,2,H2375&lt;120,3)</f>
        <v>0</v>
      </c>
      <c r="M2375" t="str">
        <f t="shared" si="224"/>
        <v>Low</v>
      </c>
      <c r="N2375" t="str">
        <f t="shared" si="227"/>
        <v>Oct</v>
      </c>
      <c r="O2375">
        <f t="shared" si="228"/>
        <v>2025</v>
      </c>
    </row>
    <row r="2376" spans="1:15" x14ac:dyDescent="0.3">
      <c r="A2376">
        <v>201971</v>
      </c>
      <c r="B2376" t="s">
        <v>47</v>
      </c>
      <c r="C2376" s="2">
        <v>45952</v>
      </c>
      <c r="D2376" s="2">
        <f t="shared" si="226"/>
        <v>46012</v>
      </c>
      <c r="E2376" s="1">
        <f>D2376+1</f>
        <v>46013</v>
      </c>
      <c r="F2376">
        <v>12704</v>
      </c>
      <c r="G2376">
        <v>60</v>
      </c>
      <c r="H2376">
        <f t="shared" si="225"/>
        <v>0</v>
      </c>
      <c r="I2376" t="str">
        <f t="shared" si="223"/>
        <v>On Time</v>
      </c>
      <c r="J2376" cm="1">
        <f t="array" ref="J2376">_xlfn.IFS(H2376&lt;30,0,H2376&lt;60,1,H2376&lt;90,2,H2376&lt;120,3)</f>
        <v>0</v>
      </c>
      <c r="M2376" t="str">
        <f t="shared" si="224"/>
        <v>Low</v>
      </c>
      <c r="N2376" t="str">
        <f t="shared" si="227"/>
        <v>Oct</v>
      </c>
      <c r="O2376">
        <f t="shared" si="228"/>
        <v>2025</v>
      </c>
    </row>
    <row r="2377" spans="1:15" x14ac:dyDescent="0.3">
      <c r="A2377">
        <v>201972</v>
      </c>
      <c r="B2377" t="s">
        <v>48</v>
      </c>
      <c r="C2377" s="2">
        <v>45952</v>
      </c>
      <c r="D2377" s="2">
        <f t="shared" si="226"/>
        <v>45997</v>
      </c>
      <c r="E2377" s="1">
        <f>D2377</f>
        <v>45997</v>
      </c>
      <c r="F2377">
        <v>6012</v>
      </c>
      <c r="G2377">
        <v>45</v>
      </c>
      <c r="H2377">
        <f t="shared" si="225"/>
        <v>0</v>
      </c>
      <c r="I2377" t="str">
        <f t="shared" si="223"/>
        <v>On Time</v>
      </c>
      <c r="J2377" cm="1">
        <f t="array" ref="J2377">_xlfn.IFS(H2377&lt;30,0,H2377&lt;60,1,H2377&lt;90,2,H2377&lt;120,3)</f>
        <v>0</v>
      </c>
      <c r="M2377" t="str">
        <f t="shared" si="224"/>
        <v>Low</v>
      </c>
      <c r="N2377" t="str">
        <f t="shared" si="227"/>
        <v>Oct</v>
      </c>
      <c r="O2377">
        <f t="shared" si="228"/>
        <v>2025</v>
      </c>
    </row>
    <row r="2378" spans="1:15" x14ac:dyDescent="0.3">
      <c r="A2378">
        <v>201973</v>
      </c>
      <c r="B2378" t="s">
        <v>49</v>
      </c>
      <c r="C2378" s="2">
        <v>45952</v>
      </c>
      <c r="D2378" s="2">
        <f t="shared" si="226"/>
        <v>45982</v>
      </c>
      <c r="E2378" s="1">
        <f>D2378</f>
        <v>45982</v>
      </c>
      <c r="F2378">
        <v>1252</v>
      </c>
      <c r="G2378">
        <v>30</v>
      </c>
      <c r="H2378">
        <f t="shared" si="225"/>
        <v>0</v>
      </c>
      <c r="I2378" t="str">
        <f t="shared" si="223"/>
        <v>On Time</v>
      </c>
      <c r="J2378" cm="1">
        <f t="array" ref="J2378">_xlfn.IFS(H2378&lt;30,0,H2378&lt;60,1,H2378&lt;90,2,H2378&lt;120,3)</f>
        <v>0</v>
      </c>
      <c r="M2378" t="str">
        <f t="shared" si="224"/>
        <v>Low</v>
      </c>
      <c r="N2378" t="str">
        <f t="shared" si="227"/>
        <v>Oct</v>
      </c>
      <c r="O2378">
        <f t="shared" si="228"/>
        <v>2025</v>
      </c>
    </row>
    <row r="2379" spans="1:15" x14ac:dyDescent="0.3">
      <c r="A2379">
        <v>201974</v>
      </c>
      <c r="B2379" t="s">
        <v>50</v>
      </c>
      <c r="C2379" s="2">
        <v>45952</v>
      </c>
      <c r="D2379" s="2">
        <f t="shared" si="226"/>
        <v>45982</v>
      </c>
      <c r="E2379" s="1">
        <f>D2379+5</f>
        <v>45987</v>
      </c>
      <c r="F2379">
        <v>1260</v>
      </c>
      <c r="G2379">
        <v>30</v>
      </c>
      <c r="H2379">
        <f t="shared" si="225"/>
        <v>0</v>
      </c>
      <c r="I2379" t="str">
        <f t="shared" si="223"/>
        <v>On Time</v>
      </c>
      <c r="J2379" cm="1">
        <f t="array" ref="J2379">_xlfn.IFS(H2379&lt;30,0,H2379&lt;60,1,H2379&lt;90,2,H2379&lt;120,3)</f>
        <v>0</v>
      </c>
      <c r="M2379" t="str">
        <f t="shared" si="224"/>
        <v>Low</v>
      </c>
      <c r="N2379" t="str">
        <f t="shared" si="227"/>
        <v>Oct</v>
      </c>
      <c r="O2379">
        <f t="shared" si="228"/>
        <v>2025</v>
      </c>
    </row>
    <row r="2380" spans="1:15" x14ac:dyDescent="0.3">
      <c r="A2380">
        <v>201975</v>
      </c>
      <c r="B2380" t="s">
        <v>51</v>
      </c>
      <c r="C2380" s="2">
        <v>45952</v>
      </c>
      <c r="D2380" s="2">
        <f t="shared" si="226"/>
        <v>45982</v>
      </c>
      <c r="E2380" s="1">
        <f>D2380+2</f>
        <v>45984</v>
      </c>
      <c r="F2380">
        <v>4294</v>
      </c>
      <c r="G2380">
        <v>30</v>
      </c>
      <c r="H2380">
        <f t="shared" si="225"/>
        <v>0</v>
      </c>
      <c r="I2380" t="str">
        <f t="shared" si="223"/>
        <v>On Time</v>
      </c>
      <c r="J2380" cm="1">
        <f t="array" ref="J2380">_xlfn.IFS(H2380&lt;30,0,H2380&lt;60,1,H2380&lt;90,2,H2380&lt;120,3)</f>
        <v>0</v>
      </c>
      <c r="M2380" t="str">
        <f t="shared" si="224"/>
        <v>Low</v>
      </c>
      <c r="N2380" t="str">
        <f t="shared" si="227"/>
        <v>Oct</v>
      </c>
      <c r="O2380">
        <f t="shared" si="228"/>
        <v>2025</v>
      </c>
    </row>
    <row r="2381" spans="1:15" x14ac:dyDescent="0.3">
      <c r="A2381">
        <v>201976</v>
      </c>
      <c r="B2381" t="s">
        <v>52</v>
      </c>
      <c r="C2381" s="2">
        <v>45952</v>
      </c>
      <c r="D2381" s="2">
        <f t="shared" si="226"/>
        <v>45982</v>
      </c>
      <c r="E2381" s="1">
        <f>D2381</f>
        <v>45982</v>
      </c>
      <c r="F2381">
        <v>3513</v>
      </c>
      <c r="G2381">
        <v>30</v>
      </c>
      <c r="H2381">
        <f t="shared" si="225"/>
        <v>0</v>
      </c>
      <c r="I2381" t="str">
        <f t="shared" si="223"/>
        <v>On Time</v>
      </c>
      <c r="J2381" cm="1">
        <f t="array" ref="J2381">_xlfn.IFS(H2381&lt;30,0,H2381&lt;60,1,H2381&lt;90,2,H2381&lt;120,3)</f>
        <v>0</v>
      </c>
      <c r="M2381" t="str">
        <f t="shared" si="224"/>
        <v>Low</v>
      </c>
      <c r="N2381" t="str">
        <f t="shared" si="227"/>
        <v>Oct</v>
      </c>
      <c r="O2381">
        <f t="shared" si="228"/>
        <v>2025</v>
      </c>
    </row>
    <row r="2382" spans="1:15" x14ac:dyDescent="0.3">
      <c r="A2382">
        <v>201977</v>
      </c>
      <c r="B2382" t="s">
        <v>53</v>
      </c>
      <c r="C2382" s="2">
        <v>45952</v>
      </c>
      <c r="D2382" s="2">
        <f t="shared" si="226"/>
        <v>45982</v>
      </c>
      <c r="E2382" s="1">
        <f>D2382</f>
        <v>45982</v>
      </c>
      <c r="F2382">
        <v>3213</v>
      </c>
      <c r="G2382">
        <v>30</v>
      </c>
      <c r="H2382">
        <f t="shared" si="225"/>
        <v>0</v>
      </c>
      <c r="I2382" t="str">
        <f t="shared" si="223"/>
        <v>On Time</v>
      </c>
      <c r="J2382" cm="1">
        <f t="array" ref="J2382">_xlfn.IFS(H2382&lt;30,0,H2382&lt;60,1,H2382&lt;90,2,H2382&lt;120,3)</f>
        <v>0</v>
      </c>
      <c r="M2382" t="str">
        <f t="shared" si="224"/>
        <v>Low</v>
      </c>
      <c r="N2382" t="str">
        <f t="shared" si="227"/>
        <v>Oct</v>
      </c>
      <c r="O2382">
        <f t="shared" si="228"/>
        <v>2025</v>
      </c>
    </row>
    <row r="2383" spans="1:15" x14ac:dyDescent="0.3">
      <c r="A2383">
        <v>201978</v>
      </c>
      <c r="B2383" t="s">
        <v>54</v>
      </c>
      <c r="C2383" s="2">
        <v>45952</v>
      </c>
      <c r="D2383" s="2">
        <f t="shared" si="226"/>
        <v>45982</v>
      </c>
      <c r="E2383" s="1">
        <f>D2383</f>
        <v>45982</v>
      </c>
      <c r="F2383">
        <v>685</v>
      </c>
      <c r="G2383">
        <v>30</v>
      </c>
      <c r="H2383">
        <f t="shared" si="225"/>
        <v>0</v>
      </c>
      <c r="I2383" t="str">
        <f t="shared" si="223"/>
        <v>On Time</v>
      </c>
      <c r="J2383" cm="1">
        <f t="array" ref="J2383">_xlfn.IFS(H2383&lt;30,0,H2383&lt;60,1,H2383&lt;90,2,H2383&lt;120,3)</f>
        <v>0</v>
      </c>
      <c r="M2383" t="str">
        <f t="shared" si="224"/>
        <v>Low</v>
      </c>
      <c r="N2383" t="str">
        <f t="shared" si="227"/>
        <v>Oct</v>
      </c>
      <c r="O2383">
        <f t="shared" si="228"/>
        <v>2025</v>
      </c>
    </row>
    <row r="2384" spans="1:15" x14ac:dyDescent="0.3">
      <c r="A2384">
        <v>201979</v>
      </c>
      <c r="B2384" t="s">
        <v>36</v>
      </c>
      <c r="C2384" s="2">
        <v>45952</v>
      </c>
      <c r="D2384" s="2">
        <f t="shared" si="226"/>
        <v>45982</v>
      </c>
      <c r="E2384" s="1">
        <f>D2384+60</f>
        <v>46042</v>
      </c>
      <c r="F2384">
        <v>3299</v>
      </c>
      <c r="G2384">
        <v>30</v>
      </c>
      <c r="H2384">
        <f t="shared" si="225"/>
        <v>0</v>
      </c>
      <c r="I2384" t="str">
        <f t="shared" si="223"/>
        <v>On Time</v>
      </c>
      <c r="J2384" cm="1">
        <f t="array" ref="J2384">_xlfn.IFS(H2384&lt;30,0,H2384&lt;60,1,H2384&lt;90,2,H2384&lt;120,3)</f>
        <v>0</v>
      </c>
      <c r="M2384" t="str">
        <f t="shared" si="224"/>
        <v>Low</v>
      </c>
      <c r="N2384" t="str">
        <f t="shared" si="227"/>
        <v>Oct</v>
      </c>
      <c r="O2384">
        <f t="shared" si="228"/>
        <v>2025</v>
      </c>
    </row>
    <row r="2385" spans="1:15" x14ac:dyDescent="0.3">
      <c r="A2385">
        <v>201980</v>
      </c>
      <c r="B2385" t="s">
        <v>37</v>
      </c>
      <c r="C2385" s="2">
        <v>45952</v>
      </c>
      <c r="D2385" s="2">
        <f t="shared" si="226"/>
        <v>45982</v>
      </c>
      <c r="E2385" s="1">
        <f>D2385</f>
        <v>45982</v>
      </c>
      <c r="F2385">
        <v>3176</v>
      </c>
      <c r="G2385">
        <v>30</v>
      </c>
      <c r="H2385">
        <f t="shared" si="225"/>
        <v>0</v>
      </c>
      <c r="I2385" t="str">
        <f t="shared" si="223"/>
        <v>On Time</v>
      </c>
      <c r="J2385" cm="1">
        <f t="array" ref="J2385">_xlfn.IFS(H2385&lt;30,0,H2385&lt;60,1,H2385&lt;90,2,H2385&lt;120,3)</f>
        <v>0</v>
      </c>
      <c r="M2385" t="str">
        <f t="shared" si="224"/>
        <v>Low</v>
      </c>
      <c r="N2385" t="str">
        <f t="shared" si="227"/>
        <v>Oct</v>
      </c>
      <c r="O2385">
        <f t="shared" si="228"/>
        <v>2025</v>
      </c>
    </row>
    <row r="2386" spans="1:15" x14ac:dyDescent="0.3">
      <c r="A2386">
        <v>201981</v>
      </c>
      <c r="B2386" t="s">
        <v>38</v>
      </c>
      <c r="C2386" s="2">
        <v>45952</v>
      </c>
      <c r="D2386" s="2">
        <f t="shared" si="226"/>
        <v>45982</v>
      </c>
      <c r="E2386" s="1">
        <f>D2386</f>
        <v>45982</v>
      </c>
      <c r="F2386">
        <v>307</v>
      </c>
      <c r="G2386">
        <v>30</v>
      </c>
      <c r="H2386">
        <f t="shared" si="225"/>
        <v>0</v>
      </c>
      <c r="I2386" t="str">
        <f t="shared" si="223"/>
        <v>On Time</v>
      </c>
      <c r="J2386" cm="1">
        <f t="array" ref="J2386">_xlfn.IFS(H2386&lt;30,0,H2386&lt;60,1,H2386&lt;90,2,H2386&lt;120,3)</f>
        <v>0</v>
      </c>
      <c r="M2386" t="str">
        <f t="shared" si="224"/>
        <v>Low</v>
      </c>
      <c r="N2386" t="str">
        <f t="shared" si="227"/>
        <v>Oct</v>
      </c>
      <c r="O2386">
        <f t="shared" si="228"/>
        <v>2025</v>
      </c>
    </row>
    <row r="2387" spans="1:15" x14ac:dyDescent="0.3">
      <c r="A2387">
        <v>201982</v>
      </c>
      <c r="B2387" t="s">
        <v>39</v>
      </c>
      <c r="C2387" s="2">
        <v>45952</v>
      </c>
      <c r="D2387" s="2">
        <f t="shared" si="226"/>
        <v>45982</v>
      </c>
      <c r="E2387" s="1">
        <f>D2387+3</f>
        <v>45985</v>
      </c>
      <c r="F2387">
        <v>1512</v>
      </c>
      <c r="G2387">
        <v>30</v>
      </c>
      <c r="H2387">
        <f t="shared" si="225"/>
        <v>0</v>
      </c>
      <c r="I2387" t="str">
        <f t="shared" si="223"/>
        <v>On Time</v>
      </c>
      <c r="J2387" cm="1">
        <f t="array" ref="J2387">_xlfn.IFS(H2387&lt;30,0,H2387&lt;60,1,H2387&lt;90,2,H2387&lt;120,3)</f>
        <v>0</v>
      </c>
      <c r="M2387" t="str">
        <f t="shared" si="224"/>
        <v>Low</v>
      </c>
      <c r="N2387" t="str">
        <f t="shared" si="227"/>
        <v>Oct</v>
      </c>
      <c r="O2387">
        <f t="shared" si="228"/>
        <v>2025</v>
      </c>
    </row>
    <row r="2388" spans="1:15" x14ac:dyDescent="0.3">
      <c r="A2388">
        <v>201983</v>
      </c>
      <c r="B2388" t="s">
        <v>40</v>
      </c>
      <c r="C2388" s="2">
        <v>45952</v>
      </c>
      <c r="D2388" s="2">
        <f t="shared" si="226"/>
        <v>45982</v>
      </c>
      <c r="E2388" s="1">
        <f>D2388+1</f>
        <v>45983</v>
      </c>
      <c r="F2388">
        <v>1040</v>
      </c>
      <c r="G2388">
        <v>30</v>
      </c>
      <c r="H2388">
        <f t="shared" si="225"/>
        <v>0</v>
      </c>
      <c r="I2388" t="str">
        <f t="shared" si="223"/>
        <v>On Time</v>
      </c>
      <c r="J2388" cm="1">
        <f t="array" ref="J2388">_xlfn.IFS(H2388&lt;30,0,H2388&lt;60,1,H2388&lt;90,2,H2388&lt;120,3)</f>
        <v>0</v>
      </c>
      <c r="M2388" t="str">
        <f t="shared" si="224"/>
        <v>Low</v>
      </c>
      <c r="N2388" t="str">
        <f t="shared" si="227"/>
        <v>Oct</v>
      </c>
      <c r="O2388">
        <f t="shared" si="228"/>
        <v>2025</v>
      </c>
    </row>
    <row r="2389" spans="1:15" x14ac:dyDescent="0.3">
      <c r="A2389">
        <v>201984</v>
      </c>
      <c r="B2389" t="s">
        <v>41</v>
      </c>
      <c r="C2389" s="2">
        <v>45952</v>
      </c>
      <c r="D2389" s="2">
        <f t="shared" si="226"/>
        <v>45982</v>
      </c>
      <c r="E2389" s="1">
        <f>D2389-1</f>
        <v>45981</v>
      </c>
      <c r="F2389">
        <v>2529</v>
      </c>
      <c r="G2389">
        <v>30</v>
      </c>
      <c r="H2389">
        <f t="shared" si="225"/>
        <v>0</v>
      </c>
      <c r="I2389" t="str">
        <f t="shared" si="223"/>
        <v>On Time</v>
      </c>
      <c r="J2389" cm="1">
        <f t="array" ref="J2389">_xlfn.IFS(H2389&lt;30,0,H2389&lt;60,1,H2389&lt;90,2,H2389&lt;120,3)</f>
        <v>0</v>
      </c>
      <c r="M2389" t="str">
        <f t="shared" si="224"/>
        <v>Low</v>
      </c>
      <c r="N2389" t="str">
        <f t="shared" si="227"/>
        <v>Oct</v>
      </c>
      <c r="O2389">
        <f t="shared" si="228"/>
        <v>2025</v>
      </c>
    </row>
    <row r="2390" spans="1:15" x14ac:dyDescent="0.3">
      <c r="A2390">
        <v>201985</v>
      </c>
      <c r="B2390" t="s">
        <v>42</v>
      </c>
      <c r="C2390" s="2">
        <v>45952</v>
      </c>
      <c r="D2390" s="2">
        <f t="shared" si="226"/>
        <v>45982</v>
      </c>
      <c r="E2390" s="1">
        <f>D2390</f>
        <v>45982</v>
      </c>
      <c r="F2390">
        <v>1682</v>
      </c>
      <c r="G2390">
        <v>30</v>
      </c>
      <c r="H2390">
        <f t="shared" si="225"/>
        <v>0</v>
      </c>
      <c r="I2390" t="str">
        <f t="shared" ref="I2390:I2453" si="229">IF(H2390=0,"On Time",IF(H2390&lt;=15,"Paid Late","Seriously Late"))</f>
        <v>On Time</v>
      </c>
      <c r="J2390" cm="1">
        <f t="array" ref="J2390">_xlfn.IFS(H2390&lt;30,0,H2390&lt;60,1,H2390&lt;90,2,H2390&lt;120,3)</f>
        <v>0</v>
      </c>
      <c r="M2390" t="str">
        <f t="shared" ref="M2390:M2453" si="230">IF(H2390&gt;30,"High",IF(H2390&gt;10,"Medium","Low"))</f>
        <v>Low</v>
      </c>
      <c r="N2390" t="str">
        <f t="shared" si="227"/>
        <v>Oct</v>
      </c>
      <c r="O2390">
        <f t="shared" si="228"/>
        <v>2025</v>
      </c>
    </row>
    <row r="2391" spans="1:15" x14ac:dyDescent="0.3">
      <c r="A2391">
        <v>201986</v>
      </c>
      <c r="B2391" t="s">
        <v>43</v>
      </c>
      <c r="C2391" s="2">
        <v>45952</v>
      </c>
      <c r="D2391" s="2">
        <f t="shared" si="226"/>
        <v>45982</v>
      </c>
      <c r="E2391" s="1">
        <f>D2391+1</f>
        <v>45983</v>
      </c>
      <c r="F2391">
        <v>1152</v>
      </c>
      <c r="G2391">
        <v>30</v>
      </c>
      <c r="H2391">
        <f t="shared" si="225"/>
        <v>0</v>
      </c>
      <c r="I2391" t="str">
        <f t="shared" si="229"/>
        <v>On Time</v>
      </c>
      <c r="J2391" cm="1">
        <f t="array" ref="J2391">_xlfn.IFS(H2391&lt;30,0,H2391&lt;60,1,H2391&lt;90,2,H2391&lt;120,3)</f>
        <v>0</v>
      </c>
      <c r="M2391" t="str">
        <f t="shared" si="230"/>
        <v>Low</v>
      </c>
      <c r="N2391" t="str">
        <f t="shared" si="227"/>
        <v>Oct</v>
      </c>
      <c r="O2391">
        <f t="shared" si="228"/>
        <v>2025</v>
      </c>
    </row>
    <row r="2392" spans="1:15" x14ac:dyDescent="0.3">
      <c r="A2392">
        <v>201987</v>
      </c>
      <c r="B2392" t="s">
        <v>44</v>
      </c>
      <c r="C2392" s="2">
        <v>45952</v>
      </c>
      <c r="D2392" s="2">
        <f t="shared" si="226"/>
        <v>45997</v>
      </c>
      <c r="E2392" s="1">
        <f>D2392+35</f>
        <v>46032</v>
      </c>
      <c r="F2392">
        <v>13909</v>
      </c>
      <c r="G2392">
        <v>45</v>
      </c>
      <c r="H2392">
        <f t="shared" si="225"/>
        <v>0</v>
      </c>
      <c r="I2392" t="str">
        <f t="shared" si="229"/>
        <v>On Time</v>
      </c>
      <c r="J2392" cm="1">
        <f t="array" ref="J2392">_xlfn.IFS(H2392&lt;30,0,H2392&lt;60,1,H2392&lt;90,2,H2392&lt;120,3)</f>
        <v>0</v>
      </c>
      <c r="M2392" t="str">
        <f t="shared" si="230"/>
        <v>Low</v>
      </c>
      <c r="N2392" t="str">
        <f t="shared" si="227"/>
        <v>Oct</v>
      </c>
      <c r="O2392">
        <f t="shared" si="228"/>
        <v>2025</v>
      </c>
    </row>
    <row r="2393" spans="1:15" x14ac:dyDescent="0.3">
      <c r="A2393">
        <v>201988</v>
      </c>
      <c r="B2393" t="s">
        <v>20</v>
      </c>
      <c r="C2393" s="2">
        <v>45952</v>
      </c>
      <c r="D2393" s="2">
        <f t="shared" si="226"/>
        <v>45982</v>
      </c>
      <c r="E2393" s="1">
        <f>D2393+75</f>
        <v>46057</v>
      </c>
      <c r="F2393">
        <v>863</v>
      </c>
      <c r="G2393">
        <v>30</v>
      </c>
      <c r="H2393">
        <f t="shared" si="225"/>
        <v>0</v>
      </c>
      <c r="I2393" t="str">
        <f t="shared" si="229"/>
        <v>On Time</v>
      </c>
      <c r="J2393" cm="1">
        <f t="array" ref="J2393">_xlfn.IFS(H2393&lt;30,0,H2393&lt;60,1,H2393&lt;90,2,H2393&lt;120,3)</f>
        <v>0</v>
      </c>
      <c r="M2393" t="str">
        <f t="shared" si="230"/>
        <v>Low</v>
      </c>
      <c r="N2393" t="str">
        <f t="shared" si="227"/>
        <v>Oct</v>
      </c>
      <c r="O2393">
        <f t="shared" si="228"/>
        <v>2025</v>
      </c>
    </row>
    <row r="2394" spans="1:15" x14ac:dyDescent="0.3">
      <c r="A2394">
        <v>201989</v>
      </c>
      <c r="B2394" t="s">
        <v>21</v>
      </c>
      <c r="C2394" s="2">
        <v>45952</v>
      </c>
      <c r="D2394" s="2">
        <f t="shared" si="226"/>
        <v>45982</v>
      </c>
      <c r="E2394" s="1">
        <f>D2394+5</f>
        <v>45987</v>
      </c>
      <c r="F2394">
        <v>4048</v>
      </c>
      <c r="G2394">
        <v>30</v>
      </c>
      <c r="H2394">
        <f t="shared" si="225"/>
        <v>0</v>
      </c>
      <c r="I2394" t="str">
        <f t="shared" si="229"/>
        <v>On Time</v>
      </c>
      <c r="J2394" cm="1">
        <f t="array" ref="J2394">_xlfn.IFS(H2394&lt;30,0,H2394&lt;60,1,H2394&lt;90,2,H2394&lt;120,3)</f>
        <v>0</v>
      </c>
      <c r="M2394" t="str">
        <f t="shared" si="230"/>
        <v>Low</v>
      </c>
      <c r="N2394" t="str">
        <f t="shared" si="227"/>
        <v>Oct</v>
      </c>
      <c r="O2394">
        <f t="shared" si="228"/>
        <v>2025</v>
      </c>
    </row>
    <row r="2395" spans="1:15" x14ac:dyDescent="0.3">
      <c r="A2395">
        <v>201952</v>
      </c>
      <c r="B2395" t="s">
        <v>89</v>
      </c>
      <c r="C2395" s="2">
        <v>45951</v>
      </c>
      <c r="D2395" s="2">
        <f t="shared" si="226"/>
        <v>45981</v>
      </c>
      <c r="E2395" s="1">
        <f>D2395</f>
        <v>45981</v>
      </c>
      <c r="F2395">
        <v>723</v>
      </c>
      <c r="G2395">
        <v>30</v>
      </c>
      <c r="H2395">
        <f t="shared" si="225"/>
        <v>0</v>
      </c>
      <c r="I2395" t="str">
        <f t="shared" si="229"/>
        <v>On Time</v>
      </c>
      <c r="J2395" cm="1">
        <f t="array" ref="J2395">_xlfn.IFS(H2395&lt;30,0,H2395&lt;60,1,H2395&lt;90,2,H2395&lt;120,3)</f>
        <v>0</v>
      </c>
      <c r="M2395" t="str">
        <f t="shared" si="230"/>
        <v>Low</v>
      </c>
      <c r="N2395" t="str">
        <f t="shared" si="227"/>
        <v>Oct</v>
      </c>
      <c r="O2395">
        <f t="shared" si="228"/>
        <v>2025</v>
      </c>
    </row>
    <row r="2396" spans="1:15" x14ac:dyDescent="0.3">
      <c r="A2396">
        <v>201953</v>
      </c>
      <c r="B2396" t="s">
        <v>90</v>
      </c>
      <c r="C2396" s="2">
        <v>45951</v>
      </c>
      <c r="D2396" s="2">
        <f t="shared" si="226"/>
        <v>45981</v>
      </c>
      <c r="E2396" s="1">
        <f>D2396-5</f>
        <v>45976</v>
      </c>
      <c r="F2396">
        <v>1271</v>
      </c>
      <c r="G2396">
        <v>30</v>
      </c>
      <c r="H2396">
        <f t="shared" si="225"/>
        <v>0</v>
      </c>
      <c r="I2396" t="str">
        <f t="shared" si="229"/>
        <v>On Time</v>
      </c>
      <c r="J2396" cm="1">
        <f t="array" ref="J2396">_xlfn.IFS(H2396&lt;30,0,H2396&lt;60,1,H2396&lt;90,2,H2396&lt;120,3)</f>
        <v>0</v>
      </c>
      <c r="M2396" t="str">
        <f t="shared" si="230"/>
        <v>Low</v>
      </c>
      <c r="N2396" t="str">
        <f t="shared" si="227"/>
        <v>Oct</v>
      </c>
      <c r="O2396">
        <f t="shared" si="228"/>
        <v>2025</v>
      </c>
    </row>
    <row r="2397" spans="1:15" x14ac:dyDescent="0.3">
      <c r="A2397">
        <v>201954</v>
      </c>
      <c r="B2397" t="s">
        <v>91</v>
      </c>
      <c r="C2397" s="2">
        <v>45951</v>
      </c>
      <c r="D2397" s="2">
        <f t="shared" si="226"/>
        <v>45981</v>
      </c>
      <c r="E2397" s="1">
        <f>D2397+35</f>
        <v>46016</v>
      </c>
      <c r="F2397">
        <v>380</v>
      </c>
      <c r="G2397">
        <v>30</v>
      </c>
      <c r="H2397">
        <f t="shared" si="225"/>
        <v>0</v>
      </c>
      <c r="I2397" t="str">
        <f t="shared" si="229"/>
        <v>On Time</v>
      </c>
      <c r="J2397" cm="1">
        <f t="array" ref="J2397">_xlfn.IFS(H2397&lt;30,0,H2397&lt;60,1,H2397&lt;90,2,H2397&lt;120,3)</f>
        <v>0</v>
      </c>
      <c r="M2397" t="str">
        <f t="shared" si="230"/>
        <v>Low</v>
      </c>
      <c r="N2397" t="str">
        <f t="shared" si="227"/>
        <v>Oct</v>
      </c>
      <c r="O2397">
        <f t="shared" si="228"/>
        <v>2025</v>
      </c>
    </row>
    <row r="2398" spans="1:15" x14ac:dyDescent="0.3">
      <c r="A2398">
        <v>201955</v>
      </c>
      <c r="B2398" t="s">
        <v>92</v>
      </c>
      <c r="C2398" s="2">
        <v>45951</v>
      </c>
      <c r="D2398" s="2">
        <f t="shared" si="226"/>
        <v>45981</v>
      </c>
      <c r="E2398" s="1">
        <f>D2398+75</f>
        <v>46056</v>
      </c>
      <c r="F2398">
        <v>1860</v>
      </c>
      <c r="G2398">
        <v>30</v>
      </c>
      <c r="H2398">
        <f t="shared" si="225"/>
        <v>0</v>
      </c>
      <c r="I2398" t="str">
        <f t="shared" si="229"/>
        <v>On Time</v>
      </c>
      <c r="J2398" cm="1">
        <f t="array" ref="J2398">_xlfn.IFS(H2398&lt;30,0,H2398&lt;60,1,H2398&lt;90,2,H2398&lt;120,3)</f>
        <v>0</v>
      </c>
      <c r="M2398" t="str">
        <f t="shared" si="230"/>
        <v>Low</v>
      </c>
      <c r="N2398" t="str">
        <f t="shared" si="227"/>
        <v>Oct</v>
      </c>
      <c r="O2398">
        <f t="shared" si="228"/>
        <v>2025</v>
      </c>
    </row>
    <row r="2399" spans="1:15" x14ac:dyDescent="0.3">
      <c r="A2399">
        <v>201956</v>
      </c>
      <c r="B2399" t="s">
        <v>93</v>
      </c>
      <c r="C2399" s="2">
        <v>45951</v>
      </c>
      <c r="D2399" s="2">
        <f t="shared" si="226"/>
        <v>45981</v>
      </c>
      <c r="E2399" s="1">
        <f>D2399+5</f>
        <v>45986</v>
      </c>
      <c r="F2399">
        <v>4901</v>
      </c>
      <c r="G2399">
        <v>30</v>
      </c>
      <c r="H2399">
        <f t="shared" si="225"/>
        <v>0</v>
      </c>
      <c r="I2399" t="str">
        <f t="shared" si="229"/>
        <v>On Time</v>
      </c>
      <c r="J2399" cm="1">
        <f t="array" ref="J2399">_xlfn.IFS(H2399&lt;30,0,H2399&lt;60,1,H2399&lt;90,2,H2399&lt;120,3)</f>
        <v>0</v>
      </c>
      <c r="M2399" t="str">
        <f t="shared" si="230"/>
        <v>Low</v>
      </c>
      <c r="N2399" t="str">
        <f t="shared" si="227"/>
        <v>Oct</v>
      </c>
      <c r="O2399">
        <f t="shared" si="228"/>
        <v>2025</v>
      </c>
    </row>
    <row r="2400" spans="1:15" x14ac:dyDescent="0.3">
      <c r="A2400">
        <v>201957</v>
      </c>
      <c r="B2400" t="s">
        <v>94</v>
      </c>
      <c r="C2400" s="2">
        <v>45951</v>
      </c>
      <c r="D2400" s="2">
        <f t="shared" si="226"/>
        <v>45981</v>
      </c>
      <c r="E2400" s="1">
        <f>D2400</f>
        <v>45981</v>
      </c>
      <c r="F2400">
        <v>593</v>
      </c>
      <c r="G2400">
        <v>30</v>
      </c>
      <c r="H2400">
        <f t="shared" si="225"/>
        <v>0</v>
      </c>
      <c r="I2400" t="str">
        <f t="shared" si="229"/>
        <v>On Time</v>
      </c>
      <c r="J2400" cm="1">
        <f t="array" ref="J2400">_xlfn.IFS(H2400&lt;30,0,H2400&lt;60,1,H2400&lt;90,2,H2400&lt;120,3)</f>
        <v>0</v>
      </c>
      <c r="M2400" t="str">
        <f t="shared" si="230"/>
        <v>Low</v>
      </c>
      <c r="N2400" t="str">
        <f t="shared" si="227"/>
        <v>Oct</v>
      </c>
      <c r="O2400">
        <f t="shared" si="228"/>
        <v>2025</v>
      </c>
    </row>
    <row r="2401" spans="1:15" x14ac:dyDescent="0.3">
      <c r="A2401">
        <v>201958</v>
      </c>
      <c r="B2401" t="s">
        <v>95</v>
      </c>
      <c r="C2401" s="2">
        <v>45951</v>
      </c>
      <c r="D2401" s="2">
        <f t="shared" si="226"/>
        <v>45996</v>
      </c>
      <c r="E2401" s="1">
        <f>D2401-1</f>
        <v>45995</v>
      </c>
      <c r="F2401">
        <v>211</v>
      </c>
      <c r="G2401">
        <v>45</v>
      </c>
      <c r="H2401">
        <f t="shared" si="225"/>
        <v>0</v>
      </c>
      <c r="I2401" t="str">
        <f t="shared" si="229"/>
        <v>On Time</v>
      </c>
      <c r="J2401" cm="1">
        <f t="array" ref="J2401">_xlfn.IFS(H2401&lt;30,0,H2401&lt;60,1,H2401&lt;90,2,H2401&lt;120,3)</f>
        <v>0</v>
      </c>
      <c r="M2401" t="str">
        <f t="shared" si="230"/>
        <v>Low</v>
      </c>
      <c r="N2401" t="str">
        <f t="shared" si="227"/>
        <v>Oct</v>
      </c>
      <c r="O2401">
        <f t="shared" si="228"/>
        <v>2025</v>
      </c>
    </row>
    <row r="2402" spans="1:15" x14ac:dyDescent="0.3">
      <c r="A2402">
        <v>201959</v>
      </c>
      <c r="B2402" t="s">
        <v>68</v>
      </c>
      <c r="C2402" s="2">
        <v>45951</v>
      </c>
      <c r="D2402" s="2">
        <f t="shared" si="226"/>
        <v>45981</v>
      </c>
      <c r="E2402" s="1">
        <f>D2402</f>
        <v>45981</v>
      </c>
      <c r="F2402">
        <v>2971</v>
      </c>
      <c r="G2402">
        <v>30</v>
      </c>
      <c r="H2402">
        <f t="shared" si="225"/>
        <v>0</v>
      </c>
      <c r="I2402" t="str">
        <f t="shared" si="229"/>
        <v>On Time</v>
      </c>
      <c r="J2402" cm="1">
        <f t="array" ref="J2402">_xlfn.IFS(H2402&lt;30,0,H2402&lt;60,1,H2402&lt;90,2,H2402&lt;120,3)</f>
        <v>0</v>
      </c>
      <c r="M2402" t="str">
        <f t="shared" si="230"/>
        <v>Low</v>
      </c>
      <c r="N2402" t="str">
        <f t="shared" si="227"/>
        <v>Oct</v>
      </c>
      <c r="O2402">
        <f t="shared" si="228"/>
        <v>2025</v>
      </c>
    </row>
    <row r="2403" spans="1:15" x14ac:dyDescent="0.3">
      <c r="A2403">
        <v>201960</v>
      </c>
      <c r="B2403" t="s">
        <v>69</v>
      </c>
      <c r="C2403" s="2">
        <v>45951</v>
      </c>
      <c r="D2403" s="2">
        <f t="shared" si="226"/>
        <v>45981</v>
      </c>
      <c r="E2403" s="1">
        <f>D2403+32</f>
        <v>46013</v>
      </c>
      <c r="F2403">
        <v>2239</v>
      </c>
      <c r="G2403">
        <v>30</v>
      </c>
      <c r="H2403">
        <f t="shared" si="225"/>
        <v>0</v>
      </c>
      <c r="I2403" t="str">
        <f t="shared" si="229"/>
        <v>On Time</v>
      </c>
      <c r="J2403" cm="1">
        <f t="array" ref="J2403">_xlfn.IFS(H2403&lt;30,0,H2403&lt;60,1,H2403&lt;90,2,H2403&lt;120,3)</f>
        <v>0</v>
      </c>
      <c r="M2403" t="str">
        <f t="shared" si="230"/>
        <v>Low</v>
      </c>
      <c r="N2403" t="str">
        <f t="shared" si="227"/>
        <v>Oct</v>
      </c>
      <c r="O2403">
        <f t="shared" si="228"/>
        <v>2025</v>
      </c>
    </row>
    <row r="2404" spans="1:15" x14ac:dyDescent="0.3">
      <c r="A2404">
        <v>201961</v>
      </c>
      <c r="B2404" t="s">
        <v>70</v>
      </c>
      <c r="C2404" s="2">
        <v>45951</v>
      </c>
      <c r="D2404" s="2">
        <f t="shared" si="226"/>
        <v>45981</v>
      </c>
      <c r="E2404" s="1">
        <f>D2404+15</f>
        <v>45996</v>
      </c>
      <c r="F2404">
        <v>463</v>
      </c>
      <c r="G2404">
        <v>30</v>
      </c>
      <c r="H2404">
        <f t="shared" si="225"/>
        <v>0</v>
      </c>
      <c r="I2404" t="str">
        <f t="shared" si="229"/>
        <v>On Time</v>
      </c>
      <c r="J2404" cm="1">
        <f t="array" ref="J2404">_xlfn.IFS(H2404&lt;30,0,H2404&lt;60,1,H2404&lt;90,2,H2404&lt;120,3)</f>
        <v>0</v>
      </c>
      <c r="M2404" t="str">
        <f t="shared" si="230"/>
        <v>Low</v>
      </c>
      <c r="N2404" t="str">
        <f t="shared" si="227"/>
        <v>Oct</v>
      </c>
      <c r="O2404">
        <f t="shared" si="228"/>
        <v>2025</v>
      </c>
    </row>
    <row r="2405" spans="1:15" x14ac:dyDescent="0.3">
      <c r="A2405">
        <v>201962</v>
      </c>
      <c r="B2405" t="s">
        <v>71</v>
      </c>
      <c r="C2405" s="2">
        <v>45951</v>
      </c>
      <c r="D2405" s="2">
        <f t="shared" si="226"/>
        <v>45981</v>
      </c>
      <c r="E2405" s="1">
        <f>D2405</f>
        <v>45981</v>
      </c>
      <c r="F2405">
        <v>4083</v>
      </c>
      <c r="G2405">
        <v>30</v>
      </c>
      <c r="H2405">
        <f t="shared" si="225"/>
        <v>0</v>
      </c>
      <c r="I2405" t="str">
        <f t="shared" si="229"/>
        <v>On Time</v>
      </c>
      <c r="J2405" cm="1">
        <f t="array" ref="J2405">_xlfn.IFS(H2405&lt;30,0,H2405&lt;60,1,H2405&lt;90,2,H2405&lt;120,3)</f>
        <v>0</v>
      </c>
      <c r="M2405" t="str">
        <f t="shared" si="230"/>
        <v>Low</v>
      </c>
      <c r="N2405" t="str">
        <f t="shared" si="227"/>
        <v>Oct</v>
      </c>
      <c r="O2405">
        <f t="shared" si="228"/>
        <v>2025</v>
      </c>
    </row>
    <row r="2406" spans="1:15" x14ac:dyDescent="0.3">
      <c r="A2406">
        <v>201963</v>
      </c>
      <c r="B2406" t="s">
        <v>72</v>
      </c>
      <c r="C2406" s="2">
        <v>45951</v>
      </c>
      <c r="D2406" s="2">
        <f t="shared" si="226"/>
        <v>45981</v>
      </c>
      <c r="E2406" s="1">
        <f>D2406-2</f>
        <v>45979</v>
      </c>
      <c r="F2406">
        <v>2473</v>
      </c>
      <c r="G2406">
        <v>30</v>
      </c>
      <c r="H2406">
        <f t="shared" ref="H2406:H2469" si="231">MAX(0,P2371-D2406)</f>
        <v>0</v>
      </c>
      <c r="I2406" t="str">
        <f t="shared" si="229"/>
        <v>On Time</v>
      </c>
      <c r="J2406" cm="1">
        <f t="array" ref="J2406">_xlfn.IFS(H2406&lt;30,0,H2406&lt;60,1,H2406&lt;90,2,H2406&lt;120,3)</f>
        <v>0</v>
      </c>
      <c r="M2406" t="str">
        <f t="shared" si="230"/>
        <v>Low</v>
      </c>
      <c r="N2406" t="str">
        <f t="shared" si="227"/>
        <v>Oct</v>
      </c>
      <c r="O2406">
        <f t="shared" si="228"/>
        <v>2025</v>
      </c>
    </row>
    <row r="2407" spans="1:15" x14ac:dyDescent="0.3">
      <c r="A2407">
        <v>201964</v>
      </c>
      <c r="B2407" t="s">
        <v>73</v>
      </c>
      <c r="C2407" s="2">
        <v>45951</v>
      </c>
      <c r="D2407" s="2">
        <f t="shared" si="226"/>
        <v>45996</v>
      </c>
      <c r="E2407" s="1">
        <f>D2407</f>
        <v>45996</v>
      </c>
      <c r="F2407">
        <v>2971</v>
      </c>
      <c r="G2407">
        <v>45</v>
      </c>
      <c r="H2407">
        <f t="shared" si="231"/>
        <v>0</v>
      </c>
      <c r="I2407" t="str">
        <f t="shared" si="229"/>
        <v>On Time</v>
      </c>
      <c r="J2407" cm="1">
        <f t="array" ref="J2407">_xlfn.IFS(H2407&lt;30,0,H2407&lt;60,1,H2407&lt;90,2,H2407&lt;120,3)</f>
        <v>0</v>
      </c>
      <c r="M2407" t="str">
        <f t="shared" si="230"/>
        <v>Low</v>
      </c>
      <c r="N2407" t="str">
        <f t="shared" si="227"/>
        <v>Oct</v>
      </c>
      <c r="O2407">
        <f t="shared" si="228"/>
        <v>2025</v>
      </c>
    </row>
    <row r="2408" spans="1:15" x14ac:dyDescent="0.3">
      <c r="A2408">
        <v>201965</v>
      </c>
      <c r="B2408" t="s">
        <v>74</v>
      </c>
      <c r="C2408" s="2">
        <v>45951</v>
      </c>
      <c r="D2408" s="2">
        <f t="shared" si="226"/>
        <v>45996</v>
      </c>
      <c r="E2408" s="1">
        <f>D2408+2</f>
        <v>45998</v>
      </c>
      <c r="F2408">
        <v>4603</v>
      </c>
      <c r="G2408">
        <v>45</v>
      </c>
      <c r="H2408">
        <f t="shared" si="231"/>
        <v>0</v>
      </c>
      <c r="I2408" t="str">
        <f t="shared" si="229"/>
        <v>On Time</v>
      </c>
      <c r="J2408" cm="1">
        <f t="array" ref="J2408">_xlfn.IFS(H2408&lt;30,0,H2408&lt;60,1,H2408&lt;90,2,H2408&lt;120,3)</f>
        <v>0</v>
      </c>
      <c r="M2408" t="str">
        <f t="shared" si="230"/>
        <v>Low</v>
      </c>
      <c r="N2408" t="str">
        <f t="shared" si="227"/>
        <v>Oct</v>
      </c>
      <c r="O2408">
        <f t="shared" si="228"/>
        <v>2025</v>
      </c>
    </row>
    <row r="2409" spans="1:15" x14ac:dyDescent="0.3">
      <c r="A2409">
        <v>201966</v>
      </c>
      <c r="B2409" t="s">
        <v>75</v>
      </c>
      <c r="C2409" s="2">
        <v>45951</v>
      </c>
      <c r="D2409" s="2">
        <f t="shared" si="226"/>
        <v>46011</v>
      </c>
      <c r="E2409" s="1">
        <f>D2409+2</f>
        <v>46013</v>
      </c>
      <c r="F2409">
        <v>4081</v>
      </c>
      <c r="G2409">
        <v>60</v>
      </c>
      <c r="H2409">
        <f t="shared" si="231"/>
        <v>0</v>
      </c>
      <c r="I2409" t="str">
        <f t="shared" si="229"/>
        <v>On Time</v>
      </c>
      <c r="J2409" cm="1">
        <f t="array" ref="J2409">_xlfn.IFS(H2409&lt;30,0,H2409&lt;60,1,H2409&lt;90,2,H2409&lt;120,3)</f>
        <v>0</v>
      </c>
      <c r="M2409" t="str">
        <f t="shared" si="230"/>
        <v>Low</v>
      </c>
      <c r="N2409" t="str">
        <f t="shared" si="227"/>
        <v>Oct</v>
      </c>
      <c r="O2409">
        <f t="shared" si="228"/>
        <v>2025</v>
      </c>
    </row>
    <row r="2410" spans="1:15" x14ac:dyDescent="0.3">
      <c r="A2410">
        <v>201967</v>
      </c>
      <c r="B2410" t="s">
        <v>76</v>
      </c>
      <c r="C2410" s="2">
        <v>45951</v>
      </c>
      <c r="D2410" s="2">
        <f t="shared" si="226"/>
        <v>45981</v>
      </c>
      <c r="E2410" s="1">
        <f>D2410+2</f>
        <v>45983</v>
      </c>
      <c r="F2410">
        <v>3282</v>
      </c>
      <c r="G2410">
        <v>30</v>
      </c>
      <c r="H2410">
        <f t="shared" si="231"/>
        <v>0</v>
      </c>
      <c r="I2410" t="str">
        <f t="shared" si="229"/>
        <v>On Time</v>
      </c>
      <c r="J2410" cm="1">
        <f t="array" ref="J2410">_xlfn.IFS(H2410&lt;30,0,H2410&lt;60,1,H2410&lt;90,2,H2410&lt;120,3)</f>
        <v>0</v>
      </c>
      <c r="M2410" t="str">
        <f t="shared" si="230"/>
        <v>Low</v>
      </c>
      <c r="N2410" t="str">
        <f t="shared" si="227"/>
        <v>Oct</v>
      </c>
      <c r="O2410">
        <f t="shared" si="228"/>
        <v>2025</v>
      </c>
    </row>
    <row r="2411" spans="1:15" x14ac:dyDescent="0.3">
      <c r="A2411">
        <v>201968</v>
      </c>
      <c r="B2411" t="s">
        <v>44</v>
      </c>
      <c r="C2411" s="2">
        <v>45951</v>
      </c>
      <c r="D2411" s="2">
        <f t="shared" si="226"/>
        <v>45996</v>
      </c>
      <c r="E2411" s="1">
        <f>D2411</f>
        <v>45996</v>
      </c>
      <c r="F2411">
        <v>3851</v>
      </c>
      <c r="G2411">
        <v>45</v>
      </c>
      <c r="H2411">
        <f t="shared" si="231"/>
        <v>0</v>
      </c>
      <c r="I2411" t="str">
        <f t="shared" si="229"/>
        <v>On Time</v>
      </c>
      <c r="J2411" cm="1">
        <f t="array" ref="J2411">_xlfn.IFS(H2411&lt;30,0,H2411&lt;60,1,H2411&lt;90,2,H2411&lt;120,3)</f>
        <v>0</v>
      </c>
      <c r="M2411" t="str">
        <f t="shared" si="230"/>
        <v>Low</v>
      </c>
      <c r="N2411" t="str">
        <f t="shared" si="227"/>
        <v>Oct</v>
      </c>
      <c r="O2411">
        <f t="shared" si="228"/>
        <v>2025</v>
      </c>
    </row>
    <row r="2412" spans="1:15" x14ac:dyDescent="0.3">
      <c r="A2412">
        <v>201969</v>
      </c>
      <c r="B2412" t="s">
        <v>45</v>
      </c>
      <c r="C2412" s="2">
        <v>45951</v>
      </c>
      <c r="D2412" s="2">
        <f t="shared" si="226"/>
        <v>45996</v>
      </c>
      <c r="E2412" s="1">
        <f>D2412+20</f>
        <v>46016</v>
      </c>
      <c r="F2412">
        <v>1148</v>
      </c>
      <c r="G2412">
        <v>45</v>
      </c>
      <c r="H2412">
        <f t="shared" si="231"/>
        <v>0</v>
      </c>
      <c r="I2412" t="str">
        <f t="shared" si="229"/>
        <v>On Time</v>
      </c>
      <c r="J2412" cm="1">
        <f t="array" ref="J2412">_xlfn.IFS(H2412&lt;30,0,H2412&lt;60,1,H2412&lt;90,2,H2412&lt;120,3)</f>
        <v>0</v>
      </c>
      <c r="M2412" t="str">
        <f t="shared" si="230"/>
        <v>Low</v>
      </c>
      <c r="N2412" t="str">
        <f t="shared" si="227"/>
        <v>Oct</v>
      </c>
      <c r="O2412">
        <f t="shared" si="228"/>
        <v>2025</v>
      </c>
    </row>
    <row r="2413" spans="1:15" x14ac:dyDescent="0.3">
      <c r="A2413">
        <v>202376</v>
      </c>
      <c r="B2413" t="s">
        <v>115</v>
      </c>
      <c r="C2413" s="2">
        <v>45951</v>
      </c>
      <c r="D2413" s="2">
        <f t="shared" si="226"/>
        <v>45981</v>
      </c>
      <c r="E2413" s="1">
        <f>D2413</f>
        <v>45981</v>
      </c>
      <c r="F2413">
        <v>3000</v>
      </c>
      <c r="G2413">
        <v>30</v>
      </c>
      <c r="H2413">
        <f t="shared" si="231"/>
        <v>0</v>
      </c>
      <c r="I2413" t="str">
        <f t="shared" si="229"/>
        <v>On Time</v>
      </c>
      <c r="J2413" cm="1">
        <f t="array" ref="J2413">_xlfn.IFS(H2413&lt;30,0,H2413&lt;60,1,H2413&lt;90,2,H2413&lt;120,3)</f>
        <v>0</v>
      </c>
      <c r="M2413" t="str">
        <f t="shared" si="230"/>
        <v>Low</v>
      </c>
      <c r="N2413" t="str">
        <f t="shared" si="227"/>
        <v>Oct</v>
      </c>
      <c r="O2413">
        <f t="shared" si="228"/>
        <v>2025</v>
      </c>
    </row>
    <row r="2414" spans="1:15" x14ac:dyDescent="0.3">
      <c r="A2414">
        <v>202377</v>
      </c>
      <c r="B2414" t="s">
        <v>116</v>
      </c>
      <c r="C2414" s="2">
        <v>45951</v>
      </c>
      <c r="D2414" s="2">
        <f t="shared" si="226"/>
        <v>45981</v>
      </c>
      <c r="E2414" s="1">
        <f>D2414</f>
        <v>45981</v>
      </c>
      <c r="F2414">
        <v>1600</v>
      </c>
      <c r="G2414">
        <v>30</v>
      </c>
      <c r="H2414">
        <f t="shared" si="231"/>
        <v>0</v>
      </c>
      <c r="I2414" t="str">
        <f t="shared" si="229"/>
        <v>On Time</v>
      </c>
      <c r="J2414" cm="1">
        <f t="array" ref="J2414">_xlfn.IFS(H2414&lt;30,0,H2414&lt;60,1,H2414&lt;90,2,H2414&lt;120,3)</f>
        <v>0</v>
      </c>
      <c r="M2414" t="str">
        <f t="shared" si="230"/>
        <v>Low</v>
      </c>
      <c r="N2414" t="str">
        <f t="shared" si="227"/>
        <v>Oct</v>
      </c>
      <c r="O2414">
        <f t="shared" si="228"/>
        <v>2025</v>
      </c>
    </row>
    <row r="2415" spans="1:15" x14ac:dyDescent="0.3">
      <c r="A2415">
        <v>202378</v>
      </c>
      <c r="B2415" t="s">
        <v>117</v>
      </c>
      <c r="C2415" s="2">
        <v>45951</v>
      </c>
      <c r="D2415" s="2">
        <f t="shared" si="226"/>
        <v>45981</v>
      </c>
      <c r="E2415" s="1">
        <f>D2415+3</f>
        <v>45984</v>
      </c>
      <c r="F2415">
        <v>2747</v>
      </c>
      <c r="G2415">
        <v>30</v>
      </c>
      <c r="H2415">
        <f t="shared" si="231"/>
        <v>0</v>
      </c>
      <c r="I2415" t="str">
        <f t="shared" si="229"/>
        <v>On Time</v>
      </c>
      <c r="J2415" cm="1">
        <f t="array" ref="J2415">_xlfn.IFS(H2415&lt;30,0,H2415&lt;60,1,H2415&lt;90,2,H2415&lt;120,3)</f>
        <v>0</v>
      </c>
      <c r="M2415" t="str">
        <f t="shared" si="230"/>
        <v>Low</v>
      </c>
      <c r="N2415" t="str">
        <f t="shared" si="227"/>
        <v>Oct</v>
      </c>
      <c r="O2415">
        <f t="shared" si="228"/>
        <v>2025</v>
      </c>
    </row>
    <row r="2416" spans="1:15" x14ac:dyDescent="0.3">
      <c r="A2416">
        <v>202379</v>
      </c>
      <c r="B2416" t="s">
        <v>118</v>
      </c>
      <c r="C2416" s="2">
        <v>45951</v>
      </c>
      <c r="D2416" s="2">
        <f t="shared" si="226"/>
        <v>45981</v>
      </c>
      <c r="E2416" s="1">
        <f>D2416+1</f>
        <v>45982</v>
      </c>
      <c r="F2416">
        <v>2566</v>
      </c>
      <c r="G2416">
        <v>30</v>
      </c>
      <c r="H2416">
        <f t="shared" si="231"/>
        <v>0</v>
      </c>
      <c r="I2416" t="str">
        <f t="shared" si="229"/>
        <v>On Time</v>
      </c>
      <c r="J2416" cm="1">
        <f t="array" ref="J2416">_xlfn.IFS(H2416&lt;30,0,H2416&lt;60,1,H2416&lt;90,2,H2416&lt;120,3)</f>
        <v>0</v>
      </c>
      <c r="M2416" t="str">
        <f t="shared" si="230"/>
        <v>Low</v>
      </c>
      <c r="N2416" t="str">
        <f t="shared" si="227"/>
        <v>Oct</v>
      </c>
      <c r="O2416">
        <f t="shared" si="228"/>
        <v>2025</v>
      </c>
    </row>
    <row r="2417" spans="1:15" x14ac:dyDescent="0.3">
      <c r="A2417">
        <v>202380</v>
      </c>
      <c r="B2417" t="s">
        <v>119</v>
      </c>
      <c r="C2417" s="2">
        <v>45951</v>
      </c>
      <c r="D2417" s="2">
        <f t="shared" si="226"/>
        <v>45981</v>
      </c>
      <c r="E2417" s="1">
        <f>D2417-1</f>
        <v>45980</v>
      </c>
      <c r="F2417">
        <v>4962</v>
      </c>
      <c r="G2417">
        <v>30</v>
      </c>
      <c r="H2417">
        <f t="shared" si="231"/>
        <v>0</v>
      </c>
      <c r="I2417" t="str">
        <f t="shared" si="229"/>
        <v>On Time</v>
      </c>
      <c r="J2417" cm="1">
        <f t="array" ref="J2417">_xlfn.IFS(H2417&lt;30,0,H2417&lt;60,1,H2417&lt;90,2,H2417&lt;120,3)</f>
        <v>0</v>
      </c>
      <c r="M2417" t="str">
        <f t="shared" si="230"/>
        <v>Low</v>
      </c>
      <c r="N2417" t="str">
        <f t="shared" si="227"/>
        <v>Oct</v>
      </c>
      <c r="O2417">
        <f t="shared" si="228"/>
        <v>2025</v>
      </c>
    </row>
    <row r="2418" spans="1:15" x14ac:dyDescent="0.3">
      <c r="A2418">
        <v>202381</v>
      </c>
      <c r="B2418" t="s">
        <v>31</v>
      </c>
      <c r="C2418" s="2">
        <v>45951</v>
      </c>
      <c r="D2418" s="2">
        <f t="shared" si="226"/>
        <v>45996</v>
      </c>
      <c r="E2418" s="1">
        <f>D2418</f>
        <v>45996</v>
      </c>
      <c r="F2418">
        <v>1274</v>
      </c>
      <c r="G2418">
        <v>45</v>
      </c>
      <c r="H2418">
        <f t="shared" si="231"/>
        <v>0</v>
      </c>
      <c r="I2418" t="str">
        <f t="shared" si="229"/>
        <v>On Time</v>
      </c>
      <c r="J2418" cm="1">
        <f t="array" ref="J2418">_xlfn.IFS(H2418&lt;30,0,H2418&lt;60,1,H2418&lt;90,2,H2418&lt;120,3)</f>
        <v>0</v>
      </c>
      <c r="M2418" t="str">
        <f t="shared" si="230"/>
        <v>Low</v>
      </c>
      <c r="N2418" t="str">
        <f t="shared" si="227"/>
        <v>Oct</v>
      </c>
      <c r="O2418">
        <f t="shared" si="228"/>
        <v>2025</v>
      </c>
    </row>
    <row r="2419" spans="1:15" x14ac:dyDescent="0.3">
      <c r="A2419">
        <v>202382</v>
      </c>
      <c r="B2419" t="s">
        <v>32</v>
      </c>
      <c r="C2419" s="2">
        <v>45951</v>
      </c>
      <c r="D2419" s="2">
        <f t="shared" si="226"/>
        <v>45996</v>
      </c>
      <c r="E2419" s="1">
        <f>D2419+1</f>
        <v>45997</v>
      </c>
      <c r="F2419">
        <v>8967</v>
      </c>
      <c r="G2419">
        <v>45</v>
      </c>
      <c r="H2419">
        <f t="shared" si="231"/>
        <v>0</v>
      </c>
      <c r="I2419" t="str">
        <f t="shared" si="229"/>
        <v>On Time</v>
      </c>
      <c r="J2419" cm="1">
        <f t="array" ref="J2419">_xlfn.IFS(H2419&lt;30,0,H2419&lt;60,1,H2419&lt;90,2,H2419&lt;120,3)</f>
        <v>0</v>
      </c>
      <c r="M2419" t="str">
        <f t="shared" si="230"/>
        <v>Low</v>
      </c>
      <c r="N2419" t="str">
        <f t="shared" si="227"/>
        <v>Oct</v>
      </c>
      <c r="O2419">
        <f t="shared" si="228"/>
        <v>2025</v>
      </c>
    </row>
    <row r="2420" spans="1:15" x14ac:dyDescent="0.3">
      <c r="A2420">
        <v>202383</v>
      </c>
      <c r="B2420" t="s">
        <v>33</v>
      </c>
      <c r="C2420" s="2">
        <v>45951</v>
      </c>
      <c r="D2420" s="2">
        <f t="shared" si="226"/>
        <v>45981</v>
      </c>
      <c r="E2420" s="1">
        <f>D2420+35</f>
        <v>46016</v>
      </c>
      <c r="F2420">
        <v>1651</v>
      </c>
      <c r="G2420">
        <v>30</v>
      </c>
      <c r="H2420">
        <f t="shared" si="231"/>
        <v>0</v>
      </c>
      <c r="I2420" t="str">
        <f t="shared" si="229"/>
        <v>On Time</v>
      </c>
      <c r="J2420" cm="1">
        <f t="array" ref="J2420">_xlfn.IFS(H2420&lt;30,0,H2420&lt;60,1,H2420&lt;90,2,H2420&lt;120,3)</f>
        <v>0</v>
      </c>
      <c r="M2420" t="str">
        <f t="shared" si="230"/>
        <v>Low</v>
      </c>
      <c r="N2420" t="str">
        <f t="shared" si="227"/>
        <v>Oct</v>
      </c>
      <c r="O2420">
        <f t="shared" si="228"/>
        <v>2025</v>
      </c>
    </row>
    <row r="2421" spans="1:15" x14ac:dyDescent="0.3">
      <c r="A2421">
        <v>202384</v>
      </c>
      <c r="B2421" t="s">
        <v>34</v>
      </c>
      <c r="C2421" s="2">
        <v>45951</v>
      </c>
      <c r="D2421" s="2">
        <f t="shared" si="226"/>
        <v>46011</v>
      </c>
      <c r="E2421" s="1">
        <f>D2421+75</f>
        <v>46086</v>
      </c>
      <c r="F2421">
        <v>3564</v>
      </c>
      <c r="G2421">
        <v>60</v>
      </c>
      <c r="H2421">
        <f t="shared" si="231"/>
        <v>0</v>
      </c>
      <c r="I2421" t="str">
        <f t="shared" si="229"/>
        <v>On Time</v>
      </c>
      <c r="J2421" cm="1">
        <f t="array" ref="J2421">_xlfn.IFS(H2421&lt;30,0,H2421&lt;60,1,H2421&lt;90,2,H2421&lt;120,3)</f>
        <v>0</v>
      </c>
      <c r="M2421" t="str">
        <f t="shared" si="230"/>
        <v>Low</v>
      </c>
      <c r="N2421" t="str">
        <f t="shared" si="227"/>
        <v>Oct</v>
      </c>
      <c r="O2421">
        <f t="shared" si="228"/>
        <v>2025</v>
      </c>
    </row>
    <row r="2422" spans="1:15" x14ac:dyDescent="0.3">
      <c r="A2422">
        <v>202385</v>
      </c>
      <c r="B2422" t="s">
        <v>35</v>
      </c>
      <c r="C2422" s="2">
        <v>45951</v>
      </c>
      <c r="D2422" s="2">
        <f t="shared" si="226"/>
        <v>45996</v>
      </c>
      <c r="E2422" s="1">
        <f>D2422+5</f>
        <v>46001</v>
      </c>
      <c r="F2422">
        <v>4779</v>
      </c>
      <c r="G2422">
        <v>45</v>
      </c>
      <c r="H2422">
        <f t="shared" si="231"/>
        <v>0</v>
      </c>
      <c r="I2422" t="str">
        <f t="shared" si="229"/>
        <v>On Time</v>
      </c>
      <c r="J2422" cm="1">
        <f t="array" ref="J2422">_xlfn.IFS(H2422&lt;30,0,H2422&lt;60,1,H2422&lt;90,2,H2422&lt;120,3)</f>
        <v>0</v>
      </c>
      <c r="M2422" t="str">
        <f t="shared" si="230"/>
        <v>Low</v>
      </c>
      <c r="N2422" t="str">
        <f t="shared" si="227"/>
        <v>Oct</v>
      </c>
      <c r="O2422">
        <f t="shared" si="228"/>
        <v>2025</v>
      </c>
    </row>
    <row r="2423" spans="1:15" x14ac:dyDescent="0.3">
      <c r="A2423">
        <v>202386</v>
      </c>
      <c r="B2423" t="s">
        <v>36</v>
      </c>
      <c r="C2423" s="2">
        <v>45951</v>
      </c>
      <c r="D2423" s="2">
        <f t="shared" si="226"/>
        <v>45981</v>
      </c>
      <c r="E2423" s="1">
        <f>D2423</f>
        <v>45981</v>
      </c>
      <c r="F2423">
        <v>4646</v>
      </c>
      <c r="G2423">
        <v>30</v>
      </c>
      <c r="H2423">
        <f t="shared" si="231"/>
        <v>0</v>
      </c>
      <c r="I2423" t="str">
        <f t="shared" si="229"/>
        <v>On Time</v>
      </c>
      <c r="J2423" cm="1">
        <f t="array" ref="J2423">_xlfn.IFS(H2423&lt;30,0,H2423&lt;60,1,H2423&lt;90,2,H2423&lt;120,3)</f>
        <v>0</v>
      </c>
      <c r="M2423" t="str">
        <f t="shared" si="230"/>
        <v>Low</v>
      </c>
      <c r="N2423" t="str">
        <f t="shared" si="227"/>
        <v>Oct</v>
      </c>
      <c r="O2423">
        <f t="shared" si="228"/>
        <v>2025</v>
      </c>
    </row>
    <row r="2424" spans="1:15" x14ac:dyDescent="0.3">
      <c r="A2424">
        <v>202387</v>
      </c>
      <c r="B2424" t="s">
        <v>64</v>
      </c>
      <c r="C2424" s="2">
        <v>45951</v>
      </c>
      <c r="D2424" s="2">
        <f t="shared" si="226"/>
        <v>45981</v>
      </c>
      <c r="E2424" s="1">
        <f>D2424-1</f>
        <v>45980</v>
      </c>
      <c r="F2424">
        <v>3181</v>
      </c>
      <c r="G2424">
        <v>30</v>
      </c>
      <c r="H2424">
        <f t="shared" si="231"/>
        <v>0</v>
      </c>
      <c r="I2424" t="str">
        <f t="shared" si="229"/>
        <v>On Time</v>
      </c>
      <c r="J2424" cm="1">
        <f t="array" ref="J2424">_xlfn.IFS(H2424&lt;30,0,H2424&lt;60,1,H2424&lt;90,2,H2424&lt;120,3)</f>
        <v>0</v>
      </c>
      <c r="M2424" t="str">
        <f t="shared" si="230"/>
        <v>Low</v>
      </c>
      <c r="N2424" t="str">
        <f t="shared" si="227"/>
        <v>Oct</v>
      </c>
      <c r="O2424">
        <f t="shared" si="228"/>
        <v>2025</v>
      </c>
    </row>
    <row r="2425" spans="1:15" x14ac:dyDescent="0.3">
      <c r="A2425">
        <v>202388</v>
      </c>
      <c r="B2425" t="s">
        <v>65</v>
      </c>
      <c r="C2425" s="2">
        <v>45951</v>
      </c>
      <c r="D2425" s="2">
        <f t="shared" si="226"/>
        <v>45996</v>
      </c>
      <c r="E2425" s="1">
        <f>D2425</f>
        <v>45996</v>
      </c>
      <c r="F2425">
        <v>3131</v>
      </c>
      <c r="G2425">
        <v>45</v>
      </c>
      <c r="H2425">
        <f t="shared" si="231"/>
        <v>0</v>
      </c>
      <c r="I2425" t="str">
        <f t="shared" si="229"/>
        <v>On Time</v>
      </c>
      <c r="J2425" cm="1">
        <f t="array" ref="J2425">_xlfn.IFS(H2425&lt;30,0,H2425&lt;60,1,H2425&lt;90,2,H2425&lt;120,3)</f>
        <v>0</v>
      </c>
      <c r="M2425" t="str">
        <f t="shared" si="230"/>
        <v>Low</v>
      </c>
      <c r="N2425" t="str">
        <f t="shared" si="227"/>
        <v>Oct</v>
      </c>
      <c r="O2425">
        <f t="shared" si="228"/>
        <v>2025</v>
      </c>
    </row>
    <row r="2426" spans="1:15" x14ac:dyDescent="0.3">
      <c r="A2426">
        <v>202389</v>
      </c>
      <c r="B2426" t="s">
        <v>66</v>
      </c>
      <c r="C2426" s="2">
        <v>45951</v>
      </c>
      <c r="D2426" s="2">
        <f t="shared" si="226"/>
        <v>46011</v>
      </c>
      <c r="E2426" s="1">
        <f>D2426+32</f>
        <v>46043</v>
      </c>
      <c r="F2426">
        <v>4408</v>
      </c>
      <c r="G2426">
        <v>60</v>
      </c>
      <c r="H2426">
        <f t="shared" si="231"/>
        <v>0</v>
      </c>
      <c r="I2426" t="str">
        <f t="shared" si="229"/>
        <v>On Time</v>
      </c>
      <c r="J2426" cm="1">
        <f t="array" ref="J2426">_xlfn.IFS(H2426&lt;30,0,H2426&lt;60,1,H2426&lt;90,2,H2426&lt;120,3)</f>
        <v>0</v>
      </c>
      <c r="M2426" t="str">
        <f t="shared" si="230"/>
        <v>Low</v>
      </c>
      <c r="N2426" t="str">
        <f t="shared" si="227"/>
        <v>Oct</v>
      </c>
      <c r="O2426">
        <f t="shared" si="228"/>
        <v>2025</v>
      </c>
    </row>
    <row r="2427" spans="1:15" x14ac:dyDescent="0.3">
      <c r="A2427">
        <v>202390</v>
      </c>
      <c r="B2427" t="s">
        <v>67</v>
      </c>
      <c r="C2427" s="2">
        <v>45951</v>
      </c>
      <c r="D2427" s="2">
        <f t="shared" si="226"/>
        <v>45981</v>
      </c>
      <c r="E2427" s="1">
        <f>D2427+15</f>
        <v>45996</v>
      </c>
      <c r="F2427">
        <v>3848</v>
      </c>
      <c r="G2427">
        <v>30</v>
      </c>
      <c r="H2427">
        <f t="shared" si="231"/>
        <v>0</v>
      </c>
      <c r="I2427" t="str">
        <f t="shared" si="229"/>
        <v>On Time</v>
      </c>
      <c r="J2427" cm="1">
        <f t="array" ref="J2427">_xlfn.IFS(H2427&lt;30,0,H2427&lt;60,1,H2427&lt;90,2,H2427&lt;120,3)</f>
        <v>0</v>
      </c>
      <c r="M2427" t="str">
        <f t="shared" si="230"/>
        <v>Low</v>
      </c>
      <c r="N2427" t="str">
        <f t="shared" si="227"/>
        <v>Oct</v>
      </c>
      <c r="O2427">
        <f t="shared" si="228"/>
        <v>2025</v>
      </c>
    </row>
    <row r="2428" spans="1:15" x14ac:dyDescent="0.3">
      <c r="A2428">
        <v>202391</v>
      </c>
      <c r="B2428" t="s">
        <v>68</v>
      </c>
      <c r="C2428" s="2">
        <v>45951</v>
      </c>
      <c r="D2428" s="2">
        <f t="shared" si="226"/>
        <v>45981</v>
      </c>
      <c r="E2428" s="1">
        <f>D2428-2</f>
        <v>45979</v>
      </c>
      <c r="F2428">
        <v>4198</v>
      </c>
      <c r="G2428">
        <v>30</v>
      </c>
      <c r="H2428">
        <f t="shared" si="231"/>
        <v>0</v>
      </c>
      <c r="I2428" t="str">
        <f t="shared" si="229"/>
        <v>On Time</v>
      </c>
      <c r="J2428" cm="1">
        <f t="array" ref="J2428">_xlfn.IFS(H2428&lt;30,0,H2428&lt;60,1,H2428&lt;90,2,H2428&lt;120,3)</f>
        <v>0</v>
      </c>
      <c r="M2428" t="str">
        <f t="shared" si="230"/>
        <v>Low</v>
      </c>
      <c r="N2428" t="str">
        <f t="shared" si="227"/>
        <v>Oct</v>
      </c>
      <c r="O2428">
        <f t="shared" si="228"/>
        <v>2025</v>
      </c>
    </row>
    <row r="2429" spans="1:15" x14ac:dyDescent="0.3">
      <c r="A2429">
        <v>202392</v>
      </c>
      <c r="B2429" t="s">
        <v>69</v>
      </c>
      <c r="C2429" s="2">
        <v>45951</v>
      </c>
      <c r="D2429" s="2">
        <f t="shared" si="226"/>
        <v>45981</v>
      </c>
      <c r="E2429" s="1">
        <f>D2429-2</f>
        <v>45979</v>
      </c>
      <c r="F2429">
        <v>4317</v>
      </c>
      <c r="G2429">
        <v>30</v>
      </c>
      <c r="H2429">
        <f t="shared" si="231"/>
        <v>0</v>
      </c>
      <c r="I2429" t="str">
        <f t="shared" si="229"/>
        <v>On Time</v>
      </c>
      <c r="J2429" cm="1">
        <f t="array" ref="J2429">_xlfn.IFS(H2429&lt;30,0,H2429&lt;60,1,H2429&lt;90,2,H2429&lt;120,3)</f>
        <v>0</v>
      </c>
      <c r="M2429" t="str">
        <f t="shared" si="230"/>
        <v>Low</v>
      </c>
      <c r="N2429" t="str">
        <f t="shared" si="227"/>
        <v>Oct</v>
      </c>
      <c r="O2429">
        <f t="shared" si="228"/>
        <v>2025</v>
      </c>
    </row>
    <row r="2430" spans="1:15" x14ac:dyDescent="0.3">
      <c r="A2430">
        <v>201935</v>
      </c>
      <c r="B2430" t="s">
        <v>116</v>
      </c>
      <c r="C2430" s="2">
        <v>45950</v>
      </c>
      <c r="D2430" s="2">
        <f t="shared" si="226"/>
        <v>45980</v>
      </c>
      <c r="E2430" s="1">
        <f>D2430</f>
        <v>45980</v>
      </c>
      <c r="F2430">
        <v>4861</v>
      </c>
      <c r="G2430">
        <v>30</v>
      </c>
      <c r="H2430">
        <f t="shared" si="231"/>
        <v>0</v>
      </c>
      <c r="I2430" t="str">
        <f t="shared" si="229"/>
        <v>On Time</v>
      </c>
      <c r="J2430" cm="1">
        <f t="array" ref="J2430">_xlfn.IFS(H2430&lt;30,0,H2430&lt;60,1,H2430&lt;90,2,H2430&lt;120,3)</f>
        <v>0</v>
      </c>
      <c r="M2430" t="str">
        <f t="shared" si="230"/>
        <v>Low</v>
      </c>
      <c r="N2430" t="str">
        <f t="shared" si="227"/>
        <v>Oct</v>
      </c>
      <c r="O2430">
        <f t="shared" si="228"/>
        <v>2025</v>
      </c>
    </row>
    <row r="2431" spans="1:15" x14ac:dyDescent="0.3">
      <c r="A2431">
        <v>201936</v>
      </c>
      <c r="B2431" t="s">
        <v>117</v>
      </c>
      <c r="C2431" s="2">
        <v>45950</v>
      </c>
      <c r="D2431" s="2">
        <f t="shared" si="226"/>
        <v>45980</v>
      </c>
      <c r="E2431" s="1">
        <f>D2431+20</f>
        <v>46000</v>
      </c>
      <c r="F2431">
        <v>3695</v>
      </c>
      <c r="G2431">
        <v>30</v>
      </c>
      <c r="H2431">
        <f t="shared" si="231"/>
        <v>0</v>
      </c>
      <c r="I2431" t="str">
        <f t="shared" si="229"/>
        <v>On Time</v>
      </c>
      <c r="J2431" cm="1">
        <f t="array" ref="J2431">_xlfn.IFS(H2431&lt;30,0,H2431&lt;60,1,H2431&lt;90,2,H2431&lt;120,3)</f>
        <v>0</v>
      </c>
      <c r="M2431" t="str">
        <f t="shared" si="230"/>
        <v>Low</v>
      </c>
      <c r="N2431" t="str">
        <f t="shared" si="227"/>
        <v>Oct</v>
      </c>
      <c r="O2431">
        <f t="shared" si="228"/>
        <v>2025</v>
      </c>
    </row>
    <row r="2432" spans="1:15" x14ac:dyDescent="0.3">
      <c r="A2432">
        <v>201937</v>
      </c>
      <c r="B2432" t="s">
        <v>118</v>
      </c>
      <c r="C2432" s="2">
        <v>45950</v>
      </c>
      <c r="D2432" s="2">
        <f t="shared" si="226"/>
        <v>45980</v>
      </c>
      <c r="E2432" s="1">
        <f>D2432</f>
        <v>45980</v>
      </c>
      <c r="F2432">
        <v>2575</v>
      </c>
      <c r="G2432">
        <v>30</v>
      </c>
      <c r="H2432">
        <f t="shared" si="231"/>
        <v>0</v>
      </c>
      <c r="I2432" t="str">
        <f t="shared" si="229"/>
        <v>On Time</v>
      </c>
      <c r="J2432" cm="1">
        <f t="array" ref="J2432">_xlfn.IFS(H2432&lt;30,0,H2432&lt;60,1,H2432&lt;90,2,H2432&lt;120,3)</f>
        <v>0</v>
      </c>
      <c r="M2432" t="str">
        <f t="shared" si="230"/>
        <v>Low</v>
      </c>
      <c r="N2432" t="str">
        <f t="shared" si="227"/>
        <v>Oct</v>
      </c>
      <c r="O2432">
        <f t="shared" si="228"/>
        <v>2025</v>
      </c>
    </row>
    <row r="2433" spans="1:15" x14ac:dyDescent="0.3">
      <c r="A2433">
        <v>201938</v>
      </c>
      <c r="B2433" t="s">
        <v>119</v>
      </c>
      <c r="C2433" s="2">
        <v>45950</v>
      </c>
      <c r="D2433" s="2">
        <f t="shared" si="226"/>
        <v>45980</v>
      </c>
      <c r="E2433" s="1">
        <f>D2433+1</f>
        <v>45981</v>
      </c>
      <c r="F2433">
        <v>9215</v>
      </c>
      <c r="G2433">
        <v>30</v>
      </c>
      <c r="H2433">
        <f t="shared" si="231"/>
        <v>0</v>
      </c>
      <c r="I2433" t="str">
        <f t="shared" si="229"/>
        <v>On Time</v>
      </c>
      <c r="J2433" cm="1">
        <f t="array" ref="J2433">_xlfn.IFS(H2433&lt;30,0,H2433&lt;60,1,H2433&lt;90,2,H2433&lt;120,3)</f>
        <v>0</v>
      </c>
      <c r="M2433" t="str">
        <f t="shared" si="230"/>
        <v>Low</v>
      </c>
      <c r="N2433" t="str">
        <f t="shared" si="227"/>
        <v>Oct</v>
      </c>
      <c r="O2433">
        <f t="shared" si="228"/>
        <v>2025</v>
      </c>
    </row>
    <row r="2434" spans="1:15" x14ac:dyDescent="0.3">
      <c r="A2434">
        <v>201939</v>
      </c>
      <c r="B2434" t="s">
        <v>100</v>
      </c>
      <c r="C2434" s="2">
        <v>45950</v>
      </c>
      <c r="D2434" s="2">
        <f t="shared" ref="D2434:D2497" si="232">C2434+G2434</f>
        <v>45980</v>
      </c>
      <c r="E2434" s="1">
        <f>D2434</f>
        <v>45980</v>
      </c>
      <c r="F2434">
        <v>2323</v>
      </c>
      <c r="G2434">
        <v>30</v>
      </c>
      <c r="H2434">
        <f t="shared" si="231"/>
        <v>0</v>
      </c>
      <c r="I2434" t="str">
        <f t="shared" si="229"/>
        <v>On Time</v>
      </c>
      <c r="J2434" cm="1">
        <f t="array" ref="J2434">_xlfn.IFS(H2434&lt;30,0,H2434&lt;60,1,H2434&lt;90,2,H2434&lt;120,3)</f>
        <v>0</v>
      </c>
      <c r="M2434" t="str">
        <f t="shared" si="230"/>
        <v>Low</v>
      </c>
      <c r="N2434" t="str">
        <f t="shared" ref="N2434:N2497" si="233">TEXT(C2434,"mmm")</f>
        <v>Oct</v>
      </c>
      <c r="O2434">
        <f t="shared" ref="O2434:O2497" si="234">YEAR(C2434)</f>
        <v>2025</v>
      </c>
    </row>
    <row r="2435" spans="1:15" x14ac:dyDescent="0.3">
      <c r="A2435">
        <v>201940</v>
      </c>
      <c r="B2435" t="s">
        <v>101</v>
      </c>
      <c r="C2435" s="2">
        <v>45950</v>
      </c>
      <c r="D2435" s="2">
        <f t="shared" si="232"/>
        <v>45980</v>
      </c>
      <c r="E2435" s="1">
        <f>D2435</f>
        <v>45980</v>
      </c>
      <c r="F2435">
        <v>2228</v>
      </c>
      <c r="G2435">
        <v>30</v>
      </c>
      <c r="H2435">
        <f t="shared" si="231"/>
        <v>0</v>
      </c>
      <c r="I2435" t="str">
        <f t="shared" si="229"/>
        <v>On Time</v>
      </c>
      <c r="J2435" cm="1">
        <f t="array" ref="J2435">_xlfn.IFS(H2435&lt;30,0,H2435&lt;60,1,H2435&lt;90,2,H2435&lt;120,3)</f>
        <v>0</v>
      </c>
      <c r="M2435" t="str">
        <f t="shared" si="230"/>
        <v>Low</v>
      </c>
      <c r="N2435" t="str">
        <f t="shared" si="233"/>
        <v>Oct</v>
      </c>
      <c r="O2435">
        <f t="shared" si="234"/>
        <v>2025</v>
      </c>
    </row>
    <row r="2436" spans="1:15" x14ac:dyDescent="0.3">
      <c r="A2436">
        <v>201941</v>
      </c>
      <c r="B2436" t="s">
        <v>102</v>
      </c>
      <c r="C2436" s="2">
        <v>45950</v>
      </c>
      <c r="D2436" s="2">
        <f t="shared" si="232"/>
        <v>45980</v>
      </c>
      <c r="E2436" s="1">
        <f>D2436+5</f>
        <v>45985</v>
      </c>
      <c r="F2436">
        <v>4298</v>
      </c>
      <c r="G2436">
        <v>30</v>
      </c>
      <c r="H2436">
        <f t="shared" si="231"/>
        <v>0</v>
      </c>
      <c r="I2436" t="str">
        <f t="shared" si="229"/>
        <v>On Time</v>
      </c>
      <c r="J2436" cm="1">
        <f t="array" ref="J2436">_xlfn.IFS(H2436&lt;30,0,H2436&lt;60,1,H2436&lt;90,2,H2436&lt;120,3)</f>
        <v>0</v>
      </c>
      <c r="M2436" t="str">
        <f t="shared" si="230"/>
        <v>Low</v>
      </c>
      <c r="N2436" t="str">
        <f t="shared" si="233"/>
        <v>Oct</v>
      </c>
      <c r="O2436">
        <f t="shared" si="234"/>
        <v>2025</v>
      </c>
    </row>
    <row r="2437" spans="1:15" x14ac:dyDescent="0.3">
      <c r="A2437">
        <v>201942</v>
      </c>
      <c r="B2437" t="s">
        <v>103</v>
      </c>
      <c r="C2437" s="2">
        <v>45950</v>
      </c>
      <c r="D2437" s="2">
        <f t="shared" si="232"/>
        <v>45980</v>
      </c>
      <c r="E2437" s="1">
        <f>D2437+2</f>
        <v>45982</v>
      </c>
      <c r="F2437">
        <v>3966</v>
      </c>
      <c r="G2437">
        <v>30</v>
      </c>
      <c r="H2437">
        <f t="shared" si="231"/>
        <v>0</v>
      </c>
      <c r="I2437" t="str">
        <f t="shared" si="229"/>
        <v>On Time</v>
      </c>
      <c r="J2437" cm="1">
        <f t="array" ref="J2437">_xlfn.IFS(H2437&lt;30,0,H2437&lt;60,1,H2437&lt;90,2,H2437&lt;120,3)</f>
        <v>0</v>
      </c>
      <c r="M2437" t="str">
        <f t="shared" si="230"/>
        <v>Low</v>
      </c>
      <c r="N2437" t="str">
        <f t="shared" si="233"/>
        <v>Oct</v>
      </c>
      <c r="O2437">
        <f t="shared" si="234"/>
        <v>2025</v>
      </c>
    </row>
    <row r="2438" spans="1:15" x14ac:dyDescent="0.3">
      <c r="A2438">
        <v>201943</v>
      </c>
      <c r="B2438" t="s">
        <v>104</v>
      </c>
      <c r="C2438" s="2">
        <v>45950</v>
      </c>
      <c r="D2438" s="2">
        <f t="shared" si="232"/>
        <v>45980</v>
      </c>
      <c r="E2438" s="1">
        <f>D2438+5</f>
        <v>45985</v>
      </c>
      <c r="F2438">
        <v>926</v>
      </c>
      <c r="G2438">
        <v>30</v>
      </c>
      <c r="H2438">
        <f t="shared" si="231"/>
        <v>0</v>
      </c>
      <c r="I2438" t="str">
        <f t="shared" si="229"/>
        <v>On Time</v>
      </c>
      <c r="J2438" cm="1">
        <f t="array" ref="J2438">_xlfn.IFS(H2438&lt;30,0,H2438&lt;60,1,H2438&lt;90,2,H2438&lt;120,3)</f>
        <v>0</v>
      </c>
      <c r="M2438" t="str">
        <f t="shared" si="230"/>
        <v>Low</v>
      </c>
      <c r="N2438" t="str">
        <f t="shared" si="233"/>
        <v>Oct</v>
      </c>
      <c r="O2438">
        <f t="shared" si="234"/>
        <v>2025</v>
      </c>
    </row>
    <row r="2439" spans="1:15" x14ac:dyDescent="0.3">
      <c r="A2439">
        <v>201944</v>
      </c>
      <c r="B2439" t="s">
        <v>105</v>
      </c>
      <c r="C2439" s="2">
        <v>45950</v>
      </c>
      <c r="D2439" s="2">
        <f t="shared" si="232"/>
        <v>45980</v>
      </c>
      <c r="E2439" s="1">
        <f>D2439</f>
        <v>45980</v>
      </c>
      <c r="F2439">
        <v>1854</v>
      </c>
      <c r="G2439">
        <v>30</v>
      </c>
      <c r="H2439">
        <f t="shared" si="231"/>
        <v>0</v>
      </c>
      <c r="I2439" t="str">
        <f t="shared" si="229"/>
        <v>On Time</v>
      </c>
      <c r="J2439" cm="1">
        <f t="array" ref="J2439">_xlfn.IFS(H2439&lt;30,0,H2439&lt;60,1,H2439&lt;90,2,H2439&lt;120,3)</f>
        <v>0</v>
      </c>
      <c r="M2439" t="str">
        <f t="shared" si="230"/>
        <v>Low</v>
      </c>
      <c r="N2439" t="str">
        <f t="shared" si="233"/>
        <v>Oct</v>
      </c>
      <c r="O2439">
        <f t="shared" si="234"/>
        <v>2025</v>
      </c>
    </row>
    <row r="2440" spans="1:15" x14ac:dyDescent="0.3">
      <c r="A2440">
        <v>201945</v>
      </c>
      <c r="B2440" t="s">
        <v>106</v>
      </c>
      <c r="C2440" s="2">
        <v>45950</v>
      </c>
      <c r="D2440" s="2">
        <f t="shared" si="232"/>
        <v>45980</v>
      </c>
      <c r="E2440" s="1">
        <f>D2440</f>
        <v>45980</v>
      </c>
      <c r="F2440">
        <v>4210</v>
      </c>
      <c r="G2440">
        <v>30</v>
      </c>
      <c r="H2440">
        <f t="shared" si="231"/>
        <v>0</v>
      </c>
      <c r="I2440" t="str">
        <f t="shared" si="229"/>
        <v>On Time</v>
      </c>
      <c r="J2440" cm="1">
        <f t="array" ref="J2440">_xlfn.IFS(H2440&lt;30,0,H2440&lt;60,1,H2440&lt;90,2,H2440&lt;120,3)</f>
        <v>0</v>
      </c>
      <c r="M2440" t="str">
        <f t="shared" si="230"/>
        <v>Low</v>
      </c>
      <c r="N2440" t="str">
        <f t="shared" si="233"/>
        <v>Oct</v>
      </c>
      <c r="O2440">
        <f t="shared" si="234"/>
        <v>2025</v>
      </c>
    </row>
    <row r="2441" spans="1:15" x14ac:dyDescent="0.3">
      <c r="A2441">
        <v>201946</v>
      </c>
      <c r="B2441" t="s">
        <v>107</v>
      </c>
      <c r="C2441" s="2">
        <v>45950</v>
      </c>
      <c r="D2441" s="2">
        <f t="shared" si="232"/>
        <v>45980</v>
      </c>
      <c r="E2441" s="1">
        <f>D2441+60</f>
        <v>46040</v>
      </c>
      <c r="F2441">
        <v>3650</v>
      </c>
      <c r="G2441">
        <v>30</v>
      </c>
      <c r="H2441">
        <f t="shared" si="231"/>
        <v>0</v>
      </c>
      <c r="I2441" t="str">
        <f t="shared" si="229"/>
        <v>On Time</v>
      </c>
      <c r="J2441" cm="1">
        <f t="array" ref="J2441">_xlfn.IFS(H2441&lt;30,0,H2441&lt;60,1,H2441&lt;90,2,H2441&lt;120,3)</f>
        <v>0</v>
      </c>
      <c r="M2441" t="str">
        <f t="shared" si="230"/>
        <v>Low</v>
      </c>
      <c r="N2441" t="str">
        <f t="shared" si="233"/>
        <v>Oct</v>
      </c>
      <c r="O2441">
        <f t="shared" si="234"/>
        <v>2025</v>
      </c>
    </row>
    <row r="2442" spans="1:15" x14ac:dyDescent="0.3">
      <c r="A2442">
        <v>201947</v>
      </c>
      <c r="B2442" t="s">
        <v>108</v>
      </c>
      <c r="C2442" s="2">
        <v>45950</v>
      </c>
      <c r="D2442" s="2">
        <f t="shared" si="232"/>
        <v>45980</v>
      </c>
      <c r="E2442" s="1">
        <f>D2442</f>
        <v>45980</v>
      </c>
      <c r="F2442">
        <v>3709</v>
      </c>
      <c r="G2442">
        <v>30</v>
      </c>
      <c r="H2442">
        <f t="shared" si="231"/>
        <v>0</v>
      </c>
      <c r="I2442" t="str">
        <f t="shared" si="229"/>
        <v>On Time</v>
      </c>
      <c r="J2442" cm="1">
        <f t="array" ref="J2442">_xlfn.IFS(H2442&lt;30,0,H2442&lt;60,1,H2442&lt;90,2,H2442&lt;120,3)</f>
        <v>0</v>
      </c>
      <c r="M2442" t="str">
        <f t="shared" si="230"/>
        <v>Low</v>
      </c>
      <c r="N2442" t="str">
        <f t="shared" si="233"/>
        <v>Oct</v>
      </c>
      <c r="O2442">
        <f t="shared" si="234"/>
        <v>2025</v>
      </c>
    </row>
    <row r="2443" spans="1:15" x14ac:dyDescent="0.3">
      <c r="A2443">
        <v>201948</v>
      </c>
      <c r="B2443" t="s">
        <v>85</v>
      </c>
      <c r="C2443" s="2">
        <v>45950</v>
      </c>
      <c r="D2443" s="2">
        <f t="shared" si="232"/>
        <v>46010</v>
      </c>
      <c r="F2443">
        <v>4723</v>
      </c>
      <c r="G2443">
        <v>60</v>
      </c>
      <c r="H2443">
        <f t="shared" si="231"/>
        <v>0</v>
      </c>
      <c r="I2443" t="str">
        <f t="shared" si="229"/>
        <v>On Time</v>
      </c>
      <c r="J2443" cm="1">
        <f t="array" ref="J2443">_xlfn.IFS(H2443&lt;30,0,H2443&lt;60,1,H2443&lt;90,2,H2443&lt;120,3)</f>
        <v>0</v>
      </c>
      <c r="M2443" t="str">
        <f t="shared" si="230"/>
        <v>Low</v>
      </c>
      <c r="N2443" t="str">
        <f t="shared" si="233"/>
        <v>Oct</v>
      </c>
      <c r="O2443">
        <f t="shared" si="234"/>
        <v>2025</v>
      </c>
    </row>
    <row r="2444" spans="1:15" x14ac:dyDescent="0.3">
      <c r="A2444">
        <v>201949</v>
      </c>
      <c r="B2444" t="s">
        <v>86</v>
      </c>
      <c r="C2444" s="2">
        <v>45950</v>
      </c>
      <c r="D2444" s="2">
        <f t="shared" si="232"/>
        <v>45980</v>
      </c>
      <c r="E2444" s="1">
        <f>D2444+3</f>
        <v>45983</v>
      </c>
      <c r="F2444">
        <v>2834</v>
      </c>
      <c r="G2444">
        <v>30</v>
      </c>
      <c r="H2444">
        <f t="shared" si="231"/>
        <v>0</v>
      </c>
      <c r="I2444" t="str">
        <f t="shared" si="229"/>
        <v>On Time</v>
      </c>
      <c r="J2444" cm="1">
        <f t="array" ref="J2444">_xlfn.IFS(H2444&lt;30,0,H2444&lt;60,1,H2444&lt;90,2,H2444&lt;120,3)</f>
        <v>0</v>
      </c>
      <c r="M2444" t="str">
        <f t="shared" si="230"/>
        <v>Low</v>
      </c>
      <c r="N2444" t="str">
        <f t="shared" si="233"/>
        <v>Oct</v>
      </c>
      <c r="O2444">
        <f t="shared" si="234"/>
        <v>2025</v>
      </c>
    </row>
    <row r="2445" spans="1:15" x14ac:dyDescent="0.3">
      <c r="A2445">
        <v>201950</v>
      </c>
      <c r="B2445" t="s">
        <v>87</v>
      </c>
      <c r="C2445" s="2">
        <v>45950</v>
      </c>
      <c r="D2445" s="2">
        <f t="shared" si="232"/>
        <v>45980</v>
      </c>
      <c r="E2445" s="1">
        <f>D2445+1</f>
        <v>45981</v>
      </c>
      <c r="F2445">
        <v>1649</v>
      </c>
      <c r="G2445">
        <v>30</v>
      </c>
      <c r="H2445">
        <f t="shared" si="231"/>
        <v>0</v>
      </c>
      <c r="I2445" t="str">
        <f t="shared" si="229"/>
        <v>On Time</v>
      </c>
      <c r="J2445" cm="1">
        <f t="array" ref="J2445">_xlfn.IFS(H2445&lt;30,0,H2445&lt;60,1,H2445&lt;90,2,H2445&lt;120,3)</f>
        <v>0</v>
      </c>
      <c r="M2445" t="str">
        <f t="shared" si="230"/>
        <v>Low</v>
      </c>
      <c r="N2445" t="str">
        <f t="shared" si="233"/>
        <v>Oct</v>
      </c>
      <c r="O2445">
        <f t="shared" si="234"/>
        <v>2025</v>
      </c>
    </row>
    <row r="2446" spans="1:15" x14ac:dyDescent="0.3">
      <c r="A2446">
        <v>201951</v>
      </c>
      <c r="B2446" t="s">
        <v>88</v>
      </c>
      <c r="C2446" s="2">
        <v>45950</v>
      </c>
      <c r="D2446" s="2">
        <f t="shared" si="232"/>
        <v>45980</v>
      </c>
      <c r="E2446" s="1">
        <f>D2446-1</f>
        <v>45979</v>
      </c>
      <c r="F2446">
        <v>2197</v>
      </c>
      <c r="G2446">
        <v>30</v>
      </c>
      <c r="H2446">
        <f t="shared" si="231"/>
        <v>0</v>
      </c>
      <c r="I2446" t="str">
        <f t="shared" si="229"/>
        <v>On Time</v>
      </c>
      <c r="J2446" cm="1">
        <f t="array" ref="J2446">_xlfn.IFS(H2446&lt;30,0,H2446&lt;60,1,H2446&lt;90,2,H2446&lt;120,3)</f>
        <v>0</v>
      </c>
      <c r="M2446" t="str">
        <f t="shared" si="230"/>
        <v>Low</v>
      </c>
      <c r="N2446" t="str">
        <f t="shared" si="233"/>
        <v>Oct</v>
      </c>
      <c r="O2446">
        <f t="shared" si="234"/>
        <v>2025</v>
      </c>
    </row>
    <row r="2447" spans="1:15" x14ac:dyDescent="0.3">
      <c r="A2447">
        <v>202357</v>
      </c>
      <c r="B2447" t="s">
        <v>60</v>
      </c>
      <c r="C2447" s="2">
        <v>45950</v>
      </c>
      <c r="D2447" s="2">
        <f t="shared" si="232"/>
        <v>45980</v>
      </c>
      <c r="E2447" s="1">
        <f>D2447+15</f>
        <v>45995</v>
      </c>
      <c r="F2447">
        <v>6161</v>
      </c>
      <c r="G2447">
        <v>30</v>
      </c>
      <c r="H2447">
        <f t="shared" si="231"/>
        <v>0</v>
      </c>
      <c r="I2447" t="str">
        <f t="shared" si="229"/>
        <v>On Time</v>
      </c>
      <c r="J2447" cm="1">
        <f t="array" ref="J2447">_xlfn.IFS(H2447&lt;30,0,H2447&lt;60,1,H2447&lt;90,2,H2447&lt;120,3)</f>
        <v>0</v>
      </c>
      <c r="M2447" t="str">
        <f t="shared" si="230"/>
        <v>Low</v>
      </c>
      <c r="N2447" t="str">
        <f t="shared" si="233"/>
        <v>Oct</v>
      </c>
      <c r="O2447">
        <f t="shared" si="234"/>
        <v>2025</v>
      </c>
    </row>
    <row r="2448" spans="1:15" x14ac:dyDescent="0.3">
      <c r="A2448">
        <v>202358</v>
      </c>
      <c r="B2448" t="s">
        <v>61</v>
      </c>
      <c r="C2448" s="2">
        <v>45950</v>
      </c>
      <c r="D2448" s="2">
        <f t="shared" si="232"/>
        <v>45980</v>
      </c>
      <c r="E2448" s="1">
        <f>D2448</f>
        <v>45980</v>
      </c>
      <c r="F2448">
        <v>2385</v>
      </c>
      <c r="G2448">
        <v>30</v>
      </c>
      <c r="H2448">
        <f t="shared" si="231"/>
        <v>0</v>
      </c>
      <c r="I2448" t="str">
        <f t="shared" si="229"/>
        <v>On Time</v>
      </c>
      <c r="J2448" cm="1">
        <f t="array" ref="J2448">_xlfn.IFS(H2448&lt;30,0,H2448&lt;60,1,H2448&lt;90,2,H2448&lt;120,3)</f>
        <v>0</v>
      </c>
      <c r="M2448" t="str">
        <f t="shared" si="230"/>
        <v>Low</v>
      </c>
      <c r="N2448" t="str">
        <f t="shared" si="233"/>
        <v>Oct</v>
      </c>
      <c r="O2448">
        <f t="shared" si="234"/>
        <v>2025</v>
      </c>
    </row>
    <row r="2449" spans="1:15" x14ac:dyDescent="0.3">
      <c r="A2449">
        <v>202359</v>
      </c>
      <c r="B2449" t="s">
        <v>62</v>
      </c>
      <c r="C2449" s="2">
        <v>45950</v>
      </c>
      <c r="D2449" s="2">
        <f t="shared" si="232"/>
        <v>45980</v>
      </c>
      <c r="E2449" s="1">
        <f>D2449-2</f>
        <v>45978</v>
      </c>
      <c r="F2449">
        <v>775</v>
      </c>
      <c r="G2449">
        <v>30</v>
      </c>
      <c r="H2449">
        <f t="shared" si="231"/>
        <v>0</v>
      </c>
      <c r="I2449" t="str">
        <f t="shared" si="229"/>
        <v>On Time</v>
      </c>
      <c r="J2449" cm="1">
        <f t="array" ref="J2449">_xlfn.IFS(H2449&lt;30,0,H2449&lt;60,1,H2449&lt;90,2,H2449&lt;120,3)</f>
        <v>0</v>
      </c>
      <c r="M2449" t="str">
        <f t="shared" si="230"/>
        <v>Low</v>
      </c>
      <c r="N2449" t="str">
        <f t="shared" si="233"/>
        <v>Oct</v>
      </c>
      <c r="O2449">
        <f t="shared" si="234"/>
        <v>2025</v>
      </c>
    </row>
    <row r="2450" spans="1:15" x14ac:dyDescent="0.3">
      <c r="A2450">
        <v>202360</v>
      </c>
      <c r="B2450" t="s">
        <v>63</v>
      </c>
      <c r="C2450" s="2">
        <v>45950</v>
      </c>
      <c r="D2450" s="2">
        <f t="shared" si="232"/>
        <v>45980</v>
      </c>
      <c r="E2450" s="1">
        <f>D2450</f>
        <v>45980</v>
      </c>
      <c r="F2450">
        <v>696</v>
      </c>
      <c r="G2450">
        <v>30</v>
      </c>
      <c r="H2450">
        <f t="shared" si="231"/>
        <v>0</v>
      </c>
      <c r="I2450" t="str">
        <f t="shared" si="229"/>
        <v>On Time</v>
      </c>
      <c r="J2450" cm="1">
        <f t="array" ref="J2450">_xlfn.IFS(H2450&lt;30,0,H2450&lt;60,1,H2450&lt;90,2,H2450&lt;120,3)</f>
        <v>0</v>
      </c>
      <c r="M2450" t="str">
        <f t="shared" si="230"/>
        <v>Low</v>
      </c>
      <c r="N2450" t="str">
        <f t="shared" si="233"/>
        <v>Oct</v>
      </c>
      <c r="O2450">
        <f t="shared" si="234"/>
        <v>2025</v>
      </c>
    </row>
    <row r="2451" spans="1:15" x14ac:dyDescent="0.3">
      <c r="A2451">
        <v>202361</v>
      </c>
      <c r="B2451" t="s">
        <v>64</v>
      </c>
      <c r="C2451" s="2">
        <v>45950</v>
      </c>
      <c r="D2451" s="2">
        <f t="shared" si="232"/>
        <v>45980</v>
      </c>
      <c r="E2451" s="1">
        <f>D2451+2</f>
        <v>45982</v>
      </c>
      <c r="F2451">
        <v>11745</v>
      </c>
      <c r="G2451">
        <v>30</v>
      </c>
      <c r="H2451">
        <f t="shared" si="231"/>
        <v>0</v>
      </c>
      <c r="I2451" t="str">
        <f t="shared" si="229"/>
        <v>On Time</v>
      </c>
      <c r="J2451" cm="1">
        <f t="array" ref="J2451">_xlfn.IFS(H2451&lt;30,0,H2451&lt;60,1,H2451&lt;90,2,H2451&lt;120,3)</f>
        <v>0</v>
      </c>
      <c r="M2451" t="str">
        <f t="shared" si="230"/>
        <v>Low</v>
      </c>
      <c r="N2451" t="str">
        <f t="shared" si="233"/>
        <v>Oct</v>
      </c>
      <c r="O2451">
        <f t="shared" si="234"/>
        <v>2025</v>
      </c>
    </row>
    <row r="2452" spans="1:15" x14ac:dyDescent="0.3">
      <c r="A2452">
        <v>202362</v>
      </c>
      <c r="B2452" t="s">
        <v>65</v>
      </c>
      <c r="C2452" s="2">
        <v>45950</v>
      </c>
      <c r="D2452" s="2">
        <f t="shared" si="232"/>
        <v>45995</v>
      </c>
      <c r="E2452" s="1">
        <f>D2452+2</f>
        <v>45997</v>
      </c>
      <c r="F2452">
        <v>2716</v>
      </c>
      <c r="G2452">
        <v>45</v>
      </c>
      <c r="H2452">
        <f t="shared" si="231"/>
        <v>0</v>
      </c>
      <c r="I2452" t="str">
        <f t="shared" si="229"/>
        <v>On Time</v>
      </c>
      <c r="J2452" cm="1">
        <f t="array" ref="J2452">_xlfn.IFS(H2452&lt;30,0,H2452&lt;60,1,H2452&lt;90,2,H2452&lt;120,3)</f>
        <v>0</v>
      </c>
      <c r="M2452" t="str">
        <f t="shared" si="230"/>
        <v>Low</v>
      </c>
      <c r="N2452" t="str">
        <f t="shared" si="233"/>
        <v>Oct</v>
      </c>
      <c r="O2452">
        <f t="shared" si="234"/>
        <v>2025</v>
      </c>
    </row>
    <row r="2453" spans="1:15" x14ac:dyDescent="0.3">
      <c r="A2453">
        <v>202363</v>
      </c>
      <c r="B2453" t="s">
        <v>94</v>
      </c>
      <c r="C2453" s="2">
        <v>45950</v>
      </c>
      <c r="D2453" s="2">
        <f t="shared" si="232"/>
        <v>45980</v>
      </c>
      <c r="E2453" s="1">
        <f>D2453+2</f>
        <v>45982</v>
      </c>
      <c r="F2453">
        <v>2423</v>
      </c>
      <c r="G2453">
        <v>30</v>
      </c>
      <c r="H2453">
        <f t="shared" si="231"/>
        <v>0</v>
      </c>
      <c r="I2453" t="str">
        <f t="shared" si="229"/>
        <v>On Time</v>
      </c>
      <c r="J2453" cm="1">
        <f t="array" ref="J2453">_xlfn.IFS(H2453&lt;30,0,H2453&lt;60,1,H2453&lt;90,2,H2453&lt;120,3)</f>
        <v>0</v>
      </c>
      <c r="M2453" t="str">
        <f t="shared" si="230"/>
        <v>Low</v>
      </c>
      <c r="N2453" t="str">
        <f t="shared" si="233"/>
        <v>Oct</v>
      </c>
      <c r="O2453">
        <f t="shared" si="234"/>
        <v>2025</v>
      </c>
    </row>
    <row r="2454" spans="1:15" x14ac:dyDescent="0.3">
      <c r="A2454">
        <v>202364</v>
      </c>
      <c r="B2454" t="s">
        <v>95</v>
      </c>
      <c r="C2454" s="2">
        <v>45950</v>
      </c>
      <c r="D2454" s="2">
        <f t="shared" si="232"/>
        <v>45995</v>
      </c>
      <c r="E2454" s="1">
        <f>D2454</f>
        <v>45995</v>
      </c>
      <c r="F2454">
        <v>2669</v>
      </c>
      <c r="G2454">
        <v>45</v>
      </c>
      <c r="H2454">
        <f t="shared" si="231"/>
        <v>0</v>
      </c>
      <c r="I2454" t="str">
        <f t="shared" ref="I2454:I2517" si="235">IF(H2454=0,"On Time",IF(H2454&lt;=15,"Paid Late","Seriously Late"))</f>
        <v>On Time</v>
      </c>
      <c r="J2454" cm="1">
        <f t="array" ref="J2454">_xlfn.IFS(H2454&lt;30,0,H2454&lt;60,1,H2454&lt;90,2,H2454&lt;120,3)</f>
        <v>0</v>
      </c>
      <c r="M2454" t="str">
        <f t="shared" ref="M2454:M2517" si="236">IF(H2454&gt;30,"High",IF(H2454&gt;10,"Medium","Low"))</f>
        <v>Low</v>
      </c>
      <c r="N2454" t="str">
        <f t="shared" si="233"/>
        <v>Oct</v>
      </c>
      <c r="O2454">
        <f t="shared" si="234"/>
        <v>2025</v>
      </c>
    </row>
    <row r="2455" spans="1:15" x14ac:dyDescent="0.3">
      <c r="A2455">
        <v>202365</v>
      </c>
      <c r="B2455" t="s">
        <v>96</v>
      </c>
      <c r="C2455" s="2">
        <v>45950</v>
      </c>
      <c r="D2455" s="2">
        <f t="shared" si="232"/>
        <v>46010</v>
      </c>
      <c r="E2455" s="1">
        <f>D2455+20</f>
        <v>46030</v>
      </c>
      <c r="F2455">
        <v>633</v>
      </c>
      <c r="G2455">
        <v>60</v>
      </c>
      <c r="H2455">
        <f t="shared" si="231"/>
        <v>0</v>
      </c>
      <c r="I2455" t="str">
        <f t="shared" si="235"/>
        <v>On Time</v>
      </c>
      <c r="J2455" cm="1">
        <f t="array" ref="J2455">_xlfn.IFS(H2455&lt;30,0,H2455&lt;60,1,H2455&lt;90,2,H2455&lt;120,3)</f>
        <v>0</v>
      </c>
      <c r="M2455" t="str">
        <f t="shared" si="236"/>
        <v>Low</v>
      </c>
      <c r="N2455" t="str">
        <f t="shared" si="233"/>
        <v>Oct</v>
      </c>
      <c r="O2455">
        <f t="shared" si="234"/>
        <v>2025</v>
      </c>
    </row>
    <row r="2456" spans="1:15" x14ac:dyDescent="0.3">
      <c r="A2456">
        <v>202366</v>
      </c>
      <c r="B2456" t="s">
        <v>97</v>
      </c>
      <c r="C2456" s="2">
        <v>45950</v>
      </c>
      <c r="D2456" s="2">
        <f t="shared" si="232"/>
        <v>45980</v>
      </c>
      <c r="E2456" s="1">
        <f>D2456</f>
        <v>45980</v>
      </c>
      <c r="F2456">
        <v>2778</v>
      </c>
      <c r="G2456">
        <v>30</v>
      </c>
      <c r="H2456">
        <f t="shared" si="231"/>
        <v>0</v>
      </c>
      <c r="I2456" t="str">
        <f t="shared" si="235"/>
        <v>On Time</v>
      </c>
      <c r="J2456" cm="1">
        <f t="array" ref="J2456">_xlfn.IFS(H2456&lt;30,0,H2456&lt;60,1,H2456&lt;90,2,H2456&lt;120,3)</f>
        <v>0</v>
      </c>
      <c r="M2456" t="str">
        <f t="shared" si="236"/>
        <v>Low</v>
      </c>
      <c r="N2456" t="str">
        <f t="shared" si="233"/>
        <v>Oct</v>
      </c>
      <c r="O2456">
        <f t="shared" si="234"/>
        <v>2025</v>
      </c>
    </row>
    <row r="2457" spans="1:15" x14ac:dyDescent="0.3">
      <c r="A2457">
        <v>202367</v>
      </c>
      <c r="B2457" t="s">
        <v>98</v>
      </c>
      <c r="C2457" s="2">
        <v>45950</v>
      </c>
      <c r="D2457" s="2">
        <f t="shared" si="232"/>
        <v>45980</v>
      </c>
      <c r="E2457" s="1">
        <f>D2457+1</f>
        <v>45981</v>
      </c>
      <c r="F2457">
        <v>10877</v>
      </c>
      <c r="G2457">
        <v>30</v>
      </c>
      <c r="H2457">
        <f t="shared" si="231"/>
        <v>0</v>
      </c>
      <c r="I2457" t="str">
        <f t="shared" si="235"/>
        <v>On Time</v>
      </c>
      <c r="J2457" cm="1">
        <f t="array" ref="J2457">_xlfn.IFS(H2457&lt;30,0,H2457&lt;60,1,H2457&lt;90,2,H2457&lt;120,3)</f>
        <v>0</v>
      </c>
      <c r="M2457" t="str">
        <f t="shared" si="236"/>
        <v>Low</v>
      </c>
      <c r="N2457" t="str">
        <f t="shared" si="233"/>
        <v>Oct</v>
      </c>
      <c r="O2457">
        <f t="shared" si="234"/>
        <v>2025</v>
      </c>
    </row>
    <row r="2458" spans="1:15" x14ac:dyDescent="0.3">
      <c r="A2458">
        <v>202368</v>
      </c>
      <c r="B2458" t="s">
        <v>99</v>
      </c>
      <c r="C2458" s="2">
        <v>45950</v>
      </c>
      <c r="D2458" s="2">
        <f t="shared" si="232"/>
        <v>45980</v>
      </c>
      <c r="E2458" s="1">
        <f>D2458</f>
        <v>45980</v>
      </c>
      <c r="F2458">
        <v>2967</v>
      </c>
      <c r="G2458">
        <v>30</v>
      </c>
      <c r="H2458">
        <f t="shared" si="231"/>
        <v>0</v>
      </c>
      <c r="I2458" t="str">
        <f t="shared" si="235"/>
        <v>On Time</v>
      </c>
      <c r="J2458" cm="1">
        <f t="array" ref="J2458">_xlfn.IFS(H2458&lt;30,0,H2458&lt;60,1,H2458&lt;90,2,H2458&lt;120,3)</f>
        <v>0</v>
      </c>
      <c r="M2458" t="str">
        <f t="shared" si="236"/>
        <v>Low</v>
      </c>
      <c r="N2458" t="str">
        <f t="shared" si="233"/>
        <v>Oct</v>
      </c>
      <c r="O2458">
        <f t="shared" si="234"/>
        <v>2025</v>
      </c>
    </row>
    <row r="2459" spans="1:15" x14ac:dyDescent="0.3">
      <c r="A2459">
        <v>202369</v>
      </c>
      <c r="B2459" t="s">
        <v>100</v>
      </c>
      <c r="C2459" s="2">
        <v>45950</v>
      </c>
      <c r="D2459" s="2">
        <f t="shared" si="232"/>
        <v>45980</v>
      </c>
      <c r="E2459" s="1">
        <f>D2459</f>
        <v>45980</v>
      </c>
      <c r="F2459">
        <v>2646</v>
      </c>
      <c r="G2459">
        <v>30</v>
      </c>
      <c r="H2459">
        <f t="shared" si="231"/>
        <v>0</v>
      </c>
      <c r="I2459" t="str">
        <f t="shared" si="235"/>
        <v>On Time</v>
      </c>
      <c r="J2459" cm="1">
        <f t="array" ref="J2459">_xlfn.IFS(H2459&lt;30,0,H2459&lt;60,1,H2459&lt;90,2,H2459&lt;120,3)</f>
        <v>0</v>
      </c>
      <c r="M2459" t="str">
        <f t="shared" si="236"/>
        <v>Low</v>
      </c>
      <c r="N2459" t="str">
        <f t="shared" si="233"/>
        <v>Oct</v>
      </c>
      <c r="O2459">
        <f t="shared" si="234"/>
        <v>2025</v>
      </c>
    </row>
    <row r="2460" spans="1:15" x14ac:dyDescent="0.3">
      <c r="A2460">
        <v>202370</v>
      </c>
      <c r="B2460" t="s">
        <v>101</v>
      </c>
      <c r="C2460" s="2">
        <v>45950</v>
      </c>
      <c r="D2460" s="2">
        <f t="shared" si="232"/>
        <v>45980</v>
      </c>
      <c r="E2460" s="1">
        <f>D2460+5</f>
        <v>45985</v>
      </c>
      <c r="F2460">
        <v>540</v>
      </c>
      <c r="G2460">
        <v>30</v>
      </c>
      <c r="H2460">
        <f t="shared" si="231"/>
        <v>0</v>
      </c>
      <c r="I2460" t="str">
        <f t="shared" si="235"/>
        <v>On Time</v>
      </c>
      <c r="J2460" cm="1">
        <f t="array" ref="J2460">_xlfn.IFS(H2460&lt;30,0,H2460&lt;60,1,H2460&lt;90,2,H2460&lt;120,3)</f>
        <v>0</v>
      </c>
      <c r="M2460" t="str">
        <f t="shared" si="236"/>
        <v>Low</v>
      </c>
      <c r="N2460" t="str">
        <f t="shared" si="233"/>
        <v>Oct</v>
      </c>
      <c r="O2460">
        <f t="shared" si="234"/>
        <v>2025</v>
      </c>
    </row>
    <row r="2461" spans="1:15" x14ac:dyDescent="0.3">
      <c r="A2461">
        <v>202371</v>
      </c>
      <c r="B2461" t="s">
        <v>102</v>
      </c>
      <c r="C2461" s="2">
        <v>45950</v>
      </c>
      <c r="D2461" s="2">
        <f t="shared" si="232"/>
        <v>45980</v>
      </c>
      <c r="E2461" s="1">
        <f>D2461+2</f>
        <v>45982</v>
      </c>
      <c r="F2461">
        <v>1169</v>
      </c>
      <c r="G2461">
        <v>30</v>
      </c>
      <c r="H2461">
        <f t="shared" si="231"/>
        <v>0</v>
      </c>
      <c r="I2461" t="str">
        <f t="shared" si="235"/>
        <v>On Time</v>
      </c>
      <c r="J2461" cm="1">
        <f t="array" ref="J2461">_xlfn.IFS(H2461&lt;30,0,H2461&lt;60,1,H2461&lt;90,2,H2461&lt;120,3)</f>
        <v>0</v>
      </c>
      <c r="M2461" t="str">
        <f t="shared" si="236"/>
        <v>Low</v>
      </c>
      <c r="N2461" t="str">
        <f t="shared" si="233"/>
        <v>Oct</v>
      </c>
      <c r="O2461">
        <f t="shared" si="234"/>
        <v>2025</v>
      </c>
    </row>
    <row r="2462" spans="1:15" x14ac:dyDescent="0.3">
      <c r="A2462">
        <v>202372</v>
      </c>
      <c r="B2462" t="s">
        <v>103</v>
      </c>
      <c r="C2462" s="2">
        <v>45950</v>
      </c>
      <c r="D2462" s="2">
        <f t="shared" si="232"/>
        <v>45980</v>
      </c>
      <c r="E2462" s="1">
        <f>D2462</f>
        <v>45980</v>
      </c>
      <c r="F2462">
        <v>4159</v>
      </c>
      <c r="G2462">
        <v>30</v>
      </c>
      <c r="H2462">
        <f t="shared" si="231"/>
        <v>0</v>
      </c>
      <c r="I2462" t="str">
        <f t="shared" si="235"/>
        <v>On Time</v>
      </c>
      <c r="J2462" cm="1">
        <f t="array" ref="J2462">_xlfn.IFS(H2462&lt;30,0,H2462&lt;60,1,H2462&lt;90,2,H2462&lt;120,3)</f>
        <v>0</v>
      </c>
      <c r="M2462" t="str">
        <f t="shared" si="236"/>
        <v>Low</v>
      </c>
      <c r="N2462" t="str">
        <f t="shared" si="233"/>
        <v>Oct</v>
      </c>
      <c r="O2462">
        <f t="shared" si="234"/>
        <v>2025</v>
      </c>
    </row>
    <row r="2463" spans="1:15" x14ac:dyDescent="0.3">
      <c r="A2463">
        <v>202373</v>
      </c>
      <c r="B2463" t="s">
        <v>104</v>
      </c>
      <c r="C2463" s="2">
        <v>45950</v>
      </c>
      <c r="D2463" s="2">
        <f t="shared" si="232"/>
        <v>45980</v>
      </c>
      <c r="E2463" s="1">
        <f>D2463</f>
        <v>45980</v>
      </c>
      <c r="F2463">
        <v>18198</v>
      </c>
      <c r="G2463">
        <v>30</v>
      </c>
      <c r="H2463">
        <f t="shared" si="231"/>
        <v>0</v>
      </c>
      <c r="I2463" t="str">
        <f t="shared" si="235"/>
        <v>On Time</v>
      </c>
      <c r="J2463" cm="1">
        <f t="array" ref="J2463">_xlfn.IFS(H2463&lt;30,0,H2463&lt;60,1,H2463&lt;90,2,H2463&lt;120,3)</f>
        <v>0</v>
      </c>
      <c r="M2463" t="str">
        <f t="shared" si="236"/>
        <v>Low</v>
      </c>
      <c r="N2463" t="str">
        <f t="shared" si="233"/>
        <v>Oct</v>
      </c>
      <c r="O2463">
        <f t="shared" si="234"/>
        <v>2025</v>
      </c>
    </row>
    <row r="2464" spans="1:15" x14ac:dyDescent="0.3">
      <c r="A2464">
        <v>202374</v>
      </c>
      <c r="B2464" t="s">
        <v>105</v>
      </c>
      <c r="C2464" s="2">
        <v>45950</v>
      </c>
      <c r="D2464" s="2">
        <f t="shared" si="232"/>
        <v>45980</v>
      </c>
      <c r="E2464" s="1">
        <f>D2464</f>
        <v>45980</v>
      </c>
      <c r="F2464">
        <v>3724</v>
      </c>
      <c r="G2464">
        <v>30</v>
      </c>
      <c r="H2464">
        <f t="shared" si="231"/>
        <v>0</v>
      </c>
      <c r="I2464" t="str">
        <f t="shared" si="235"/>
        <v>On Time</v>
      </c>
      <c r="J2464" cm="1">
        <f t="array" ref="J2464">_xlfn.IFS(H2464&lt;30,0,H2464&lt;60,1,H2464&lt;90,2,H2464&lt;120,3)</f>
        <v>0</v>
      </c>
      <c r="M2464" t="str">
        <f t="shared" si="236"/>
        <v>Low</v>
      </c>
      <c r="N2464" t="str">
        <f t="shared" si="233"/>
        <v>Oct</v>
      </c>
      <c r="O2464">
        <f t="shared" si="234"/>
        <v>2025</v>
      </c>
    </row>
    <row r="2465" spans="1:15" x14ac:dyDescent="0.3">
      <c r="A2465">
        <v>202375</v>
      </c>
      <c r="B2465" t="s">
        <v>114</v>
      </c>
      <c r="C2465" s="2">
        <v>45950</v>
      </c>
      <c r="D2465" s="2">
        <f t="shared" si="232"/>
        <v>45980</v>
      </c>
      <c r="E2465" s="1">
        <f>D2465+60</f>
        <v>46040</v>
      </c>
      <c r="F2465">
        <v>3612</v>
      </c>
      <c r="G2465">
        <v>30</v>
      </c>
      <c r="H2465">
        <f t="shared" si="231"/>
        <v>0</v>
      </c>
      <c r="I2465" t="str">
        <f t="shared" si="235"/>
        <v>On Time</v>
      </c>
      <c r="J2465" cm="1">
        <f t="array" ref="J2465">_xlfn.IFS(H2465&lt;30,0,H2465&lt;60,1,H2465&lt;90,2,H2465&lt;120,3)</f>
        <v>0</v>
      </c>
      <c r="M2465" t="str">
        <f t="shared" si="236"/>
        <v>Low</v>
      </c>
      <c r="N2465" t="str">
        <f t="shared" si="233"/>
        <v>Oct</v>
      </c>
      <c r="O2465">
        <f t="shared" si="234"/>
        <v>2025</v>
      </c>
    </row>
    <row r="2466" spans="1:15" x14ac:dyDescent="0.3">
      <c r="A2466">
        <v>202340</v>
      </c>
      <c r="B2466" t="s">
        <v>21</v>
      </c>
      <c r="C2466" s="2">
        <v>45949</v>
      </c>
      <c r="D2466" s="2">
        <f t="shared" si="232"/>
        <v>45979</v>
      </c>
      <c r="E2466" s="1">
        <f>D2466</f>
        <v>45979</v>
      </c>
      <c r="F2466">
        <v>364</v>
      </c>
      <c r="G2466">
        <v>30</v>
      </c>
      <c r="H2466">
        <f t="shared" si="231"/>
        <v>0</v>
      </c>
      <c r="I2466" t="str">
        <f t="shared" si="235"/>
        <v>On Time</v>
      </c>
      <c r="J2466" cm="1">
        <f t="array" ref="J2466">_xlfn.IFS(H2466&lt;30,0,H2466&lt;60,1,H2466&lt;90,2,H2466&lt;120,3)</f>
        <v>0</v>
      </c>
      <c r="M2466" t="str">
        <f t="shared" si="236"/>
        <v>Low</v>
      </c>
      <c r="N2466" t="str">
        <f t="shared" si="233"/>
        <v>Oct</v>
      </c>
      <c r="O2466">
        <f t="shared" si="234"/>
        <v>2025</v>
      </c>
    </row>
    <row r="2467" spans="1:15" x14ac:dyDescent="0.3">
      <c r="A2467">
        <v>202341</v>
      </c>
      <c r="B2467" t="s">
        <v>22</v>
      </c>
      <c r="C2467" s="2">
        <v>45949</v>
      </c>
      <c r="D2467" s="2">
        <f t="shared" si="232"/>
        <v>45979</v>
      </c>
      <c r="E2467" s="1">
        <f>D2467</f>
        <v>45979</v>
      </c>
      <c r="F2467">
        <v>2454</v>
      </c>
      <c r="G2467">
        <v>30</v>
      </c>
      <c r="H2467">
        <f t="shared" si="231"/>
        <v>0</v>
      </c>
      <c r="I2467" t="str">
        <f t="shared" si="235"/>
        <v>On Time</v>
      </c>
      <c r="J2467" cm="1">
        <f t="array" ref="J2467">_xlfn.IFS(H2467&lt;30,0,H2467&lt;60,1,H2467&lt;90,2,H2467&lt;120,3)</f>
        <v>0</v>
      </c>
      <c r="M2467" t="str">
        <f t="shared" si="236"/>
        <v>Low</v>
      </c>
      <c r="N2467" t="str">
        <f t="shared" si="233"/>
        <v>Oct</v>
      </c>
      <c r="O2467">
        <f t="shared" si="234"/>
        <v>2025</v>
      </c>
    </row>
    <row r="2468" spans="1:15" x14ac:dyDescent="0.3">
      <c r="A2468">
        <v>202342</v>
      </c>
      <c r="B2468" t="s">
        <v>23</v>
      </c>
      <c r="C2468" s="2">
        <v>45949</v>
      </c>
      <c r="D2468" s="2">
        <f t="shared" si="232"/>
        <v>45994</v>
      </c>
      <c r="E2468" s="1">
        <f>D2468+62</f>
        <v>46056</v>
      </c>
      <c r="F2468">
        <v>1790</v>
      </c>
      <c r="G2468">
        <v>45</v>
      </c>
      <c r="H2468">
        <f t="shared" si="231"/>
        <v>0</v>
      </c>
      <c r="I2468" t="str">
        <f t="shared" si="235"/>
        <v>On Time</v>
      </c>
      <c r="J2468" cm="1">
        <f t="array" ref="J2468">_xlfn.IFS(H2468&lt;30,0,H2468&lt;60,1,H2468&lt;90,2,H2468&lt;120,3)</f>
        <v>0</v>
      </c>
      <c r="M2468" t="str">
        <f t="shared" si="236"/>
        <v>Low</v>
      </c>
      <c r="N2468" t="str">
        <f t="shared" si="233"/>
        <v>Oct</v>
      </c>
      <c r="O2468">
        <f t="shared" si="234"/>
        <v>2025</v>
      </c>
    </row>
    <row r="2469" spans="1:15" x14ac:dyDescent="0.3">
      <c r="A2469">
        <v>202343</v>
      </c>
      <c r="B2469" t="s">
        <v>24</v>
      </c>
      <c r="C2469" s="2">
        <v>45949</v>
      </c>
      <c r="D2469" s="2">
        <f t="shared" si="232"/>
        <v>45994</v>
      </c>
      <c r="E2469" s="1">
        <f>D2469</f>
        <v>45994</v>
      </c>
      <c r="F2469">
        <v>4761</v>
      </c>
      <c r="G2469">
        <v>45</v>
      </c>
      <c r="H2469">
        <f t="shared" si="231"/>
        <v>0</v>
      </c>
      <c r="I2469" t="str">
        <f t="shared" si="235"/>
        <v>On Time</v>
      </c>
      <c r="J2469" cm="1">
        <f t="array" ref="J2469">_xlfn.IFS(H2469&lt;30,0,H2469&lt;60,1,H2469&lt;90,2,H2469&lt;120,3)</f>
        <v>0</v>
      </c>
      <c r="M2469" t="str">
        <f t="shared" si="236"/>
        <v>Low</v>
      </c>
      <c r="N2469" t="str">
        <f t="shared" si="233"/>
        <v>Oct</v>
      </c>
      <c r="O2469">
        <f t="shared" si="234"/>
        <v>2025</v>
      </c>
    </row>
    <row r="2470" spans="1:15" x14ac:dyDescent="0.3">
      <c r="A2470">
        <v>202344</v>
      </c>
      <c r="B2470" t="s">
        <v>25</v>
      </c>
      <c r="C2470" s="2">
        <v>45949</v>
      </c>
      <c r="D2470" s="2">
        <f t="shared" si="232"/>
        <v>46009</v>
      </c>
      <c r="F2470">
        <v>7879</v>
      </c>
      <c r="G2470">
        <v>60</v>
      </c>
      <c r="H2470">
        <f t="shared" ref="H2470:H2533" si="237">MAX(0,P2435-D2470)</f>
        <v>0</v>
      </c>
      <c r="I2470" t="str">
        <f t="shared" si="235"/>
        <v>On Time</v>
      </c>
      <c r="J2470" cm="1">
        <f t="array" ref="J2470">_xlfn.IFS(H2470&lt;30,0,H2470&lt;60,1,H2470&lt;90,2,H2470&lt;120,3)</f>
        <v>0</v>
      </c>
      <c r="M2470" t="str">
        <f t="shared" si="236"/>
        <v>Low</v>
      </c>
      <c r="N2470" t="str">
        <f t="shared" si="233"/>
        <v>Oct</v>
      </c>
      <c r="O2470">
        <f t="shared" si="234"/>
        <v>2025</v>
      </c>
    </row>
    <row r="2471" spans="1:15" x14ac:dyDescent="0.3">
      <c r="A2471">
        <v>202345</v>
      </c>
      <c r="B2471" t="s">
        <v>26</v>
      </c>
      <c r="C2471" s="2">
        <v>45949</v>
      </c>
      <c r="D2471" s="2">
        <f t="shared" si="232"/>
        <v>45979</v>
      </c>
      <c r="E2471" s="1">
        <f>D2471+3</f>
        <v>45982</v>
      </c>
      <c r="F2471">
        <v>1477</v>
      </c>
      <c r="G2471">
        <v>30</v>
      </c>
      <c r="H2471">
        <f t="shared" si="237"/>
        <v>0</v>
      </c>
      <c r="I2471" t="str">
        <f t="shared" si="235"/>
        <v>On Time</v>
      </c>
      <c r="J2471" cm="1">
        <f t="array" ref="J2471">_xlfn.IFS(H2471&lt;30,0,H2471&lt;60,1,H2471&lt;90,2,H2471&lt;120,3)</f>
        <v>0</v>
      </c>
      <c r="M2471" t="str">
        <f t="shared" si="236"/>
        <v>Low</v>
      </c>
      <c r="N2471" t="str">
        <f t="shared" si="233"/>
        <v>Oct</v>
      </c>
      <c r="O2471">
        <f t="shared" si="234"/>
        <v>2025</v>
      </c>
    </row>
    <row r="2472" spans="1:15" x14ac:dyDescent="0.3">
      <c r="A2472">
        <v>202346</v>
      </c>
      <c r="B2472" t="s">
        <v>27</v>
      </c>
      <c r="C2472" s="2">
        <v>45949</v>
      </c>
      <c r="D2472" s="2">
        <f t="shared" si="232"/>
        <v>46009</v>
      </c>
      <c r="E2472" s="1">
        <f>D2472+1</f>
        <v>46010</v>
      </c>
      <c r="F2472">
        <v>3160</v>
      </c>
      <c r="G2472">
        <v>60</v>
      </c>
      <c r="H2472">
        <f t="shared" si="237"/>
        <v>0</v>
      </c>
      <c r="I2472" t="str">
        <f t="shared" si="235"/>
        <v>On Time</v>
      </c>
      <c r="J2472" cm="1">
        <f t="array" ref="J2472">_xlfn.IFS(H2472&lt;30,0,H2472&lt;60,1,H2472&lt;90,2,H2472&lt;120,3)</f>
        <v>0</v>
      </c>
      <c r="M2472" t="str">
        <f t="shared" si="236"/>
        <v>Low</v>
      </c>
      <c r="N2472" t="str">
        <f t="shared" si="233"/>
        <v>Oct</v>
      </c>
      <c r="O2472">
        <f t="shared" si="234"/>
        <v>2025</v>
      </c>
    </row>
    <row r="2473" spans="1:15" x14ac:dyDescent="0.3">
      <c r="A2473">
        <v>202347</v>
      </c>
      <c r="B2473" t="s">
        <v>28</v>
      </c>
      <c r="C2473" s="2">
        <v>45949</v>
      </c>
      <c r="D2473" s="2">
        <f t="shared" si="232"/>
        <v>45979</v>
      </c>
      <c r="E2473" s="1">
        <f>D2473-1</f>
        <v>45978</v>
      </c>
      <c r="F2473">
        <v>2401</v>
      </c>
      <c r="G2473">
        <v>30</v>
      </c>
      <c r="H2473">
        <f t="shared" si="237"/>
        <v>0</v>
      </c>
      <c r="I2473" t="str">
        <f t="shared" si="235"/>
        <v>On Time</v>
      </c>
      <c r="J2473" cm="1">
        <f t="array" ref="J2473">_xlfn.IFS(H2473&lt;30,0,H2473&lt;60,1,H2473&lt;90,2,H2473&lt;120,3)</f>
        <v>0</v>
      </c>
      <c r="M2473" t="str">
        <f t="shared" si="236"/>
        <v>Low</v>
      </c>
      <c r="N2473" t="str">
        <f t="shared" si="233"/>
        <v>Oct</v>
      </c>
      <c r="O2473">
        <f t="shared" si="234"/>
        <v>2025</v>
      </c>
    </row>
    <row r="2474" spans="1:15" x14ac:dyDescent="0.3">
      <c r="A2474">
        <v>202348</v>
      </c>
      <c r="B2474" t="s">
        <v>29</v>
      </c>
      <c r="C2474" s="2">
        <v>45949</v>
      </c>
      <c r="D2474" s="2">
        <f t="shared" si="232"/>
        <v>45979</v>
      </c>
      <c r="E2474" s="1">
        <f>D2474</f>
        <v>45979</v>
      </c>
      <c r="F2474">
        <v>19799</v>
      </c>
      <c r="G2474">
        <v>30</v>
      </c>
      <c r="H2474">
        <f t="shared" si="237"/>
        <v>0</v>
      </c>
      <c r="I2474" t="str">
        <f t="shared" si="235"/>
        <v>On Time</v>
      </c>
      <c r="J2474" cm="1">
        <f t="array" ref="J2474">_xlfn.IFS(H2474&lt;30,0,H2474&lt;60,1,H2474&lt;90,2,H2474&lt;120,3)</f>
        <v>0</v>
      </c>
      <c r="M2474" t="str">
        <f t="shared" si="236"/>
        <v>Low</v>
      </c>
      <c r="N2474" t="str">
        <f t="shared" si="233"/>
        <v>Oct</v>
      </c>
      <c r="O2474">
        <f t="shared" si="234"/>
        <v>2025</v>
      </c>
    </row>
    <row r="2475" spans="1:15" x14ac:dyDescent="0.3">
      <c r="A2475">
        <v>202349</v>
      </c>
      <c r="B2475" t="s">
        <v>30</v>
      </c>
      <c r="C2475" s="2">
        <v>45949</v>
      </c>
      <c r="D2475" s="2">
        <f t="shared" si="232"/>
        <v>45979</v>
      </c>
      <c r="E2475" s="1">
        <f>D2475-5</f>
        <v>45974</v>
      </c>
      <c r="F2475">
        <v>1679</v>
      </c>
      <c r="G2475">
        <v>30</v>
      </c>
      <c r="H2475">
        <f t="shared" si="237"/>
        <v>0</v>
      </c>
      <c r="I2475" t="str">
        <f t="shared" si="235"/>
        <v>On Time</v>
      </c>
      <c r="J2475" cm="1">
        <f t="array" ref="J2475">_xlfn.IFS(H2475&lt;30,0,H2475&lt;60,1,H2475&lt;90,2,H2475&lt;120,3)</f>
        <v>0</v>
      </c>
      <c r="M2475" t="str">
        <f t="shared" si="236"/>
        <v>Low</v>
      </c>
      <c r="N2475" t="str">
        <f t="shared" si="233"/>
        <v>Oct</v>
      </c>
      <c r="O2475">
        <f t="shared" si="234"/>
        <v>2025</v>
      </c>
    </row>
    <row r="2476" spans="1:15" x14ac:dyDescent="0.3">
      <c r="A2476">
        <v>202350</v>
      </c>
      <c r="B2476" t="s">
        <v>31</v>
      </c>
      <c r="C2476" s="2">
        <v>45949</v>
      </c>
      <c r="D2476" s="2">
        <f t="shared" si="232"/>
        <v>45994</v>
      </c>
      <c r="E2476" s="1">
        <f>D2476+35</f>
        <v>46029</v>
      </c>
      <c r="F2476">
        <v>3825</v>
      </c>
      <c r="G2476">
        <v>45</v>
      </c>
      <c r="H2476">
        <f t="shared" si="237"/>
        <v>0</v>
      </c>
      <c r="I2476" t="str">
        <f t="shared" si="235"/>
        <v>On Time</v>
      </c>
      <c r="J2476" cm="1">
        <f t="array" ref="J2476">_xlfn.IFS(H2476&lt;30,0,H2476&lt;60,1,H2476&lt;90,2,H2476&lt;120,3)</f>
        <v>0</v>
      </c>
      <c r="M2476" t="str">
        <f t="shared" si="236"/>
        <v>Low</v>
      </c>
      <c r="N2476" t="str">
        <f t="shared" si="233"/>
        <v>Oct</v>
      </c>
      <c r="O2476">
        <f t="shared" si="234"/>
        <v>2025</v>
      </c>
    </row>
    <row r="2477" spans="1:15" x14ac:dyDescent="0.3">
      <c r="A2477">
        <v>202351</v>
      </c>
      <c r="B2477" t="s">
        <v>54</v>
      </c>
      <c r="C2477" s="2">
        <v>45949</v>
      </c>
      <c r="D2477" s="2">
        <f t="shared" si="232"/>
        <v>45979</v>
      </c>
      <c r="E2477" s="1">
        <f>D2477+75</f>
        <v>46054</v>
      </c>
      <c r="F2477">
        <v>3859</v>
      </c>
      <c r="G2477">
        <v>30</v>
      </c>
      <c r="H2477">
        <f t="shared" si="237"/>
        <v>0</v>
      </c>
      <c r="I2477" t="str">
        <f t="shared" si="235"/>
        <v>On Time</v>
      </c>
      <c r="J2477" cm="1">
        <f t="array" ref="J2477">_xlfn.IFS(H2477&lt;30,0,H2477&lt;60,1,H2477&lt;90,2,H2477&lt;120,3)</f>
        <v>0</v>
      </c>
      <c r="M2477" t="str">
        <f t="shared" si="236"/>
        <v>Low</v>
      </c>
      <c r="N2477" t="str">
        <f t="shared" si="233"/>
        <v>Oct</v>
      </c>
      <c r="O2477">
        <f t="shared" si="234"/>
        <v>2025</v>
      </c>
    </row>
    <row r="2478" spans="1:15" x14ac:dyDescent="0.3">
      <c r="A2478">
        <v>202352</v>
      </c>
      <c r="B2478" t="s">
        <v>55</v>
      </c>
      <c r="C2478" s="2">
        <v>45949</v>
      </c>
      <c r="D2478" s="2">
        <f t="shared" si="232"/>
        <v>45979</v>
      </c>
      <c r="E2478" s="1">
        <f>D2478+5</f>
        <v>45984</v>
      </c>
      <c r="F2478">
        <v>7196</v>
      </c>
      <c r="G2478">
        <v>30</v>
      </c>
      <c r="H2478">
        <f t="shared" si="237"/>
        <v>0</v>
      </c>
      <c r="I2478" t="str">
        <f t="shared" si="235"/>
        <v>On Time</v>
      </c>
      <c r="J2478" cm="1">
        <f t="array" ref="J2478">_xlfn.IFS(H2478&lt;30,0,H2478&lt;60,1,H2478&lt;90,2,H2478&lt;120,3)</f>
        <v>0</v>
      </c>
      <c r="M2478" t="str">
        <f t="shared" si="236"/>
        <v>Low</v>
      </c>
      <c r="N2478" t="str">
        <f t="shared" si="233"/>
        <v>Oct</v>
      </c>
      <c r="O2478">
        <f t="shared" si="234"/>
        <v>2025</v>
      </c>
    </row>
    <row r="2479" spans="1:15" x14ac:dyDescent="0.3">
      <c r="A2479">
        <v>202353</v>
      </c>
      <c r="B2479" t="s">
        <v>56</v>
      </c>
      <c r="C2479" s="2">
        <v>45949</v>
      </c>
      <c r="D2479" s="2">
        <f t="shared" si="232"/>
        <v>45994</v>
      </c>
      <c r="E2479" s="1">
        <f>D2479</f>
        <v>45994</v>
      </c>
      <c r="F2479">
        <v>2598</v>
      </c>
      <c r="G2479">
        <v>45</v>
      </c>
      <c r="H2479">
        <f t="shared" si="237"/>
        <v>0</v>
      </c>
      <c r="I2479" t="str">
        <f t="shared" si="235"/>
        <v>On Time</v>
      </c>
      <c r="J2479" cm="1">
        <f t="array" ref="J2479">_xlfn.IFS(H2479&lt;30,0,H2479&lt;60,1,H2479&lt;90,2,H2479&lt;120,3)</f>
        <v>0</v>
      </c>
      <c r="M2479" t="str">
        <f t="shared" si="236"/>
        <v>Low</v>
      </c>
      <c r="N2479" t="str">
        <f t="shared" si="233"/>
        <v>Oct</v>
      </c>
      <c r="O2479">
        <f t="shared" si="234"/>
        <v>2025</v>
      </c>
    </row>
    <row r="2480" spans="1:15" x14ac:dyDescent="0.3">
      <c r="A2480">
        <v>202354</v>
      </c>
      <c r="B2480" t="s">
        <v>57</v>
      </c>
      <c r="C2480" s="2">
        <v>45949</v>
      </c>
      <c r="D2480" s="2">
        <f t="shared" si="232"/>
        <v>46009</v>
      </c>
      <c r="E2480" s="1">
        <f>D2480-1</f>
        <v>46008</v>
      </c>
      <c r="F2480">
        <v>2418</v>
      </c>
      <c r="G2480">
        <v>60</v>
      </c>
      <c r="H2480">
        <f t="shared" si="237"/>
        <v>0</v>
      </c>
      <c r="I2480" t="str">
        <f t="shared" si="235"/>
        <v>On Time</v>
      </c>
      <c r="J2480" cm="1">
        <f t="array" ref="J2480">_xlfn.IFS(H2480&lt;30,0,H2480&lt;60,1,H2480&lt;90,2,H2480&lt;120,3)</f>
        <v>0</v>
      </c>
      <c r="M2480" t="str">
        <f t="shared" si="236"/>
        <v>Low</v>
      </c>
      <c r="N2480" t="str">
        <f t="shared" si="233"/>
        <v>Oct</v>
      </c>
      <c r="O2480">
        <f t="shared" si="234"/>
        <v>2025</v>
      </c>
    </row>
    <row r="2481" spans="1:15" x14ac:dyDescent="0.3">
      <c r="A2481">
        <v>202355</v>
      </c>
      <c r="B2481" t="s">
        <v>58</v>
      </c>
      <c r="C2481" s="2">
        <v>45949</v>
      </c>
      <c r="D2481" s="2">
        <f t="shared" si="232"/>
        <v>45979</v>
      </c>
      <c r="E2481" s="1">
        <f>D2481</f>
        <v>45979</v>
      </c>
      <c r="F2481">
        <v>16899</v>
      </c>
      <c r="G2481">
        <v>30</v>
      </c>
      <c r="H2481">
        <f t="shared" si="237"/>
        <v>0</v>
      </c>
      <c r="I2481" t="str">
        <f t="shared" si="235"/>
        <v>On Time</v>
      </c>
      <c r="J2481" cm="1">
        <f t="array" ref="J2481">_xlfn.IFS(H2481&lt;30,0,H2481&lt;60,1,H2481&lt;90,2,H2481&lt;120,3)</f>
        <v>0</v>
      </c>
      <c r="M2481" t="str">
        <f t="shared" si="236"/>
        <v>Low</v>
      </c>
      <c r="N2481" t="str">
        <f t="shared" si="233"/>
        <v>Oct</v>
      </c>
      <c r="O2481">
        <f t="shared" si="234"/>
        <v>2025</v>
      </c>
    </row>
    <row r="2482" spans="1:15" x14ac:dyDescent="0.3">
      <c r="A2482">
        <v>202356</v>
      </c>
      <c r="B2482" t="s">
        <v>59</v>
      </c>
      <c r="C2482" s="2">
        <v>45949</v>
      </c>
      <c r="D2482" s="2">
        <f t="shared" si="232"/>
        <v>45979</v>
      </c>
      <c r="E2482" s="1">
        <f>D2482+32</f>
        <v>46011</v>
      </c>
      <c r="F2482">
        <v>3692</v>
      </c>
      <c r="G2482">
        <v>30</v>
      </c>
      <c r="H2482">
        <f t="shared" si="237"/>
        <v>0</v>
      </c>
      <c r="I2482" t="str">
        <f t="shared" si="235"/>
        <v>On Time</v>
      </c>
      <c r="J2482" cm="1">
        <f t="array" ref="J2482">_xlfn.IFS(H2482&lt;30,0,H2482&lt;60,1,H2482&lt;90,2,H2482&lt;120,3)</f>
        <v>0</v>
      </c>
      <c r="M2482" t="str">
        <f t="shared" si="236"/>
        <v>Low</v>
      </c>
      <c r="N2482" t="str">
        <f t="shared" si="233"/>
        <v>Oct</v>
      </c>
      <c r="O2482">
        <f t="shared" si="234"/>
        <v>2025</v>
      </c>
    </row>
    <row r="2483" spans="1:15" x14ac:dyDescent="0.3">
      <c r="A2483">
        <v>202320</v>
      </c>
      <c r="B2483" t="s">
        <v>57</v>
      </c>
      <c r="C2483" s="2">
        <v>45948</v>
      </c>
      <c r="D2483" s="2">
        <f t="shared" si="232"/>
        <v>46008</v>
      </c>
      <c r="E2483" s="1">
        <f>D2483</f>
        <v>46008</v>
      </c>
      <c r="F2483">
        <v>2835</v>
      </c>
      <c r="G2483">
        <v>60</v>
      </c>
      <c r="H2483">
        <f t="shared" si="237"/>
        <v>0</v>
      </c>
      <c r="I2483" t="str">
        <f t="shared" si="235"/>
        <v>On Time</v>
      </c>
      <c r="J2483" cm="1">
        <f t="array" ref="J2483">_xlfn.IFS(H2483&lt;30,0,H2483&lt;60,1,H2483&lt;90,2,H2483&lt;120,3)</f>
        <v>0</v>
      </c>
      <c r="M2483" t="str">
        <f t="shared" si="236"/>
        <v>Low</v>
      </c>
      <c r="N2483" t="str">
        <f t="shared" si="233"/>
        <v>Oct</v>
      </c>
      <c r="O2483">
        <f t="shared" si="234"/>
        <v>2025</v>
      </c>
    </row>
    <row r="2484" spans="1:15" x14ac:dyDescent="0.3">
      <c r="A2484">
        <v>202321</v>
      </c>
      <c r="B2484" t="s">
        <v>58</v>
      </c>
      <c r="C2484" s="2">
        <v>45948</v>
      </c>
      <c r="D2484" s="2">
        <f t="shared" si="232"/>
        <v>45978</v>
      </c>
      <c r="E2484" s="1">
        <f>D2484-1</f>
        <v>45977</v>
      </c>
      <c r="F2484">
        <v>3129</v>
      </c>
      <c r="G2484">
        <v>30</v>
      </c>
      <c r="H2484">
        <f t="shared" si="237"/>
        <v>0</v>
      </c>
      <c r="I2484" t="str">
        <f t="shared" si="235"/>
        <v>On Time</v>
      </c>
      <c r="J2484" cm="1">
        <f t="array" ref="J2484">_xlfn.IFS(H2484&lt;30,0,H2484&lt;60,1,H2484&lt;90,2,H2484&lt;120,3)</f>
        <v>0</v>
      </c>
      <c r="M2484" t="str">
        <f t="shared" si="236"/>
        <v>Low</v>
      </c>
      <c r="N2484" t="str">
        <f t="shared" si="233"/>
        <v>Oct</v>
      </c>
      <c r="O2484">
        <f t="shared" si="234"/>
        <v>2025</v>
      </c>
    </row>
    <row r="2485" spans="1:15" x14ac:dyDescent="0.3">
      <c r="A2485">
        <v>202322</v>
      </c>
      <c r="B2485" t="s">
        <v>59</v>
      </c>
      <c r="C2485" s="2">
        <v>45948</v>
      </c>
      <c r="D2485" s="2">
        <f t="shared" si="232"/>
        <v>45978</v>
      </c>
      <c r="E2485" s="1">
        <f>D2485</f>
        <v>45978</v>
      </c>
      <c r="F2485">
        <v>14227</v>
      </c>
      <c r="G2485">
        <v>30</v>
      </c>
      <c r="H2485">
        <f t="shared" si="237"/>
        <v>0</v>
      </c>
      <c r="I2485" t="str">
        <f t="shared" si="235"/>
        <v>On Time</v>
      </c>
      <c r="J2485" cm="1">
        <f t="array" ref="J2485">_xlfn.IFS(H2485&lt;30,0,H2485&lt;60,1,H2485&lt;90,2,H2485&lt;120,3)</f>
        <v>0</v>
      </c>
      <c r="M2485" t="str">
        <f t="shared" si="236"/>
        <v>Low</v>
      </c>
      <c r="N2485" t="str">
        <f t="shared" si="233"/>
        <v>Oct</v>
      </c>
      <c r="O2485">
        <f t="shared" si="234"/>
        <v>2025</v>
      </c>
    </row>
    <row r="2486" spans="1:15" x14ac:dyDescent="0.3">
      <c r="A2486">
        <v>202323</v>
      </c>
      <c r="B2486" t="s">
        <v>60</v>
      </c>
      <c r="C2486" s="2">
        <v>45948</v>
      </c>
      <c r="D2486" s="2">
        <f t="shared" si="232"/>
        <v>45978</v>
      </c>
      <c r="E2486" s="1">
        <f>D2486+32</f>
        <v>46010</v>
      </c>
      <c r="F2486">
        <v>4525</v>
      </c>
      <c r="G2486">
        <v>30</v>
      </c>
      <c r="H2486">
        <f t="shared" si="237"/>
        <v>0</v>
      </c>
      <c r="I2486" t="str">
        <f t="shared" si="235"/>
        <v>On Time</v>
      </c>
      <c r="J2486" cm="1">
        <f t="array" ref="J2486">_xlfn.IFS(H2486&lt;30,0,H2486&lt;60,1,H2486&lt;90,2,H2486&lt;120,3)</f>
        <v>0</v>
      </c>
      <c r="M2486" t="str">
        <f t="shared" si="236"/>
        <v>Low</v>
      </c>
      <c r="N2486" t="str">
        <f t="shared" si="233"/>
        <v>Oct</v>
      </c>
      <c r="O2486">
        <f t="shared" si="234"/>
        <v>2025</v>
      </c>
    </row>
    <row r="2487" spans="1:15" x14ac:dyDescent="0.3">
      <c r="A2487">
        <v>202324</v>
      </c>
      <c r="B2487" t="s">
        <v>61</v>
      </c>
      <c r="C2487" s="2">
        <v>45948</v>
      </c>
      <c r="D2487" s="2">
        <f t="shared" si="232"/>
        <v>45978</v>
      </c>
      <c r="E2487" s="1">
        <f>D2487+15</f>
        <v>45993</v>
      </c>
      <c r="F2487">
        <v>2653</v>
      </c>
      <c r="G2487">
        <v>30</v>
      </c>
      <c r="H2487">
        <f t="shared" si="237"/>
        <v>0</v>
      </c>
      <c r="I2487" t="str">
        <f t="shared" si="235"/>
        <v>On Time</v>
      </c>
      <c r="J2487" cm="1">
        <f t="array" ref="J2487">_xlfn.IFS(H2487&lt;30,0,H2487&lt;60,1,H2487&lt;90,2,H2487&lt;120,3)</f>
        <v>0</v>
      </c>
      <c r="M2487" t="str">
        <f t="shared" si="236"/>
        <v>Low</v>
      </c>
      <c r="N2487" t="str">
        <f t="shared" si="233"/>
        <v>Oct</v>
      </c>
      <c r="O2487">
        <f t="shared" si="234"/>
        <v>2025</v>
      </c>
    </row>
    <row r="2488" spans="1:15" x14ac:dyDescent="0.3">
      <c r="A2488">
        <v>202325</v>
      </c>
      <c r="B2488" t="s">
        <v>62</v>
      </c>
      <c r="C2488" s="2">
        <v>45948</v>
      </c>
      <c r="D2488" s="2">
        <f t="shared" si="232"/>
        <v>45978</v>
      </c>
      <c r="E2488" s="1">
        <f>D2488-2</f>
        <v>45976</v>
      </c>
      <c r="F2488">
        <v>1338</v>
      </c>
      <c r="G2488">
        <v>30</v>
      </c>
      <c r="H2488">
        <f t="shared" si="237"/>
        <v>0</v>
      </c>
      <c r="I2488" t="str">
        <f t="shared" si="235"/>
        <v>On Time</v>
      </c>
      <c r="J2488" cm="1">
        <f t="array" ref="J2488">_xlfn.IFS(H2488&lt;30,0,H2488&lt;60,1,H2488&lt;90,2,H2488&lt;120,3)</f>
        <v>0</v>
      </c>
      <c r="M2488" t="str">
        <f t="shared" si="236"/>
        <v>Low</v>
      </c>
      <c r="N2488" t="str">
        <f t="shared" si="233"/>
        <v>Oct</v>
      </c>
      <c r="O2488">
        <f t="shared" si="234"/>
        <v>2025</v>
      </c>
    </row>
    <row r="2489" spans="1:15" x14ac:dyDescent="0.3">
      <c r="A2489">
        <v>202326</v>
      </c>
      <c r="B2489" t="s">
        <v>63</v>
      </c>
      <c r="C2489" s="2">
        <v>45948</v>
      </c>
      <c r="D2489" s="2">
        <f t="shared" si="232"/>
        <v>45978</v>
      </c>
      <c r="E2489" s="1">
        <f>D2489-2</f>
        <v>45976</v>
      </c>
      <c r="F2489">
        <v>2141</v>
      </c>
      <c r="G2489">
        <v>30</v>
      </c>
      <c r="H2489">
        <f t="shared" si="237"/>
        <v>0</v>
      </c>
      <c r="I2489" t="str">
        <f t="shared" si="235"/>
        <v>On Time</v>
      </c>
      <c r="J2489" cm="1">
        <f t="array" ref="J2489">_xlfn.IFS(H2489&lt;30,0,H2489&lt;60,1,H2489&lt;90,2,H2489&lt;120,3)</f>
        <v>0</v>
      </c>
      <c r="M2489" t="str">
        <f t="shared" si="236"/>
        <v>Low</v>
      </c>
      <c r="N2489" t="str">
        <f t="shared" si="233"/>
        <v>Oct</v>
      </c>
      <c r="O2489">
        <f t="shared" si="234"/>
        <v>2025</v>
      </c>
    </row>
    <row r="2490" spans="1:15" x14ac:dyDescent="0.3">
      <c r="A2490">
        <v>202327</v>
      </c>
      <c r="B2490" t="s">
        <v>64</v>
      </c>
      <c r="C2490" s="2">
        <v>45948</v>
      </c>
      <c r="D2490" s="2">
        <f t="shared" si="232"/>
        <v>45978</v>
      </c>
      <c r="E2490" s="1">
        <f>D2490</f>
        <v>45978</v>
      </c>
      <c r="F2490">
        <v>124</v>
      </c>
      <c r="G2490">
        <v>30</v>
      </c>
      <c r="H2490">
        <f t="shared" si="237"/>
        <v>0</v>
      </c>
      <c r="I2490" t="str">
        <f t="shared" si="235"/>
        <v>On Time</v>
      </c>
      <c r="J2490" cm="1">
        <f t="array" ref="J2490">_xlfn.IFS(H2490&lt;30,0,H2490&lt;60,1,H2490&lt;90,2,H2490&lt;120,3)</f>
        <v>0</v>
      </c>
      <c r="M2490" t="str">
        <f t="shared" si="236"/>
        <v>Low</v>
      </c>
      <c r="N2490" t="str">
        <f t="shared" si="233"/>
        <v>Oct</v>
      </c>
      <c r="O2490">
        <f t="shared" si="234"/>
        <v>2025</v>
      </c>
    </row>
    <row r="2491" spans="1:15" x14ac:dyDescent="0.3">
      <c r="A2491">
        <v>202328</v>
      </c>
      <c r="B2491" t="s">
        <v>65</v>
      </c>
      <c r="C2491" s="2">
        <v>45948</v>
      </c>
      <c r="D2491" s="2">
        <f t="shared" si="232"/>
        <v>45993</v>
      </c>
      <c r="E2491" s="1">
        <f>D2491+2</f>
        <v>45995</v>
      </c>
      <c r="F2491">
        <v>1031</v>
      </c>
      <c r="G2491">
        <v>45</v>
      </c>
      <c r="H2491">
        <f t="shared" si="237"/>
        <v>0</v>
      </c>
      <c r="I2491" t="str">
        <f t="shared" si="235"/>
        <v>On Time</v>
      </c>
      <c r="J2491" cm="1">
        <f t="array" ref="J2491">_xlfn.IFS(H2491&lt;30,0,H2491&lt;60,1,H2491&lt;90,2,H2491&lt;120,3)</f>
        <v>0</v>
      </c>
      <c r="M2491" t="str">
        <f t="shared" si="236"/>
        <v>Low</v>
      </c>
      <c r="N2491" t="str">
        <f t="shared" si="233"/>
        <v>Oct</v>
      </c>
      <c r="O2491">
        <f t="shared" si="234"/>
        <v>2025</v>
      </c>
    </row>
    <row r="2492" spans="1:15" x14ac:dyDescent="0.3">
      <c r="A2492">
        <v>202329</v>
      </c>
      <c r="B2492" t="s">
        <v>66</v>
      </c>
      <c r="C2492" s="2">
        <v>45948</v>
      </c>
      <c r="D2492" s="2">
        <f t="shared" si="232"/>
        <v>46008</v>
      </c>
      <c r="E2492" s="1">
        <f>D2492+2</f>
        <v>46010</v>
      </c>
      <c r="F2492">
        <v>1796</v>
      </c>
      <c r="G2492">
        <v>60</v>
      </c>
      <c r="H2492">
        <f t="shared" si="237"/>
        <v>0</v>
      </c>
      <c r="I2492" t="str">
        <f t="shared" si="235"/>
        <v>On Time</v>
      </c>
      <c r="J2492" cm="1">
        <f t="array" ref="J2492">_xlfn.IFS(H2492&lt;30,0,H2492&lt;60,1,H2492&lt;90,2,H2492&lt;120,3)</f>
        <v>0</v>
      </c>
      <c r="M2492" t="str">
        <f t="shared" si="236"/>
        <v>Low</v>
      </c>
      <c r="N2492" t="str">
        <f t="shared" si="233"/>
        <v>Oct</v>
      </c>
      <c r="O2492">
        <f t="shared" si="234"/>
        <v>2025</v>
      </c>
    </row>
    <row r="2493" spans="1:15" x14ac:dyDescent="0.3">
      <c r="A2493">
        <v>202330</v>
      </c>
      <c r="B2493" t="s">
        <v>108</v>
      </c>
      <c r="C2493" s="2">
        <v>45948</v>
      </c>
      <c r="D2493" s="2">
        <f t="shared" si="232"/>
        <v>45978</v>
      </c>
      <c r="E2493" s="1">
        <f>D2493+2</f>
        <v>45980</v>
      </c>
      <c r="F2493">
        <v>4138</v>
      </c>
      <c r="G2493">
        <v>30</v>
      </c>
      <c r="H2493">
        <f t="shared" si="237"/>
        <v>0</v>
      </c>
      <c r="I2493" t="str">
        <f t="shared" si="235"/>
        <v>On Time</v>
      </c>
      <c r="J2493" cm="1">
        <f t="array" ref="J2493">_xlfn.IFS(H2493&lt;30,0,H2493&lt;60,1,H2493&lt;90,2,H2493&lt;120,3)</f>
        <v>0</v>
      </c>
      <c r="M2493" t="str">
        <f t="shared" si="236"/>
        <v>Low</v>
      </c>
      <c r="N2493" t="str">
        <f t="shared" si="233"/>
        <v>Oct</v>
      </c>
      <c r="O2493">
        <f t="shared" si="234"/>
        <v>2025</v>
      </c>
    </row>
    <row r="2494" spans="1:15" x14ac:dyDescent="0.3">
      <c r="A2494">
        <v>202331</v>
      </c>
      <c r="B2494" t="s">
        <v>109</v>
      </c>
      <c r="C2494" s="2">
        <v>45948</v>
      </c>
      <c r="D2494" s="2">
        <f t="shared" si="232"/>
        <v>45978</v>
      </c>
      <c r="E2494" s="1">
        <f>D2494</f>
        <v>45978</v>
      </c>
      <c r="F2494">
        <v>13767</v>
      </c>
      <c r="G2494">
        <v>30</v>
      </c>
      <c r="H2494">
        <f t="shared" si="237"/>
        <v>0</v>
      </c>
      <c r="I2494" t="str">
        <f t="shared" si="235"/>
        <v>On Time</v>
      </c>
      <c r="J2494" cm="1">
        <f t="array" ref="J2494">_xlfn.IFS(H2494&lt;30,0,H2494&lt;60,1,H2494&lt;90,2,H2494&lt;120,3)</f>
        <v>0</v>
      </c>
      <c r="M2494" t="str">
        <f t="shared" si="236"/>
        <v>Low</v>
      </c>
      <c r="N2494" t="str">
        <f t="shared" si="233"/>
        <v>Oct</v>
      </c>
      <c r="O2494">
        <f t="shared" si="234"/>
        <v>2025</v>
      </c>
    </row>
    <row r="2495" spans="1:15" x14ac:dyDescent="0.3">
      <c r="A2495">
        <v>202332</v>
      </c>
      <c r="B2495" t="s">
        <v>110</v>
      </c>
      <c r="C2495" s="2">
        <v>45948</v>
      </c>
      <c r="D2495" s="2">
        <f t="shared" si="232"/>
        <v>45993</v>
      </c>
      <c r="E2495" s="1">
        <f>D2495+20</f>
        <v>46013</v>
      </c>
      <c r="F2495">
        <v>2256</v>
      </c>
      <c r="G2495">
        <v>45</v>
      </c>
      <c r="H2495">
        <f t="shared" si="237"/>
        <v>0</v>
      </c>
      <c r="I2495" t="str">
        <f t="shared" si="235"/>
        <v>On Time</v>
      </c>
      <c r="J2495" cm="1">
        <f t="array" ref="J2495">_xlfn.IFS(H2495&lt;30,0,H2495&lt;60,1,H2495&lt;90,2,H2495&lt;120,3)</f>
        <v>0</v>
      </c>
      <c r="M2495" t="str">
        <f t="shared" si="236"/>
        <v>Low</v>
      </c>
      <c r="N2495" t="str">
        <f t="shared" si="233"/>
        <v>Oct</v>
      </c>
      <c r="O2495">
        <f t="shared" si="234"/>
        <v>2025</v>
      </c>
    </row>
    <row r="2496" spans="1:15" x14ac:dyDescent="0.3">
      <c r="A2496">
        <v>202333</v>
      </c>
      <c r="B2496" t="s">
        <v>111</v>
      </c>
      <c r="C2496" s="2">
        <v>45948</v>
      </c>
      <c r="D2496" s="2">
        <f t="shared" si="232"/>
        <v>46008</v>
      </c>
      <c r="E2496" s="1">
        <f>D2496</f>
        <v>46008</v>
      </c>
      <c r="F2496">
        <v>2721</v>
      </c>
      <c r="G2496">
        <v>60</v>
      </c>
      <c r="H2496">
        <f t="shared" si="237"/>
        <v>0</v>
      </c>
      <c r="I2496" t="str">
        <f t="shared" si="235"/>
        <v>On Time</v>
      </c>
      <c r="J2496" cm="1">
        <f t="array" ref="J2496">_xlfn.IFS(H2496&lt;30,0,H2496&lt;60,1,H2496&lt;90,2,H2496&lt;120,3)</f>
        <v>0</v>
      </c>
      <c r="M2496" t="str">
        <f t="shared" si="236"/>
        <v>Low</v>
      </c>
      <c r="N2496" t="str">
        <f t="shared" si="233"/>
        <v>Oct</v>
      </c>
      <c r="O2496">
        <f t="shared" si="234"/>
        <v>2025</v>
      </c>
    </row>
    <row r="2497" spans="1:15" x14ac:dyDescent="0.3">
      <c r="A2497">
        <v>202334</v>
      </c>
      <c r="B2497" t="s">
        <v>112</v>
      </c>
      <c r="C2497" s="2">
        <v>45948</v>
      </c>
      <c r="D2497" s="2">
        <f t="shared" si="232"/>
        <v>45993</v>
      </c>
      <c r="E2497" s="1">
        <f>D2497+1</f>
        <v>45994</v>
      </c>
      <c r="F2497">
        <v>2420</v>
      </c>
      <c r="G2497">
        <v>45</v>
      </c>
      <c r="H2497">
        <f t="shared" si="237"/>
        <v>0</v>
      </c>
      <c r="I2497" t="str">
        <f t="shared" si="235"/>
        <v>On Time</v>
      </c>
      <c r="J2497" cm="1">
        <f t="array" ref="J2497">_xlfn.IFS(H2497&lt;30,0,H2497&lt;60,1,H2497&lt;90,2,H2497&lt;120,3)</f>
        <v>0</v>
      </c>
      <c r="M2497" t="str">
        <f t="shared" si="236"/>
        <v>Low</v>
      </c>
      <c r="N2497" t="str">
        <f t="shared" si="233"/>
        <v>Oct</v>
      </c>
      <c r="O2497">
        <f t="shared" si="234"/>
        <v>2025</v>
      </c>
    </row>
    <row r="2498" spans="1:15" x14ac:dyDescent="0.3">
      <c r="A2498">
        <v>202335</v>
      </c>
      <c r="B2498" t="s">
        <v>113</v>
      </c>
      <c r="C2498" s="2">
        <v>45948</v>
      </c>
      <c r="D2498" s="2">
        <f t="shared" ref="D2498:D2561" si="238">C2498+G2498</f>
        <v>45993</v>
      </c>
      <c r="E2498" s="1">
        <f>D2498</f>
        <v>45993</v>
      </c>
      <c r="F2498">
        <v>2103</v>
      </c>
      <c r="G2498">
        <v>45</v>
      </c>
      <c r="H2498">
        <f t="shared" si="237"/>
        <v>0</v>
      </c>
      <c r="I2498" t="str">
        <f t="shared" si="235"/>
        <v>On Time</v>
      </c>
      <c r="J2498" cm="1">
        <f t="array" ref="J2498">_xlfn.IFS(H2498&lt;30,0,H2498&lt;60,1,H2498&lt;90,2,H2498&lt;120,3)</f>
        <v>0</v>
      </c>
      <c r="M2498" t="str">
        <f t="shared" si="236"/>
        <v>Low</v>
      </c>
      <c r="N2498" t="str">
        <f t="shared" ref="N2498:N2561" si="239">TEXT(C2498,"mmm")</f>
        <v>Oct</v>
      </c>
      <c r="O2498">
        <f t="shared" ref="O2498:O2561" si="240">YEAR(C2498)</f>
        <v>2025</v>
      </c>
    </row>
    <row r="2499" spans="1:15" x14ac:dyDescent="0.3">
      <c r="A2499">
        <v>202336</v>
      </c>
      <c r="B2499" t="s">
        <v>114</v>
      </c>
      <c r="C2499" s="2">
        <v>45948</v>
      </c>
      <c r="D2499" s="2">
        <f t="shared" si="238"/>
        <v>45978</v>
      </c>
      <c r="E2499" s="1">
        <f>D2499</f>
        <v>45978</v>
      </c>
      <c r="F2499">
        <v>1269</v>
      </c>
      <c r="G2499">
        <v>30</v>
      </c>
      <c r="H2499">
        <f t="shared" si="237"/>
        <v>0</v>
      </c>
      <c r="I2499" t="str">
        <f t="shared" si="235"/>
        <v>On Time</v>
      </c>
      <c r="J2499" cm="1">
        <f t="array" ref="J2499">_xlfn.IFS(H2499&lt;30,0,H2499&lt;60,1,H2499&lt;90,2,H2499&lt;120,3)</f>
        <v>0</v>
      </c>
      <c r="M2499" t="str">
        <f t="shared" si="236"/>
        <v>Low</v>
      </c>
      <c r="N2499" t="str">
        <f t="shared" si="239"/>
        <v>Oct</v>
      </c>
      <c r="O2499">
        <f t="shared" si="240"/>
        <v>2025</v>
      </c>
    </row>
    <row r="2500" spans="1:15" x14ac:dyDescent="0.3">
      <c r="A2500">
        <v>202337</v>
      </c>
      <c r="B2500" t="s">
        <v>115</v>
      </c>
      <c r="C2500" s="2">
        <v>45948</v>
      </c>
      <c r="D2500" s="2">
        <f t="shared" si="238"/>
        <v>45978</v>
      </c>
      <c r="E2500" s="1">
        <f>D2500+5</f>
        <v>45983</v>
      </c>
      <c r="F2500">
        <v>190</v>
      </c>
      <c r="G2500">
        <v>30</v>
      </c>
      <c r="H2500">
        <f t="shared" si="237"/>
        <v>0</v>
      </c>
      <c r="I2500" t="str">
        <f t="shared" si="235"/>
        <v>On Time</v>
      </c>
      <c r="J2500" cm="1">
        <f t="array" ref="J2500">_xlfn.IFS(H2500&lt;30,0,H2500&lt;60,1,H2500&lt;90,2,H2500&lt;120,3)</f>
        <v>0</v>
      </c>
      <c r="M2500" t="str">
        <f t="shared" si="236"/>
        <v>Low</v>
      </c>
      <c r="N2500" t="str">
        <f t="shared" si="239"/>
        <v>Oct</v>
      </c>
      <c r="O2500">
        <f t="shared" si="240"/>
        <v>2025</v>
      </c>
    </row>
    <row r="2501" spans="1:15" x14ac:dyDescent="0.3">
      <c r="A2501">
        <v>202338</v>
      </c>
      <c r="B2501" t="s">
        <v>116</v>
      </c>
      <c r="C2501" s="2">
        <v>45948</v>
      </c>
      <c r="D2501" s="2">
        <f t="shared" si="238"/>
        <v>45978</v>
      </c>
      <c r="E2501" s="1">
        <f>D2501+2</f>
        <v>45980</v>
      </c>
      <c r="F2501">
        <v>1293</v>
      </c>
      <c r="G2501">
        <v>30</v>
      </c>
      <c r="H2501">
        <f t="shared" si="237"/>
        <v>0</v>
      </c>
      <c r="I2501" t="str">
        <f t="shared" si="235"/>
        <v>On Time</v>
      </c>
      <c r="J2501" cm="1">
        <f t="array" ref="J2501">_xlfn.IFS(H2501&lt;30,0,H2501&lt;60,1,H2501&lt;90,2,H2501&lt;120,3)</f>
        <v>0</v>
      </c>
      <c r="M2501" t="str">
        <f t="shared" si="236"/>
        <v>Low</v>
      </c>
      <c r="N2501" t="str">
        <f t="shared" si="239"/>
        <v>Oct</v>
      </c>
      <c r="O2501">
        <f t="shared" si="240"/>
        <v>2025</v>
      </c>
    </row>
    <row r="2502" spans="1:15" x14ac:dyDescent="0.3">
      <c r="A2502">
        <v>202339</v>
      </c>
      <c r="B2502" t="s">
        <v>20</v>
      </c>
      <c r="C2502" s="2">
        <v>45948</v>
      </c>
      <c r="D2502" s="2">
        <f t="shared" si="238"/>
        <v>45978</v>
      </c>
      <c r="E2502" s="1">
        <f>D2502+5</f>
        <v>45983</v>
      </c>
      <c r="F2502">
        <v>2507</v>
      </c>
      <c r="G2502">
        <v>30</v>
      </c>
      <c r="H2502">
        <f t="shared" si="237"/>
        <v>0</v>
      </c>
      <c r="I2502" t="str">
        <f t="shared" si="235"/>
        <v>On Time</v>
      </c>
      <c r="J2502" cm="1">
        <f t="array" ref="J2502">_xlfn.IFS(H2502&lt;30,0,H2502&lt;60,1,H2502&lt;90,2,H2502&lt;120,3)</f>
        <v>0</v>
      </c>
      <c r="M2502" t="str">
        <f t="shared" si="236"/>
        <v>Low</v>
      </c>
      <c r="N2502" t="str">
        <f t="shared" si="239"/>
        <v>Oct</v>
      </c>
      <c r="O2502">
        <f t="shared" si="240"/>
        <v>2025</v>
      </c>
    </row>
    <row r="2503" spans="1:15" x14ac:dyDescent="0.3">
      <c r="A2503">
        <v>201915</v>
      </c>
      <c r="B2503" t="s">
        <v>41</v>
      </c>
      <c r="C2503" s="2">
        <v>45947</v>
      </c>
      <c r="D2503" s="2">
        <f t="shared" si="238"/>
        <v>45977</v>
      </c>
      <c r="E2503" s="1">
        <f>D2503</f>
        <v>45977</v>
      </c>
      <c r="F2503">
        <v>4082</v>
      </c>
      <c r="G2503">
        <v>30</v>
      </c>
      <c r="H2503">
        <f t="shared" si="237"/>
        <v>0</v>
      </c>
      <c r="I2503" t="str">
        <f t="shared" si="235"/>
        <v>On Time</v>
      </c>
      <c r="J2503" cm="1">
        <f t="array" ref="J2503">_xlfn.IFS(H2503&lt;30,0,H2503&lt;60,1,H2503&lt;90,2,H2503&lt;120,3)</f>
        <v>0</v>
      </c>
      <c r="M2503" t="str">
        <f t="shared" si="236"/>
        <v>Low</v>
      </c>
      <c r="N2503" t="str">
        <f t="shared" si="239"/>
        <v>Oct</v>
      </c>
      <c r="O2503">
        <f t="shared" si="240"/>
        <v>2025</v>
      </c>
    </row>
    <row r="2504" spans="1:15" x14ac:dyDescent="0.3">
      <c r="A2504">
        <v>201916</v>
      </c>
      <c r="B2504" t="s">
        <v>42</v>
      </c>
      <c r="C2504" s="2">
        <v>45947</v>
      </c>
      <c r="D2504" s="2">
        <f t="shared" si="238"/>
        <v>45977</v>
      </c>
      <c r="E2504" s="1">
        <f>D2504+3</f>
        <v>45980</v>
      </c>
      <c r="F2504">
        <v>3661</v>
      </c>
      <c r="G2504">
        <v>30</v>
      </c>
      <c r="H2504">
        <f t="shared" si="237"/>
        <v>0</v>
      </c>
      <c r="I2504" t="str">
        <f t="shared" si="235"/>
        <v>On Time</v>
      </c>
      <c r="J2504" cm="1">
        <f t="array" ref="J2504">_xlfn.IFS(H2504&lt;30,0,H2504&lt;60,1,H2504&lt;90,2,H2504&lt;120,3)</f>
        <v>0</v>
      </c>
      <c r="M2504" t="str">
        <f t="shared" si="236"/>
        <v>Low</v>
      </c>
      <c r="N2504" t="str">
        <f t="shared" si="239"/>
        <v>Oct</v>
      </c>
      <c r="O2504">
        <f t="shared" si="240"/>
        <v>2025</v>
      </c>
    </row>
    <row r="2505" spans="1:15" x14ac:dyDescent="0.3">
      <c r="A2505">
        <v>201917</v>
      </c>
      <c r="B2505" t="s">
        <v>43</v>
      </c>
      <c r="C2505" s="2">
        <v>45947</v>
      </c>
      <c r="D2505" s="2">
        <f t="shared" si="238"/>
        <v>45977</v>
      </c>
      <c r="E2505" s="1">
        <f>D2505+1</f>
        <v>45978</v>
      </c>
      <c r="F2505">
        <v>4177</v>
      </c>
      <c r="G2505">
        <v>30</v>
      </c>
      <c r="H2505">
        <f t="shared" si="237"/>
        <v>0</v>
      </c>
      <c r="I2505" t="str">
        <f t="shared" si="235"/>
        <v>On Time</v>
      </c>
      <c r="J2505" cm="1">
        <f t="array" ref="J2505">_xlfn.IFS(H2505&lt;30,0,H2505&lt;60,1,H2505&lt;90,2,H2505&lt;120,3)</f>
        <v>0</v>
      </c>
      <c r="M2505" t="str">
        <f t="shared" si="236"/>
        <v>Low</v>
      </c>
      <c r="N2505" t="str">
        <f t="shared" si="239"/>
        <v>Oct</v>
      </c>
      <c r="O2505">
        <f t="shared" si="240"/>
        <v>2025</v>
      </c>
    </row>
    <row r="2506" spans="1:15" x14ac:dyDescent="0.3">
      <c r="A2506">
        <v>201918</v>
      </c>
      <c r="B2506" t="s">
        <v>25</v>
      </c>
      <c r="C2506" s="2">
        <v>45947</v>
      </c>
      <c r="D2506" s="2">
        <f t="shared" si="238"/>
        <v>46007</v>
      </c>
      <c r="E2506" s="1">
        <f>D2506-1</f>
        <v>46006</v>
      </c>
      <c r="F2506">
        <v>2525</v>
      </c>
      <c r="G2506">
        <v>60</v>
      </c>
      <c r="H2506">
        <f t="shared" si="237"/>
        <v>0</v>
      </c>
      <c r="I2506" t="str">
        <f t="shared" si="235"/>
        <v>On Time</v>
      </c>
      <c r="J2506" cm="1">
        <f t="array" ref="J2506">_xlfn.IFS(H2506&lt;30,0,H2506&lt;60,1,H2506&lt;90,2,H2506&lt;120,3)</f>
        <v>0</v>
      </c>
      <c r="M2506" t="str">
        <f t="shared" si="236"/>
        <v>Low</v>
      </c>
      <c r="N2506" t="str">
        <f t="shared" si="239"/>
        <v>Oct</v>
      </c>
      <c r="O2506">
        <f t="shared" si="240"/>
        <v>2025</v>
      </c>
    </row>
    <row r="2507" spans="1:15" x14ac:dyDescent="0.3">
      <c r="A2507">
        <v>201919</v>
      </c>
      <c r="B2507" t="s">
        <v>26</v>
      </c>
      <c r="C2507" s="2">
        <v>45947</v>
      </c>
      <c r="D2507" s="2">
        <f t="shared" si="238"/>
        <v>45977</v>
      </c>
      <c r="E2507" s="1">
        <f>D2507</f>
        <v>45977</v>
      </c>
      <c r="F2507">
        <v>4786</v>
      </c>
      <c r="G2507">
        <v>30</v>
      </c>
      <c r="H2507">
        <f t="shared" si="237"/>
        <v>0</v>
      </c>
      <c r="I2507" t="str">
        <f t="shared" si="235"/>
        <v>On Time</v>
      </c>
      <c r="J2507" cm="1">
        <f t="array" ref="J2507">_xlfn.IFS(H2507&lt;30,0,H2507&lt;60,1,H2507&lt;90,2,H2507&lt;120,3)</f>
        <v>0</v>
      </c>
      <c r="M2507" t="str">
        <f t="shared" si="236"/>
        <v>Low</v>
      </c>
      <c r="N2507" t="str">
        <f t="shared" si="239"/>
        <v>Oct</v>
      </c>
      <c r="O2507">
        <f t="shared" si="240"/>
        <v>2025</v>
      </c>
    </row>
    <row r="2508" spans="1:15" x14ac:dyDescent="0.3">
      <c r="A2508">
        <v>201920</v>
      </c>
      <c r="B2508" t="s">
        <v>27</v>
      </c>
      <c r="C2508" s="2">
        <v>45947</v>
      </c>
      <c r="D2508" s="2">
        <f t="shared" si="238"/>
        <v>46007</v>
      </c>
      <c r="E2508" s="1">
        <f>D2508+1</f>
        <v>46008</v>
      </c>
      <c r="F2508">
        <v>3077</v>
      </c>
      <c r="G2508">
        <v>60</v>
      </c>
      <c r="H2508">
        <f t="shared" si="237"/>
        <v>0</v>
      </c>
      <c r="I2508" t="str">
        <f t="shared" si="235"/>
        <v>On Time</v>
      </c>
      <c r="J2508" cm="1">
        <f t="array" ref="J2508">_xlfn.IFS(H2508&lt;30,0,H2508&lt;60,1,H2508&lt;90,2,H2508&lt;120,3)</f>
        <v>0</v>
      </c>
      <c r="M2508" t="str">
        <f t="shared" si="236"/>
        <v>Low</v>
      </c>
      <c r="N2508" t="str">
        <f t="shared" si="239"/>
        <v>Oct</v>
      </c>
      <c r="O2508">
        <f t="shared" si="240"/>
        <v>2025</v>
      </c>
    </row>
    <row r="2509" spans="1:15" x14ac:dyDescent="0.3">
      <c r="A2509">
        <v>201921</v>
      </c>
      <c r="B2509" t="s">
        <v>28</v>
      </c>
      <c r="C2509" s="2">
        <v>45947</v>
      </c>
      <c r="D2509" s="2">
        <f t="shared" si="238"/>
        <v>45977</v>
      </c>
      <c r="E2509" s="1">
        <f>D2509+35</f>
        <v>46012</v>
      </c>
      <c r="F2509">
        <v>4445</v>
      </c>
      <c r="G2509">
        <v>30</v>
      </c>
      <c r="H2509">
        <f t="shared" si="237"/>
        <v>0</v>
      </c>
      <c r="I2509" t="str">
        <f t="shared" si="235"/>
        <v>On Time</v>
      </c>
      <c r="J2509" cm="1">
        <f t="array" ref="J2509">_xlfn.IFS(H2509&lt;30,0,H2509&lt;60,1,H2509&lt;90,2,H2509&lt;120,3)</f>
        <v>0</v>
      </c>
      <c r="M2509" t="str">
        <f t="shared" si="236"/>
        <v>Low</v>
      </c>
      <c r="N2509" t="str">
        <f t="shared" si="239"/>
        <v>Oct</v>
      </c>
      <c r="O2509">
        <f t="shared" si="240"/>
        <v>2025</v>
      </c>
    </row>
    <row r="2510" spans="1:15" x14ac:dyDescent="0.3">
      <c r="A2510">
        <v>201922</v>
      </c>
      <c r="B2510" t="s">
        <v>29</v>
      </c>
      <c r="C2510" s="2">
        <v>45947</v>
      </c>
      <c r="D2510" s="2">
        <f t="shared" si="238"/>
        <v>45977</v>
      </c>
      <c r="E2510" s="1">
        <f>D2510+75</f>
        <v>46052</v>
      </c>
      <c r="F2510">
        <v>4148</v>
      </c>
      <c r="G2510">
        <v>30</v>
      </c>
      <c r="H2510">
        <f t="shared" si="237"/>
        <v>0</v>
      </c>
      <c r="I2510" t="str">
        <f t="shared" si="235"/>
        <v>On Time</v>
      </c>
      <c r="J2510" cm="1">
        <f t="array" ref="J2510">_xlfn.IFS(H2510&lt;30,0,H2510&lt;60,1,H2510&lt;90,2,H2510&lt;120,3)</f>
        <v>0</v>
      </c>
      <c r="M2510" t="str">
        <f t="shared" si="236"/>
        <v>Low</v>
      </c>
      <c r="N2510" t="str">
        <f t="shared" si="239"/>
        <v>Oct</v>
      </c>
      <c r="O2510">
        <f t="shared" si="240"/>
        <v>2025</v>
      </c>
    </row>
    <row r="2511" spans="1:15" x14ac:dyDescent="0.3">
      <c r="A2511">
        <v>201923</v>
      </c>
      <c r="B2511" t="s">
        <v>30</v>
      </c>
      <c r="C2511" s="2">
        <v>45947</v>
      </c>
      <c r="D2511" s="2">
        <f t="shared" si="238"/>
        <v>45977</v>
      </c>
      <c r="E2511" s="1">
        <f>D2511+5</f>
        <v>45982</v>
      </c>
      <c r="F2511">
        <v>2901</v>
      </c>
      <c r="G2511">
        <v>30</v>
      </c>
      <c r="H2511">
        <f t="shared" si="237"/>
        <v>0</v>
      </c>
      <c r="I2511" t="str">
        <f t="shared" si="235"/>
        <v>On Time</v>
      </c>
      <c r="J2511" cm="1">
        <f t="array" ref="J2511">_xlfn.IFS(H2511&lt;30,0,H2511&lt;60,1,H2511&lt;90,2,H2511&lt;120,3)</f>
        <v>0</v>
      </c>
      <c r="M2511" t="str">
        <f t="shared" si="236"/>
        <v>Low</v>
      </c>
      <c r="N2511" t="str">
        <f t="shared" si="239"/>
        <v>Oct</v>
      </c>
      <c r="O2511">
        <f t="shared" si="240"/>
        <v>2025</v>
      </c>
    </row>
    <row r="2512" spans="1:15" x14ac:dyDescent="0.3">
      <c r="A2512">
        <v>201924</v>
      </c>
      <c r="B2512" t="s">
        <v>31</v>
      </c>
      <c r="C2512" s="2">
        <v>45947</v>
      </c>
      <c r="D2512" s="2">
        <f t="shared" si="238"/>
        <v>45992</v>
      </c>
      <c r="E2512" s="1">
        <f>D2512</f>
        <v>45992</v>
      </c>
      <c r="F2512">
        <v>4624</v>
      </c>
      <c r="G2512">
        <v>45</v>
      </c>
      <c r="H2512">
        <f t="shared" si="237"/>
        <v>0</v>
      </c>
      <c r="I2512" t="str">
        <f t="shared" si="235"/>
        <v>On Time</v>
      </c>
      <c r="J2512" cm="1">
        <f t="array" ref="J2512">_xlfn.IFS(H2512&lt;30,0,H2512&lt;60,1,H2512&lt;90,2,H2512&lt;120,3)</f>
        <v>0</v>
      </c>
      <c r="M2512" t="str">
        <f t="shared" si="236"/>
        <v>Low</v>
      </c>
      <c r="N2512" t="str">
        <f t="shared" si="239"/>
        <v>Oct</v>
      </c>
      <c r="O2512">
        <f t="shared" si="240"/>
        <v>2025</v>
      </c>
    </row>
    <row r="2513" spans="1:15" x14ac:dyDescent="0.3">
      <c r="A2513">
        <v>201925</v>
      </c>
      <c r="B2513" t="s">
        <v>39</v>
      </c>
      <c r="C2513" s="2">
        <v>45947</v>
      </c>
      <c r="D2513" s="2">
        <f t="shared" si="238"/>
        <v>45977</v>
      </c>
      <c r="E2513" s="1">
        <f>D2513-1</f>
        <v>45976</v>
      </c>
      <c r="F2513">
        <v>3096</v>
      </c>
      <c r="G2513">
        <v>30</v>
      </c>
      <c r="H2513">
        <f t="shared" si="237"/>
        <v>0</v>
      </c>
      <c r="I2513" t="str">
        <f t="shared" si="235"/>
        <v>On Time</v>
      </c>
      <c r="J2513" cm="1">
        <f t="array" ref="J2513">_xlfn.IFS(H2513&lt;30,0,H2513&lt;60,1,H2513&lt;90,2,H2513&lt;120,3)</f>
        <v>0</v>
      </c>
      <c r="M2513" t="str">
        <f t="shared" si="236"/>
        <v>Low</v>
      </c>
      <c r="N2513" t="str">
        <f t="shared" si="239"/>
        <v>Oct</v>
      </c>
      <c r="O2513">
        <f t="shared" si="240"/>
        <v>2025</v>
      </c>
    </row>
    <row r="2514" spans="1:15" x14ac:dyDescent="0.3">
      <c r="A2514">
        <v>201926</v>
      </c>
      <c r="B2514" t="s">
        <v>40</v>
      </c>
      <c r="C2514" s="2">
        <v>45947</v>
      </c>
      <c r="D2514" s="2">
        <f t="shared" si="238"/>
        <v>45977</v>
      </c>
      <c r="E2514" s="1">
        <f>D2514</f>
        <v>45977</v>
      </c>
      <c r="F2514">
        <v>3034</v>
      </c>
      <c r="G2514">
        <v>30</v>
      </c>
      <c r="H2514">
        <f t="shared" si="237"/>
        <v>0</v>
      </c>
      <c r="I2514" t="str">
        <f t="shared" si="235"/>
        <v>On Time</v>
      </c>
      <c r="J2514" cm="1">
        <f t="array" ref="J2514">_xlfn.IFS(H2514&lt;30,0,H2514&lt;60,1,H2514&lt;90,2,H2514&lt;120,3)</f>
        <v>0</v>
      </c>
      <c r="M2514" t="str">
        <f t="shared" si="236"/>
        <v>Low</v>
      </c>
      <c r="N2514" t="str">
        <f t="shared" si="239"/>
        <v>Oct</v>
      </c>
      <c r="O2514">
        <f t="shared" si="240"/>
        <v>2025</v>
      </c>
    </row>
    <row r="2515" spans="1:15" x14ac:dyDescent="0.3">
      <c r="A2515">
        <v>201927</v>
      </c>
      <c r="B2515" t="s">
        <v>41</v>
      </c>
      <c r="C2515" s="2">
        <v>45947</v>
      </c>
      <c r="D2515" s="2">
        <f t="shared" si="238"/>
        <v>45977</v>
      </c>
      <c r="E2515" s="1">
        <f>D2515+32</f>
        <v>46009</v>
      </c>
      <c r="F2515">
        <v>15099</v>
      </c>
      <c r="G2515">
        <v>30</v>
      </c>
      <c r="H2515">
        <f t="shared" si="237"/>
        <v>0</v>
      </c>
      <c r="I2515" t="str">
        <f t="shared" si="235"/>
        <v>On Time</v>
      </c>
      <c r="J2515" cm="1">
        <f t="array" ref="J2515">_xlfn.IFS(H2515&lt;30,0,H2515&lt;60,1,H2515&lt;90,2,H2515&lt;120,3)</f>
        <v>0</v>
      </c>
      <c r="M2515" t="str">
        <f t="shared" si="236"/>
        <v>Low</v>
      </c>
      <c r="N2515" t="str">
        <f t="shared" si="239"/>
        <v>Oct</v>
      </c>
      <c r="O2515">
        <f t="shared" si="240"/>
        <v>2025</v>
      </c>
    </row>
    <row r="2516" spans="1:15" x14ac:dyDescent="0.3">
      <c r="A2516">
        <v>201928</v>
      </c>
      <c r="B2516" t="s">
        <v>42</v>
      </c>
      <c r="C2516" s="2">
        <v>45947</v>
      </c>
      <c r="D2516" s="2">
        <f t="shared" si="238"/>
        <v>45977</v>
      </c>
      <c r="E2516" s="1">
        <f>D2516+15</f>
        <v>45992</v>
      </c>
      <c r="F2516">
        <v>4525</v>
      </c>
      <c r="G2516">
        <v>30</v>
      </c>
      <c r="H2516">
        <f t="shared" si="237"/>
        <v>0</v>
      </c>
      <c r="I2516" t="str">
        <f t="shared" si="235"/>
        <v>On Time</v>
      </c>
      <c r="J2516" cm="1">
        <f t="array" ref="J2516">_xlfn.IFS(H2516&lt;30,0,H2516&lt;60,1,H2516&lt;90,2,H2516&lt;120,3)</f>
        <v>0</v>
      </c>
      <c r="M2516" t="str">
        <f t="shared" si="236"/>
        <v>Low</v>
      </c>
      <c r="N2516" t="str">
        <f t="shared" si="239"/>
        <v>Oct</v>
      </c>
      <c r="O2516">
        <f t="shared" si="240"/>
        <v>2025</v>
      </c>
    </row>
    <row r="2517" spans="1:15" x14ac:dyDescent="0.3">
      <c r="A2517">
        <v>201929</v>
      </c>
      <c r="B2517" t="s">
        <v>43</v>
      </c>
      <c r="C2517" s="2">
        <v>45947</v>
      </c>
      <c r="D2517" s="2">
        <f t="shared" si="238"/>
        <v>45977</v>
      </c>
      <c r="E2517" s="1">
        <f>D2517-2</f>
        <v>45975</v>
      </c>
      <c r="F2517">
        <v>3958</v>
      </c>
      <c r="G2517">
        <v>30</v>
      </c>
      <c r="H2517">
        <f t="shared" si="237"/>
        <v>0</v>
      </c>
      <c r="I2517" t="str">
        <f t="shared" si="235"/>
        <v>On Time</v>
      </c>
      <c r="J2517" cm="1">
        <f t="array" ref="J2517">_xlfn.IFS(H2517&lt;30,0,H2517&lt;60,1,H2517&lt;90,2,H2517&lt;120,3)</f>
        <v>0</v>
      </c>
      <c r="M2517" t="str">
        <f t="shared" si="236"/>
        <v>Low</v>
      </c>
      <c r="N2517" t="str">
        <f t="shared" si="239"/>
        <v>Oct</v>
      </c>
      <c r="O2517">
        <f t="shared" si="240"/>
        <v>2025</v>
      </c>
    </row>
    <row r="2518" spans="1:15" x14ac:dyDescent="0.3">
      <c r="A2518">
        <v>201930</v>
      </c>
      <c r="B2518" t="s">
        <v>44</v>
      </c>
      <c r="C2518" s="2">
        <v>45947</v>
      </c>
      <c r="D2518" s="2">
        <f t="shared" si="238"/>
        <v>45992</v>
      </c>
      <c r="E2518" s="1">
        <f>D2518-2</f>
        <v>45990</v>
      </c>
      <c r="F2518">
        <v>7543</v>
      </c>
      <c r="G2518">
        <v>45</v>
      </c>
      <c r="H2518">
        <f t="shared" si="237"/>
        <v>0</v>
      </c>
      <c r="I2518" t="str">
        <f t="shared" ref="I2518:I2581" si="241">IF(H2518=0,"On Time",IF(H2518&lt;=15,"Paid Late","Seriously Late"))</f>
        <v>On Time</v>
      </c>
      <c r="J2518" cm="1">
        <f t="array" ref="J2518">_xlfn.IFS(H2518&lt;30,0,H2518&lt;60,1,H2518&lt;90,2,H2518&lt;120,3)</f>
        <v>0</v>
      </c>
      <c r="M2518" t="str">
        <f t="shared" ref="M2518:M2581" si="242">IF(H2518&gt;30,"High",IF(H2518&gt;10,"Medium","Low"))</f>
        <v>Low</v>
      </c>
      <c r="N2518" t="str">
        <f t="shared" si="239"/>
        <v>Oct</v>
      </c>
      <c r="O2518">
        <f t="shared" si="240"/>
        <v>2025</v>
      </c>
    </row>
    <row r="2519" spans="1:15" x14ac:dyDescent="0.3">
      <c r="A2519">
        <v>201931</v>
      </c>
      <c r="B2519" t="s">
        <v>45</v>
      </c>
      <c r="C2519" s="2">
        <v>45947</v>
      </c>
      <c r="D2519" s="2">
        <f t="shared" si="238"/>
        <v>45992</v>
      </c>
      <c r="E2519" s="1">
        <f>D2519</f>
        <v>45992</v>
      </c>
      <c r="F2519">
        <v>8379</v>
      </c>
      <c r="G2519">
        <v>45</v>
      </c>
      <c r="H2519">
        <f t="shared" si="237"/>
        <v>0</v>
      </c>
      <c r="I2519" t="str">
        <f t="shared" si="241"/>
        <v>On Time</v>
      </c>
      <c r="J2519" cm="1">
        <f t="array" ref="J2519">_xlfn.IFS(H2519&lt;30,0,H2519&lt;60,1,H2519&lt;90,2,H2519&lt;120,3)</f>
        <v>0</v>
      </c>
      <c r="M2519" t="str">
        <f t="shared" si="242"/>
        <v>Low</v>
      </c>
      <c r="N2519" t="str">
        <f t="shared" si="239"/>
        <v>Oct</v>
      </c>
      <c r="O2519">
        <f t="shared" si="240"/>
        <v>2025</v>
      </c>
    </row>
    <row r="2520" spans="1:15" x14ac:dyDescent="0.3">
      <c r="A2520">
        <v>201932</v>
      </c>
      <c r="B2520" t="s">
        <v>46</v>
      </c>
      <c r="C2520" s="2">
        <v>45947</v>
      </c>
      <c r="D2520" s="2">
        <f t="shared" si="238"/>
        <v>46007</v>
      </c>
      <c r="E2520" s="1">
        <f>D2520+2</f>
        <v>46009</v>
      </c>
      <c r="F2520">
        <v>4711</v>
      </c>
      <c r="G2520">
        <v>60</v>
      </c>
      <c r="H2520">
        <f t="shared" si="237"/>
        <v>0</v>
      </c>
      <c r="I2520" t="str">
        <f t="shared" si="241"/>
        <v>On Time</v>
      </c>
      <c r="J2520" cm="1">
        <f t="array" ref="J2520">_xlfn.IFS(H2520&lt;30,0,H2520&lt;60,1,H2520&lt;90,2,H2520&lt;120,3)</f>
        <v>0</v>
      </c>
      <c r="M2520" t="str">
        <f t="shared" si="242"/>
        <v>Low</v>
      </c>
      <c r="N2520" t="str">
        <f t="shared" si="239"/>
        <v>Oct</v>
      </c>
      <c r="O2520">
        <f t="shared" si="240"/>
        <v>2025</v>
      </c>
    </row>
    <row r="2521" spans="1:15" x14ac:dyDescent="0.3">
      <c r="A2521">
        <v>201933</v>
      </c>
      <c r="B2521" t="s">
        <v>114</v>
      </c>
      <c r="C2521" s="2">
        <v>45947</v>
      </c>
      <c r="D2521" s="2">
        <f t="shared" si="238"/>
        <v>45977</v>
      </c>
      <c r="E2521" s="1">
        <f>D2521+2</f>
        <v>45979</v>
      </c>
      <c r="F2521">
        <v>3853</v>
      </c>
      <c r="G2521">
        <v>30</v>
      </c>
      <c r="H2521">
        <f t="shared" si="237"/>
        <v>0</v>
      </c>
      <c r="I2521" t="str">
        <f t="shared" si="241"/>
        <v>On Time</v>
      </c>
      <c r="J2521" cm="1">
        <f t="array" ref="J2521">_xlfn.IFS(H2521&lt;30,0,H2521&lt;60,1,H2521&lt;90,2,H2521&lt;120,3)</f>
        <v>0</v>
      </c>
      <c r="M2521" t="str">
        <f t="shared" si="242"/>
        <v>Low</v>
      </c>
      <c r="N2521" t="str">
        <f t="shared" si="239"/>
        <v>Oct</v>
      </c>
      <c r="O2521">
        <f t="shared" si="240"/>
        <v>2025</v>
      </c>
    </row>
    <row r="2522" spans="1:15" x14ac:dyDescent="0.3">
      <c r="A2522">
        <v>201934</v>
      </c>
      <c r="B2522" t="s">
        <v>115</v>
      </c>
      <c r="C2522" s="2">
        <v>45947</v>
      </c>
      <c r="D2522" s="2">
        <f t="shared" si="238"/>
        <v>45977</v>
      </c>
      <c r="E2522" s="1">
        <f>D2522+2</f>
        <v>45979</v>
      </c>
      <c r="F2522">
        <v>4031</v>
      </c>
      <c r="G2522">
        <v>30</v>
      </c>
      <c r="H2522">
        <f t="shared" si="237"/>
        <v>0</v>
      </c>
      <c r="I2522" t="str">
        <f t="shared" si="241"/>
        <v>On Time</v>
      </c>
      <c r="J2522" cm="1">
        <f t="array" ref="J2522">_xlfn.IFS(H2522&lt;30,0,H2522&lt;60,1,H2522&lt;90,2,H2522&lt;120,3)</f>
        <v>0</v>
      </c>
      <c r="M2522" t="str">
        <f t="shared" si="242"/>
        <v>Low</v>
      </c>
      <c r="N2522" t="str">
        <f t="shared" si="239"/>
        <v>Oct</v>
      </c>
      <c r="O2522">
        <f t="shared" si="240"/>
        <v>2025</v>
      </c>
    </row>
    <row r="2523" spans="1:15" x14ac:dyDescent="0.3">
      <c r="A2523">
        <v>202303</v>
      </c>
      <c r="B2523" t="s">
        <v>41</v>
      </c>
      <c r="C2523" s="2">
        <v>45947</v>
      </c>
      <c r="D2523" s="2">
        <f t="shared" si="238"/>
        <v>45977</v>
      </c>
      <c r="E2523" s="1">
        <f>D2523</f>
        <v>45977</v>
      </c>
      <c r="F2523">
        <v>1354</v>
      </c>
      <c r="G2523">
        <v>30</v>
      </c>
      <c r="H2523">
        <f t="shared" si="237"/>
        <v>0</v>
      </c>
      <c r="I2523" t="str">
        <f t="shared" si="241"/>
        <v>On Time</v>
      </c>
      <c r="J2523" cm="1">
        <f t="array" ref="J2523">_xlfn.IFS(H2523&lt;30,0,H2523&lt;60,1,H2523&lt;90,2,H2523&lt;120,3)</f>
        <v>0</v>
      </c>
      <c r="M2523" t="str">
        <f t="shared" si="242"/>
        <v>Low</v>
      </c>
      <c r="N2523" t="str">
        <f t="shared" si="239"/>
        <v>Oct</v>
      </c>
      <c r="O2523">
        <f t="shared" si="240"/>
        <v>2025</v>
      </c>
    </row>
    <row r="2524" spans="1:15" x14ac:dyDescent="0.3">
      <c r="A2524">
        <v>202304</v>
      </c>
      <c r="B2524" t="s">
        <v>42</v>
      </c>
      <c r="C2524" s="2">
        <v>45947</v>
      </c>
      <c r="D2524" s="2">
        <f t="shared" si="238"/>
        <v>45977</v>
      </c>
      <c r="E2524" s="1">
        <f>D2524+5</f>
        <v>45982</v>
      </c>
      <c r="F2524">
        <v>332</v>
      </c>
      <c r="G2524">
        <v>30</v>
      </c>
      <c r="H2524">
        <f t="shared" si="237"/>
        <v>0</v>
      </c>
      <c r="I2524" t="str">
        <f t="shared" si="241"/>
        <v>On Time</v>
      </c>
      <c r="J2524" cm="1">
        <f t="array" ref="J2524">_xlfn.IFS(H2524&lt;30,0,H2524&lt;60,1,H2524&lt;90,2,H2524&lt;120,3)</f>
        <v>0</v>
      </c>
      <c r="M2524" t="str">
        <f t="shared" si="242"/>
        <v>Low</v>
      </c>
      <c r="N2524" t="str">
        <f t="shared" si="239"/>
        <v>Oct</v>
      </c>
      <c r="O2524">
        <f t="shared" si="240"/>
        <v>2025</v>
      </c>
    </row>
    <row r="2525" spans="1:15" x14ac:dyDescent="0.3">
      <c r="A2525">
        <v>202305</v>
      </c>
      <c r="B2525" t="s">
        <v>43</v>
      </c>
      <c r="C2525" s="2">
        <v>45947</v>
      </c>
      <c r="D2525" s="2">
        <f t="shared" si="238"/>
        <v>45977</v>
      </c>
      <c r="E2525" s="1">
        <f>D2525+2</f>
        <v>45979</v>
      </c>
      <c r="F2525">
        <v>1077</v>
      </c>
      <c r="G2525">
        <v>30</v>
      </c>
      <c r="H2525">
        <f t="shared" si="237"/>
        <v>0</v>
      </c>
      <c r="I2525" t="str">
        <f t="shared" si="241"/>
        <v>On Time</v>
      </c>
      <c r="J2525" cm="1">
        <f t="array" ref="J2525">_xlfn.IFS(H2525&lt;30,0,H2525&lt;60,1,H2525&lt;90,2,H2525&lt;120,3)</f>
        <v>0</v>
      </c>
      <c r="M2525" t="str">
        <f t="shared" si="242"/>
        <v>Low</v>
      </c>
      <c r="N2525" t="str">
        <f t="shared" si="239"/>
        <v>Oct</v>
      </c>
      <c r="O2525">
        <f t="shared" si="240"/>
        <v>2025</v>
      </c>
    </row>
    <row r="2526" spans="1:15" x14ac:dyDescent="0.3">
      <c r="A2526">
        <v>202306</v>
      </c>
      <c r="B2526" t="s">
        <v>44</v>
      </c>
      <c r="C2526" s="2">
        <v>45947</v>
      </c>
      <c r="D2526" s="2">
        <f t="shared" si="238"/>
        <v>45992</v>
      </c>
      <c r="E2526" s="1">
        <f>D2526</f>
        <v>45992</v>
      </c>
      <c r="F2526">
        <v>3413</v>
      </c>
      <c r="G2526">
        <v>45</v>
      </c>
      <c r="H2526">
        <f t="shared" si="237"/>
        <v>0</v>
      </c>
      <c r="I2526" t="str">
        <f t="shared" si="241"/>
        <v>On Time</v>
      </c>
      <c r="J2526" cm="1">
        <f t="array" ref="J2526">_xlfn.IFS(H2526&lt;30,0,H2526&lt;60,1,H2526&lt;90,2,H2526&lt;120,3)</f>
        <v>0</v>
      </c>
      <c r="M2526" t="str">
        <f t="shared" si="242"/>
        <v>Low</v>
      </c>
      <c r="N2526" t="str">
        <f t="shared" si="239"/>
        <v>Oct</v>
      </c>
      <c r="O2526">
        <f t="shared" si="240"/>
        <v>2025</v>
      </c>
    </row>
    <row r="2527" spans="1:15" x14ac:dyDescent="0.3">
      <c r="A2527">
        <v>202307</v>
      </c>
      <c r="B2527" t="s">
        <v>96</v>
      </c>
      <c r="C2527" s="2">
        <v>45947</v>
      </c>
      <c r="D2527" s="2">
        <f t="shared" si="238"/>
        <v>46007</v>
      </c>
      <c r="E2527" s="1">
        <f>D2527</f>
        <v>46007</v>
      </c>
      <c r="F2527">
        <v>4734</v>
      </c>
      <c r="G2527">
        <v>60</v>
      </c>
      <c r="H2527">
        <f t="shared" si="237"/>
        <v>0</v>
      </c>
      <c r="I2527" t="str">
        <f t="shared" si="241"/>
        <v>On Time</v>
      </c>
      <c r="J2527" cm="1">
        <f t="array" ref="J2527">_xlfn.IFS(H2527&lt;30,0,H2527&lt;60,1,H2527&lt;90,2,H2527&lt;120,3)</f>
        <v>0</v>
      </c>
      <c r="M2527" t="str">
        <f t="shared" si="242"/>
        <v>Low</v>
      </c>
      <c r="N2527" t="str">
        <f t="shared" si="239"/>
        <v>Oct</v>
      </c>
      <c r="O2527">
        <f t="shared" si="240"/>
        <v>2025</v>
      </c>
    </row>
    <row r="2528" spans="1:15" x14ac:dyDescent="0.3">
      <c r="A2528">
        <v>202308</v>
      </c>
      <c r="B2528" t="s">
        <v>97</v>
      </c>
      <c r="C2528" s="2">
        <v>45947</v>
      </c>
      <c r="D2528" s="2">
        <f t="shared" si="238"/>
        <v>45977</v>
      </c>
      <c r="E2528" s="1">
        <f>D2528</f>
        <v>45977</v>
      </c>
      <c r="F2528">
        <v>2210</v>
      </c>
      <c r="G2528">
        <v>30</v>
      </c>
      <c r="H2528">
        <f t="shared" si="237"/>
        <v>0</v>
      </c>
      <c r="I2528" t="str">
        <f t="shared" si="241"/>
        <v>On Time</v>
      </c>
      <c r="J2528" cm="1">
        <f t="array" ref="J2528">_xlfn.IFS(H2528&lt;30,0,H2528&lt;60,1,H2528&lt;90,2,H2528&lt;120,3)</f>
        <v>0</v>
      </c>
      <c r="M2528" t="str">
        <f t="shared" si="242"/>
        <v>Low</v>
      </c>
      <c r="N2528" t="str">
        <f t="shared" si="239"/>
        <v>Oct</v>
      </c>
      <c r="O2528">
        <f t="shared" si="240"/>
        <v>2025</v>
      </c>
    </row>
    <row r="2529" spans="1:15" x14ac:dyDescent="0.3">
      <c r="A2529">
        <v>202309</v>
      </c>
      <c r="B2529" t="s">
        <v>98</v>
      </c>
      <c r="C2529" s="2">
        <v>45947</v>
      </c>
      <c r="D2529" s="2">
        <f t="shared" si="238"/>
        <v>45977</v>
      </c>
      <c r="E2529" s="1">
        <f>D2529+60</f>
        <v>46037</v>
      </c>
      <c r="F2529">
        <v>11616</v>
      </c>
      <c r="G2529">
        <v>30</v>
      </c>
      <c r="H2529">
        <f t="shared" si="237"/>
        <v>0</v>
      </c>
      <c r="I2529" t="str">
        <f t="shared" si="241"/>
        <v>On Time</v>
      </c>
      <c r="J2529" cm="1">
        <f t="array" ref="J2529">_xlfn.IFS(H2529&lt;30,0,H2529&lt;60,1,H2529&lt;90,2,H2529&lt;120,3)</f>
        <v>0</v>
      </c>
      <c r="M2529" t="str">
        <f t="shared" si="242"/>
        <v>Low</v>
      </c>
      <c r="N2529" t="str">
        <f t="shared" si="239"/>
        <v>Oct</v>
      </c>
      <c r="O2529">
        <f t="shared" si="240"/>
        <v>2025</v>
      </c>
    </row>
    <row r="2530" spans="1:15" x14ac:dyDescent="0.3">
      <c r="A2530">
        <v>202310</v>
      </c>
      <c r="B2530" t="s">
        <v>99</v>
      </c>
      <c r="C2530" s="2">
        <v>45947</v>
      </c>
      <c r="D2530" s="2">
        <f t="shared" si="238"/>
        <v>45977</v>
      </c>
      <c r="E2530" s="1">
        <f>D2530</f>
        <v>45977</v>
      </c>
      <c r="F2530">
        <v>1856</v>
      </c>
      <c r="G2530">
        <v>30</v>
      </c>
      <c r="H2530">
        <f t="shared" si="237"/>
        <v>0</v>
      </c>
      <c r="I2530" t="str">
        <f t="shared" si="241"/>
        <v>On Time</v>
      </c>
      <c r="J2530" cm="1">
        <f t="array" ref="J2530">_xlfn.IFS(H2530&lt;30,0,H2530&lt;60,1,H2530&lt;90,2,H2530&lt;120,3)</f>
        <v>0</v>
      </c>
      <c r="M2530" t="str">
        <f t="shared" si="242"/>
        <v>Low</v>
      </c>
      <c r="N2530" t="str">
        <f t="shared" si="239"/>
        <v>Oct</v>
      </c>
      <c r="O2530">
        <f t="shared" si="240"/>
        <v>2025</v>
      </c>
    </row>
    <row r="2531" spans="1:15" x14ac:dyDescent="0.3">
      <c r="A2531">
        <v>202311</v>
      </c>
      <c r="B2531" t="s">
        <v>100</v>
      </c>
      <c r="C2531" s="2">
        <v>45947</v>
      </c>
      <c r="D2531" s="2">
        <f t="shared" si="238"/>
        <v>45977</v>
      </c>
      <c r="E2531" s="1">
        <f>D2531</f>
        <v>45977</v>
      </c>
      <c r="F2531">
        <v>855</v>
      </c>
      <c r="G2531">
        <v>30</v>
      </c>
      <c r="H2531">
        <f t="shared" si="237"/>
        <v>0</v>
      </c>
      <c r="I2531" t="str">
        <f t="shared" si="241"/>
        <v>On Time</v>
      </c>
      <c r="J2531" cm="1">
        <f t="array" ref="J2531">_xlfn.IFS(H2531&lt;30,0,H2531&lt;60,1,H2531&lt;90,2,H2531&lt;120,3)</f>
        <v>0</v>
      </c>
      <c r="M2531" t="str">
        <f t="shared" si="242"/>
        <v>Low</v>
      </c>
      <c r="N2531" t="str">
        <f t="shared" si="239"/>
        <v>Oct</v>
      </c>
      <c r="O2531">
        <f t="shared" si="240"/>
        <v>2025</v>
      </c>
    </row>
    <row r="2532" spans="1:15" x14ac:dyDescent="0.3">
      <c r="A2532">
        <v>202312</v>
      </c>
      <c r="B2532" t="s">
        <v>101</v>
      </c>
      <c r="C2532" s="2">
        <v>45947</v>
      </c>
      <c r="D2532" s="2">
        <f t="shared" si="238"/>
        <v>45977</v>
      </c>
      <c r="E2532" s="1">
        <f>D2532+3</f>
        <v>45980</v>
      </c>
      <c r="F2532">
        <v>1002</v>
      </c>
      <c r="G2532">
        <v>30</v>
      </c>
      <c r="H2532">
        <f t="shared" si="237"/>
        <v>0</v>
      </c>
      <c r="I2532" t="str">
        <f t="shared" si="241"/>
        <v>On Time</v>
      </c>
      <c r="J2532" cm="1">
        <f t="array" ref="J2532">_xlfn.IFS(H2532&lt;30,0,H2532&lt;60,1,H2532&lt;90,2,H2532&lt;120,3)</f>
        <v>0</v>
      </c>
      <c r="M2532" t="str">
        <f t="shared" si="242"/>
        <v>Low</v>
      </c>
      <c r="N2532" t="str">
        <f t="shared" si="239"/>
        <v>Oct</v>
      </c>
      <c r="O2532">
        <f t="shared" si="240"/>
        <v>2025</v>
      </c>
    </row>
    <row r="2533" spans="1:15" x14ac:dyDescent="0.3">
      <c r="A2533">
        <v>202313</v>
      </c>
      <c r="B2533" t="s">
        <v>102</v>
      </c>
      <c r="C2533" s="2">
        <v>45947</v>
      </c>
      <c r="D2533" s="2">
        <f t="shared" si="238"/>
        <v>45977</v>
      </c>
      <c r="E2533" s="1">
        <f>D2533+1</f>
        <v>45978</v>
      </c>
      <c r="F2533">
        <v>3572</v>
      </c>
      <c r="G2533">
        <v>30</v>
      </c>
      <c r="H2533">
        <f t="shared" si="237"/>
        <v>0</v>
      </c>
      <c r="I2533" t="str">
        <f t="shared" si="241"/>
        <v>On Time</v>
      </c>
      <c r="J2533" cm="1">
        <f t="array" ref="J2533">_xlfn.IFS(H2533&lt;30,0,H2533&lt;60,1,H2533&lt;90,2,H2533&lt;120,3)</f>
        <v>0</v>
      </c>
      <c r="M2533" t="str">
        <f t="shared" si="242"/>
        <v>Low</v>
      </c>
      <c r="N2533" t="str">
        <f t="shared" si="239"/>
        <v>Oct</v>
      </c>
      <c r="O2533">
        <f t="shared" si="240"/>
        <v>2025</v>
      </c>
    </row>
    <row r="2534" spans="1:15" x14ac:dyDescent="0.3">
      <c r="A2534">
        <v>202314</v>
      </c>
      <c r="B2534" t="s">
        <v>103</v>
      </c>
      <c r="C2534" s="2">
        <v>45947</v>
      </c>
      <c r="D2534" s="2">
        <f t="shared" si="238"/>
        <v>45977</v>
      </c>
      <c r="E2534" s="1">
        <f>D2534-1</f>
        <v>45976</v>
      </c>
      <c r="F2534">
        <v>1554</v>
      </c>
      <c r="G2534">
        <v>30</v>
      </c>
      <c r="H2534">
        <f t="shared" ref="H2534:H2597" si="243">MAX(0,P2499-D2534)</f>
        <v>0</v>
      </c>
      <c r="I2534" t="str">
        <f t="shared" si="241"/>
        <v>On Time</v>
      </c>
      <c r="J2534" cm="1">
        <f t="array" ref="J2534">_xlfn.IFS(H2534&lt;30,0,H2534&lt;60,1,H2534&lt;90,2,H2534&lt;120,3)</f>
        <v>0</v>
      </c>
      <c r="M2534" t="str">
        <f t="shared" si="242"/>
        <v>Low</v>
      </c>
      <c r="N2534" t="str">
        <f t="shared" si="239"/>
        <v>Oct</v>
      </c>
      <c r="O2534">
        <f t="shared" si="240"/>
        <v>2025</v>
      </c>
    </row>
    <row r="2535" spans="1:15" x14ac:dyDescent="0.3">
      <c r="A2535">
        <v>202315</v>
      </c>
      <c r="B2535" t="s">
        <v>104</v>
      </c>
      <c r="C2535" s="2">
        <v>45947</v>
      </c>
      <c r="D2535" s="2">
        <f t="shared" si="238"/>
        <v>45977</v>
      </c>
      <c r="E2535" s="1">
        <f>D2535</f>
        <v>45977</v>
      </c>
      <c r="F2535">
        <v>1747</v>
      </c>
      <c r="G2535">
        <v>30</v>
      </c>
      <c r="H2535">
        <f t="shared" si="243"/>
        <v>0</v>
      </c>
      <c r="I2535" t="str">
        <f t="shared" si="241"/>
        <v>On Time</v>
      </c>
      <c r="J2535" cm="1">
        <f t="array" ref="J2535">_xlfn.IFS(H2535&lt;30,0,H2535&lt;60,1,H2535&lt;90,2,H2535&lt;120,3)</f>
        <v>0</v>
      </c>
      <c r="M2535" t="str">
        <f t="shared" si="242"/>
        <v>Low</v>
      </c>
      <c r="N2535" t="str">
        <f t="shared" si="239"/>
        <v>Oct</v>
      </c>
      <c r="O2535">
        <f t="shared" si="240"/>
        <v>2025</v>
      </c>
    </row>
    <row r="2536" spans="1:15" x14ac:dyDescent="0.3">
      <c r="A2536">
        <v>202316</v>
      </c>
      <c r="B2536" t="s">
        <v>105</v>
      </c>
      <c r="C2536" s="2">
        <v>45947</v>
      </c>
      <c r="D2536" s="2">
        <f t="shared" si="238"/>
        <v>45977</v>
      </c>
      <c r="E2536" s="1">
        <f>D2536+1</f>
        <v>45978</v>
      </c>
      <c r="F2536">
        <v>11911</v>
      </c>
      <c r="G2536">
        <v>30</v>
      </c>
      <c r="H2536">
        <f t="shared" si="243"/>
        <v>0</v>
      </c>
      <c r="I2536" t="str">
        <f t="shared" si="241"/>
        <v>On Time</v>
      </c>
      <c r="J2536" cm="1">
        <f t="array" ref="J2536">_xlfn.IFS(H2536&lt;30,0,H2536&lt;60,1,H2536&lt;90,2,H2536&lt;120,3)</f>
        <v>0</v>
      </c>
      <c r="M2536" t="str">
        <f t="shared" si="242"/>
        <v>Low</v>
      </c>
      <c r="N2536" t="str">
        <f t="shared" si="239"/>
        <v>Oct</v>
      </c>
      <c r="O2536">
        <f t="shared" si="240"/>
        <v>2025</v>
      </c>
    </row>
    <row r="2537" spans="1:15" x14ac:dyDescent="0.3">
      <c r="A2537">
        <v>202317</v>
      </c>
      <c r="B2537" t="s">
        <v>106</v>
      </c>
      <c r="C2537" s="2">
        <v>45947</v>
      </c>
      <c r="D2537" s="2">
        <f t="shared" si="238"/>
        <v>45977</v>
      </c>
      <c r="E2537" s="1">
        <f>D2537+35</f>
        <v>46012</v>
      </c>
      <c r="F2537">
        <v>1024</v>
      </c>
      <c r="G2537">
        <v>30</v>
      </c>
      <c r="H2537">
        <f t="shared" si="243"/>
        <v>0</v>
      </c>
      <c r="I2537" t="str">
        <f t="shared" si="241"/>
        <v>On Time</v>
      </c>
      <c r="J2537" cm="1">
        <f t="array" ref="J2537">_xlfn.IFS(H2537&lt;30,0,H2537&lt;60,1,H2537&lt;90,2,H2537&lt;120,3)</f>
        <v>0</v>
      </c>
      <c r="M2537" t="str">
        <f t="shared" si="242"/>
        <v>Low</v>
      </c>
      <c r="N2537" t="str">
        <f t="shared" si="239"/>
        <v>Oct</v>
      </c>
      <c r="O2537">
        <f t="shared" si="240"/>
        <v>2025</v>
      </c>
    </row>
    <row r="2538" spans="1:15" x14ac:dyDescent="0.3">
      <c r="A2538">
        <v>202318</v>
      </c>
      <c r="B2538" t="s">
        <v>107</v>
      </c>
      <c r="C2538" s="2">
        <v>45947</v>
      </c>
      <c r="D2538" s="2">
        <f t="shared" si="238"/>
        <v>45977</v>
      </c>
      <c r="E2538" s="1">
        <f>D2538+77</f>
        <v>46054</v>
      </c>
      <c r="F2538">
        <v>2897</v>
      </c>
      <c r="G2538">
        <v>30</v>
      </c>
      <c r="H2538">
        <f t="shared" si="243"/>
        <v>0</v>
      </c>
      <c r="I2538" t="str">
        <f t="shared" si="241"/>
        <v>On Time</v>
      </c>
      <c r="J2538" cm="1">
        <f t="array" ref="J2538">_xlfn.IFS(H2538&lt;30,0,H2538&lt;60,1,H2538&lt;90,2,H2538&lt;120,3)</f>
        <v>0</v>
      </c>
      <c r="M2538" t="str">
        <f t="shared" si="242"/>
        <v>Low</v>
      </c>
      <c r="N2538" t="str">
        <f t="shared" si="239"/>
        <v>Oct</v>
      </c>
      <c r="O2538">
        <f t="shared" si="240"/>
        <v>2025</v>
      </c>
    </row>
    <row r="2539" spans="1:15" x14ac:dyDescent="0.3">
      <c r="A2539">
        <v>202319</v>
      </c>
      <c r="B2539" t="s">
        <v>56</v>
      </c>
      <c r="C2539" s="2">
        <v>45947</v>
      </c>
      <c r="D2539" s="2">
        <f t="shared" si="238"/>
        <v>45992</v>
      </c>
      <c r="E2539" s="1">
        <f>D2539+5</f>
        <v>45997</v>
      </c>
      <c r="F2539">
        <v>210</v>
      </c>
      <c r="G2539">
        <v>45</v>
      </c>
      <c r="H2539">
        <f t="shared" si="243"/>
        <v>0</v>
      </c>
      <c r="I2539" t="str">
        <f t="shared" si="241"/>
        <v>On Time</v>
      </c>
      <c r="J2539" cm="1">
        <f t="array" ref="J2539">_xlfn.IFS(H2539&lt;30,0,H2539&lt;60,1,H2539&lt;90,2,H2539&lt;120,3)</f>
        <v>0</v>
      </c>
      <c r="M2539" t="str">
        <f t="shared" si="242"/>
        <v>Low</v>
      </c>
      <c r="N2539" t="str">
        <f t="shared" si="239"/>
        <v>Oct</v>
      </c>
      <c r="O2539">
        <f t="shared" si="240"/>
        <v>2025</v>
      </c>
    </row>
    <row r="2540" spans="1:15" x14ac:dyDescent="0.3">
      <c r="A2540">
        <v>201898</v>
      </c>
      <c r="B2540" t="s">
        <v>73</v>
      </c>
      <c r="C2540" s="2">
        <v>45946</v>
      </c>
      <c r="D2540" s="2">
        <f t="shared" si="238"/>
        <v>45991</v>
      </c>
      <c r="E2540" s="1">
        <f>D2540</f>
        <v>45991</v>
      </c>
      <c r="F2540">
        <v>3254</v>
      </c>
      <c r="G2540">
        <v>45</v>
      </c>
      <c r="H2540">
        <f t="shared" si="243"/>
        <v>0</v>
      </c>
      <c r="I2540" t="str">
        <f t="shared" si="241"/>
        <v>On Time</v>
      </c>
      <c r="J2540" cm="1">
        <f t="array" ref="J2540">_xlfn.IFS(H2540&lt;30,0,H2540&lt;60,1,H2540&lt;90,2,H2540&lt;120,3)</f>
        <v>0</v>
      </c>
      <c r="M2540" t="str">
        <f t="shared" si="242"/>
        <v>Low</v>
      </c>
      <c r="N2540" t="str">
        <f t="shared" si="239"/>
        <v>Oct</v>
      </c>
      <c r="O2540">
        <f t="shared" si="240"/>
        <v>2025</v>
      </c>
    </row>
    <row r="2541" spans="1:15" x14ac:dyDescent="0.3">
      <c r="A2541">
        <v>201899</v>
      </c>
      <c r="B2541" t="s">
        <v>74</v>
      </c>
      <c r="C2541" s="2">
        <v>45946</v>
      </c>
      <c r="D2541" s="2">
        <f t="shared" si="238"/>
        <v>45991</v>
      </c>
      <c r="E2541" s="1">
        <f>D2541+2</f>
        <v>45993</v>
      </c>
      <c r="F2541">
        <v>2867</v>
      </c>
      <c r="G2541">
        <v>45</v>
      </c>
      <c r="H2541">
        <f t="shared" si="243"/>
        <v>0</v>
      </c>
      <c r="I2541" t="str">
        <f t="shared" si="241"/>
        <v>On Time</v>
      </c>
      <c r="J2541" cm="1">
        <f t="array" ref="J2541">_xlfn.IFS(H2541&lt;30,0,H2541&lt;60,1,H2541&lt;90,2,H2541&lt;120,3)</f>
        <v>0</v>
      </c>
      <c r="M2541" t="str">
        <f t="shared" si="242"/>
        <v>Low</v>
      </c>
      <c r="N2541" t="str">
        <f t="shared" si="239"/>
        <v>Oct</v>
      </c>
      <c r="O2541">
        <f t="shared" si="240"/>
        <v>2025</v>
      </c>
    </row>
    <row r="2542" spans="1:15" x14ac:dyDescent="0.3">
      <c r="A2542">
        <v>201900</v>
      </c>
      <c r="B2542" t="s">
        <v>45</v>
      </c>
      <c r="C2542" s="2">
        <v>45946</v>
      </c>
      <c r="D2542" s="2">
        <f t="shared" si="238"/>
        <v>45991</v>
      </c>
      <c r="E2542" s="1">
        <f>D2542+2</f>
        <v>45993</v>
      </c>
      <c r="F2542">
        <v>3765</v>
      </c>
      <c r="G2542">
        <v>45</v>
      </c>
      <c r="H2542">
        <f t="shared" si="243"/>
        <v>0</v>
      </c>
      <c r="I2542" t="str">
        <f t="shared" si="241"/>
        <v>On Time</v>
      </c>
      <c r="J2542" cm="1">
        <f t="array" ref="J2542">_xlfn.IFS(H2542&lt;30,0,H2542&lt;60,1,H2542&lt;90,2,H2542&lt;120,3)</f>
        <v>0</v>
      </c>
      <c r="M2542" t="str">
        <f t="shared" si="242"/>
        <v>Low</v>
      </c>
      <c r="N2542" t="str">
        <f t="shared" si="239"/>
        <v>Oct</v>
      </c>
      <c r="O2542">
        <f t="shared" si="240"/>
        <v>2025</v>
      </c>
    </row>
    <row r="2543" spans="1:15" x14ac:dyDescent="0.3">
      <c r="A2543">
        <v>201901</v>
      </c>
      <c r="B2543" t="s">
        <v>46</v>
      </c>
      <c r="C2543" s="2">
        <v>45946</v>
      </c>
      <c r="D2543" s="2">
        <f t="shared" si="238"/>
        <v>46006</v>
      </c>
      <c r="E2543" s="1">
        <f>D2543+2</f>
        <v>46008</v>
      </c>
      <c r="F2543">
        <v>3068</v>
      </c>
      <c r="G2543">
        <v>60</v>
      </c>
      <c r="H2543">
        <f t="shared" si="243"/>
        <v>0</v>
      </c>
      <c r="I2543" t="str">
        <f t="shared" si="241"/>
        <v>On Time</v>
      </c>
      <c r="J2543" cm="1">
        <f t="array" ref="J2543">_xlfn.IFS(H2543&lt;30,0,H2543&lt;60,1,H2543&lt;90,2,H2543&lt;120,3)</f>
        <v>0</v>
      </c>
      <c r="M2543" t="str">
        <f t="shared" si="242"/>
        <v>Low</v>
      </c>
      <c r="N2543" t="str">
        <f t="shared" si="239"/>
        <v>Oct</v>
      </c>
      <c r="O2543">
        <f t="shared" si="240"/>
        <v>2025</v>
      </c>
    </row>
    <row r="2544" spans="1:15" x14ac:dyDescent="0.3">
      <c r="A2544">
        <v>201902</v>
      </c>
      <c r="B2544" t="s">
        <v>47</v>
      </c>
      <c r="C2544" s="2">
        <v>45946</v>
      </c>
      <c r="D2544" s="2">
        <f t="shared" si="238"/>
        <v>46006</v>
      </c>
      <c r="E2544" s="1">
        <f>D2544</f>
        <v>46006</v>
      </c>
      <c r="F2544">
        <v>847</v>
      </c>
      <c r="G2544">
        <v>60</v>
      </c>
      <c r="H2544">
        <f t="shared" si="243"/>
        <v>0</v>
      </c>
      <c r="I2544" t="str">
        <f t="shared" si="241"/>
        <v>On Time</v>
      </c>
      <c r="J2544" cm="1">
        <f t="array" ref="J2544">_xlfn.IFS(H2544&lt;30,0,H2544&lt;60,1,H2544&lt;90,2,H2544&lt;120,3)</f>
        <v>0</v>
      </c>
      <c r="M2544" t="str">
        <f t="shared" si="242"/>
        <v>Low</v>
      </c>
      <c r="N2544" t="str">
        <f t="shared" si="239"/>
        <v>Oct</v>
      </c>
      <c r="O2544">
        <f t="shared" si="240"/>
        <v>2025</v>
      </c>
    </row>
    <row r="2545" spans="1:15" x14ac:dyDescent="0.3">
      <c r="A2545">
        <v>201903</v>
      </c>
      <c r="B2545" t="s">
        <v>48</v>
      </c>
      <c r="C2545" s="2">
        <v>45946</v>
      </c>
      <c r="D2545" s="2">
        <f t="shared" si="238"/>
        <v>45991</v>
      </c>
      <c r="E2545" s="1">
        <f>D2545+20</f>
        <v>46011</v>
      </c>
      <c r="F2545">
        <v>4853</v>
      </c>
      <c r="G2545">
        <v>45</v>
      </c>
      <c r="H2545">
        <f t="shared" si="243"/>
        <v>0</v>
      </c>
      <c r="I2545" t="str">
        <f t="shared" si="241"/>
        <v>On Time</v>
      </c>
      <c r="J2545" cm="1">
        <f t="array" ref="J2545">_xlfn.IFS(H2545&lt;30,0,H2545&lt;60,1,H2545&lt;90,2,H2545&lt;120,3)</f>
        <v>0</v>
      </c>
      <c r="M2545" t="str">
        <f t="shared" si="242"/>
        <v>Low</v>
      </c>
      <c r="N2545" t="str">
        <f t="shared" si="239"/>
        <v>Oct</v>
      </c>
      <c r="O2545">
        <f t="shared" si="240"/>
        <v>2025</v>
      </c>
    </row>
    <row r="2546" spans="1:15" x14ac:dyDescent="0.3">
      <c r="A2546">
        <v>201904</v>
      </c>
      <c r="B2546" t="s">
        <v>49</v>
      </c>
      <c r="C2546" s="2">
        <v>45946</v>
      </c>
      <c r="D2546" s="2">
        <f t="shared" si="238"/>
        <v>45976</v>
      </c>
      <c r="E2546" s="1">
        <f>D2546</f>
        <v>45976</v>
      </c>
      <c r="F2546">
        <v>3616</v>
      </c>
      <c r="G2546">
        <v>30</v>
      </c>
      <c r="H2546">
        <f t="shared" si="243"/>
        <v>0</v>
      </c>
      <c r="I2546" t="str">
        <f t="shared" si="241"/>
        <v>On Time</v>
      </c>
      <c r="J2546" cm="1">
        <f t="array" ref="J2546">_xlfn.IFS(H2546&lt;30,0,H2546&lt;60,1,H2546&lt;90,2,H2546&lt;120,3)</f>
        <v>0</v>
      </c>
      <c r="M2546" t="str">
        <f t="shared" si="242"/>
        <v>Low</v>
      </c>
      <c r="N2546" t="str">
        <f t="shared" si="239"/>
        <v>Oct</v>
      </c>
      <c r="O2546">
        <f t="shared" si="240"/>
        <v>2025</v>
      </c>
    </row>
    <row r="2547" spans="1:15" x14ac:dyDescent="0.3">
      <c r="A2547">
        <v>201905</v>
      </c>
      <c r="B2547" t="s">
        <v>50</v>
      </c>
      <c r="C2547" s="2">
        <v>45946</v>
      </c>
      <c r="D2547" s="2">
        <f t="shared" si="238"/>
        <v>45976</v>
      </c>
      <c r="E2547" s="1">
        <f>D2547+1</f>
        <v>45977</v>
      </c>
      <c r="F2547">
        <v>1308</v>
      </c>
      <c r="G2547">
        <v>30</v>
      </c>
      <c r="H2547">
        <f t="shared" si="243"/>
        <v>0</v>
      </c>
      <c r="I2547" t="str">
        <f t="shared" si="241"/>
        <v>On Time</v>
      </c>
      <c r="J2547" cm="1">
        <f t="array" ref="J2547">_xlfn.IFS(H2547&lt;30,0,H2547&lt;60,1,H2547&lt;90,2,H2547&lt;120,3)</f>
        <v>0</v>
      </c>
      <c r="M2547" t="str">
        <f t="shared" si="242"/>
        <v>Low</v>
      </c>
      <c r="N2547" t="str">
        <f t="shared" si="239"/>
        <v>Oct</v>
      </c>
      <c r="O2547">
        <f t="shared" si="240"/>
        <v>2025</v>
      </c>
    </row>
    <row r="2548" spans="1:15" x14ac:dyDescent="0.3">
      <c r="A2548">
        <v>201906</v>
      </c>
      <c r="B2548" t="s">
        <v>51</v>
      </c>
      <c r="C2548" s="2">
        <v>45946</v>
      </c>
      <c r="D2548" s="2">
        <f t="shared" si="238"/>
        <v>45976</v>
      </c>
      <c r="E2548" s="1">
        <f>D2548</f>
        <v>45976</v>
      </c>
      <c r="F2548">
        <v>4208</v>
      </c>
      <c r="G2548">
        <v>30</v>
      </c>
      <c r="H2548">
        <f t="shared" si="243"/>
        <v>0</v>
      </c>
      <c r="I2548" t="str">
        <f t="shared" si="241"/>
        <v>On Time</v>
      </c>
      <c r="J2548" cm="1">
        <f t="array" ref="J2548">_xlfn.IFS(H2548&lt;30,0,H2548&lt;60,1,H2548&lt;90,2,H2548&lt;120,3)</f>
        <v>0</v>
      </c>
      <c r="M2548" t="str">
        <f t="shared" si="242"/>
        <v>Low</v>
      </c>
      <c r="N2548" t="str">
        <f t="shared" si="239"/>
        <v>Oct</v>
      </c>
      <c r="O2548">
        <f t="shared" si="240"/>
        <v>2025</v>
      </c>
    </row>
    <row r="2549" spans="1:15" x14ac:dyDescent="0.3">
      <c r="A2549">
        <v>201907</v>
      </c>
      <c r="B2549" t="s">
        <v>52</v>
      </c>
      <c r="C2549" s="2">
        <v>45946</v>
      </c>
      <c r="D2549" s="2">
        <f t="shared" si="238"/>
        <v>45976</v>
      </c>
      <c r="E2549" s="1">
        <f>D2549</f>
        <v>45976</v>
      </c>
      <c r="F2549">
        <v>150</v>
      </c>
      <c r="G2549">
        <v>30</v>
      </c>
      <c r="H2549">
        <f t="shared" si="243"/>
        <v>0</v>
      </c>
      <c r="I2549" t="str">
        <f t="shared" si="241"/>
        <v>On Time</v>
      </c>
      <c r="J2549" cm="1">
        <f t="array" ref="J2549">_xlfn.IFS(H2549&lt;30,0,H2549&lt;60,1,H2549&lt;90,2,H2549&lt;120,3)</f>
        <v>0</v>
      </c>
      <c r="M2549" t="str">
        <f t="shared" si="242"/>
        <v>Low</v>
      </c>
      <c r="N2549" t="str">
        <f t="shared" si="239"/>
        <v>Oct</v>
      </c>
      <c r="O2549">
        <f t="shared" si="240"/>
        <v>2025</v>
      </c>
    </row>
    <row r="2550" spans="1:15" x14ac:dyDescent="0.3">
      <c r="A2550">
        <v>201908</v>
      </c>
      <c r="B2550" t="s">
        <v>53</v>
      </c>
      <c r="C2550" s="2">
        <v>45946</v>
      </c>
      <c r="D2550" s="2">
        <f t="shared" si="238"/>
        <v>45976</v>
      </c>
      <c r="E2550" s="1">
        <f>D2550+5</f>
        <v>45981</v>
      </c>
      <c r="F2550">
        <v>3206</v>
      </c>
      <c r="G2550">
        <v>30</v>
      </c>
      <c r="H2550">
        <f t="shared" si="243"/>
        <v>0</v>
      </c>
      <c r="I2550" t="str">
        <f t="shared" si="241"/>
        <v>On Time</v>
      </c>
      <c r="J2550" cm="1">
        <f t="array" ref="J2550">_xlfn.IFS(H2550&lt;30,0,H2550&lt;60,1,H2550&lt;90,2,H2550&lt;120,3)</f>
        <v>0</v>
      </c>
      <c r="M2550" t="str">
        <f t="shared" si="242"/>
        <v>Low</v>
      </c>
      <c r="N2550" t="str">
        <f t="shared" si="239"/>
        <v>Oct</v>
      </c>
      <c r="O2550">
        <f t="shared" si="240"/>
        <v>2025</v>
      </c>
    </row>
    <row r="2551" spans="1:15" x14ac:dyDescent="0.3">
      <c r="A2551">
        <v>201909</v>
      </c>
      <c r="B2551" t="s">
        <v>54</v>
      </c>
      <c r="C2551" s="2">
        <v>45946</v>
      </c>
      <c r="D2551" s="2">
        <f t="shared" si="238"/>
        <v>45976</v>
      </c>
      <c r="E2551" s="1">
        <f>D2551+2</f>
        <v>45978</v>
      </c>
      <c r="F2551">
        <v>2909</v>
      </c>
      <c r="G2551">
        <v>30</v>
      </c>
      <c r="H2551">
        <f t="shared" si="243"/>
        <v>0</v>
      </c>
      <c r="I2551" t="str">
        <f t="shared" si="241"/>
        <v>On Time</v>
      </c>
      <c r="J2551" cm="1">
        <f t="array" ref="J2551">_xlfn.IFS(H2551&lt;30,0,H2551&lt;60,1,H2551&lt;90,2,H2551&lt;120,3)</f>
        <v>0</v>
      </c>
      <c r="M2551" t="str">
        <f t="shared" si="242"/>
        <v>Low</v>
      </c>
      <c r="N2551" t="str">
        <f t="shared" si="239"/>
        <v>Oct</v>
      </c>
      <c r="O2551">
        <f t="shared" si="240"/>
        <v>2025</v>
      </c>
    </row>
    <row r="2552" spans="1:15" x14ac:dyDescent="0.3">
      <c r="A2552">
        <v>201910</v>
      </c>
      <c r="B2552" t="s">
        <v>36</v>
      </c>
      <c r="C2552" s="2">
        <v>45946</v>
      </c>
      <c r="D2552" s="2">
        <f t="shared" si="238"/>
        <v>45976</v>
      </c>
      <c r="E2552" s="1">
        <f>D2552</f>
        <v>45976</v>
      </c>
      <c r="F2552">
        <v>3948</v>
      </c>
      <c r="G2552">
        <v>30</v>
      </c>
      <c r="H2552">
        <f t="shared" si="243"/>
        <v>0</v>
      </c>
      <c r="I2552" t="str">
        <f t="shared" si="241"/>
        <v>On Time</v>
      </c>
      <c r="J2552" cm="1">
        <f t="array" ref="J2552">_xlfn.IFS(H2552&lt;30,0,H2552&lt;60,1,H2552&lt;90,2,H2552&lt;120,3)</f>
        <v>0</v>
      </c>
      <c r="M2552" t="str">
        <f t="shared" si="242"/>
        <v>Low</v>
      </c>
      <c r="N2552" t="str">
        <f t="shared" si="239"/>
        <v>Oct</v>
      </c>
      <c r="O2552">
        <f t="shared" si="240"/>
        <v>2025</v>
      </c>
    </row>
    <row r="2553" spans="1:15" x14ac:dyDescent="0.3">
      <c r="A2553">
        <v>201911</v>
      </c>
      <c r="B2553" t="s">
        <v>37</v>
      </c>
      <c r="C2553" s="2">
        <v>45946</v>
      </c>
      <c r="D2553" s="2">
        <f t="shared" si="238"/>
        <v>45976</v>
      </c>
      <c r="E2553" s="1">
        <f>D2553</f>
        <v>45976</v>
      </c>
      <c r="F2553">
        <v>4949</v>
      </c>
      <c r="G2553">
        <v>30</v>
      </c>
      <c r="H2553">
        <f t="shared" si="243"/>
        <v>0</v>
      </c>
      <c r="I2553" t="str">
        <f t="shared" si="241"/>
        <v>On Time</v>
      </c>
      <c r="J2553" cm="1">
        <f t="array" ref="J2553">_xlfn.IFS(H2553&lt;30,0,H2553&lt;60,1,H2553&lt;90,2,H2553&lt;120,3)</f>
        <v>0</v>
      </c>
      <c r="M2553" t="str">
        <f t="shared" si="242"/>
        <v>Low</v>
      </c>
      <c r="N2553" t="str">
        <f t="shared" si="239"/>
        <v>Oct</v>
      </c>
      <c r="O2553">
        <f t="shared" si="240"/>
        <v>2025</v>
      </c>
    </row>
    <row r="2554" spans="1:15" x14ac:dyDescent="0.3">
      <c r="A2554">
        <v>201912</v>
      </c>
      <c r="B2554" t="s">
        <v>38</v>
      </c>
      <c r="C2554" s="2">
        <v>45946</v>
      </c>
      <c r="D2554" s="2">
        <f t="shared" si="238"/>
        <v>45976</v>
      </c>
      <c r="E2554" s="1">
        <f>D2554</f>
        <v>45976</v>
      </c>
      <c r="F2554">
        <v>4000</v>
      </c>
      <c r="G2554">
        <v>30</v>
      </c>
      <c r="H2554">
        <f t="shared" si="243"/>
        <v>0</v>
      </c>
      <c r="I2554" t="str">
        <f t="shared" si="241"/>
        <v>On Time</v>
      </c>
      <c r="J2554" cm="1">
        <f t="array" ref="J2554">_xlfn.IFS(H2554&lt;30,0,H2554&lt;60,1,H2554&lt;90,2,H2554&lt;120,3)</f>
        <v>0</v>
      </c>
      <c r="M2554" t="str">
        <f t="shared" si="242"/>
        <v>Low</v>
      </c>
      <c r="N2554" t="str">
        <f t="shared" si="239"/>
        <v>Oct</v>
      </c>
      <c r="O2554">
        <f t="shared" si="240"/>
        <v>2025</v>
      </c>
    </row>
    <row r="2555" spans="1:15" x14ac:dyDescent="0.3">
      <c r="A2555">
        <v>201913</v>
      </c>
      <c r="B2555" t="s">
        <v>39</v>
      </c>
      <c r="C2555" s="2">
        <v>45946</v>
      </c>
      <c r="D2555" s="2">
        <f t="shared" si="238"/>
        <v>45976</v>
      </c>
      <c r="E2555" s="1">
        <f>D2555+60</f>
        <v>46036</v>
      </c>
      <c r="F2555">
        <v>409</v>
      </c>
      <c r="G2555">
        <v>30</v>
      </c>
      <c r="H2555">
        <f t="shared" si="243"/>
        <v>0</v>
      </c>
      <c r="I2555" t="str">
        <f t="shared" si="241"/>
        <v>On Time</v>
      </c>
      <c r="J2555" cm="1">
        <f t="array" ref="J2555">_xlfn.IFS(H2555&lt;30,0,H2555&lt;60,1,H2555&lt;90,2,H2555&lt;120,3)</f>
        <v>0</v>
      </c>
      <c r="M2555" t="str">
        <f t="shared" si="242"/>
        <v>Low</v>
      </c>
      <c r="N2555" t="str">
        <f t="shared" si="239"/>
        <v>Oct</v>
      </c>
      <c r="O2555">
        <f t="shared" si="240"/>
        <v>2025</v>
      </c>
    </row>
    <row r="2556" spans="1:15" x14ac:dyDescent="0.3">
      <c r="A2556">
        <v>201914</v>
      </c>
      <c r="B2556" t="s">
        <v>40</v>
      </c>
      <c r="C2556" s="2">
        <v>45946</v>
      </c>
      <c r="D2556" s="2">
        <f t="shared" si="238"/>
        <v>45976</v>
      </c>
      <c r="E2556" s="1">
        <f>D2556</f>
        <v>45976</v>
      </c>
      <c r="F2556">
        <v>3522</v>
      </c>
      <c r="G2556">
        <v>30</v>
      </c>
      <c r="H2556">
        <f t="shared" si="243"/>
        <v>0</v>
      </c>
      <c r="I2556" t="str">
        <f t="shared" si="241"/>
        <v>On Time</v>
      </c>
      <c r="J2556" cm="1">
        <f t="array" ref="J2556">_xlfn.IFS(H2556&lt;30,0,H2556&lt;60,1,H2556&lt;90,2,H2556&lt;120,3)</f>
        <v>0</v>
      </c>
      <c r="M2556" t="str">
        <f t="shared" si="242"/>
        <v>Low</v>
      </c>
      <c r="N2556" t="str">
        <f t="shared" si="239"/>
        <v>Oct</v>
      </c>
      <c r="O2556">
        <f t="shared" si="240"/>
        <v>2025</v>
      </c>
    </row>
    <row r="2557" spans="1:15" x14ac:dyDescent="0.3">
      <c r="A2557">
        <v>201879</v>
      </c>
      <c r="B2557" t="s">
        <v>102</v>
      </c>
      <c r="C2557" s="2">
        <v>45945</v>
      </c>
      <c r="D2557" s="2">
        <f t="shared" si="238"/>
        <v>45975</v>
      </c>
      <c r="E2557" s="1">
        <f>D2557</f>
        <v>45975</v>
      </c>
      <c r="F2557">
        <v>4458</v>
      </c>
      <c r="G2557">
        <v>30</v>
      </c>
      <c r="H2557">
        <f t="shared" si="243"/>
        <v>0</v>
      </c>
      <c r="I2557" t="str">
        <f t="shared" si="241"/>
        <v>On Time</v>
      </c>
      <c r="J2557" cm="1">
        <f t="array" ref="J2557">_xlfn.IFS(H2557&lt;30,0,H2557&lt;60,1,H2557&lt;90,2,H2557&lt;120,3)</f>
        <v>0</v>
      </c>
      <c r="M2557" t="str">
        <f t="shared" si="242"/>
        <v>Low</v>
      </c>
      <c r="N2557" t="str">
        <f t="shared" si="239"/>
        <v>Oct</v>
      </c>
      <c r="O2557">
        <f t="shared" si="240"/>
        <v>2025</v>
      </c>
    </row>
    <row r="2558" spans="1:15" x14ac:dyDescent="0.3">
      <c r="A2558">
        <v>201880</v>
      </c>
      <c r="B2558" t="s">
        <v>103</v>
      </c>
      <c r="C2558" s="2">
        <v>45945</v>
      </c>
      <c r="D2558" s="2">
        <f t="shared" si="238"/>
        <v>45975</v>
      </c>
      <c r="E2558" s="1">
        <f>D2558+60</f>
        <v>46035</v>
      </c>
      <c r="F2558">
        <v>1568</v>
      </c>
      <c r="G2558">
        <v>30</v>
      </c>
      <c r="H2558">
        <f t="shared" si="243"/>
        <v>0</v>
      </c>
      <c r="I2558" t="str">
        <f t="shared" si="241"/>
        <v>On Time</v>
      </c>
      <c r="J2558" cm="1">
        <f t="array" ref="J2558">_xlfn.IFS(H2558&lt;30,0,H2558&lt;60,1,H2558&lt;90,2,H2558&lt;120,3)</f>
        <v>0</v>
      </c>
      <c r="M2558" t="str">
        <f t="shared" si="242"/>
        <v>Low</v>
      </c>
      <c r="N2558" t="str">
        <f t="shared" si="239"/>
        <v>Oct</v>
      </c>
      <c r="O2558">
        <f t="shared" si="240"/>
        <v>2025</v>
      </c>
    </row>
    <row r="2559" spans="1:15" x14ac:dyDescent="0.3">
      <c r="A2559">
        <v>201881</v>
      </c>
      <c r="B2559" t="s">
        <v>104</v>
      </c>
      <c r="C2559" s="2">
        <v>45945</v>
      </c>
      <c r="D2559" s="2">
        <f t="shared" si="238"/>
        <v>45975</v>
      </c>
      <c r="E2559" s="1">
        <f>D2559</f>
        <v>45975</v>
      </c>
      <c r="F2559">
        <v>4655</v>
      </c>
      <c r="G2559">
        <v>30</v>
      </c>
      <c r="H2559">
        <f t="shared" si="243"/>
        <v>0</v>
      </c>
      <c r="I2559" t="str">
        <f t="shared" si="241"/>
        <v>On Time</v>
      </c>
      <c r="J2559" cm="1">
        <f t="array" ref="J2559">_xlfn.IFS(H2559&lt;30,0,H2559&lt;60,1,H2559&lt;90,2,H2559&lt;120,3)</f>
        <v>0</v>
      </c>
      <c r="M2559" t="str">
        <f t="shared" si="242"/>
        <v>Low</v>
      </c>
      <c r="N2559" t="str">
        <f t="shared" si="239"/>
        <v>Oct</v>
      </c>
      <c r="O2559">
        <f t="shared" si="240"/>
        <v>2025</v>
      </c>
    </row>
    <row r="2560" spans="1:15" x14ac:dyDescent="0.3">
      <c r="A2560">
        <v>201882</v>
      </c>
      <c r="B2560" t="s">
        <v>105</v>
      </c>
      <c r="C2560" s="2">
        <v>45945</v>
      </c>
      <c r="D2560" s="2">
        <f t="shared" si="238"/>
        <v>45975</v>
      </c>
      <c r="F2560">
        <v>823</v>
      </c>
      <c r="G2560">
        <v>30</v>
      </c>
      <c r="H2560">
        <f t="shared" si="243"/>
        <v>0</v>
      </c>
      <c r="I2560" t="str">
        <f t="shared" si="241"/>
        <v>On Time</v>
      </c>
      <c r="J2560" cm="1">
        <f t="array" ref="J2560">_xlfn.IFS(H2560&lt;30,0,H2560&lt;60,1,H2560&lt;90,2,H2560&lt;120,3)</f>
        <v>0</v>
      </c>
      <c r="M2560" t="str">
        <f t="shared" si="242"/>
        <v>Low</v>
      </c>
      <c r="N2560" t="str">
        <f t="shared" si="239"/>
        <v>Oct</v>
      </c>
      <c r="O2560">
        <f t="shared" si="240"/>
        <v>2025</v>
      </c>
    </row>
    <row r="2561" spans="1:15" x14ac:dyDescent="0.3">
      <c r="A2561">
        <v>201883</v>
      </c>
      <c r="B2561" t="s">
        <v>86</v>
      </c>
      <c r="C2561" s="2">
        <v>45945</v>
      </c>
      <c r="D2561" s="2">
        <f t="shared" si="238"/>
        <v>45975</v>
      </c>
      <c r="E2561" s="1">
        <f>D2561+3</f>
        <v>45978</v>
      </c>
      <c r="F2561">
        <v>3189</v>
      </c>
      <c r="G2561">
        <v>30</v>
      </c>
      <c r="H2561">
        <f t="shared" si="243"/>
        <v>0</v>
      </c>
      <c r="I2561" t="str">
        <f t="shared" si="241"/>
        <v>On Time</v>
      </c>
      <c r="J2561" cm="1">
        <f t="array" ref="J2561">_xlfn.IFS(H2561&lt;30,0,H2561&lt;60,1,H2561&lt;90,2,H2561&lt;120,3)</f>
        <v>0</v>
      </c>
      <c r="M2561" t="str">
        <f t="shared" si="242"/>
        <v>Low</v>
      </c>
      <c r="N2561" t="str">
        <f t="shared" si="239"/>
        <v>Oct</v>
      </c>
      <c r="O2561">
        <f t="shared" si="240"/>
        <v>2025</v>
      </c>
    </row>
    <row r="2562" spans="1:15" x14ac:dyDescent="0.3">
      <c r="A2562">
        <v>201884</v>
      </c>
      <c r="B2562" t="s">
        <v>87</v>
      </c>
      <c r="C2562" s="2">
        <v>45945</v>
      </c>
      <c r="D2562" s="2">
        <f t="shared" ref="D2562:D2625" si="244">C2562+G2562</f>
        <v>45975</v>
      </c>
      <c r="E2562" s="1">
        <f>D2562+1</f>
        <v>45976</v>
      </c>
      <c r="F2562">
        <v>2071</v>
      </c>
      <c r="G2562">
        <v>30</v>
      </c>
      <c r="H2562">
        <f t="shared" si="243"/>
        <v>0</v>
      </c>
      <c r="I2562" t="str">
        <f t="shared" si="241"/>
        <v>On Time</v>
      </c>
      <c r="J2562" cm="1">
        <f t="array" ref="J2562">_xlfn.IFS(H2562&lt;30,0,H2562&lt;60,1,H2562&lt;90,2,H2562&lt;120,3)</f>
        <v>0</v>
      </c>
      <c r="M2562" t="str">
        <f t="shared" si="242"/>
        <v>Low</v>
      </c>
      <c r="N2562" t="str">
        <f t="shared" ref="N2562:N2625" si="245">TEXT(C2562,"mmm")</f>
        <v>Oct</v>
      </c>
      <c r="O2562">
        <f t="shared" ref="O2562:O2625" si="246">YEAR(C2562)</f>
        <v>2025</v>
      </c>
    </row>
    <row r="2563" spans="1:15" x14ac:dyDescent="0.3">
      <c r="A2563">
        <v>201885</v>
      </c>
      <c r="B2563" t="s">
        <v>88</v>
      </c>
      <c r="C2563" s="2">
        <v>45945</v>
      </c>
      <c r="D2563" s="2">
        <f t="shared" si="244"/>
        <v>45975</v>
      </c>
      <c r="E2563" s="1">
        <f>D2563-1</f>
        <v>45974</v>
      </c>
      <c r="F2563">
        <v>4026</v>
      </c>
      <c r="G2563">
        <v>30</v>
      </c>
      <c r="H2563">
        <f t="shared" si="243"/>
        <v>0</v>
      </c>
      <c r="I2563" t="str">
        <f t="shared" si="241"/>
        <v>On Time</v>
      </c>
      <c r="J2563" cm="1">
        <f t="array" ref="J2563">_xlfn.IFS(H2563&lt;30,0,H2563&lt;60,1,H2563&lt;90,2,H2563&lt;120,3)</f>
        <v>0</v>
      </c>
      <c r="M2563" t="str">
        <f t="shared" si="242"/>
        <v>Low</v>
      </c>
      <c r="N2563" t="str">
        <f t="shared" si="245"/>
        <v>Oct</v>
      </c>
      <c r="O2563">
        <f t="shared" si="246"/>
        <v>2025</v>
      </c>
    </row>
    <row r="2564" spans="1:15" x14ac:dyDescent="0.3">
      <c r="A2564">
        <v>201886</v>
      </c>
      <c r="B2564" t="s">
        <v>89</v>
      </c>
      <c r="C2564" s="2">
        <v>45945</v>
      </c>
      <c r="D2564" s="2">
        <f t="shared" si="244"/>
        <v>45975</v>
      </c>
      <c r="E2564" s="1">
        <f>D2564</f>
        <v>45975</v>
      </c>
      <c r="F2564">
        <v>1026</v>
      </c>
      <c r="G2564">
        <v>30</v>
      </c>
      <c r="H2564">
        <f t="shared" si="243"/>
        <v>0</v>
      </c>
      <c r="I2564" t="str">
        <f t="shared" si="241"/>
        <v>On Time</v>
      </c>
      <c r="J2564" cm="1">
        <f t="array" ref="J2564">_xlfn.IFS(H2564&lt;30,0,H2564&lt;60,1,H2564&lt;90,2,H2564&lt;120,3)</f>
        <v>0</v>
      </c>
      <c r="M2564" t="str">
        <f t="shared" si="242"/>
        <v>Low</v>
      </c>
      <c r="N2564" t="str">
        <f t="shared" si="245"/>
        <v>Oct</v>
      </c>
      <c r="O2564">
        <f t="shared" si="246"/>
        <v>2025</v>
      </c>
    </row>
    <row r="2565" spans="1:15" x14ac:dyDescent="0.3">
      <c r="A2565">
        <v>201887</v>
      </c>
      <c r="B2565" t="s">
        <v>90</v>
      </c>
      <c r="C2565" s="2">
        <v>45945</v>
      </c>
      <c r="D2565" s="2">
        <f t="shared" si="244"/>
        <v>45975</v>
      </c>
      <c r="E2565" s="1">
        <f>D2565-5</f>
        <v>45970</v>
      </c>
      <c r="F2565">
        <v>3226</v>
      </c>
      <c r="G2565">
        <v>30</v>
      </c>
      <c r="H2565">
        <f t="shared" si="243"/>
        <v>0</v>
      </c>
      <c r="I2565" t="str">
        <f t="shared" si="241"/>
        <v>On Time</v>
      </c>
      <c r="J2565" cm="1">
        <f t="array" ref="J2565">_xlfn.IFS(H2565&lt;30,0,H2565&lt;60,1,H2565&lt;90,2,H2565&lt;120,3)</f>
        <v>0</v>
      </c>
      <c r="M2565" t="str">
        <f t="shared" si="242"/>
        <v>Low</v>
      </c>
      <c r="N2565" t="str">
        <f t="shared" si="245"/>
        <v>Oct</v>
      </c>
      <c r="O2565">
        <f t="shared" si="246"/>
        <v>2025</v>
      </c>
    </row>
    <row r="2566" spans="1:15" x14ac:dyDescent="0.3">
      <c r="A2566">
        <v>201888</v>
      </c>
      <c r="B2566" t="s">
        <v>91</v>
      </c>
      <c r="C2566" s="2">
        <v>45945</v>
      </c>
      <c r="D2566" s="2">
        <f t="shared" si="244"/>
        <v>45975</v>
      </c>
      <c r="E2566" s="1">
        <f>D2566+35</f>
        <v>46010</v>
      </c>
      <c r="F2566">
        <v>976</v>
      </c>
      <c r="G2566">
        <v>30</v>
      </c>
      <c r="H2566">
        <f t="shared" si="243"/>
        <v>0</v>
      </c>
      <c r="I2566" t="str">
        <f t="shared" si="241"/>
        <v>On Time</v>
      </c>
      <c r="J2566" cm="1">
        <f t="array" ref="J2566">_xlfn.IFS(H2566&lt;30,0,H2566&lt;60,1,H2566&lt;90,2,H2566&lt;120,3)</f>
        <v>0</v>
      </c>
      <c r="M2566" t="str">
        <f t="shared" si="242"/>
        <v>Low</v>
      </c>
      <c r="N2566" t="str">
        <f t="shared" si="245"/>
        <v>Oct</v>
      </c>
      <c r="O2566">
        <f t="shared" si="246"/>
        <v>2025</v>
      </c>
    </row>
    <row r="2567" spans="1:15" x14ac:dyDescent="0.3">
      <c r="A2567">
        <v>201889</v>
      </c>
      <c r="B2567" t="s">
        <v>92</v>
      </c>
      <c r="C2567" s="2">
        <v>45945</v>
      </c>
      <c r="D2567" s="2">
        <f t="shared" si="244"/>
        <v>45975</v>
      </c>
      <c r="E2567" s="1">
        <f>D2567+75</f>
        <v>46050</v>
      </c>
      <c r="F2567">
        <v>4254</v>
      </c>
      <c r="G2567">
        <v>30</v>
      </c>
      <c r="H2567">
        <f t="shared" si="243"/>
        <v>0</v>
      </c>
      <c r="I2567" t="str">
        <f t="shared" si="241"/>
        <v>On Time</v>
      </c>
      <c r="J2567" cm="1">
        <f t="array" ref="J2567">_xlfn.IFS(H2567&lt;30,0,H2567&lt;60,1,H2567&lt;90,2,H2567&lt;120,3)</f>
        <v>0</v>
      </c>
      <c r="M2567" t="str">
        <f t="shared" si="242"/>
        <v>Low</v>
      </c>
      <c r="N2567" t="str">
        <f t="shared" si="245"/>
        <v>Oct</v>
      </c>
      <c r="O2567">
        <f t="shared" si="246"/>
        <v>2025</v>
      </c>
    </row>
    <row r="2568" spans="1:15" x14ac:dyDescent="0.3">
      <c r="A2568">
        <v>201890</v>
      </c>
      <c r="B2568" t="s">
        <v>93</v>
      </c>
      <c r="C2568" s="2">
        <v>45945</v>
      </c>
      <c r="D2568" s="2">
        <f t="shared" si="244"/>
        <v>45975</v>
      </c>
      <c r="E2568" s="1">
        <f>D2568+5</f>
        <v>45980</v>
      </c>
      <c r="F2568">
        <v>1774</v>
      </c>
      <c r="G2568">
        <v>30</v>
      </c>
      <c r="H2568">
        <f t="shared" si="243"/>
        <v>0</v>
      </c>
      <c r="I2568" t="str">
        <f t="shared" si="241"/>
        <v>On Time</v>
      </c>
      <c r="J2568" cm="1">
        <f t="array" ref="J2568">_xlfn.IFS(H2568&lt;30,0,H2568&lt;60,1,H2568&lt;90,2,H2568&lt;120,3)</f>
        <v>0</v>
      </c>
      <c r="M2568" t="str">
        <f t="shared" si="242"/>
        <v>Low</v>
      </c>
      <c r="N2568" t="str">
        <f t="shared" si="245"/>
        <v>Oct</v>
      </c>
      <c r="O2568">
        <f t="shared" si="246"/>
        <v>2025</v>
      </c>
    </row>
    <row r="2569" spans="1:15" x14ac:dyDescent="0.3">
      <c r="A2569">
        <v>201891</v>
      </c>
      <c r="B2569" t="s">
        <v>94</v>
      </c>
      <c r="C2569" s="2">
        <v>45945</v>
      </c>
      <c r="D2569" s="2">
        <f t="shared" si="244"/>
        <v>45975</v>
      </c>
      <c r="E2569" s="1">
        <f>D2569</f>
        <v>45975</v>
      </c>
      <c r="F2569">
        <v>1376</v>
      </c>
      <c r="G2569">
        <v>30</v>
      </c>
      <c r="H2569">
        <f t="shared" si="243"/>
        <v>0</v>
      </c>
      <c r="I2569" t="str">
        <f t="shared" si="241"/>
        <v>On Time</v>
      </c>
      <c r="J2569" cm="1">
        <f t="array" ref="J2569">_xlfn.IFS(H2569&lt;30,0,H2569&lt;60,1,H2569&lt;90,2,H2569&lt;120,3)</f>
        <v>0</v>
      </c>
      <c r="M2569" t="str">
        <f t="shared" si="242"/>
        <v>Low</v>
      </c>
      <c r="N2569" t="str">
        <f t="shared" si="245"/>
        <v>Oct</v>
      </c>
      <c r="O2569">
        <f t="shared" si="246"/>
        <v>2025</v>
      </c>
    </row>
    <row r="2570" spans="1:15" x14ac:dyDescent="0.3">
      <c r="A2570">
        <v>201892</v>
      </c>
      <c r="B2570" t="s">
        <v>95</v>
      </c>
      <c r="C2570" s="2">
        <v>45945</v>
      </c>
      <c r="D2570" s="2">
        <f t="shared" si="244"/>
        <v>45990</v>
      </c>
      <c r="E2570" s="1">
        <f>D2570-1</f>
        <v>45989</v>
      </c>
      <c r="F2570">
        <v>2100</v>
      </c>
      <c r="G2570">
        <v>45</v>
      </c>
      <c r="H2570">
        <f t="shared" si="243"/>
        <v>0</v>
      </c>
      <c r="I2570" t="str">
        <f t="shared" si="241"/>
        <v>On Time</v>
      </c>
      <c r="J2570" cm="1">
        <f t="array" ref="J2570">_xlfn.IFS(H2570&lt;30,0,H2570&lt;60,1,H2570&lt;90,2,H2570&lt;120,3)</f>
        <v>0</v>
      </c>
      <c r="M2570" t="str">
        <f t="shared" si="242"/>
        <v>Low</v>
      </c>
      <c r="N2570" t="str">
        <f t="shared" si="245"/>
        <v>Oct</v>
      </c>
      <c r="O2570">
        <f t="shared" si="246"/>
        <v>2025</v>
      </c>
    </row>
    <row r="2571" spans="1:15" x14ac:dyDescent="0.3">
      <c r="A2571">
        <v>201893</v>
      </c>
      <c r="B2571" t="s">
        <v>68</v>
      </c>
      <c r="C2571" s="2">
        <v>45945</v>
      </c>
      <c r="D2571" s="2">
        <f t="shared" si="244"/>
        <v>45975</v>
      </c>
      <c r="E2571" s="1">
        <f>D2571</f>
        <v>45975</v>
      </c>
      <c r="F2571">
        <v>2786</v>
      </c>
      <c r="G2571">
        <v>30</v>
      </c>
      <c r="H2571">
        <f t="shared" si="243"/>
        <v>0</v>
      </c>
      <c r="I2571" t="str">
        <f t="shared" si="241"/>
        <v>On Time</v>
      </c>
      <c r="J2571" cm="1">
        <f t="array" ref="J2571">_xlfn.IFS(H2571&lt;30,0,H2571&lt;60,1,H2571&lt;90,2,H2571&lt;120,3)</f>
        <v>0</v>
      </c>
      <c r="M2571" t="str">
        <f t="shared" si="242"/>
        <v>Low</v>
      </c>
      <c r="N2571" t="str">
        <f t="shared" si="245"/>
        <v>Oct</v>
      </c>
      <c r="O2571">
        <f t="shared" si="246"/>
        <v>2025</v>
      </c>
    </row>
    <row r="2572" spans="1:15" x14ac:dyDescent="0.3">
      <c r="A2572">
        <v>201894</v>
      </c>
      <c r="B2572" t="s">
        <v>69</v>
      </c>
      <c r="C2572" s="2">
        <v>45945</v>
      </c>
      <c r="D2572" s="2">
        <f t="shared" si="244"/>
        <v>45975</v>
      </c>
      <c r="E2572" s="1">
        <f>D2572+32</f>
        <v>46007</v>
      </c>
      <c r="F2572">
        <v>653</v>
      </c>
      <c r="G2572">
        <v>30</v>
      </c>
      <c r="H2572">
        <f t="shared" si="243"/>
        <v>0</v>
      </c>
      <c r="I2572" t="str">
        <f t="shared" si="241"/>
        <v>On Time</v>
      </c>
      <c r="J2572" cm="1">
        <f t="array" ref="J2572">_xlfn.IFS(H2572&lt;30,0,H2572&lt;60,1,H2572&lt;90,2,H2572&lt;120,3)</f>
        <v>0</v>
      </c>
      <c r="M2572" t="str">
        <f t="shared" si="242"/>
        <v>Low</v>
      </c>
      <c r="N2572" t="str">
        <f t="shared" si="245"/>
        <v>Oct</v>
      </c>
      <c r="O2572">
        <f t="shared" si="246"/>
        <v>2025</v>
      </c>
    </row>
    <row r="2573" spans="1:15" x14ac:dyDescent="0.3">
      <c r="A2573">
        <v>201895</v>
      </c>
      <c r="B2573" t="s">
        <v>70</v>
      </c>
      <c r="C2573" s="2">
        <v>45945</v>
      </c>
      <c r="D2573" s="2">
        <f t="shared" si="244"/>
        <v>45975</v>
      </c>
      <c r="E2573" s="1">
        <f>D2573+15</f>
        <v>45990</v>
      </c>
      <c r="F2573">
        <v>5011</v>
      </c>
      <c r="G2573">
        <v>30</v>
      </c>
      <c r="H2573">
        <f t="shared" si="243"/>
        <v>0</v>
      </c>
      <c r="I2573" t="str">
        <f t="shared" si="241"/>
        <v>On Time</v>
      </c>
      <c r="J2573" cm="1">
        <f t="array" ref="J2573">_xlfn.IFS(H2573&lt;30,0,H2573&lt;60,1,H2573&lt;90,2,H2573&lt;120,3)</f>
        <v>0</v>
      </c>
      <c r="M2573" t="str">
        <f t="shared" si="242"/>
        <v>Low</v>
      </c>
      <c r="N2573" t="str">
        <f t="shared" si="245"/>
        <v>Oct</v>
      </c>
      <c r="O2573">
        <f t="shared" si="246"/>
        <v>2025</v>
      </c>
    </row>
    <row r="2574" spans="1:15" x14ac:dyDescent="0.3">
      <c r="A2574">
        <v>201896</v>
      </c>
      <c r="B2574" t="s">
        <v>71</v>
      </c>
      <c r="C2574" s="2">
        <v>45945</v>
      </c>
      <c r="D2574" s="2">
        <f t="shared" si="244"/>
        <v>45975</v>
      </c>
      <c r="E2574" s="1">
        <f>D2574</f>
        <v>45975</v>
      </c>
      <c r="F2574">
        <v>4714</v>
      </c>
      <c r="G2574">
        <v>30</v>
      </c>
      <c r="H2574">
        <f t="shared" si="243"/>
        <v>0</v>
      </c>
      <c r="I2574" t="str">
        <f t="shared" si="241"/>
        <v>On Time</v>
      </c>
      <c r="J2574" cm="1">
        <f t="array" ref="J2574">_xlfn.IFS(H2574&lt;30,0,H2574&lt;60,1,H2574&lt;90,2,H2574&lt;120,3)</f>
        <v>0</v>
      </c>
      <c r="M2574" t="str">
        <f t="shared" si="242"/>
        <v>Low</v>
      </c>
      <c r="N2574" t="str">
        <f t="shared" si="245"/>
        <v>Oct</v>
      </c>
      <c r="O2574">
        <f t="shared" si="246"/>
        <v>2025</v>
      </c>
    </row>
    <row r="2575" spans="1:15" x14ac:dyDescent="0.3">
      <c r="A2575">
        <v>201897</v>
      </c>
      <c r="B2575" t="s">
        <v>72</v>
      </c>
      <c r="C2575" s="2">
        <v>45945</v>
      </c>
      <c r="D2575" s="2">
        <f t="shared" si="244"/>
        <v>45975</v>
      </c>
      <c r="E2575" s="1">
        <f>D2575-2</f>
        <v>45973</v>
      </c>
      <c r="F2575">
        <v>3928</v>
      </c>
      <c r="G2575">
        <v>30</v>
      </c>
      <c r="H2575">
        <f t="shared" si="243"/>
        <v>0</v>
      </c>
      <c r="I2575" t="str">
        <f t="shared" si="241"/>
        <v>On Time</v>
      </c>
      <c r="J2575" cm="1">
        <f t="array" ref="J2575">_xlfn.IFS(H2575&lt;30,0,H2575&lt;60,1,H2575&lt;90,2,H2575&lt;120,3)</f>
        <v>0</v>
      </c>
      <c r="M2575" t="str">
        <f t="shared" si="242"/>
        <v>Low</v>
      </c>
      <c r="N2575" t="str">
        <f t="shared" si="245"/>
        <v>Oct</v>
      </c>
      <c r="O2575">
        <f t="shared" si="246"/>
        <v>2025</v>
      </c>
    </row>
    <row r="2576" spans="1:15" x14ac:dyDescent="0.3">
      <c r="A2576">
        <v>201859</v>
      </c>
      <c r="B2576" t="s">
        <v>117</v>
      </c>
      <c r="C2576" s="2">
        <v>45944</v>
      </c>
      <c r="D2576" s="2">
        <f t="shared" si="244"/>
        <v>45974</v>
      </c>
      <c r="E2576" s="1">
        <f>D2576-1</f>
        <v>45973</v>
      </c>
      <c r="F2576">
        <v>3599</v>
      </c>
      <c r="G2576">
        <v>30</v>
      </c>
      <c r="H2576">
        <f t="shared" si="243"/>
        <v>0</v>
      </c>
      <c r="I2576" t="str">
        <f t="shared" si="241"/>
        <v>On Time</v>
      </c>
      <c r="J2576" cm="1">
        <f t="array" ref="J2576">_xlfn.IFS(H2576&lt;30,0,H2576&lt;60,1,H2576&lt;90,2,H2576&lt;120,3)</f>
        <v>0</v>
      </c>
      <c r="M2576" t="str">
        <f t="shared" si="242"/>
        <v>Low</v>
      </c>
      <c r="N2576" t="str">
        <f t="shared" si="245"/>
        <v>Oct</v>
      </c>
      <c r="O2576">
        <f t="shared" si="246"/>
        <v>2025</v>
      </c>
    </row>
    <row r="2577" spans="1:15" x14ac:dyDescent="0.3">
      <c r="A2577">
        <v>201860</v>
      </c>
      <c r="B2577" t="s">
        <v>118</v>
      </c>
      <c r="C2577" s="2">
        <v>45944</v>
      </c>
      <c r="D2577" s="2">
        <f t="shared" si="244"/>
        <v>45974</v>
      </c>
      <c r="E2577" s="1">
        <f>D2577</f>
        <v>45974</v>
      </c>
      <c r="F2577">
        <v>2320</v>
      </c>
      <c r="G2577">
        <v>30</v>
      </c>
      <c r="H2577">
        <f t="shared" si="243"/>
        <v>0</v>
      </c>
      <c r="I2577" t="str">
        <f t="shared" si="241"/>
        <v>On Time</v>
      </c>
      <c r="J2577" cm="1">
        <f t="array" ref="J2577">_xlfn.IFS(H2577&lt;30,0,H2577&lt;60,1,H2577&lt;90,2,H2577&lt;120,3)</f>
        <v>0</v>
      </c>
      <c r="M2577" t="str">
        <f t="shared" si="242"/>
        <v>Low</v>
      </c>
      <c r="N2577" t="str">
        <f t="shared" si="245"/>
        <v>Oct</v>
      </c>
      <c r="O2577">
        <f t="shared" si="246"/>
        <v>2025</v>
      </c>
    </row>
    <row r="2578" spans="1:15" x14ac:dyDescent="0.3">
      <c r="A2578">
        <v>201861</v>
      </c>
      <c r="B2578" t="s">
        <v>119</v>
      </c>
      <c r="C2578" s="2">
        <v>45944</v>
      </c>
      <c r="D2578" s="2">
        <f t="shared" si="244"/>
        <v>45974</v>
      </c>
      <c r="E2578" s="1">
        <f>D2578+32</f>
        <v>46006</v>
      </c>
      <c r="F2578">
        <v>1883</v>
      </c>
      <c r="G2578">
        <v>30</v>
      </c>
      <c r="H2578">
        <f t="shared" si="243"/>
        <v>0</v>
      </c>
      <c r="I2578" t="str">
        <f t="shared" si="241"/>
        <v>On Time</v>
      </c>
      <c r="J2578" cm="1">
        <f t="array" ref="J2578">_xlfn.IFS(H2578&lt;30,0,H2578&lt;60,1,H2578&lt;90,2,H2578&lt;120,3)</f>
        <v>0</v>
      </c>
      <c r="M2578" t="str">
        <f t="shared" si="242"/>
        <v>Low</v>
      </c>
      <c r="N2578" t="str">
        <f t="shared" si="245"/>
        <v>Oct</v>
      </c>
      <c r="O2578">
        <f t="shared" si="246"/>
        <v>2025</v>
      </c>
    </row>
    <row r="2579" spans="1:15" x14ac:dyDescent="0.3">
      <c r="A2579">
        <v>201862</v>
      </c>
      <c r="B2579" t="s">
        <v>31</v>
      </c>
      <c r="C2579" s="2">
        <v>45944</v>
      </c>
      <c r="D2579" s="2">
        <f t="shared" si="244"/>
        <v>45989</v>
      </c>
      <c r="E2579" s="1">
        <f>D2579+15</f>
        <v>46004</v>
      </c>
      <c r="F2579">
        <v>4821</v>
      </c>
      <c r="G2579">
        <v>45</v>
      </c>
      <c r="H2579">
        <f t="shared" si="243"/>
        <v>0</v>
      </c>
      <c r="I2579" t="str">
        <f t="shared" si="241"/>
        <v>On Time</v>
      </c>
      <c r="J2579" cm="1">
        <f t="array" ref="J2579">_xlfn.IFS(H2579&lt;30,0,H2579&lt;60,1,H2579&lt;90,2,H2579&lt;120,3)</f>
        <v>0</v>
      </c>
      <c r="M2579" t="str">
        <f t="shared" si="242"/>
        <v>Low</v>
      </c>
      <c r="N2579" t="str">
        <f t="shared" si="245"/>
        <v>Oct</v>
      </c>
      <c r="O2579">
        <f t="shared" si="246"/>
        <v>2025</v>
      </c>
    </row>
    <row r="2580" spans="1:15" x14ac:dyDescent="0.3">
      <c r="A2580">
        <v>201863</v>
      </c>
      <c r="B2580" t="s">
        <v>32</v>
      </c>
      <c r="C2580" s="2">
        <v>45944</v>
      </c>
      <c r="D2580" s="2">
        <f t="shared" si="244"/>
        <v>45989</v>
      </c>
      <c r="E2580" s="1">
        <f>D2580-2</f>
        <v>45987</v>
      </c>
      <c r="F2580">
        <v>3159</v>
      </c>
      <c r="G2580">
        <v>45</v>
      </c>
      <c r="H2580">
        <f t="shared" si="243"/>
        <v>0</v>
      </c>
      <c r="I2580" t="str">
        <f t="shared" si="241"/>
        <v>On Time</v>
      </c>
      <c r="J2580" cm="1">
        <f t="array" ref="J2580">_xlfn.IFS(H2580&lt;30,0,H2580&lt;60,1,H2580&lt;90,2,H2580&lt;120,3)</f>
        <v>0</v>
      </c>
      <c r="M2580" t="str">
        <f t="shared" si="242"/>
        <v>Low</v>
      </c>
      <c r="N2580" t="str">
        <f t="shared" si="245"/>
        <v>Oct</v>
      </c>
      <c r="O2580">
        <f t="shared" si="246"/>
        <v>2025</v>
      </c>
    </row>
    <row r="2581" spans="1:15" x14ac:dyDescent="0.3">
      <c r="A2581">
        <v>201864</v>
      </c>
      <c r="B2581" t="s">
        <v>33</v>
      </c>
      <c r="C2581" s="2">
        <v>45944</v>
      </c>
      <c r="D2581" s="2">
        <f t="shared" si="244"/>
        <v>45974</v>
      </c>
      <c r="E2581" s="1">
        <f>D2581-2</f>
        <v>45972</v>
      </c>
      <c r="F2581">
        <v>771</v>
      </c>
      <c r="G2581">
        <v>30</v>
      </c>
      <c r="H2581">
        <f t="shared" si="243"/>
        <v>0</v>
      </c>
      <c r="I2581" t="str">
        <f t="shared" si="241"/>
        <v>On Time</v>
      </c>
      <c r="J2581" cm="1">
        <f t="array" ref="J2581">_xlfn.IFS(H2581&lt;30,0,H2581&lt;60,1,H2581&lt;90,2,H2581&lt;120,3)</f>
        <v>0</v>
      </c>
      <c r="M2581" t="str">
        <f t="shared" si="242"/>
        <v>Low</v>
      </c>
      <c r="N2581" t="str">
        <f t="shared" si="245"/>
        <v>Oct</v>
      </c>
      <c r="O2581">
        <f t="shared" si="246"/>
        <v>2025</v>
      </c>
    </row>
    <row r="2582" spans="1:15" x14ac:dyDescent="0.3">
      <c r="A2582">
        <v>201865</v>
      </c>
      <c r="B2582" t="s">
        <v>34</v>
      </c>
      <c r="C2582" s="2">
        <v>45944</v>
      </c>
      <c r="D2582" s="2">
        <f t="shared" si="244"/>
        <v>46004</v>
      </c>
      <c r="E2582" s="1">
        <f>D2582</f>
        <v>46004</v>
      </c>
      <c r="F2582">
        <v>3602</v>
      </c>
      <c r="G2582">
        <v>60</v>
      </c>
      <c r="H2582">
        <f t="shared" si="243"/>
        <v>0</v>
      </c>
      <c r="I2582" t="str">
        <f t="shared" ref="I2582:I2645" si="247">IF(H2582=0,"On Time",IF(H2582&lt;=15,"Paid Late","Seriously Late"))</f>
        <v>On Time</v>
      </c>
      <c r="J2582" cm="1">
        <f t="array" ref="J2582">_xlfn.IFS(H2582&lt;30,0,H2582&lt;60,1,H2582&lt;90,2,H2582&lt;120,3)</f>
        <v>0</v>
      </c>
      <c r="M2582" t="str">
        <f t="shared" ref="M2582:M2645" si="248">IF(H2582&gt;30,"High",IF(H2582&gt;10,"Medium","Low"))</f>
        <v>Low</v>
      </c>
      <c r="N2582" t="str">
        <f t="shared" si="245"/>
        <v>Oct</v>
      </c>
      <c r="O2582">
        <f t="shared" si="246"/>
        <v>2025</v>
      </c>
    </row>
    <row r="2583" spans="1:15" x14ac:dyDescent="0.3">
      <c r="A2583">
        <v>201866</v>
      </c>
      <c r="B2583" t="s">
        <v>35</v>
      </c>
      <c r="C2583" s="2">
        <v>45944</v>
      </c>
      <c r="D2583" s="2">
        <f t="shared" si="244"/>
        <v>45989</v>
      </c>
      <c r="E2583" s="1">
        <f>D2583+2</f>
        <v>45991</v>
      </c>
      <c r="F2583">
        <v>1283</v>
      </c>
      <c r="G2583">
        <v>45</v>
      </c>
      <c r="H2583">
        <f t="shared" si="243"/>
        <v>0</v>
      </c>
      <c r="I2583" t="str">
        <f t="shared" si="247"/>
        <v>On Time</v>
      </c>
      <c r="J2583" cm="1">
        <f t="array" ref="J2583">_xlfn.IFS(H2583&lt;30,0,H2583&lt;60,1,H2583&lt;90,2,H2583&lt;120,3)</f>
        <v>0</v>
      </c>
      <c r="M2583" t="str">
        <f t="shared" si="248"/>
        <v>Low</v>
      </c>
      <c r="N2583" t="str">
        <f t="shared" si="245"/>
        <v>Oct</v>
      </c>
      <c r="O2583">
        <f t="shared" si="246"/>
        <v>2025</v>
      </c>
    </row>
    <row r="2584" spans="1:15" x14ac:dyDescent="0.3">
      <c r="A2584">
        <v>201867</v>
      </c>
      <c r="B2584" t="s">
        <v>36</v>
      </c>
      <c r="C2584" s="2">
        <v>45944</v>
      </c>
      <c r="D2584" s="2">
        <f t="shared" si="244"/>
        <v>45974</v>
      </c>
      <c r="E2584" s="1">
        <f>D2584+2</f>
        <v>45976</v>
      </c>
      <c r="F2584">
        <v>2786</v>
      </c>
      <c r="G2584">
        <v>30</v>
      </c>
      <c r="H2584">
        <f t="shared" si="243"/>
        <v>0</v>
      </c>
      <c r="I2584" t="str">
        <f t="shared" si="247"/>
        <v>On Time</v>
      </c>
      <c r="J2584" cm="1">
        <f t="array" ref="J2584">_xlfn.IFS(H2584&lt;30,0,H2584&lt;60,1,H2584&lt;90,2,H2584&lt;120,3)</f>
        <v>0</v>
      </c>
      <c r="M2584" t="str">
        <f t="shared" si="248"/>
        <v>Low</v>
      </c>
      <c r="N2584" t="str">
        <f t="shared" si="245"/>
        <v>Oct</v>
      </c>
      <c r="O2584">
        <f t="shared" si="246"/>
        <v>2025</v>
      </c>
    </row>
    <row r="2585" spans="1:15" x14ac:dyDescent="0.3">
      <c r="A2585">
        <v>201868</v>
      </c>
      <c r="B2585" t="s">
        <v>64</v>
      </c>
      <c r="C2585" s="2">
        <v>45944</v>
      </c>
      <c r="D2585" s="2">
        <f t="shared" si="244"/>
        <v>45974</v>
      </c>
      <c r="E2585" s="1">
        <f>D2585+2</f>
        <v>45976</v>
      </c>
      <c r="F2585">
        <v>4876</v>
      </c>
      <c r="G2585">
        <v>30</v>
      </c>
      <c r="H2585">
        <f t="shared" si="243"/>
        <v>0</v>
      </c>
      <c r="I2585" t="str">
        <f t="shared" si="247"/>
        <v>On Time</v>
      </c>
      <c r="J2585" cm="1">
        <f t="array" ref="J2585">_xlfn.IFS(H2585&lt;30,0,H2585&lt;60,1,H2585&lt;90,2,H2585&lt;120,3)</f>
        <v>0</v>
      </c>
      <c r="M2585" t="str">
        <f t="shared" si="248"/>
        <v>Low</v>
      </c>
      <c r="N2585" t="str">
        <f t="shared" si="245"/>
        <v>Oct</v>
      </c>
      <c r="O2585">
        <f t="shared" si="246"/>
        <v>2025</v>
      </c>
    </row>
    <row r="2586" spans="1:15" x14ac:dyDescent="0.3">
      <c r="A2586">
        <v>201869</v>
      </c>
      <c r="B2586" t="s">
        <v>45</v>
      </c>
      <c r="C2586" s="2">
        <v>45944</v>
      </c>
      <c r="D2586" s="2">
        <f t="shared" si="244"/>
        <v>45989</v>
      </c>
      <c r="E2586" s="1">
        <f>D2586</f>
        <v>45989</v>
      </c>
      <c r="F2586">
        <v>4677</v>
      </c>
      <c r="G2586">
        <v>45</v>
      </c>
      <c r="H2586">
        <f t="shared" si="243"/>
        <v>0</v>
      </c>
      <c r="I2586" t="str">
        <f t="shared" si="247"/>
        <v>On Time</v>
      </c>
      <c r="J2586" cm="1">
        <f t="array" ref="J2586">_xlfn.IFS(H2586&lt;30,0,H2586&lt;60,1,H2586&lt;90,2,H2586&lt;120,3)</f>
        <v>0</v>
      </c>
      <c r="M2586" t="str">
        <f t="shared" si="248"/>
        <v>Low</v>
      </c>
      <c r="N2586" t="str">
        <f t="shared" si="245"/>
        <v>Oct</v>
      </c>
      <c r="O2586">
        <f t="shared" si="246"/>
        <v>2025</v>
      </c>
    </row>
    <row r="2587" spans="1:15" x14ac:dyDescent="0.3">
      <c r="A2587">
        <v>201870</v>
      </c>
      <c r="B2587" t="s">
        <v>46</v>
      </c>
      <c r="C2587" s="2">
        <v>45944</v>
      </c>
      <c r="D2587" s="2">
        <f t="shared" si="244"/>
        <v>46004</v>
      </c>
      <c r="E2587" s="1">
        <f>D2587+20</f>
        <v>46024</v>
      </c>
      <c r="F2587">
        <v>283</v>
      </c>
      <c r="G2587">
        <v>60</v>
      </c>
      <c r="H2587">
        <f t="shared" si="243"/>
        <v>0</v>
      </c>
      <c r="I2587" t="str">
        <f t="shared" si="247"/>
        <v>On Time</v>
      </c>
      <c r="J2587" cm="1">
        <f t="array" ref="J2587">_xlfn.IFS(H2587&lt;30,0,H2587&lt;60,1,H2587&lt;90,2,H2587&lt;120,3)</f>
        <v>0</v>
      </c>
      <c r="M2587" t="str">
        <f t="shared" si="248"/>
        <v>Low</v>
      </c>
      <c r="N2587" t="str">
        <f t="shared" si="245"/>
        <v>Oct</v>
      </c>
      <c r="O2587">
        <f t="shared" si="246"/>
        <v>2025</v>
      </c>
    </row>
    <row r="2588" spans="1:15" x14ac:dyDescent="0.3">
      <c r="A2588">
        <v>201871</v>
      </c>
      <c r="B2588" t="s">
        <v>114</v>
      </c>
      <c r="C2588" s="2">
        <v>45944</v>
      </c>
      <c r="D2588" s="2">
        <f t="shared" si="244"/>
        <v>45974</v>
      </c>
      <c r="E2588" s="1">
        <f>D2588</f>
        <v>45974</v>
      </c>
      <c r="F2588">
        <v>3467</v>
      </c>
      <c r="G2588">
        <v>30</v>
      </c>
      <c r="H2588">
        <f t="shared" si="243"/>
        <v>0</v>
      </c>
      <c r="I2588" t="str">
        <f t="shared" si="247"/>
        <v>On Time</v>
      </c>
      <c r="J2588" cm="1">
        <f t="array" ref="J2588">_xlfn.IFS(H2588&lt;30,0,H2588&lt;60,1,H2588&lt;90,2,H2588&lt;120,3)</f>
        <v>0</v>
      </c>
      <c r="M2588" t="str">
        <f t="shared" si="248"/>
        <v>Low</v>
      </c>
      <c r="N2588" t="str">
        <f t="shared" si="245"/>
        <v>Oct</v>
      </c>
      <c r="O2588">
        <f t="shared" si="246"/>
        <v>2025</v>
      </c>
    </row>
    <row r="2589" spans="1:15" x14ac:dyDescent="0.3">
      <c r="A2589">
        <v>201872</v>
      </c>
      <c r="B2589" t="s">
        <v>115</v>
      </c>
      <c r="C2589" s="2">
        <v>45944</v>
      </c>
      <c r="D2589" s="2">
        <f t="shared" si="244"/>
        <v>45974</v>
      </c>
      <c r="E2589" s="1">
        <f>D2589+1</f>
        <v>45975</v>
      </c>
      <c r="F2589">
        <v>4394</v>
      </c>
      <c r="G2589">
        <v>30</v>
      </c>
      <c r="H2589">
        <f t="shared" si="243"/>
        <v>0</v>
      </c>
      <c r="I2589" t="str">
        <f t="shared" si="247"/>
        <v>On Time</v>
      </c>
      <c r="J2589" cm="1">
        <f t="array" ref="J2589">_xlfn.IFS(H2589&lt;30,0,H2589&lt;60,1,H2589&lt;90,2,H2589&lt;120,3)</f>
        <v>0</v>
      </c>
      <c r="M2589" t="str">
        <f t="shared" si="248"/>
        <v>Low</v>
      </c>
      <c r="N2589" t="str">
        <f t="shared" si="245"/>
        <v>Oct</v>
      </c>
      <c r="O2589">
        <f t="shared" si="246"/>
        <v>2025</v>
      </c>
    </row>
    <row r="2590" spans="1:15" x14ac:dyDescent="0.3">
      <c r="A2590">
        <v>201873</v>
      </c>
      <c r="B2590" t="s">
        <v>116</v>
      </c>
      <c r="C2590" s="2">
        <v>45944</v>
      </c>
      <c r="D2590" s="2">
        <f t="shared" si="244"/>
        <v>45974</v>
      </c>
      <c r="E2590" s="1">
        <f>D2590</f>
        <v>45974</v>
      </c>
      <c r="F2590">
        <v>1840</v>
      </c>
      <c r="G2590">
        <v>30</v>
      </c>
      <c r="H2590">
        <f t="shared" si="243"/>
        <v>0</v>
      </c>
      <c r="I2590" t="str">
        <f t="shared" si="247"/>
        <v>On Time</v>
      </c>
      <c r="J2590" cm="1">
        <f t="array" ref="J2590">_xlfn.IFS(H2590&lt;30,0,H2590&lt;60,1,H2590&lt;90,2,H2590&lt;120,3)</f>
        <v>0</v>
      </c>
      <c r="M2590" t="str">
        <f t="shared" si="248"/>
        <v>Low</v>
      </c>
      <c r="N2590" t="str">
        <f t="shared" si="245"/>
        <v>Oct</v>
      </c>
      <c r="O2590">
        <f t="shared" si="246"/>
        <v>2025</v>
      </c>
    </row>
    <row r="2591" spans="1:15" x14ac:dyDescent="0.3">
      <c r="A2591">
        <v>201874</v>
      </c>
      <c r="B2591" t="s">
        <v>117</v>
      </c>
      <c r="C2591" s="2">
        <v>45944</v>
      </c>
      <c r="D2591" s="2">
        <f t="shared" si="244"/>
        <v>45974</v>
      </c>
      <c r="E2591" s="1">
        <f>D2591</f>
        <v>45974</v>
      </c>
      <c r="F2591">
        <v>6756</v>
      </c>
      <c r="G2591">
        <v>30</v>
      </c>
      <c r="H2591">
        <f t="shared" si="243"/>
        <v>0</v>
      </c>
      <c r="I2591" t="str">
        <f t="shared" si="247"/>
        <v>On Time</v>
      </c>
      <c r="J2591" cm="1">
        <f t="array" ref="J2591">_xlfn.IFS(H2591&lt;30,0,H2591&lt;60,1,H2591&lt;90,2,H2591&lt;120,3)</f>
        <v>0</v>
      </c>
      <c r="M2591" t="str">
        <f t="shared" si="248"/>
        <v>Low</v>
      </c>
      <c r="N2591" t="str">
        <f t="shared" si="245"/>
        <v>Oct</v>
      </c>
      <c r="O2591">
        <f t="shared" si="246"/>
        <v>2025</v>
      </c>
    </row>
    <row r="2592" spans="1:15" x14ac:dyDescent="0.3">
      <c r="A2592">
        <v>201875</v>
      </c>
      <c r="B2592" t="s">
        <v>118</v>
      </c>
      <c r="C2592" s="2">
        <v>45944</v>
      </c>
      <c r="D2592" s="2">
        <f t="shared" si="244"/>
        <v>45974</v>
      </c>
      <c r="E2592" s="1">
        <f>D2592+5</f>
        <v>45979</v>
      </c>
      <c r="F2592">
        <v>4885</v>
      </c>
      <c r="G2592">
        <v>30</v>
      </c>
      <c r="H2592">
        <f t="shared" si="243"/>
        <v>0</v>
      </c>
      <c r="I2592" t="str">
        <f t="shared" si="247"/>
        <v>On Time</v>
      </c>
      <c r="J2592" cm="1">
        <f t="array" ref="J2592">_xlfn.IFS(H2592&lt;30,0,H2592&lt;60,1,H2592&lt;90,2,H2592&lt;120,3)</f>
        <v>0</v>
      </c>
      <c r="M2592" t="str">
        <f t="shared" si="248"/>
        <v>Low</v>
      </c>
      <c r="N2592" t="str">
        <f t="shared" si="245"/>
        <v>Oct</v>
      </c>
      <c r="O2592">
        <f t="shared" si="246"/>
        <v>2025</v>
      </c>
    </row>
    <row r="2593" spans="1:15" x14ac:dyDescent="0.3">
      <c r="A2593">
        <v>201876</v>
      </c>
      <c r="B2593" t="s">
        <v>119</v>
      </c>
      <c r="C2593" s="2">
        <v>45944</v>
      </c>
      <c r="D2593" s="2">
        <f t="shared" si="244"/>
        <v>45974</v>
      </c>
      <c r="E2593" s="1">
        <f>D2593+2</f>
        <v>45976</v>
      </c>
      <c r="F2593">
        <v>1993</v>
      </c>
      <c r="G2593">
        <v>30</v>
      </c>
      <c r="H2593">
        <f t="shared" si="243"/>
        <v>0</v>
      </c>
      <c r="I2593" t="str">
        <f t="shared" si="247"/>
        <v>On Time</v>
      </c>
      <c r="J2593" cm="1">
        <f t="array" ref="J2593">_xlfn.IFS(H2593&lt;30,0,H2593&lt;60,1,H2593&lt;90,2,H2593&lt;120,3)</f>
        <v>0</v>
      </c>
      <c r="M2593" t="str">
        <f t="shared" si="248"/>
        <v>Low</v>
      </c>
      <c r="N2593" t="str">
        <f t="shared" si="245"/>
        <v>Oct</v>
      </c>
      <c r="O2593">
        <f t="shared" si="246"/>
        <v>2025</v>
      </c>
    </row>
    <row r="2594" spans="1:15" x14ac:dyDescent="0.3">
      <c r="A2594">
        <v>201877</v>
      </c>
      <c r="B2594" t="s">
        <v>100</v>
      </c>
      <c r="C2594" s="2">
        <v>45944</v>
      </c>
      <c r="D2594" s="2">
        <f t="shared" si="244"/>
        <v>45974</v>
      </c>
      <c r="E2594" s="1">
        <f>D2594+5</f>
        <v>45979</v>
      </c>
      <c r="F2594">
        <v>975</v>
      </c>
      <c r="G2594">
        <v>30</v>
      </c>
      <c r="H2594">
        <f t="shared" si="243"/>
        <v>0</v>
      </c>
      <c r="I2594" t="str">
        <f t="shared" si="247"/>
        <v>On Time</v>
      </c>
      <c r="J2594" cm="1">
        <f t="array" ref="J2594">_xlfn.IFS(H2594&lt;30,0,H2594&lt;60,1,H2594&lt;90,2,H2594&lt;120,3)</f>
        <v>0</v>
      </c>
      <c r="M2594" t="str">
        <f t="shared" si="248"/>
        <v>Low</v>
      </c>
      <c r="N2594" t="str">
        <f t="shared" si="245"/>
        <v>Oct</v>
      </c>
      <c r="O2594">
        <f t="shared" si="246"/>
        <v>2025</v>
      </c>
    </row>
    <row r="2595" spans="1:15" x14ac:dyDescent="0.3">
      <c r="A2595">
        <v>201878</v>
      </c>
      <c r="B2595" t="s">
        <v>101</v>
      </c>
      <c r="C2595" s="2">
        <v>45944</v>
      </c>
      <c r="D2595" s="2">
        <f t="shared" si="244"/>
        <v>45974</v>
      </c>
      <c r="E2595" s="1">
        <f>D2595</f>
        <v>45974</v>
      </c>
      <c r="F2595">
        <v>1993</v>
      </c>
      <c r="G2595">
        <v>30</v>
      </c>
      <c r="H2595">
        <f t="shared" si="243"/>
        <v>0</v>
      </c>
      <c r="I2595" t="str">
        <f t="shared" si="247"/>
        <v>On Time</v>
      </c>
      <c r="J2595" cm="1">
        <f t="array" ref="J2595">_xlfn.IFS(H2595&lt;30,0,H2595&lt;60,1,H2595&lt;90,2,H2595&lt;120,3)</f>
        <v>0</v>
      </c>
      <c r="M2595" t="str">
        <f t="shared" si="248"/>
        <v>Low</v>
      </c>
      <c r="N2595" t="str">
        <f t="shared" si="245"/>
        <v>Oct</v>
      </c>
      <c r="O2595">
        <f t="shared" si="246"/>
        <v>2025</v>
      </c>
    </row>
    <row r="2596" spans="1:15" x14ac:dyDescent="0.3">
      <c r="A2596">
        <v>202286</v>
      </c>
      <c r="B2596" t="s">
        <v>82</v>
      </c>
      <c r="C2596" s="2">
        <v>45944</v>
      </c>
      <c r="D2596" s="2">
        <f t="shared" si="244"/>
        <v>45989</v>
      </c>
      <c r="E2596" s="1">
        <f>D2596+5</f>
        <v>45994</v>
      </c>
      <c r="F2596">
        <v>2851</v>
      </c>
      <c r="G2596">
        <v>45</v>
      </c>
      <c r="H2596">
        <f t="shared" si="243"/>
        <v>0</v>
      </c>
      <c r="I2596" t="str">
        <f t="shared" si="247"/>
        <v>On Time</v>
      </c>
      <c r="J2596" cm="1">
        <f t="array" ref="J2596">_xlfn.IFS(H2596&lt;30,0,H2596&lt;60,1,H2596&lt;90,2,H2596&lt;120,3)</f>
        <v>0</v>
      </c>
      <c r="M2596" t="str">
        <f t="shared" si="248"/>
        <v>Low</v>
      </c>
      <c r="N2596" t="str">
        <f t="shared" si="245"/>
        <v>Oct</v>
      </c>
      <c r="O2596">
        <f t="shared" si="246"/>
        <v>2025</v>
      </c>
    </row>
    <row r="2597" spans="1:15" x14ac:dyDescent="0.3">
      <c r="A2597">
        <v>202287</v>
      </c>
      <c r="B2597" t="s">
        <v>83</v>
      </c>
      <c r="C2597" s="2">
        <v>45944</v>
      </c>
      <c r="D2597" s="2">
        <f t="shared" si="244"/>
        <v>45989</v>
      </c>
      <c r="E2597" s="1">
        <f>D2597</f>
        <v>45989</v>
      </c>
      <c r="F2597">
        <v>4915</v>
      </c>
      <c r="G2597">
        <v>45</v>
      </c>
      <c r="H2597">
        <f t="shared" si="243"/>
        <v>0</v>
      </c>
      <c r="I2597" t="str">
        <f t="shared" si="247"/>
        <v>On Time</v>
      </c>
      <c r="J2597" cm="1">
        <f t="array" ref="J2597">_xlfn.IFS(H2597&lt;30,0,H2597&lt;60,1,H2597&lt;90,2,H2597&lt;120,3)</f>
        <v>0</v>
      </c>
      <c r="M2597" t="str">
        <f t="shared" si="248"/>
        <v>Low</v>
      </c>
      <c r="N2597" t="str">
        <f t="shared" si="245"/>
        <v>Oct</v>
      </c>
      <c r="O2597">
        <f t="shared" si="246"/>
        <v>2025</v>
      </c>
    </row>
    <row r="2598" spans="1:15" x14ac:dyDescent="0.3">
      <c r="A2598">
        <v>202288</v>
      </c>
      <c r="B2598" t="s">
        <v>84</v>
      </c>
      <c r="C2598" s="2">
        <v>45944</v>
      </c>
      <c r="D2598" s="2">
        <f t="shared" si="244"/>
        <v>46004</v>
      </c>
      <c r="E2598" s="1">
        <f>D2598-1</f>
        <v>46003</v>
      </c>
      <c r="F2598">
        <v>2688</v>
      </c>
      <c r="G2598">
        <v>60</v>
      </c>
      <c r="H2598">
        <f t="shared" ref="H2598:H2661" si="249">MAX(0,P2563-D2598)</f>
        <v>0</v>
      </c>
      <c r="I2598" t="str">
        <f t="shared" si="247"/>
        <v>On Time</v>
      </c>
      <c r="J2598" cm="1">
        <f t="array" ref="J2598">_xlfn.IFS(H2598&lt;30,0,H2598&lt;60,1,H2598&lt;90,2,H2598&lt;120,3)</f>
        <v>0</v>
      </c>
      <c r="M2598" t="str">
        <f t="shared" si="248"/>
        <v>Low</v>
      </c>
      <c r="N2598" t="str">
        <f t="shared" si="245"/>
        <v>Oct</v>
      </c>
      <c r="O2598">
        <f t="shared" si="246"/>
        <v>2025</v>
      </c>
    </row>
    <row r="2599" spans="1:15" x14ac:dyDescent="0.3">
      <c r="A2599">
        <v>202289</v>
      </c>
      <c r="B2599" t="s">
        <v>92</v>
      </c>
      <c r="C2599" s="2">
        <v>45944</v>
      </c>
      <c r="D2599" s="2">
        <f t="shared" si="244"/>
        <v>45974</v>
      </c>
      <c r="E2599" s="1">
        <f>D2599</f>
        <v>45974</v>
      </c>
      <c r="F2599">
        <v>4430</v>
      </c>
      <c r="G2599">
        <v>30</v>
      </c>
      <c r="H2599">
        <f t="shared" si="249"/>
        <v>0</v>
      </c>
      <c r="I2599" t="str">
        <f t="shared" si="247"/>
        <v>On Time</v>
      </c>
      <c r="J2599" cm="1">
        <f t="array" ref="J2599">_xlfn.IFS(H2599&lt;30,0,H2599&lt;60,1,H2599&lt;90,2,H2599&lt;120,3)</f>
        <v>0</v>
      </c>
      <c r="M2599" t="str">
        <f t="shared" si="248"/>
        <v>Low</v>
      </c>
      <c r="N2599" t="str">
        <f t="shared" si="245"/>
        <v>Oct</v>
      </c>
      <c r="O2599">
        <f t="shared" si="246"/>
        <v>2025</v>
      </c>
    </row>
    <row r="2600" spans="1:15" x14ac:dyDescent="0.3">
      <c r="A2600">
        <v>202290</v>
      </c>
      <c r="B2600" t="s">
        <v>93</v>
      </c>
      <c r="C2600" s="2">
        <v>45944</v>
      </c>
      <c r="D2600" s="2">
        <f t="shared" si="244"/>
        <v>45974</v>
      </c>
      <c r="E2600" s="1">
        <f>D2600+32</f>
        <v>46006</v>
      </c>
      <c r="F2600">
        <v>3937</v>
      </c>
      <c r="G2600">
        <v>30</v>
      </c>
      <c r="H2600">
        <f t="shared" si="249"/>
        <v>0</v>
      </c>
      <c r="I2600" t="str">
        <f t="shared" si="247"/>
        <v>On Time</v>
      </c>
      <c r="J2600" cm="1">
        <f t="array" ref="J2600">_xlfn.IFS(H2600&lt;30,0,H2600&lt;60,1,H2600&lt;90,2,H2600&lt;120,3)</f>
        <v>0</v>
      </c>
      <c r="M2600" t="str">
        <f t="shared" si="248"/>
        <v>Low</v>
      </c>
      <c r="N2600" t="str">
        <f t="shared" si="245"/>
        <v>Oct</v>
      </c>
      <c r="O2600">
        <f t="shared" si="246"/>
        <v>2025</v>
      </c>
    </row>
    <row r="2601" spans="1:15" x14ac:dyDescent="0.3">
      <c r="A2601">
        <v>202291</v>
      </c>
      <c r="B2601" t="s">
        <v>94</v>
      </c>
      <c r="C2601" s="2">
        <v>45944</v>
      </c>
      <c r="D2601" s="2">
        <f t="shared" si="244"/>
        <v>45974</v>
      </c>
      <c r="E2601" s="1">
        <f>D2601+15</f>
        <v>45989</v>
      </c>
      <c r="F2601">
        <v>791</v>
      </c>
      <c r="G2601">
        <v>30</v>
      </c>
      <c r="H2601">
        <f t="shared" si="249"/>
        <v>0</v>
      </c>
      <c r="I2601" t="str">
        <f t="shared" si="247"/>
        <v>On Time</v>
      </c>
      <c r="J2601" cm="1">
        <f t="array" ref="J2601">_xlfn.IFS(H2601&lt;30,0,H2601&lt;60,1,H2601&lt;90,2,H2601&lt;120,3)</f>
        <v>0</v>
      </c>
      <c r="M2601" t="str">
        <f t="shared" si="248"/>
        <v>Low</v>
      </c>
      <c r="N2601" t="str">
        <f t="shared" si="245"/>
        <v>Oct</v>
      </c>
      <c r="O2601">
        <f t="shared" si="246"/>
        <v>2025</v>
      </c>
    </row>
    <row r="2602" spans="1:15" x14ac:dyDescent="0.3">
      <c r="A2602">
        <v>202292</v>
      </c>
      <c r="B2602" t="s">
        <v>95</v>
      </c>
      <c r="C2602" s="2">
        <v>45944</v>
      </c>
      <c r="D2602" s="2">
        <f t="shared" si="244"/>
        <v>45989</v>
      </c>
      <c r="E2602" s="1">
        <f>D2602</f>
        <v>45989</v>
      </c>
      <c r="F2602">
        <v>1103</v>
      </c>
      <c r="G2602">
        <v>45</v>
      </c>
      <c r="H2602">
        <f t="shared" si="249"/>
        <v>0</v>
      </c>
      <c r="I2602" t="str">
        <f t="shared" si="247"/>
        <v>On Time</v>
      </c>
      <c r="J2602" cm="1">
        <f t="array" ref="J2602">_xlfn.IFS(H2602&lt;30,0,H2602&lt;60,1,H2602&lt;90,2,H2602&lt;120,3)</f>
        <v>0</v>
      </c>
      <c r="M2602" t="str">
        <f t="shared" si="248"/>
        <v>Low</v>
      </c>
      <c r="N2602" t="str">
        <f t="shared" si="245"/>
        <v>Oct</v>
      </c>
      <c r="O2602">
        <f t="shared" si="246"/>
        <v>2025</v>
      </c>
    </row>
    <row r="2603" spans="1:15" x14ac:dyDescent="0.3">
      <c r="A2603">
        <v>202293</v>
      </c>
      <c r="B2603" t="s">
        <v>96</v>
      </c>
      <c r="C2603" s="2">
        <v>45944</v>
      </c>
      <c r="D2603" s="2">
        <f t="shared" si="244"/>
        <v>46004</v>
      </c>
      <c r="E2603" s="1">
        <f>D2603-2</f>
        <v>46002</v>
      </c>
      <c r="F2603">
        <v>2272</v>
      </c>
      <c r="G2603">
        <v>60</v>
      </c>
      <c r="H2603">
        <f t="shared" si="249"/>
        <v>0</v>
      </c>
      <c r="I2603" t="str">
        <f t="shared" si="247"/>
        <v>On Time</v>
      </c>
      <c r="J2603" cm="1">
        <f t="array" ref="J2603">_xlfn.IFS(H2603&lt;30,0,H2603&lt;60,1,H2603&lt;90,2,H2603&lt;120,3)</f>
        <v>0</v>
      </c>
      <c r="M2603" t="str">
        <f t="shared" si="248"/>
        <v>Low</v>
      </c>
      <c r="N2603" t="str">
        <f t="shared" si="245"/>
        <v>Oct</v>
      </c>
      <c r="O2603">
        <f t="shared" si="246"/>
        <v>2025</v>
      </c>
    </row>
    <row r="2604" spans="1:15" x14ac:dyDescent="0.3">
      <c r="A2604">
        <v>202294</v>
      </c>
      <c r="B2604" t="s">
        <v>97</v>
      </c>
      <c r="C2604" s="2">
        <v>45944</v>
      </c>
      <c r="D2604" s="2">
        <f t="shared" si="244"/>
        <v>45974</v>
      </c>
      <c r="E2604" s="1">
        <f>D2604</f>
        <v>45974</v>
      </c>
      <c r="F2604">
        <v>3753</v>
      </c>
      <c r="G2604">
        <v>30</v>
      </c>
      <c r="H2604">
        <f t="shared" si="249"/>
        <v>0</v>
      </c>
      <c r="I2604" t="str">
        <f t="shared" si="247"/>
        <v>On Time</v>
      </c>
      <c r="J2604" cm="1">
        <f t="array" ref="J2604">_xlfn.IFS(H2604&lt;30,0,H2604&lt;60,1,H2604&lt;90,2,H2604&lt;120,3)</f>
        <v>0</v>
      </c>
      <c r="M2604" t="str">
        <f t="shared" si="248"/>
        <v>Low</v>
      </c>
      <c r="N2604" t="str">
        <f t="shared" si="245"/>
        <v>Oct</v>
      </c>
      <c r="O2604">
        <f t="shared" si="246"/>
        <v>2025</v>
      </c>
    </row>
    <row r="2605" spans="1:15" x14ac:dyDescent="0.3">
      <c r="A2605">
        <v>202295</v>
      </c>
      <c r="B2605" t="s">
        <v>98</v>
      </c>
      <c r="C2605" s="2">
        <v>45944</v>
      </c>
      <c r="D2605" s="2">
        <f t="shared" si="244"/>
        <v>45974</v>
      </c>
      <c r="E2605" s="1">
        <f>D2605+2</f>
        <v>45976</v>
      </c>
      <c r="F2605">
        <v>3371</v>
      </c>
      <c r="G2605">
        <v>30</v>
      </c>
      <c r="H2605">
        <f t="shared" si="249"/>
        <v>0</v>
      </c>
      <c r="I2605" t="str">
        <f t="shared" si="247"/>
        <v>On Time</v>
      </c>
      <c r="J2605" cm="1">
        <f t="array" ref="J2605">_xlfn.IFS(H2605&lt;30,0,H2605&lt;60,1,H2605&lt;90,2,H2605&lt;120,3)</f>
        <v>0</v>
      </c>
      <c r="M2605" t="str">
        <f t="shared" si="248"/>
        <v>Low</v>
      </c>
      <c r="N2605" t="str">
        <f t="shared" si="245"/>
        <v>Oct</v>
      </c>
      <c r="O2605">
        <f t="shared" si="246"/>
        <v>2025</v>
      </c>
    </row>
    <row r="2606" spans="1:15" x14ac:dyDescent="0.3">
      <c r="A2606">
        <v>202296</v>
      </c>
      <c r="B2606" t="s">
        <v>99</v>
      </c>
      <c r="C2606" s="2">
        <v>45944</v>
      </c>
      <c r="D2606" s="2">
        <f t="shared" si="244"/>
        <v>45974</v>
      </c>
      <c r="E2606" s="1">
        <f>D2606+2</f>
        <v>45976</v>
      </c>
      <c r="F2606">
        <v>287</v>
      </c>
      <c r="G2606">
        <v>30</v>
      </c>
      <c r="H2606">
        <f t="shared" si="249"/>
        <v>0</v>
      </c>
      <c r="I2606" t="str">
        <f t="shared" si="247"/>
        <v>On Time</v>
      </c>
      <c r="J2606" cm="1">
        <f t="array" ref="J2606">_xlfn.IFS(H2606&lt;30,0,H2606&lt;60,1,H2606&lt;90,2,H2606&lt;120,3)</f>
        <v>0</v>
      </c>
      <c r="M2606" t="str">
        <f t="shared" si="248"/>
        <v>Low</v>
      </c>
      <c r="N2606" t="str">
        <f t="shared" si="245"/>
        <v>Oct</v>
      </c>
      <c r="O2606">
        <f t="shared" si="246"/>
        <v>2025</v>
      </c>
    </row>
    <row r="2607" spans="1:15" x14ac:dyDescent="0.3">
      <c r="A2607">
        <v>202297</v>
      </c>
      <c r="B2607" t="s">
        <v>100</v>
      </c>
      <c r="C2607" s="2">
        <v>45944</v>
      </c>
      <c r="D2607" s="2">
        <f t="shared" si="244"/>
        <v>45974</v>
      </c>
      <c r="E2607" s="1">
        <f>D2607+2</f>
        <v>45976</v>
      </c>
      <c r="F2607">
        <v>2035</v>
      </c>
      <c r="G2607">
        <v>30</v>
      </c>
      <c r="H2607">
        <f t="shared" si="249"/>
        <v>0</v>
      </c>
      <c r="I2607" t="str">
        <f t="shared" si="247"/>
        <v>On Time</v>
      </c>
      <c r="J2607" cm="1">
        <f t="array" ref="J2607">_xlfn.IFS(H2607&lt;30,0,H2607&lt;60,1,H2607&lt;90,2,H2607&lt;120,3)</f>
        <v>0</v>
      </c>
      <c r="M2607" t="str">
        <f t="shared" si="248"/>
        <v>Low</v>
      </c>
      <c r="N2607" t="str">
        <f t="shared" si="245"/>
        <v>Oct</v>
      </c>
      <c r="O2607">
        <f t="shared" si="246"/>
        <v>2025</v>
      </c>
    </row>
    <row r="2608" spans="1:15" x14ac:dyDescent="0.3">
      <c r="A2608">
        <v>202298</v>
      </c>
      <c r="B2608" t="s">
        <v>101</v>
      </c>
      <c r="C2608" s="2">
        <v>45944</v>
      </c>
      <c r="D2608" s="2">
        <f t="shared" si="244"/>
        <v>45974</v>
      </c>
      <c r="E2608" s="1">
        <f>D2608</f>
        <v>45974</v>
      </c>
      <c r="F2608">
        <v>1695</v>
      </c>
      <c r="G2608">
        <v>30</v>
      </c>
      <c r="H2608">
        <f t="shared" si="249"/>
        <v>0</v>
      </c>
      <c r="I2608" t="str">
        <f t="shared" si="247"/>
        <v>On Time</v>
      </c>
      <c r="J2608" cm="1">
        <f t="array" ref="J2608">_xlfn.IFS(H2608&lt;30,0,H2608&lt;60,1,H2608&lt;90,2,H2608&lt;120,3)</f>
        <v>0</v>
      </c>
      <c r="M2608" t="str">
        <f t="shared" si="248"/>
        <v>Low</v>
      </c>
      <c r="N2608" t="str">
        <f t="shared" si="245"/>
        <v>Oct</v>
      </c>
      <c r="O2608">
        <f t="shared" si="246"/>
        <v>2025</v>
      </c>
    </row>
    <row r="2609" spans="1:15" x14ac:dyDescent="0.3">
      <c r="A2609">
        <v>202299</v>
      </c>
      <c r="B2609" t="s">
        <v>102</v>
      </c>
      <c r="C2609" s="2">
        <v>45944</v>
      </c>
      <c r="D2609" s="2">
        <f t="shared" si="244"/>
        <v>45974</v>
      </c>
      <c r="E2609" s="1">
        <f>D2609+20</f>
        <v>45994</v>
      </c>
      <c r="F2609">
        <v>2420</v>
      </c>
      <c r="G2609">
        <v>30</v>
      </c>
      <c r="H2609">
        <f t="shared" si="249"/>
        <v>0</v>
      </c>
      <c r="I2609" t="str">
        <f t="shared" si="247"/>
        <v>On Time</v>
      </c>
      <c r="J2609" cm="1">
        <f t="array" ref="J2609">_xlfn.IFS(H2609&lt;30,0,H2609&lt;60,1,H2609&lt;90,2,H2609&lt;120,3)</f>
        <v>0</v>
      </c>
      <c r="M2609" t="str">
        <f t="shared" si="248"/>
        <v>Low</v>
      </c>
      <c r="N2609" t="str">
        <f t="shared" si="245"/>
        <v>Oct</v>
      </c>
      <c r="O2609">
        <f t="shared" si="246"/>
        <v>2025</v>
      </c>
    </row>
    <row r="2610" spans="1:15" x14ac:dyDescent="0.3">
      <c r="A2610">
        <v>202300</v>
      </c>
      <c r="B2610" t="s">
        <v>38</v>
      </c>
      <c r="C2610" s="2">
        <v>45944</v>
      </c>
      <c r="D2610" s="2">
        <f t="shared" si="244"/>
        <v>45974</v>
      </c>
      <c r="E2610" s="1">
        <f>D2610</f>
        <v>45974</v>
      </c>
      <c r="F2610">
        <v>2836</v>
      </c>
      <c r="G2610">
        <v>30</v>
      </c>
      <c r="H2610">
        <f t="shared" si="249"/>
        <v>0</v>
      </c>
      <c r="I2610" t="str">
        <f t="shared" si="247"/>
        <v>On Time</v>
      </c>
      <c r="J2610" cm="1">
        <f t="array" ref="J2610">_xlfn.IFS(H2610&lt;30,0,H2610&lt;60,1,H2610&lt;90,2,H2610&lt;120,3)</f>
        <v>0</v>
      </c>
      <c r="M2610" t="str">
        <f t="shared" si="248"/>
        <v>Low</v>
      </c>
      <c r="N2610" t="str">
        <f t="shared" si="245"/>
        <v>Oct</v>
      </c>
      <c r="O2610">
        <f t="shared" si="246"/>
        <v>2025</v>
      </c>
    </row>
    <row r="2611" spans="1:15" x14ac:dyDescent="0.3">
      <c r="A2611">
        <v>202301</v>
      </c>
      <c r="B2611" t="s">
        <v>39</v>
      </c>
      <c r="C2611" s="2">
        <v>45944</v>
      </c>
      <c r="D2611" s="2">
        <f t="shared" si="244"/>
        <v>45974</v>
      </c>
      <c r="E2611" s="1">
        <f>D2611+1</f>
        <v>45975</v>
      </c>
      <c r="F2611">
        <v>1189</v>
      </c>
      <c r="G2611">
        <v>30</v>
      </c>
      <c r="H2611">
        <f t="shared" si="249"/>
        <v>0</v>
      </c>
      <c r="I2611" t="str">
        <f t="shared" si="247"/>
        <v>On Time</v>
      </c>
      <c r="J2611" cm="1">
        <f t="array" ref="J2611">_xlfn.IFS(H2611&lt;30,0,H2611&lt;60,1,H2611&lt;90,2,H2611&lt;120,3)</f>
        <v>0</v>
      </c>
      <c r="M2611" t="str">
        <f t="shared" si="248"/>
        <v>Low</v>
      </c>
      <c r="N2611" t="str">
        <f t="shared" si="245"/>
        <v>Oct</v>
      </c>
      <c r="O2611">
        <f t="shared" si="246"/>
        <v>2025</v>
      </c>
    </row>
    <row r="2612" spans="1:15" x14ac:dyDescent="0.3">
      <c r="A2612">
        <v>202302</v>
      </c>
      <c r="B2612" t="s">
        <v>40</v>
      </c>
      <c r="C2612" s="2">
        <v>45944</v>
      </c>
      <c r="D2612" s="2">
        <f t="shared" si="244"/>
        <v>45974</v>
      </c>
      <c r="E2612" s="1">
        <f>D2612</f>
        <v>45974</v>
      </c>
      <c r="F2612">
        <v>2935</v>
      </c>
      <c r="G2612">
        <v>30</v>
      </c>
      <c r="H2612">
        <f t="shared" si="249"/>
        <v>0</v>
      </c>
      <c r="I2612" t="str">
        <f t="shared" si="247"/>
        <v>On Time</v>
      </c>
      <c r="J2612" cm="1">
        <f t="array" ref="J2612">_xlfn.IFS(H2612&lt;30,0,H2612&lt;60,1,H2612&lt;90,2,H2612&lt;120,3)</f>
        <v>0</v>
      </c>
      <c r="M2612" t="str">
        <f t="shared" si="248"/>
        <v>Low</v>
      </c>
      <c r="N2612" t="str">
        <f t="shared" si="245"/>
        <v>Oct</v>
      </c>
      <c r="O2612">
        <f t="shared" si="246"/>
        <v>2025</v>
      </c>
    </row>
    <row r="2613" spans="1:15" x14ac:dyDescent="0.3">
      <c r="A2613">
        <v>201840</v>
      </c>
      <c r="B2613" t="s">
        <v>36</v>
      </c>
      <c r="C2613" s="2">
        <v>45943</v>
      </c>
      <c r="D2613" s="2">
        <f t="shared" si="244"/>
        <v>45973</v>
      </c>
      <c r="E2613" s="1">
        <f>D2613</f>
        <v>45973</v>
      </c>
      <c r="F2613">
        <v>4825</v>
      </c>
      <c r="G2613">
        <v>30</v>
      </c>
      <c r="H2613">
        <f t="shared" si="249"/>
        <v>0</v>
      </c>
      <c r="I2613" t="str">
        <f t="shared" si="247"/>
        <v>On Time</v>
      </c>
      <c r="J2613" cm="1">
        <f t="array" ref="J2613">_xlfn.IFS(H2613&lt;30,0,H2613&lt;60,1,H2613&lt;90,2,H2613&lt;120,3)</f>
        <v>0</v>
      </c>
      <c r="M2613" t="str">
        <f t="shared" si="248"/>
        <v>Low</v>
      </c>
      <c r="N2613" t="str">
        <f t="shared" si="245"/>
        <v>Oct</v>
      </c>
      <c r="O2613">
        <f t="shared" si="246"/>
        <v>2025</v>
      </c>
    </row>
    <row r="2614" spans="1:15" x14ac:dyDescent="0.3">
      <c r="A2614">
        <v>201841</v>
      </c>
      <c r="B2614" t="s">
        <v>64</v>
      </c>
      <c r="C2614" s="2">
        <v>45943</v>
      </c>
      <c r="D2614" s="2">
        <f t="shared" si="244"/>
        <v>45973</v>
      </c>
      <c r="E2614" s="1">
        <f>D2614</f>
        <v>45973</v>
      </c>
      <c r="F2614">
        <v>2811</v>
      </c>
      <c r="G2614">
        <v>30</v>
      </c>
      <c r="H2614">
        <f t="shared" si="249"/>
        <v>0</v>
      </c>
      <c r="I2614" t="str">
        <f t="shared" si="247"/>
        <v>On Time</v>
      </c>
      <c r="J2614" cm="1">
        <f t="array" ref="J2614">_xlfn.IFS(H2614&lt;30,0,H2614&lt;60,1,H2614&lt;90,2,H2614&lt;120,3)</f>
        <v>0</v>
      </c>
      <c r="M2614" t="str">
        <f t="shared" si="248"/>
        <v>Low</v>
      </c>
      <c r="N2614" t="str">
        <f t="shared" si="245"/>
        <v>Oct</v>
      </c>
      <c r="O2614">
        <f t="shared" si="246"/>
        <v>2025</v>
      </c>
    </row>
    <row r="2615" spans="1:15" x14ac:dyDescent="0.3">
      <c r="A2615">
        <v>201842</v>
      </c>
      <c r="B2615" t="s">
        <v>65</v>
      </c>
      <c r="C2615" s="2">
        <v>45943</v>
      </c>
      <c r="D2615" s="2">
        <f t="shared" si="244"/>
        <v>45988</v>
      </c>
      <c r="E2615" s="1">
        <f>D2615+5</f>
        <v>45993</v>
      </c>
      <c r="F2615">
        <v>1002</v>
      </c>
      <c r="G2615">
        <v>45</v>
      </c>
      <c r="H2615">
        <f t="shared" si="249"/>
        <v>0</v>
      </c>
      <c r="I2615" t="str">
        <f t="shared" si="247"/>
        <v>On Time</v>
      </c>
      <c r="J2615" cm="1">
        <f t="array" ref="J2615">_xlfn.IFS(H2615&lt;30,0,H2615&lt;60,1,H2615&lt;90,2,H2615&lt;120,3)</f>
        <v>0</v>
      </c>
      <c r="M2615" t="str">
        <f t="shared" si="248"/>
        <v>Low</v>
      </c>
      <c r="N2615" t="str">
        <f t="shared" si="245"/>
        <v>Oct</v>
      </c>
      <c r="O2615">
        <f t="shared" si="246"/>
        <v>2025</v>
      </c>
    </row>
    <row r="2616" spans="1:15" x14ac:dyDescent="0.3">
      <c r="A2616">
        <v>201843</v>
      </c>
      <c r="B2616" t="s">
        <v>66</v>
      </c>
      <c r="C2616" s="2">
        <v>45943</v>
      </c>
      <c r="D2616" s="2">
        <f t="shared" si="244"/>
        <v>46003</v>
      </c>
      <c r="E2616" s="1">
        <f>D2616+2</f>
        <v>46005</v>
      </c>
      <c r="F2616">
        <v>4832</v>
      </c>
      <c r="G2616">
        <v>60</v>
      </c>
      <c r="H2616">
        <f t="shared" si="249"/>
        <v>0</v>
      </c>
      <c r="I2616" t="str">
        <f t="shared" si="247"/>
        <v>On Time</v>
      </c>
      <c r="J2616" cm="1">
        <f t="array" ref="J2616">_xlfn.IFS(H2616&lt;30,0,H2616&lt;60,1,H2616&lt;90,2,H2616&lt;120,3)</f>
        <v>0</v>
      </c>
      <c r="M2616" t="str">
        <f t="shared" si="248"/>
        <v>Low</v>
      </c>
      <c r="N2616" t="str">
        <f t="shared" si="245"/>
        <v>Oct</v>
      </c>
      <c r="O2616">
        <f t="shared" si="246"/>
        <v>2025</v>
      </c>
    </row>
    <row r="2617" spans="1:15" x14ac:dyDescent="0.3">
      <c r="A2617">
        <v>201844</v>
      </c>
      <c r="B2617" t="s">
        <v>67</v>
      </c>
      <c r="C2617" s="2">
        <v>45943</v>
      </c>
      <c r="D2617" s="2">
        <f t="shared" si="244"/>
        <v>45973</v>
      </c>
      <c r="E2617" s="1">
        <f>D2617</f>
        <v>45973</v>
      </c>
      <c r="F2617">
        <v>884</v>
      </c>
      <c r="G2617">
        <v>30</v>
      </c>
      <c r="H2617">
        <f t="shared" si="249"/>
        <v>0</v>
      </c>
      <c r="I2617" t="str">
        <f t="shared" si="247"/>
        <v>On Time</v>
      </c>
      <c r="J2617" cm="1">
        <f t="array" ref="J2617">_xlfn.IFS(H2617&lt;30,0,H2617&lt;60,1,H2617&lt;90,2,H2617&lt;120,3)</f>
        <v>0</v>
      </c>
      <c r="M2617" t="str">
        <f t="shared" si="248"/>
        <v>Low</v>
      </c>
      <c r="N2617" t="str">
        <f t="shared" si="245"/>
        <v>Oct</v>
      </c>
      <c r="O2617">
        <f t="shared" si="246"/>
        <v>2025</v>
      </c>
    </row>
    <row r="2618" spans="1:15" x14ac:dyDescent="0.3">
      <c r="A2618">
        <v>201845</v>
      </c>
      <c r="B2618" t="s">
        <v>68</v>
      </c>
      <c r="C2618" s="2">
        <v>45943</v>
      </c>
      <c r="D2618" s="2">
        <f t="shared" si="244"/>
        <v>45973</v>
      </c>
      <c r="E2618" s="1">
        <f>D2618</f>
        <v>45973</v>
      </c>
      <c r="F2618">
        <v>3497</v>
      </c>
      <c r="G2618">
        <v>30</v>
      </c>
      <c r="H2618">
        <f t="shared" si="249"/>
        <v>0</v>
      </c>
      <c r="I2618" t="str">
        <f t="shared" si="247"/>
        <v>On Time</v>
      </c>
      <c r="J2618" cm="1">
        <f t="array" ref="J2618">_xlfn.IFS(H2618&lt;30,0,H2618&lt;60,1,H2618&lt;90,2,H2618&lt;120,3)</f>
        <v>0</v>
      </c>
      <c r="M2618" t="str">
        <f t="shared" si="248"/>
        <v>Low</v>
      </c>
      <c r="N2618" t="str">
        <f t="shared" si="245"/>
        <v>Oct</v>
      </c>
      <c r="O2618">
        <f t="shared" si="246"/>
        <v>2025</v>
      </c>
    </row>
    <row r="2619" spans="1:15" x14ac:dyDescent="0.3">
      <c r="A2619">
        <v>201846</v>
      </c>
      <c r="B2619" t="s">
        <v>69</v>
      </c>
      <c r="C2619" s="2">
        <v>45943</v>
      </c>
      <c r="D2619" s="2">
        <f t="shared" si="244"/>
        <v>45973</v>
      </c>
      <c r="E2619" s="1">
        <f>D2619</f>
        <v>45973</v>
      </c>
      <c r="F2619">
        <v>3059</v>
      </c>
      <c r="G2619">
        <v>30</v>
      </c>
      <c r="H2619">
        <f t="shared" si="249"/>
        <v>0</v>
      </c>
      <c r="I2619" t="str">
        <f t="shared" si="247"/>
        <v>On Time</v>
      </c>
      <c r="J2619" cm="1">
        <f t="array" ref="J2619">_xlfn.IFS(H2619&lt;30,0,H2619&lt;60,1,H2619&lt;90,2,H2619&lt;120,3)</f>
        <v>0</v>
      </c>
      <c r="M2619" t="str">
        <f t="shared" si="248"/>
        <v>Low</v>
      </c>
      <c r="N2619" t="str">
        <f t="shared" si="245"/>
        <v>Oct</v>
      </c>
      <c r="O2619">
        <f t="shared" si="246"/>
        <v>2025</v>
      </c>
    </row>
    <row r="2620" spans="1:15" x14ac:dyDescent="0.3">
      <c r="A2620">
        <v>201847</v>
      </c>
      <c r="B2620" t="s">
        <v>70</v>
      </c>
      <c r="C2620" s="2">
        <v>45943</v>
      </c>
      <c r="D2620" s="2">
        <f t="shared" si="244"/>
        <v>45973</v>
      </c>
      <c r="E2620" s="1">
        <f>D2620+60</f>
        <v>46033</v>
      </c>
      <c r="F2620">
        <v>4110</v>
      </c>
      <c r="G2620">
        <v>30</v>
      </c>
      <c r="H2620">
        <f t="shared" si="249"/>
        <v>0</v>
      </c>
      <c r="I2620" t="str">
        <f t="shared" si="247"/>
        <v>On Time</v>
      </c>
      <c r="J2620" cm="1">
        <f t="array" ref="J2620">_xlfn.IFS(H2620&lt;30,0,H2620&lt;60,1,H2620&lt;90,2,H2620&lt;120,3)</f>
        <v>0</v>
      </c>
      <c r="M2620" t="str">
        <f t="shared" si="248"/>
        <v>Low</v>
      </c>
      <c r="N2620" t="str">
        <f t="shared" si="245"/>
        <v>Oct</v>
      </c>
      <c r="O2620">
        <f t="shared" si="246"/>
        <v>2025</v>
      </c>
    </row>
    <row r="2621" spans="1:15" x14ac:dyDescent="0.3">
      <c r="A2621">
        <v>201848</v>
      </c>
      <c r="B2621" t="s">
        <v>71</v>
      </c>
      <c r="C2621" s="2">
        <v>45943</v>
      </c>
      <c r="D2621" s="2">
        <f t="shared" si="244"/>
        <v>45973</v>
      </c>
      <c r="E2621" s="1">
        <f>D2621</f>
        <v>45973</v>
      </c>
      <c r="F2621">
        <v>3598</v>
      </c>
      <c r="G2621">
        <v>30</v>
      </c>
      <c r="H2621">
        <f t="shared" si="249"/>
        <v>0</v>
      </c>
      <c r="I2621" t="str">
        <f t="shared" si="247"/>
        <v>On Time</v>
      </c>
      <c r="J2621" cm="1">
        <f t="array" ref="J2621">_xlfn.IFS(H2621&lt;30,0,H2621&lt;60,1,H2621&lt;90,2,H2621&lt;120,3)</f>
        <v>0</v>
      </c>
      <c r="M2621" t="str">
        <f t="shared" si="248"/>
        <v>Low</v>
      </c>
      <c r="N2621" t="str">
        <f t="shared" si="245"/>
        <v>Oct</v>
      </c>
      <c r="O2621">
        <f t="shared" si="246"/>
        <v>2025</v>
      </c>
    </row>
    <row r="2622" spans="1:15" x14ac:dyDescent="0.3">
      <c r="A2622">
        <v>201849</v>
      </c>
      <c r="B2622" t="s">
        <v>72</v>
      </c>
      <c r="C2622" s="2">
        <v>45943</v>
      </c>
      <c r="D2622" s="2">
        <f t="shared" si="244"/>
        <v>45973</v>
      </c>
      <c r="E2622" s="1">
        <f>D2622</f>
        <v>45973</v>
      </c>
      <c r="F2622">
        <v>1511</v>
      </c>
      <c r="G2622">
        <v>30</v>
      </c>
      <c r="H2622">
        <f t="shared" si="249"/>
        <v>0</v>
      </c>
      <c r="I2622" t="str">
        <f t="shared" si="247"/>
        <v>On Time</v>
      </c>
      <c r="J2622" cm="1">
        <f t="array" ref="J2622">_xlfn.IFS(H2622&lt;30,0,H2622&lt;60,1,H2622&lt;90,2,H2622&lt;120,3)</f>
        <v>0</v>
      </c>
      <c r="M2622" t="str">
        <f t="shared" si="248"/>
        <v>Low</v>
      </c>
      <c r="N2622" t="str">
        <f t="shared" si="245"/>
        <v>Oct</v>
      </c>
      <c r="O2622">
        <f t="shared" si="246"/>
        <v>2025</v>
      </c>
    </row>
    <row r="2623" spans="1:15" x14ac:dyDescent="0.3">
      <c r="A2623">
        <v>201850</v>
      </c>
      <c r="B2623" t="s">
        <v>73</v>
      </c>
      <c r="C2623" s="2">
        <v>45943</v>
      </c>
      <c r="D2623" s="2">
        <f t="shared" si="244"/>
        <v>45988</v>
      </c>
      <c r="E2623" s="1">
        <f>D2623+3</f>
        <v>45991</v>
      </c>
      <c r="F2623">
        <v>4468</v>
      </c>
      <c r="G2623">
        <v>45</v>
      </c>
      <c r="H2623">
        <f t="shared" si="249"/>
        <v>0</v>
      </c>
      <c r="I2623" t="str">
        <f t="shared" si="247"/>
        <v>On Time</v>
      </c>
      <c r="J2623" cm="1">
        <f t="array" ref="J2623">_xlfn.IFS(H2623&lt;30,0,H2623&lt;60,1,H2623&lt;90,2,H2623&lt;120,3)</f>
        <v>0</v>
      </c>
      <c r="M2623" t="str">
        <f t="shared" si="248"/>
        <v>Low</v>
      </c>
      <c r="N2623" t="str">
        <f t="shared" si="245"/>
        <v>Oct</v>
      </c>
      <c r="O2623">
        <f t="shared" si="246"/>
        <v>2025</v>
      </c>
    </row>
    <row r="2624" spans="1:15" x14ac:dyDescent="0.3">
      <c r="A2624">
        <v>201851</v>
      </c>
      <c r="B2624" t="s">
        <v>101</v>
      </c>
      <c r="C2624" s="2">
        <v>45943</v>
      </c>
      <c r="D2624" s="2">
        <f t="shared" si="244"/>
        <v>45973</v>
      </c>
      <c r="E2624" s="1">
        <f>D2624+1</f>
        <v>45974</v>
      </c>
      <c r="F2624">
        <v>1469</v>
      </c>
      <c r="G2624">
        <v>30</v>
      </c>
      <c r="H2624">
        <f t="shared" si="249"/>
        <v>0</v>
      </c>
      <c r="I2624" t="str">
        <f t="shared" si="247"/>
        <v>On Time</v>
      </c>
      <c r="J2624" cm="1">
        <f t="array" ref="J2624">_xlfn.IFS(H2624&lt;30,0,H2624&lt;60,1,H2624&lt;90,2,H2624&lt;120,3)</f>
        <v>0</v>
      </c>
      <c r="M2624" t="str">
        <f t="shared" si="248"/>
        <v>Low</v>
      </c>
      <c r="N2624" t="str">
        <f t="shared" si="245"/>
        <v>Oct</v>
      </c>
      <c r="O2624">
        <f t="shared" si="246"/>
        <v>2025</v>
      </c>
    </row>
    <row r="2625" spans="1:15" x14ac:dyDescent="0.3">
      <c r="A2625">
        <v>201852</v>
      </c>
      <c r="B2625" t="s">
        <v>102</v>
      </c>
      <c r="C2625" s="2">
        <v>45943</v>
      </c>
      <c r="D2625" s="2">
        <f t="shared" si="244"/>
        <v>45973</v>
      </c>
      <c r="E2625" s="1">
        <f>D2625-1</f>
        <v>45972</v>
      </c>
      <c r="F2625">
        <v>846</v>
      </c>
      <c r="G2625">
        <v>30</v>
      </c>
      <c r="H2625">
        <f t="shared" si="249"/>
        <v>0</v>
      </c>
      <c r="I2625" t="str">
        <f t="shared" si="247"/>
        <v>On Time</v>
      </c>
      <c r="J2625" cm="1">
        <f t="array" ref="J2625">_xlfn.IFS(H2625&lt;30,0,H2625&lt;60,1,H2625&lt;90,2,H2625&lt;120,3)</f>
        <v>0</v>
      </c>
      <c r="M2625" t="str">
        <f t="shared" si="248"/>
        <v>Low</v>
      </c>
      <c r="N2625" t="str">
        <f t="shared" si="245"/>
        <v>Oct</v>
      </c>
      <c r="O2625">
        <f t="shared" si="246"/>
        <v>2025</v>
      </c>
    </row>
    <row r="2626" spans="1:15" x14ac:dyDescent="0.3">
      <c r="A2626">
        <v>201853</v>
      </c>
      <c r="B2626" t="s">
        <v>103</v>
      </c>
      <c r="C2626" s="2">
        <v>45943</v>
      </c>
      <c r="D2626" s="2">
        <f t="shared" ref="D2626:D2689" si="250">C2626+G2626</f>
        <v>45973</v>
      </c>
      <c r="E2626" s="1">
        <f>D2626</f>
        <v>45973</v>
      </c>
      <c r="F2626">
        <v>1620</v>
      </c>
      <c r="G2626">
        <v>30</v>
      </c>
      <c r="H2626">
        <f t="shared" si="249"/>
        <v>0</v>
      </c>
      <c r="I2626" t="str">
        <f t="shared" si="247"/>
        <v>On Time</v>
      </c>
      <c r="J2626" cm="1">
        <f t="array" ref="J2626">_xlfn.IFS(H2626&lt;30,0,H2626&lt;60,1,H2626&lt;90,2,H2626&lt;120,3)</f>
        <v>0</v>
      </c>
      <c r="M2626" t="str">
        <f t="shared" si="248"/>
        <v>Low</v>
      </c>
      <c r="N2626" t="str">
        <f t="shared" ref="N2626:N2689" si="251">TEXT(C2626,"mmm")</f>
        <v>Oct</v>
      </c>
      <c r="O2626">
        <f t="shared" ref="O2626:O2689" si="252">YEAR(C2626)</f>
        <v>2025</v>
      </c>
    </row>
    <row r="2627" spans="1:15" x14ac:dyDescent="0.3">
      <c r="A2627">
        <v>201854</v>
      </c>
      <c r="B2627" t="s">
        <v>104</v>
      </c>
      <c r="C2627" s="2">
        <v>45943</v>
      </c>
      <c r="D2627" s="2">
        <f t="shared" si="250"/>
        <v>45973</v>
      </c>
      <c r="E2627" s="1">
        <f>D2627+1</f>
        <v>45974</v>
      </c>
      <c r="F2627">
        <v>3514</v>
      </c>
      <c r="G2627">
        <v>30</v>
      </c>
      <c r="H2627">
        <f t="shared" si="249"/>
        <v>0</v>
      </c>
      <c r="I2627" t="str">
        <f t="shared" si="247"/>
        <v>On Time</v>
      </c>
      <c r="J2627" cm="1">
        <f t="array" ref="J2627">_xlfn.IFS(H2627&lt;30,0,H2627&lt;60,1,H2627&lt;90,2,H2627&lt;120,3)</f>
        <v>0</v>
      </c>
      <c r="M2627" t="str">
        <f t="shared" si="248"/>
        <v>Low</v>
      </c>
      <c r="N2627" t="str">
        <f t="shared" si="251"/>
        <v>Oct</v>
      </c>
      <c r="O2627">
        <f t="shared" si="252"/>
        <v>2025</v>
      </c>
    </row>
    <row r="2628" spans="1:15" x14ac:dyDescent="0.3">
      <c r="A2628">
        <v>201855</v>
      </c>
      <c r="B2628" t="s">
        <v>105</v>
      </c>
      <c r="C2628" s="2">
        <v>45943</v>
      </c>
      <c r="D2628" s="2">
        <f t="shared" si="250"/>
        <v>45973</v>
      </c>
      <c r="E2628" s="1">
        <f>D2628+35</f>
        <v>46008</v>
      </c>
      <c r="F2628">
        <v>2369</v>
      </c>
      <c r="G2628">
        <v>30</v>
      </c>
      <c r="H2628">
        <f t="shared" si="249"/>
        <v>0</v>
      </c>
      <c r="I2628" t="str">
        <f t="shared" si="247"/>
        <v>On Time</v>
      </c>
      <c r="J2628" cm="1">
        <f t="array" ref="J2628">_xlfn.IFS(H2628&lt;30,0,H2628&lt;60,1,H2628&lt;90,2,H2628&lt;120,3)</f>
        <v>0</v>
      </c>
      <c r="M2628" t="str">
        <f t="shared" si="248"/>
        <v>Low</v>
      </c>
      <c r="N2628" t="str">
        <f t="shared" si="251"/>
        <v>Oct</v>
      </c>
      <c r="O2628">
        <f t="shared" si="252"/>
        <v>2025</v>
      </c>
    </row>
    <row r="2629" spans="1:15" x14ac:dyDescent="0.3">
      <c r="A2629">
        <v>201856</v>
      </c>
      <c r="B2629" t="s">
        <v>114</v>
      </c>
      <c r="C2629" s="2">
        <v>45943</v>
      </c>
      <c r="D2629" s="2">
        <f t="shared" si="250"/>
        <v>45973</v>
      </c>
      <c r="E2629" s="1">
        <f>D2629+58</f>
        <v>46031</v>
      </c>
      <c r="F2629">
        <v>2932</v>
      </c>
      <c r="G2629">
        <v>30</v>
      </c>
      <c r="H2629">
        <f t="shared" si="249"/>
        <v>0</v>
      </c>
      <c r="I2629" t="str">
        <f t="shared" si="247"/>
        <v>On Time</v>
      </c>
      <c r="J2629" cm="1">
        <f t="array" ref="J2629">_xlfn.IFS(H2629&lt;30,0,H2629&lt;60,1,H2629&lt;90,2,H2629&lt;120,3)</f>
        <v>0</v>
      </c>
      <c r="M2629" t="str">
        <f t="shared" si="248"/>
        <v>Low</v>
      </c>
      <c r="N2629" t="str">
        <f t="shared" si="251"/>
        <v>Oct</v>
      </c>
      <c r="O2629">
        <f t="shared" si="252"/>
        <v>2025</v>
      </c>
    </row>
    <row r="2630" spans="1:15" x14ac:dyDescent="0.3">
      <c r="A2630">
        <v>201857</v>
      </c>
      <c r="B2630" t="s">
        <v>115</v>
      </c>
      <c r="C2630" s="2">
        <v>45943</v>
      </c>
      <c r="D2630" s="2">
        <f t="shared" si="250"/>
        <v>45973</v>
      </c>
      <c r="E2630" s="1">
        <f>D2630+5</f>
        <v>45978</v>
      </c>
      <c r="F2630">
        <v>4340</v>
      </c>
      <c r="G2630">
        <v>30</v>
      </c>
      <c r="H2630">
        <f t="shared" si="249"/>
        <v>0</v>
      </c>
      <c r="I2630" t="str">
        <f t="shared" si="247"/>
        <v>On Time</v>
      </c>
      <c r="J2630" cm="1">
        <f t="array" ref="J2630">_xlfn.IFS(H2630&lt;30,0,H2630&lt;60,1,H2630&lt;90,2,H2630&lt;120,3)</f>
        <v>0</v>
      </c>
      <c r="M2630" t="str">
        <f t="shared" si="248"/>
        <v>Low</v>
      </c>
      <c r="N2630" t="str">
        <f t="shared" si="251"/>
        <v>Oct</v>
      </c>
      <c r="O2630">
        <f t="shared" si="252"/>
        <v>2025</v>
      </c>
    </row>
    <row r="2631" spans="1:15" x14ac:dyDescent="0.3">
      <c r="A2631">
        <v>201858</v>
      </c>
      <c r="B2631" t="s">
        <v>116</v>
      </c>
      <c r="C2631" s="2">
        <v>45943</v>
      </c>
      <c r="D2631" s="2">
        <f t="shared" si="250"/>
        <v>45973</v>
      </c>
      <c r="E2631" s="1">
        <f>D2631</f>
        <v>45973</v>
      </c>
      <c r="F2631">
        <v>2603</v>
      </c>
      <c r="G2631">
        <v>30</v>
      </c>
      <c r="H2631">
        <f t="shared" si="249"/>
        <v>0</v>
      </c>
      <c r="I2631" t="str">
        <f t="shared" si="247"/>
        <v>On Time</v>
      </c>
      <c r="J2631" cm="1">
        <f t="array" ref="J2631">_xlfn.IFS(H2631&lt;30,0,H2631&lt;60,1,H2631&lt;90,2,H2631&lt;120,3)</f>
        <v>0</v>
      </c>
      <c r="M2631" t="str">
        <f t="shared" si="248"/>
        <v>Low</v>
      </c>
      <c r="N2631" t="str">
        <f t="shared" si="251"/>
        <v>Oct</v>
      </c>
      <c r="O2631">
        <f t="shared" si="252"/>
        <v>2025</v>
      </c>
    </row>
    <row r="2632" spans="1:15" x14ac:dyDescent="0.3">
      <c r="A2632">
        <v>202269</v>
      </c>
      <c r="B2632" t="s">
        <v>20</v>
      </c>
      <c r="C2632" s="2">
        <v>45943</v>
      </c>
      <c r="D2632" s="2">
        <f t="shared" si="250"/>
        <v>45973</v>
      </c>
      <c r="E2632" s="1">
        <f>D2632</f>
        <v>45973</v>
      </c>
      <c r="F2632">
        <v>1943</v>
      </c>
      <c r="G2632">
        <v>30</v>
      </c>
      <c r="H2632">
        <f t="shared" si="249"/>
        <v>0</v>
      </c>
      <c r="I2632" t="str">
        <f t="shared" si="247"/>
        <v>On Time</v>
      </c>
      <c r="J2632" cm="1">
        <f t="array" ref="J2632">_xlfn.IFS(H2632&lt;30,0,H2632&lt;60,1,H2632&lt;90,2,H2632&lt;120,3)</f>
        <v>0</v>
      </c>
      <c r="M2632" t="str">
        <f t="shared" si="248"/>
        <v>Low</v>
      </c>
      <c r="N2632" t="str">
        <f t="shared" si="251"/>
        <v>Oct</v>
      </c>
      <c r="O2632">
        <f t="shared" si="252"/>
        <v>2025</v>
      </c>
    </row>
    <row r="2633" spans="1:15" x14ac:dyDescent="0.3">
      <c r="A2633">
        <v>202270</v>
      </c>
      <c r="B2633" t="s">
        <v>21</v>
      </c>
      <c r="C2633" s="2">
        <v>45943</v>
      </c>
      <c r="D2633" s="2">
        <f t="shared" si="250"/>
        <v>45973</v>
      </c>
      <c r="E2633" s="1">
        <f>D2633</f>
        <v>45973</v>
      </c>
      <c r="F2633">
        <v>4467</v>
      </c>
      <c r="G2633">
        <v>30</v>
      </c>
      <c r="H2633">
        <f t="shared" si="249"/>
        <v>0</v>
      </c>
      <c r="I2633" t="str">
        <f t="shared" si="247"/>
        <v>On Time</v>
      </c>
      <c r="J2633" cm="1">
        <f t="array" ref="J2633">_xlfn.IFS(H2633&lt;30,0,H2633&lt;60,1,H2633&lt;90,2,H2633&lt;120,3)</f>
        <v>0</v>
      </c>
      <c r="M2633" t="str">
        <f t="shared" si="248"/>
        <v>Low</v>
      </c>
      <c r="N2633" t="str">
        <f t="shared" si="251"/>
        <v>Oct</v>
      </c>
      <c r="O2633">
        <f t="shared" si="252"/>
        <v>2025</v>
      </c>
    </row>
    <row r="2634" spans="1:15" x14ac:dyDescent="0.3">
      <c r="A2634">
        <v>202271</v>
      </c>
      <c r="B2634" t="s">
        <v>22</v>
      </c>
      <c r="C2634" s="2">
        <v>45943</v>
      </c>
      <c r="D2634" s="2">
        <f t="shared" si="250"/>
        <v>45973</v>
      </c>
      <c r="E2634" s="1">
        <f>D2634+5</f>
        <v>45978</v>
      </c>
      <c r="F2634">
        <v>3739</v>
      </c>
      <c r="G2634">
        <v>30</v>
      </c>
      <c r="H2634">
        <f t="shared" si="249"/>
        <v>0</v>
      </c>
      <c r="I2634" t="str">
        <f t="shared" si="247"/>
        <v>On Time</v>
      </c>
      <c r="J2634" cm="1">
        <f t="array" ref="J2634">_xlfn.IFS(H2634&lt;30,0,H2634&lt;60,1,H2634&lt;90,2,H2634&lt;120,3)</f>
        <v>0</v>
      </c>
      <c r="M2634" t="str">
        <f t="shared" si="248"/>
        <v>Low</v>
      </c>
      <c r="N2634" t="str">
        <f t="shared" si="251"/>
        <v>Oct</v>
      </c>
      <c r="O2634">
        <f t="shared" si="252"/>
        <v>2025</v>
      </c>
    </row>
    <row r="2635" spans="1:15" x14ac:dyDescent="0.3">
      <c r="A2635">
        <v>202272</v>
      </c>
      <c r="B2635" t="s">
        <v>23</v>
      </c>
      <c r="C2635" s="2">
        <v>45943</v>
      </c>
      <c r="D2635" s="2">
        <f t="shared" si="250"/>
        <v>45988</v>
      </c>
      <c r="E2635" s="1">
        <f>D2635+2</f>
        <v>45990</v>
      </c>
      <c r="F2635">
        <v>4166</v>
      </c>
      <c r="G2635">
        <v>45</v>
      </c>
      <c r="H2635">
        <f t="shared" si="249"/>
        <v>0</v>
      </c>
      <c r="I2635" t="str">
        <f t="shared" si="247"/>
        <v>On Time</v>
      </c>
      <c r="J2635" cm="1">
        <f t="array" ref="J2635">_xlfn.IFS(H2635&lt;30,0,H2635&lt;60,1,H2635&lt;90,2,H2635&lt;120,3)</f>
        <v>0</v>
      </c>
      <c r="M2635" t="str">
        <f t="shared" si="248"/>
        <v>Low</v>
      </c>
      <c r="N2635" t="str">
        <f t="shared" si="251"/>
        <v>Oct</v>
      </c>
      <c r="O2635">
        <f t="shared" si="252"/>
        <v>2025</v>
      </c>
    </row>
    <row r="2636" spans="1:15" x14ac:dyDescent="0.3">
      <c r="A2636">
        <v>202273</v>
      </c>
      <c r="B2636" t="s">
        <v>24</v>
      </c>
      <c r="C2636" s="2">
        <v>45943</v>
      </c>
      <c r="D2636" s="2">
        <f t="shared" si="250"/>
        <v>45988</v>
      </c>
      <c r="E2636" s="1">
        <f>D2636+5</f>
        <v>45993</v>
      </c>
      <c r="F2636">
        <v>3463</v>
      </c>
      <c r="G2636">
        <v>45</v>
      </c>
      <c r="H2636">
        <f t="shared" si="249"/>
        <v>0</v>
      </c>
      <c r="I2636" t="str">
        <f t="shared" si="247"/>
        <v>On Time</v>
      </c>
      <c r="J2636" cm="1">
        <f t="array" ref="J2636">_xlfn.IFS(H2636&lt;30,0,H2636&lt;60,1,H2636&lt;90,2,H2636&lt;120,3)</f>
        <v>0</v>
      </c>
      <c r="M2636" t="str">
        <f t="shared" si="248"/>
        <v>Low</v>
      </c>
      <c r="N2636" t="str">
        <f t="shared" si="251"/>
        <v>Oct</v>
      </c>
      <c r="O2636">
        <f t="shared" si="252"/>
        <v>2025</v>
      </c>
    </row>
    <row r="2637" spans="1:15" x14ac:dyDescent="0.3">
      <c r="A2637">
        <v>202274</v>
      </c>
      <c r="B2637" t="s">
        <v>25</v>
      </c>
      <c r="C2637" s="2">
        <v>45943</v>
      </c>
      <c r="D2637" s="2">
        <f t="shared" si="250"/>
        <v>46003</v>
      </c>
      <c r="E2637" s="1">
        <f>D2637</f>
        <v>46003</v>
      </c>
      <c r="F2637">
        <v>709</v>
      </c>
      <c r="G2637">
        <v>60</v>
      </c>
      <c r="H2637">
        <f t="shared" si="249"/>
        <v>0</v>
      </c>
      <c r="I2637" t="str">
        <f t="shared" si="247"/>
        <v>On Time</v>
      </c>
      <c r="J2637" cm="1">
        <f t="array" ref="J2637">_xlfn.IFS(H2637&lt;30,0,H2637&lt;60,1,H2637&lt;90,2,H2637&lt;120,3)</f>
        <v>0</v>
      </c>
      <c r="M2637" t="str">
        <f t="shared" si="248"/>
        <v>Low</v>
      </c>
      <c r="N2637" t="str">
        <f t="shared" si="251"/>
        <v>Oct</v>
      </c>
      <c r="O2637">
        <f t="shared" si="252"/>
        <v>2025</v>
      </c>
    </row>
    <row r="2638" spans="1:15" x14ac:dyDescent="0.3">
      <c r="A2638">
        <v>202275</v>
      </c>
      <c r="B2638" t="s">
        <v>26</v>
      </c>
      <c r="C2638" s="2">
        <v>45943</v>
      </c>
      <c r="D2638" s="2">
        <f t="shared" si="250"/>
        <v>45973</v>
      </c>
      <c r="E2638" s="1">
        <f>D2638</f>
        <v>45973</v>
      </c>
      <c r="F2638">
        <v>971</v>
      </c>
      <c r="G2638">
        <v>30</v>
      </c>
      <c r="H2638">
        <f t="shared" si="249"/>
        <v>0</v>
      </c>
      <c r="I2638" t="str">
        <f t="shared" si="247"/>
        <v>On Time</v>
      </c>
      <c r="J2638" cm="1">
        <f t="array" ref="J2638">_xlfn.IFS(H2638&lt;30,0,H2638&lt;60,1,H2638&lt;90,2,H2638&lt;120,3)</f>
        <v>0</v>
      </c>
      <c r="M2638" t="str">
        <f t="shared" si="248"/>
        <v>Low</v>
      </c>
      <c r="N2638" t="str">
        <f t="shared" si="251"/>
        <v>Oct</v>
      </c>
      <c r="O2638">
        <f t="shared" si="252"/>
        <v>2025</v>
      </c>
    </row>
    <row r="2639" spans="1:15" x14ac:dyDescent="0.3">
      <c r="A2639">
        <v>202276</v>
      </c>
      <c r="B2639" t="s">
        <v>27</v>
      </c>
      <c r="C2639" s="2">
        <v>45943</v>
      </c>
      <c r="D2639" s="2">
        <f t="shared" si="250"/>
        <v>46003</v>
      </c>
      <c r="E2639" s="1">
        <f>D2639+60</f>
        <v>46063</v>
      </c>
      <c r="F2639">
        <v>195</v>
      </c>
      <c r="G2639">
        <v>60</v>
      </c>
      <c r="H2639">
        <f t="shared" si="249"/>
        <v>0</v>
      </c>
      <c r="I2639" t="str">
        <f t="shared" si="247"/>
        <v>On Time</v>
      </c>
      <c r="J2639" cm="1">
        <f t="array" ref="J2639">_xlfn.IFS(H2639&lt;30,0,H2639&lt;60,1,H2639&lt;90,2,H2639&lt;120,3)</f>
        <v>0</v>
      </c>
      <c r="M2639" t="str">
        <f t="shared" si="248"/>
        <v>Low</v>
      </c>
      <c r="N2639" t="str">
        <f t="shared" si="251"/>
        <v>Oct</v>
      </c>
      <c r="O2639">
        <f t="shared" si="252"/>
        <v>2025</v>
      </c>
    </row>
    <row r="2640" spans="1:15" x14ac:dyDescent="0.3">
      <c r="A2640">
        <v>202277</v>
      </c>
      <c r="B2640" t="s">
        <v>28</v>
      </c>
      <c r="C2640" s="2">
        <v>45943</v>
      </c>
      <c r="D2640" s="2">
        <f t="shared" si="250"/>
        <v>45973</v>
      </c>
      <c r="E2640" s="1">
        <f>D2640</f>
        <v>45973</v>
      </c>
      <c r="F2640">
        <v>137</v>
      </c>
      <c r="G2640">
        <v>30</v>
      </c>
      <c r="H2640">
        <f t="shared" si="249"/>
        <v>0</v>
      </c>
      <c r="I2640" t="str">
        <f t="shared" si="247"/>
        <v>On Time</v>
      </c>
      <c r="J2640" cm="1">
        <f t="array" ref="J2640">_xlfn.IFS(H2640&lt;30,0,H2640&lt;60,1,H2640&lt;90,2,H2640&lt;120,3)</f>
        <v>0</v>
      </c>
      <c r="M2640" t="str">
        <f t="shared" si="248"/>
        <v>Low</v>
      </c>
      <c r="N2640" t="str">
        <f t="shared" si="251"/>
        <v>Oct</v>
      </c>
      <c r="O2640">
        <f t="shared" si="252"/>
        <v>2025</v>
      </c>
    </row>
    <row r="2641" spans="1:15" x14ac:dyDescent="0.3">
      <c r="A2641">
        <v>202278</v>
      </c>
      <c r="B2641" t="s">
        <v>29</v>
      </c>
      <c r="C2641" s="2">
        <v>45943</v>
      </c>
      <c r="D2641" s="2">
        <f t="shared" si="250"/>
        <v>45973</v>
      </c>
      <c r="F2641">
        <v>1402</v>
      </c>
      <c r="G2641">
        <v>30</v>
      </c>
      <c r="H2641">
        <f t="shared" si="249"/>
        <v>0</v>
      </c>
      <c r="I2641" t="str">
        <f t="shared" si="247"/>
        <v>On Time</v>
      </c>
      <c r="J2641" cm="1">
        <f t="array" ref="J2641">_xlfn.IFS(H2641&lt;30,0,H2641&lt;60,1,H2641&lt;90,2,H2641&lt;120,3)</f>
        <v>0</v>
      </c>
      <c r="M2641" t="str">
        <f t="shared" si="248"/>
        <v>Low</v>
      </c>
      <c r="N2641" t="str">
        <f t="shared" si="251"/>
        <v>Oct</v>
      </c>
      <c r="O2641">
        <f t="shared" si="252"/>
        <v>2025</v>
      </c>
    </row>
    <row r="2642" spans="1:15" x14ac:dyDescent="0.3">
      <c r="A2642">
        <v>202279</v>
      </c>
      <c r="B2642" t="s">
        <v>75</v>
      </c>
      <c r="C2642" s="2">
        <v>45943</v>
      </c>
      <c r="D2642" s="2">
        <f t="shared" si="250"/>
        <v>46003</v>
      </c>
      <c r="E2642" s="1">
        <f>D2642+3</f>
        <v>46006</v>
      </c>
      <c r="F2642">
        <v>4196</v>
      </c>
      <c r="G2642">
        <v>60</v>
      </c>
      <c r="H2642">
        <f t="shared" si="249"/>
        <v>0</v>
      </c>
      <c r="I2642" t="str">
        <f t="shared" si="247"/>
        <v>On Time</v>
      </c>
      <c r="J2642" cm="1">
        <f t="array" ref="J2642">_xlfn.IFS(H2642&lt;30,0,H2642&lt;60,1,H2642&lt;90,2,H2642&lt;120,3)</f>
        <v>0</v>
      </c>
      <c r="M2642" t="str">
        <f t="shared" si="248"/>
        <v>Low</v>
      </c>
      <c r="N2642" t="str">
        <f t="shared" si="251"/>
        <v>Oct</v>
      </c>
      <c r="O2642">
        <f t="shared" si="252"/>
        <v>2025</v>
      </c>
    </row>
    <row r="2643" spans="1:15" x14ac:dyDescent="0.3">
      <c r="A2643">
        <v>202280</v>
      </c>
      <c r="B2643" t="s">
        <v>76</v>
      </c>
      <c r="C2643" s="2">
        <v>45943</v>
      </c>
      <c r="D2643" s="2">
        <f t="shared" si="250"/>
        <v>45973</v>
      </c>
      <c r="E2643" s="1">
        <f>D2643+1</f>
        <v>45974</v>
      </c>
      <c r="F2643">
        <v>893</v>
      </c>
      <c r="G2643">
        <v>30</v>
      </c>
      <c r="H2643">
        <f t="shared" si="249"/>
        <v>0</v>
      </c>
      <c r="I2643" t="str">
        <f t="shared" si="247"/>
        <v>On Time</v>
      </c>
      <c r="J2643" cm="1">
        <f t="array" ref="J2643">_xlfn.IFS(H2643&lt;30,0,H2643&lt;60,1,H2643&lt;90,2,H2643&lt;120,3)</f>
        <v>0</v>
      </c>
      <c r="M2643" t="str">
        <f t="shared" si="248"/>
        <v>Low</v>
      </c>
      <c r="N2643" t="str">
        <f t="shared" si="251"/>
        <v>Oct</v>
      </c>
      <c r="O2643">
        <f t="shared" si="252"/>
        <v>2025</v>
      </c>
    </row>
    <row r="2644" spans="1:15" x14ac:dyDescent="0.3">
      <c r="A2644">
        <v>202281</v>
      </c>
      <c r="B2644" t="s">
        <v>77</v>
      </c>
      <c r="C2644" s="2">
        <v>45943</v>
      </c>
      <c r="D2644" s="2">
        <f t="shared" si="250"/>
        <v>45973</v>
      </c>
      <c r="E2644" s="1">
        <f>D2644-1</f>
        <v>45972</v>
      </c>
      <c r="F2644">
        <v>4666</v>
      </c>
      <c r="G2644">
        <v>30</v>
      </c>
      <c r="H2644">
        <f t="shared" si="249"/>
        <v>0</v>
      </c>
      <c r="I2644" t="str">
        <f t="shared" si="247"/>
        <v>On Time</v>
      </c>
      <c r="J2644" cm="1">
        <f t="array" ref="J2644">_xlfn.IFS(H2644&lt;30,0,H2644&lt;60,1,H2644&lt;90,2,H2644&lt;120,3)</f>
        <v>0</v>
      </c>
      <c r="M2644" t="str">
        <f t="shared" si="248"/>
        <v>Low</v>
      </c>
      <c r="N2644" t="str">
        <f t="shared" si="251"/>
        <v>Oct</v>
      </c>
      <c r="O2644">
        <f t="shared" si="252"/>
        <v>2025</v>
      </c>
    </row>
    <row r="2645" spans="1:15" x14ac:dyDescent="0.3">
      <c r="A2645">
        <v>202282</v>
      </c>
      <c r="B2645" t="s">
        <v>78</v>
      </c>
      <c r="C2645" s="2">
        <v>45943</v>
      </c>
      <c r="D2645" s="2">
        <f t="shared" si="250"/>
        <v>45973</v>
      </c>
      <c r="E2645" s="1">
        <f>D2645</f>
        <v>45973</v>
      </c>
      <c r="F2645">
        <v>3092</v>
      </c>
      <c r="G2645">
        <v>30</v>
      </c>
      <c r="H2645">
        <f t="shared" si="249"/>
        <v>0</v>
      </c>
      <c r="I2645" t="str">
        <f t="shared" si="247"/>
        <v>On Time</v>
      </c>
      <c r="J2645" cm="1">
        <f t="array" ref="J2645">_xlfn.IFS(H2645&lt;30,0,H2645&lt;60,1,H2645&lt;90,2,H2645&lt;120,3)</f>
        <v>0</v>
      </c>
      <c r="M2645" t="str">
        <f t="shared" si="248"/>
        <v>Low</v>
      </c>
      <c r="N2645" t="str">
        <f t="shared" si="251"/>
        <v>Oct</v>
      </c>
      <c r="O2645">
        <f t="shared" si="252"/>
        <v>2025</v>
      </c>
    </row>
    <row r="2646" spans="1:15" x14ac:dyDescent="0.3">
      <c r="A2646">
        <v>202283</v>
      </c>
      <c r="B2646" t="s">
        <v>79</v>
      </c>
      <c r="C2646" s="2">
        <v>45943</v>
      </c>
      <c r="D2646" s="2">
        <f t="shared" si="250"/>
        <v>45973</v>
      </c>
      <c r="E2646" s="1">
        <f>D2646-5</f>
        <v>45968</v>
      </c>
      <c r="F2646">
        <v>129</v>
      </c>
      <c r="G2646">
        <v>30</v>
      </c>
      <c r="H2646">
        <f t="shared" si="249"/>
        <v>0</v>
      </c>
      <c r="I2646" t="str">
        <f t="shared" ref="I2646:I2709" si="253">IF(H2646=0,"On Time",IF(H2646&lt;=15,"Paid Late","Seriously Late"))</f>
        <v>On Time</v>
      </c>
      <c r="J2646" cm="1">
        <f t="array" ref="J2646">_xlfn.IFS(H2646&lt;30,0,H2646&lt;60,1,H2646&lt;90,2,H2646&lt;120,3)</f>
        <v>0</v>
      </c>
      <c r="M2646" t="str">
        <f t="shared" ref="M2646:M2709" si="254">IF(H2646&gt;30,"High",IF(H2646&gt;10,"Medium","Low"))</f>
        <v>Low</v>
      </c>
      <c r="N2646" t="str">
        <f t="shared" si="251"/>
        <v>Oct</v>
      </c>
      <c r="O2646">
        <f t="shared" si="252"/>
        <v>2025</v>
      </c>
    </row>
    <row r="2647" spans="1:15" x14ac:dyDescent="0.3">
      <c r="A2647">
        <v>202284</v>
      </c>
      <c r="B2647" t="s">
        <v>80</v>
      </c>
      <c r="C2647" s="2">
        <v>45943</v>
      </c>
      <c r="D2647" s="2">
        <f t="shared" si="250"/>
        <v>45973</v>
      </c>
      <c r="E2647" s="1">
        <f>D2647+35</f>
        <v>46008</v>
      </c>
      <c r="F2647">
        <v>1472</v>
      </c>
      <c r="G2647">
        <v>30</v>
      </c>
      <c r="H2647">
        <f t="shared" si="249"/>
        <v>0</v>
      </c>
      <c r="I2647" t="str">
        <f t="shared" si="253"/>
        <v>On Time</v>
      </c>
      <c r="J2647" cm="1">
        <f t="array" ref="J2647">_xlfn.IFS(H2647&lt;30,0,H2647&lt;60,1,H2647&lt;90,2,H2647&lt;120,3)</f>
        <v>0</v>
      </c>
      <c r="M2647" t="str">
        <f t="shared" si="254"/>
        <v>Low</v>
      </c>
      <c r="N2647" t="str">
        <f t="shared" si="251"/>
        <v>Oct</v>
      </c>
      <c r="O2647">
        <f t="shared" si="252"/>
        <v>2025</v>
      </c>
    </row>
    <row r="2648" spans="1:15" x14ac:dyDescent="0.3">
      <c r="A2648">
        <v>202285</v>
      </c>
      <c r="B2648" t="s">
        <v>81</v>
      </c>
      <c r="C2648" s="2">
        <v>45943</v>
      </c>
      <c r="D2648" s="2">
        <f t="shared" si="250"/>
        <v>45973</v>
      </c>
      <c r="E2648" s="1">
        <f>D2648+75</f>
        <v>46048</v>
      </c>
      <c r="F2648">
        <v>11207</v>
      </c>
      <c r="G2648">
        <v>30</v>
      </c>
      <c r="H2648">
        <f t="shared" si="249"/>
        <v>0</v>
      </c>
      <c r="I2648" t="str">
        <f t="shared" si="253"/>
        <v>On Time</v>
      </c>
      <c r="J2648" cm="1">
        <f t="array" ref="J2648">_xlfn.IFS(H2648&lt;30,0,H2648&lt;60,1,H2648&lt;90,2,H2648&lt;120,3)</f>
        <v>0</v>
      </c>
      <c r="M2648" t="str">
        <f t="shared" si="254"/>
        <v>Low</v>
      </c>
      <c r="N2648" t="str">
        <f t="shared" si="251"/>
        <v>Oct</v>
      </c>
      <c r="O2648">
        <f t="shared" si="252"/>
        <v>2025</v>
      </c>
    </row>
    <row r="2649" spans="1:15" x14ac:dyDescent="0.3">
      <c r="A2649">
        <v>202252</v>
      </c>
      <c r="B2649" t="s">
        <v>47</v>
      </c>
      <c r="C2649" s="2">
        <v>45942</v>
      </c>
      <c r="D2649" s="2">
        <f t="shared" si="250"/>
        <v>46002</v>
      </c>
      <c r="E2649" s="1">
        <f>D2649+75</f>
        <v>46077</v>
      </c>
      <c r="F2649">
        <v>3476</v>
      </c>
      <c r="G2649">
        <v>60</v>
      </c>
      <c r="H2649">
        <f t="shared" si="249"/>
        <v>0</v>
      </c>
      <c r="I2649" t="str">
        <f t="shared" si="253"/>
        <v>On Time</v>
      </c>
      <c r="J2649" cm="1">
        <f t="array" ref="J2649">_xlfn.IFS(H2649&lt;30,0,H2649&lt;60,1,H2649&lt;90,2,H2649&lt;120,3)</f>
        <v>0</v>
      </c>
      <c r="M2649" t="str">
        <f t="shared" si="254"/>
        <v>Low</v>
      </c>
      <c r="N2649" t="str">
        <f t="shared" si="251"/>
        <v>Oct</v>
      </c>
      <c r="O2649">
        <f t="shared" si="252"/>
        <v>2025</v>
      </c>
    </row>
    <row r="2650" spans="1:15" x14ac:dyDescent="0.3">
      <c r="A2650">
        <v>202253</v>
      </c>
      <c r="B2650" t="s">
        <v>48</v>
      </c>
      <c r="C2650" s="2">
        <v>45942</v>
      </c>
      <c r="D2650" s="2">
        <f t="shared" si="250"/>
        <v>45987</v>
      </c>
      <c r="E2650" s="1">
        <f>D2650+5</f>
        <v>45992</v>
      </c>
      <c r="F2650">
        <v>4376</v>
      </c>
      <c r="G2650">
        <v>45</v>
      </c>
      <c r="H2650">
        <f t="shared" si="249"/>
        <v>0</v>
      </c>
      <c r="I2650" t="str">
        <f t="shared" si="253"/>
        <v>On Time</v>
      </c>
      <c r="J2650" cm="1">
        <f t="array" ref="J2650">_xlfn.IFS(H2650&lt;30,0,H2650&lt;60,1,H2650&lt;90,2,H2650&lt;120,3)</f>
        <v>0</v>
      </c>
      <c r="M2650" t="str">
        <f t="shared" si="254"/>
        <v>Low</v>
      </c>
      <c r="N2650" t="str">
        <f t="shared" si="251"/>
        <v>Oct</v>
      </c>
      <c r="O2650">
        <f t="shared" si="252"/>
        <v>2025</v>
      </c>
    </row>
    <row r="2651" spans="1:15" x14ac:dyDescent="0.3">
      <c r="A2651">
        <v>202254</v>
      </c>
      <c r="B2651" t="s">
        <v>49</v>
      </c>
      <c r="C2651" s="2">
        <v>45942</v>
      </c>
      <c r="D2651" s="2">
        <f t="shared" si="250"/>
        <v>45972</v>
      </c>
      <c r="E2651" s="1">
        <f>D2651</f>
        <v>45972</v>
      </c>
      <c r="F2651">
        <v>3723</v>
      </c>
      <c r="G2651">
        <v>30</v>
      </c>
      <c r="H2651">
        <f t="shared" si="249"/>
        <v>0</v>
      </c>
      <c r="I2651" t="str">
        <f t="shared" si="253"/>
        <v>On Time</v>
      </c>
      <c r="J2651" cm="1">
        <f t="array" ref="J2651">_xlfn.IFS(H2651&lt;30,0,H2651&lt;60,1,H2651&lt;90,2,H2651&lt;120,3)</f>
        <v>0</v>
      </c>
      <c r="M2651" t="str">
        <f t="shared" si="254"/>
        <v>Low</v>
      </c>
      <c r="N2651" t="str">
        <f t="shared" si="251"/>
        <v>Oct</v>
      </c>
      <c r="O2651">
        <f t="shared" si="252"/>
        <v>2025</v>
      </c>
    </row>
    <row r="2652" spans="1:15" x14ac:dyDescent="0.3">
      <c r="A2652">
        <v>202255</v>
      </c>
      <c r="B2652" t="s">
        <v>50</v>
      </c>
      <c r="C2652" s="2">
        <v>45942</v>
      </c>
      <c r="D2652" s="2">
        <f t="shared" si="250"/>
        <v>45972</v>
      </c>
      <c r="E2652" s="1">
        <f>D2652-1</f>
        <v>45971</v>
      </c>
      <c r="F2652">
        <v>1534</v>
      </c>
      <c r="G2652">
        <v>30</v>
      </c>
      <c r="H2652">
        <f t="shared" si="249"/>
        <v>0</v>
      </c>
      <c r="I2652" t="str">
        <f t="shared" si="253"/>
        <v>On Time</v>
      </c>
      <c r="J2652" cm="1">
        <f t="array" ref="J2652">_xlfn.IFS(H2652&lt;30,0,H2652&lt;60,1,H2652&lt;90,2,H2652&lt;120,3)</f>
        <v>0</v>
      </c>
      <c r="M2652" t="str">
        <f t="shared" si="254"/>
        <v>Low</v>
      </c>
      <c r="N2652" t="str">
        <f t="shared" si="251"/>
        <v>Oct</v>
      </c>
      <c r="O2652">
        <f t="shared" si="252"/>
        <v>2025</v>
      </c>
    </row>
    <row r="2653" spans="1:15" x14ac:dyDescent="0.3">
      <c r="A2653">
        <v>202256</v>
      </c>
      <c r="B2653" t="s">
        <v>51</v>
      </c>
      <c r="C2653" s="2">
        <v>45942</v>
      </c>
      <c r="D2653" s="2">
        <f t="shared" si="250"/>
        <v>45972</v>
      </c>
      <c r="E2653" s="1">
        <f>D2653</f>
        <v>45972</v>
      </c>
      <c r="F2653">
        <v>10682</v>
      </c>
      <c r="G2653">
        <v>30</v>
      </c>
      <c r="H2653">
        <f t="shared" si="249"/>
        <v>0</v>
      </c>
      <c r="I2653" t="str">
        <f t="shared" si="253"/>
        <v>On Time</v>
      </c>
      <c r="J2653" cm="1">
        <f t="array" ref="J2653">_xlfn.IFS(H2653&lt;30,0,H2653&lt;60,1,H2653&lt;90,2,H2653&lt;120,3)</f>
        <v>0</v>
      </c>
      <c r="M2653" t="str">
        <f t="shared" si="254"/>
        <v>Low</v>
      </c>
      <c r="N2653" t="str">
        <f t="shared" si="251"/>
        <v>Oct</v>
      </c>
      <c r="O2653">
        <f t="shared" si="252"/>
        <v>2025</v>
      </c>
    </row>
    <row r="2654" spans="1:15" x14ac:dyDescent="0.3">
      <c r="A2654">
        <v>202257</v>
      </c>
      <c r="B2654" t="s">
        <v>52</v>
      </c>
      <c r="C2654" s="2">
        <v>45942</v>
      </c>
      <c r="D2654" s="2">
        <f t="shared" si="250"/>
        <v>45972</v>
      </c>
      <c r="E2654" s="1">
        <f>D2654+32</f>
        <v>46004</v>
      </c>
      <c r="F2654">
        <v>2455</v>
      </c>
      <c r="G2654">
        <v>30</v>
      </c>
      <c r="H2654">
        <f t="shared" si="249"/>
        <v>0</v>
      </c>
      <c r="I2654" t="str">
        <f t="shared" si="253"/>
        <v>On Time</v>
      </c>
      <c r="J2654" cm="1">
        <f t="array" ref="J2654">_xlfn.IFS(H2654&lt;30,0,H2654&lt;60,1,H2654&lt;90,2,H2654&lt;120,3)</f>
        <v>0</v>
      </c>
      <c r="M2654" t="str">
        <f t="shared" si="254"/>
        <v>Low</v>
      </c>
      <c r="N2654" t="str">
        <f t="shared" si="251"/>
        <v>Oct</v>
      </c>
      <c r="O2654">
        <f t="shared" si="252"/>
        <v>2025</v>
      </c>
    </row>
    <row r="2655" spans="1:15" x14ac:dyDescent="0.3">
      <c r="A2655">
        <v>202258</v>
      </c>
      <c r="B2655" t="s">
        <v>53</v>
      </c>
      <c r="C2655" s="2">
        <v>45942</v>
      </c>
      <c r="D2655" s="2">
        <f t="shared" si="250"/>
        <v>45972</v>
      </c>
      <c r="E2655" s="1">
        <f>D2655+15</f>
        <v>45987</v>
      </c>
      <c r="F2655">
        <v>4785</v>
      </c>
      <c r="G2655">
        <v>30</v>
      </c>
      <c r="H2655">
        <f t="shared" si="249"/>
        <v>0</v>
      </c>
      <c r="I2655" t="str">
        <f t="shared" si="253"/>
        <v>On Time</v>
      </c>
      <c r="J2655" cm="1">
        <f t="array" ref="J2655">_xlfn.IFS(H2655&lt;30,0,H2655&lt;60,1,H2655&lt;90,2,H2655&lt;120,3)</f>
        <v>0</v>
      </c>
      <c r="M2655" t="str">
        <f t="shared" si="254"/>
        <v>Low</v>
      </c>
      <c r="N2655" t="str">
        <f t="shared" si="251"/>
        <v>Oct</v>
      </c>
      <c r="O2655">
        <f t="shared" si="252"/>
        <v>2025</v>
      </c>
    </row>
    <row r="2656" spans="1:15" x14ac:dyDescent="0.3">
      <c r="A2656">
        <v>202259</v>
      </c>
      <c r="B2656" t="s">
        <v>54</v>
      </c>
      <c r="C2656" s="2">
        <v>45942</v>
      </c>
      <c r="D2656" s="2">
        <f t="shared" si="250"/>
        <v>45972</v>
      </c>
      <c r="E2656" s="1">
        <f>D2656-2</f>
        <v>45970</v>
      </c>
      <c r="F2656">
        <v>144</v>
      </c>
      <c r="G2656">
        <v>30</v>
      </c>
      <c r="H2656">
        <f t="shared" si="249"/>
        <v>0</v>
      </c>
      <c r="I2656" t="str">
        <f t="shared" si="253"/>
        <v>On Time</v>
      </c>
      <c r="J2656" cm="1">
        <f t="array" ref="J2656">_xlfn.IFS(H2656&lt;30,0,H2656&lt;60,1,H2656&lt;90,2,H2656&lt;120,3)</f>
        <v>0</v>
      </c>
      <c r="M2656" t="str">
        <f t="shared" si="254"/>
        <v>Low</v>
      </c>
      <c r="N2656" t="str">
        <f t="shared" si="251"/>
        <v>Oct</v>
      </c>
      <c r="O2656">
        <f t="shared" si="252"/>
        <v>2025</v>
      </c>
    </row>
    <row r="2657" spans="1:15" x14ac:dyDescent="0.3">
      <c r="A2657">
        <v>202260</v>
      </c>
      <c r="B2657" t="s">
        <v>36</v>
      </c>
      <c r="C2657" s="2">
        <v>45942</v>
      </c>
      <c r="D2657" s="2">
        <f t="shared" si="250"/>
        <v>45972</v>
      </c>
      <c r="E2657" s="1">
        <f>D2657-2</f>
        <v>45970</v>
      </c>
      <c r="F2657">
        <v>1915</v>
      </c>
      <c r="G2657">
        <v>30</v>
      </c>
      <c r="H2657">
        <f t="shared" si="249"/>
        <v>0</v>
      </c>
      <c r="I2657" t="str">
        <f t="shared" si="253"/>
        <v>On Time</v>
      </c>
      <c r="J2657" cm="1">
        <f t="array" ref="J2657">_xlfn.IFS(H2657&lt;30,0,H2657&lt;60,1,H2657&lt;90,2,H2657&lt;120,3)</f>
        <v>0</v>
      </c>
      <c r="M2657" t="str">
        <f t="shared" si="254"/>
        <v>Low</v>
      </c>
      <c r="N2657" t="str">
        <f t="shared" si="251"/>
        <v>Oct</v>
      </c>
      <c r="O2657">
        <f t="shared" si="252"/>
        <v>2025</v>
      </c>
    </row>
    <row r="2658" spans="1:15" x14ac:dyDescent="0.3">
      <c r="A2658">
        <v>202261</v>
      </c>
      <c r="B2658" t="s">
        <v>37</v>
      </c>
      <c r="C2658" s="2">
        <v>45942</v>
      </c>
      <c r="D2658" s="2">
        <f t="shared" si="250"/>
        <v>45972</v>
      </c>
      <c r="E2658" s="1">
        <f>D2658</f>
        <v>45972</v>
      </c>
      <c r="F2658">
        <v>6904</v>
      </c>
      <c r="G2658">
        <v>30</v>
      </c>
      <c r="H2658">
        <f t="shared" si="249"/>
        <v>0</v>
      </c>
      <c r="I2658" t="str">
        <f t="shared" si="253"/>
        <v>On Time</v>
      </c>
      <c r="J2658" cm="1">
        <f t="array" ref="J2658">_xlfn.IFS(H2658&lt;30,0,H2658&lt;60,1,H2658&lt;90,2,H2658&lt;120,3)</f>
        <v>0</v>
      </c>
      <c r="M2658" t="str">
        <f t="shared" si="254"/>
        <v>Low</v>
      </c>
      <c r="N2658" t="str">
        <f t="shared" si="251"/>
        <v>Oct</v>
      </c>
      <c r="O2658">
        <f t="shared" si="252"/>
        <v>2025</v>
      </c>
    </row>
    <row r="2659" spans="1:15" x14ac:dyDescent="0.3">
      <c r="A2659">
        <v>202262</v>
      </c>
      <c r="B2659" t="s">
        <v>38</v>
      </c>
      <c r="C2659" s="2">
        <v>45942</v>
      </c>
      <c r="D2659" s="2">
        <f t="shared" si="250"/>
        <v>45972</v>
      </c>
      <c r="E2659" s="1">
        <f>D2659+2</f>
        <v>45974</v>
      </c>
      <c r="F2659">
        <v>3011</v>
      </c>
      <c r="G2659">
        <v>30</v>
      </c>
      <c r="H2659">
        <f t="shared" si="249"/>
        <v>0</v>
      </c>
      <c r="I2659" t="str">
        <f t="shared" si="253"/>
        <v>On Time</v>
      </c>
      <c r="J2659" cm="1">
        <f t="array" ref="J2659">_xlfn.IFS(H2659&lt;30,0,H2659&lt;60,1,H2659&lt;90,2,H2659&lt;120,3)</f>
        <v>0</v>
      </c>
      <c r="M2659" t="str">
        <f t="shared" si="254"/>
        <v>Low</v>
      </c>
      <c r="N2659" t="str">
        <f t="shared" si="251"/>
        <v>Oct</v>
      </c>
      <c r="O2659">
        <f t="shared" si="252"/>
        <v>2025</v>
      </c>
    </row>
    <row r="2660" spans="1:15" x14ac:dyDescent="0.3">
      <c r="A2660">
        <v>202263</v>
      </c>
      <c r="B2660" t="s">
        <v>39</v>
      </c>
      <c r="C2660" s="2">
        <v>45942</v>
      </c>
      <c r="D2660" s="2">
        <f t="shared" si="250"/>
        <v>45972</v>
      </c>
      <c r="E2660" s="1">
        <f>D2660+2</f>
        <v>45974</v>
      </c>
      <c r="F2660">
        <v>3822</v>
      </c>
      <c r="G2660">
        <v>30</v>
      </c>
      <c r="H2660">
        <f t="shared" si="249"/>
        <v>0</v>
      </c>
      <c r="I2660" t="str">
        <f t="shared" si="253"/>
        <v>On Time</v>
      </c>
      <c r="J2660" cm="1">
        <f t="array" ref="J2660">_xlfn.IFS(H2660&lt;30,0,H2660&lt;60,1,H2660&lt;90,2,H2660&lt;120,3)</f>
        <v>0</v>
      </c>
      <c r="M2660" t="str">
        <f t="shared" si="254"/>
        <v>Low</v>
      </c>
      <c r="N2660" t="str">
        <f t="shared" si="251"/>
        <v>Oct</v>
      </c>
      <c r="O2660">
        <f t="shared" si="252"/>
        <v>2025</v>
      </c>
    </row>
    <row r="2661" spans="1:15" x14ac:dyDescent="0.3">
      <c r="A2661">
        <v>202264</v>
      </c>
      <c r="B2661" t="s">
        <v>40</v>
      </c>
      <c r="C2661" s="2">
        <v>45942</v>
      </c>
      <c r="D2661" s="2">
        <f t="shared" si="250"/>
        <v>45972</v>
      </c>
      <c r="E2661" s="1">
        <f>D2661+2</f>
        <v>45974</v>
      </c>
      <c r="F2661">
        <v>3824</v>
      </c>
      <c r="G2661">
        <v>30</v>
      </c>
      <c r="H2661">
        <f t="shared" si="249"/>
        <v>0</v>
      </c>
      <c r="I2661" t="str">
        <f t="shared" si="253"/>
        <v>On Time</v>
      </c>
      <c r="J2661" cm="1">
        <f t="array" ref="J2661">_xlfn.IFS(H2661&lt;30,0,H2661&lt;60,1,H2661&lt;90,2,H2661&lt;120,3)</f>
        <v>0</v>
      </c>
      <c r="M2661" t="str">
        <f t="shared" si="254"/>
        <v>Low</v>
      </c>
      <c r="N2661" t="str">
        <f t="shared" si="251"/>
        <v>Oct</v>
      </c>
      <c r="O2661">
        <f t="shared" si="252"/>
        <v>2025</v>
      </c>
    </row>
    <row r="2662" spans="1:15" x14ac:dyDescent="0.3">
      <c r="A2662">
        <v>202265</v>
      </c>
      <c r="B2662" t="s">
        <v>41</v>
      </c>
      <c r="C2662" s="2">
        <v>45942</v>
      </c>
      <c r="D2662" s="2">
        <f t="shared" si="250"/>
        <v>45972</v>
      </c>
      <c r="E2662" s="1">
        <f>D2662</f>
        <v>45972</v>
      </c>
      <c r="F2662">
        <v>1536</v>
      </c>
      <c r="G2662">
        <v>30</v>
      </c>
      <c r="H2662">
        <f t="shared" ref="H2662:H2725" si="255">MAX(0,P2627-D2662)</f>
        <v>0</v>
      </c>
      <c r="I2662" t="str">
        <f t="shared" si="253"/>
        <v>On Time</v>
      </c>
      <c r="J2662" cm="1">
        <f t="array" ref="J2662">_xlfn.IFS(H2662&lt;30,0,H2662&lt;60,1,H2662&lt;90,2,H2662&lt;120,3)</f>
        <v>0</v>
      </c>
      <c r="M2662" t="str">
        <f t="shared" si="254"/>
        <v>Low</v>
      </c>
      <c r="N2662" t="str">
        <f t="shared" si="251"/>
        <v>Oct</v>
      </c>
      <c r="O2662">
        <f t="shared" si="252"/>
        <v>2025</v>
      </c>
    </row>
    <row r="2663" spans="1:15" x14ac:dyDescent="0.3">
      <c r="A2663">
        <v>202266</v>
      </c>
      <c r="B2663" t="s">
        <v>42</v>
      </c>
      <c r="C2663" s="2">
        <v>45942</v>
      </c>
      <c r="D2663" s="2">
        <f t="shared" si="250"/>
        <v>45972</v>
      </c>
      <c r="E2663" s="1">
        <f>D2663+20</f>
        <v>45992</v>
      </c>
      <c r="F2663">
        <v>3686</v>
      </c>
      <c r="G2663">
        <v>30</v>
      </c>
      <c r="H2663">
        <f t="shared" si="255"/>
        <v>0</v>
      </c>
      <c r="I2663" t="str">
        <f t="shared" si="253"/>
        <v>On Time</v>
      </c>
      <c r="J2663" cm="1">
        <f t="array" ref="J2663">_xlfn.IFS(H2663&lt;30,0,H2663&lt;60,1,H2663&lt;90,2,H2663&lt;120,3)</f>
        <v>0</v>
      </c>
      <c r="M2663" t="str">
        <f t="shared" si="254"/>
        <v>Low</v>
      </c>
      <c r="N2663" t="str">
        <f t="shared" si="251"/>
        <v>Oct</v>
      </c>
      <c r="O2663">
        <f t="shared" si="252"/>
        <v>2025</v>
      </c>
    </row>
    <row r="2664" spans="1:15" x14ac:dyDescent="0.3">
      <c r="A2664">
        <v>202267</v>
      </c>
      <c r="B2664" t="s">
        <v>43</v>
      </c>
      <c r="C2664" s="2">
        <v>45942</v>
      </c>
      <c r="D2664" s="2">
        <f t="shared" si="250"/>
        <v>45972</v>
      </c>
      <c r="E2664" s="1">
        <f>D2664</f>
        <v>45972</v>
      </c>
      <c r="F2664">
        <v>757</v>
      </c>
      <c r="G2664">
        <v>30</v>
      </c>
      <c r="H2664">
        <f t="shared" si="255"/>
        <v>0</v>
      </c>
      <c r="I2664" t="str">
        <f t="shared" si="253"/>
        <v>On Time</v>
      </c>
      <c r="J2664" cm="1">
        <f t="array" ref="J2664">_xlfn.IFS(H2664&lt;30,0,H2664&lt;60,1,H2664&lt;90,2,H2664&lt;120,3)</f>
        <v>0</v>
      </c>
      <c r="M2664" t="str">
        <f t="shared" si="254"/>
        <v>Low</v>
      </c>
      <c r="N2664" t="str">
        <f t="shared" si="251"/>
        <v>Oct</v>
      </c>
      <c r="O2664">
        <f t="shared" si="252"/>
        <v>2025</v>
      </c>
    </row>
    <row r="2665" spans="1:15" x14ac:dyDescent="0.3">
      <c r="A2665">
        <v>202268</v>
      </c>
      <c r="B2665" t="s">
        <v>44</v>
      </c>
      <c r="C2665" s="2">
        <v>45942</v>
      </c>
      <c r="D2665" s="2">
        <f t="shared" si="250"/>
        <v>45987</v>
      </c>
      <c r="E2665" s="1">
        <f>D2665+1</f>
        <v>45988</v>
      </c>
      <c r="F2665">
        <v>2366</v>
      </c>
      <c r="G2665">
        <v>45</v>
      </c>
      <c r="H2665">
        <f t="shared" si="255"/>
        <v>0</v>
      </c>
      <c r="I2665" t="str">
        <f t="shared" si="253"/>
        <v>On Time</v>
      </c>
      <c r="J2665" cm="1">
        <f t="array" ref="J2665">_xlfn.IFS(H2665&lt;30,0,H2665&lt;60,1,H2665&lt;90,2,H2665&lt;120,3)</f>
        <v>0</v>
      </c>
      <c r="M2665" t="str">
        <f t="shared" si="254"/>
        <v>Low</v>
      </c>
      <c r="N2665" t="str">
        <f t="shared" si="251"/>
        <v>Oct</v>
      </c>
      <c r="O2665">
        <f t="shared" si="252"/>
        <v>2025</v>
      </c>
    </row>
    <row r="2666" spans="1:15" x14ac:dyDescent="0.3">
      <c r="A2666">
        <v>202235</v>
      </c>
      <c r="B2666" t="s">
        <v>91</v>
      </c>
      <c r="C2666" s="2">
        <v>45941</v>
      </c>
      <c r="D2666" s="2">
        <f t="shared" si="250"/>
        <v>45971</v>
      </c>
      <c r="E2666" s="1">
        <f>D2666+1</f>
        <v>45972</v>
      </c>
      <c r="F2666">
        <v>1475</v>
      </c>
      <c r="G2666">
        <v>30</v>
      </c>
      <c r="H2666">
        <f t="shared" si="255"/>
        <v>0</v>
      </c>
      <c r="I2666" t="str">
        <f t="shared" si="253"/>
        <v>On Time</v>
      </c>
      <c r="J2666" cm="1">
        <f t="array" ref="J2666">_xlfn.IFS(H2666&lt;30,0,H2666&lt;60,1,H2666&lt;90,2,H2666&lt;120,3)</f>
        <v>0</v>
      </c>
      <c r="M2666" t="str">
        <f t="shared" si="254"/>
        <v>Low</v>
      </c>
      <c r="N2666" t="str">
        <f t="shared" si="251"/>
        <v>Oct</v>
      </c>
      <c r="O2666">
        <f t="shared" si="252"/>
        <v>2025</v>
      </c>
    </row>
    <row r="2667" spans="1:15" x14ac:dyDescent="0.3">
      <c r="A2667">
        <v>202236</v>
      </c>
      <c r="B2667" t="s">
        <v>92</v>
      </c>
      <c r="C2667" s="2">
        <v>45941</v>
      </c>
      <c r="D2667" s="2">
        <f t="shared" si="250"/>
        <v>45971</v>
      </c>
      <c r="E2667" s="1">
        <f>D2667</f>
        <v>45971</v>
      </c>
      <c r="F2667">
        <v>3423</v>
      </c>
      <c r="G2667">
        <v>30</v>
      </c>
      <c r="H2667">
        <f t="shared" si="255"/>
        <v>0</v>
      </c>
      <c r="I2667" t="str">
        <f t="shared" si="253"/>
        <v>On Time</v>
      </c>
      <c r="J2667" cm="1">
        <f t="array" ref="J2667">_xlfn.IFS(H2667&lt;30,0,H2667&lt;60,1,H2667&lt;90,2,H2667&lt;120,3)</f>
        <v>0</v>
      </c>
      <c r="M2667" t="str">
        <f t="shared" si="254"/>
        <v>Low</v>
      </c>
      <c r="N2667" t="str">
        <f t="shared" si="251"/>
        <v>Oct</v>
      </c>
      <c r="O2667">
        <f t="shared" si="252"/>
        <v>2025</v>
      </c>
    </row>
    <row r="2668" spans="1:15" x14ac:dyDescent="0.3">
      <c r="A2668">
        <v>202237</v>
      </c>
      <c r="B2668" t="s">
        <v>93</v>
      </c>
      <c r="C2668" s="2">
        <v>45941</v>
      </c>
      <c r="D2668" s="2">
        <f t="shared" si="250"/>
        <v>45971</v>
      </c>
      <c r="E2668" s="1">
        <f>D2668</f>
        <v>45971</v>
      </c>
      <c r="F2668">
        <v>419</v>
      </c>
      <c r="G2668">
        <v>30</v>
      </c>
      <c r="H2668">
        <f t="shared" si="255"/>
        <v>0</v>
      </c>
      <c r="I2668" t="str">
        <f t="shared" si="253"/>
        <v>On Time</v>
      </c>
      <c r="J2668" cm="1">
        <f t="array" ref="J2668">_xlfn.IFS(H2668&lt;30,0,H2668&lt;60,1,H2668&lt;90,2,H2668&lt;120,3)</f>
        <v>0</v>
      </c>
      <c r="M2668" t="str">
        <f t="shared" si="254"/>
        <v>Low</v>
      </c>
      <c r="N2668" t="str">
        <f t="shared" si="251"/>
        <v>Oct</v>
      </c>
      <c r="O2668">
        <f t="shared" si="252"/>
        <v>2025</v>
      </c>
    </row>
    <row r="2669" spans="1:15" x14ac:dyDescent="0.3">
      <c r="A2669">
        <v>202238</v>
      </c>
      <c r="B2669" t="s">
        <v>94</v>
      </c>
      <c r="C2669" s="2">
        <v>45941</v>
      </c>
      <c r="D2669" s="2">
        <f t="shared" si="250"/>
        <v>45971</v>
      </c>
      <c r="E2669" s="1">
        <f>D2669+5</f>
        <v>45976</v>
      </c>
      <c r="F2669">
        <v>4460</v>
      </c>
      <c r="G2669">
        <v>30</v>
      </c>
      <c r="H2669">
        <f t="shared" si="255"/>
        <v>0</v>
      </c>
      <c r="I2669" t="str">
        <f t="shared" si="253"/>
        <v>On Time</v>
      </c>
      <c r="J2669" cm="1">
        <f t="array" ref="J2669">_xlfn.IFS(H2669&lt;30,0,H2669&lt;60,1,H2669&lt;90,2,H2669&lt;120,3)</f>
        <v>0</v>
      </c>
      <c r="M2669" t="str">
        <f t="shared" si="254"/>
        <v>Low</v>
      </c>
      <c r="N2669" t="str">
        <f t="shared" si="251"/>
        <v>Oct</v>
      </c>
      <c r="O2669">
        <f t="shared" si="252"/>
        <v>2025</v>
      </c>
    </row>
    <row r="2670" spans="1:15" x14ac:dyDescent="0.3">
      <c r="A2670">
        <v>202239</v>
      </c>
      <c r="B2670" t="s">
        <v>95</v>
      </c>
      <c r="C2670" s="2">
        <v>45941</v>
      </c>
      <c r="D2670" s="2">
        <f t="shared" si="250"/>
        <v>45986</v>
      </c>
      <c r="E2670" s="1">
        <f>D2670+2</f>
        <v>45988</v>
      </c>
      <c r="F2670">
        <v>3537</v>
      </c>
      <c r="G2670">
        <v>45</v>
      </c>
      <c r="H2670">
        <f t="shared" si="255"/>
        <v>0</v>
      </c>
      <c r="I2670" t="str">
        <f t="shared" si="253"/>
        <v>On Time</v>
      </c>
      <c r="J2670" cm="1">
        <f t="array" ref="J2670">_xlfn.IFS(H2670&lt;30,0,H2670&lt;60,1,H2670&lt;90,2,H2670&lt;120,3)</f>
        <v>0</v>
      </c>
      <c r="M2670" t="str">
        <f t="shared" si="254"/>
        <v>Low</v>
      </c>
      <c r="N2670" t="str">
        <f t="shared" si="251"/>
        <v>Oct</v>
      </c>
      <c r="O2670">
        <f t="shared" si="252"/>
        <v>2025</v>
      </c>
    </row>
    <row r="2671" spans="1:15" x14ac:dyDescent="0.3">
      <c r="A2671">
        <v>202240</v>
      </c>
      <c r="B2671" t="s">
        <v>68</v>
      </c>
      <c r="C2671" s="2">
        <v>45941</v>
      </c>
      <c r="D2671" s="2">
        <f t="shared" si="250"/>
        <v>45971</v>
      </c>
      <c r="E2671" s="1">
        <f>D2671</f>
        <v>45971</v>
      </c>
      <c r="F2671">
        <v>4158</v>
      </c>
      <c r="G2671">
        <v>30</v>
      </c>
      <c r="H2671">
        <f t="shared" si="255"/>
        <v>0</v>
      </c>
      <c r="I2671" t="str">
        <f t="shared" si="253"/>
        <v>On Time</v>
      </c>
      <c r="J2671" cm="1">
        <f t="array" ref="J2671">_xlfn.IFS(H2671&lt;30,0,H2671&lt;60,1,H2671&lt;90,2,H2671&lt;120,3)</f>
        <v>0</v>
      </c>
      <c r="M2671" t="str">
        <f t="shared" si="254"/>
        <v>Low</v>
      </c>
      <c r="N2671" t="str">
        <f t="shared" si="251"/>
        <v>Oct</v>
      </c>
      <c r="O2671">
        <f t="shared" si="252"/>
        <v>2025</v>
      </c>
    </row>
    <row r="2672" spans="1:15" x14ac:dyDescent="0.3">
      <c r="A2672">
        <v>202241</v>
      </c>
      <c r="B2672" t="s">
        <v>69</v>
      </c>
      <c r="C2672" s="2">
        <v>45941</v>
      </c>
      <c r="D2672" s="2">
        <f t="shared" si="250"/>
        <v>45971</v>
      </c>
      <c r="E2672" s="1">
        <f>D2672</f>
        <v>45971</v>
      </c>
      <c r="F2672">
        <v>391</v>
      </c>
      <c r="G2672">
        <v>30</v>
      </c>
      <c r="H2672">
        <f t="shared" si="255"/>
        <v>0</v>
      </c>
      <c r="I2672" t="str">
        <f t="shared" si="253"/>
        <v>On Time</v>
      </c>
      <c r="J2672" cm="1">
        <f t="array" ref="J2672">_xlfn.IFS(H2672&lt;30,0,H2672&lt;60,1,H2672&lt;90,2,H2672&lt;120,3)</f>
        <v>0</v>
      </c>
      <c r="M2672" t="str">
        <f t="shared" si="254"/>
        <v>Low</v>
      </c>
      <c r="N2672" t="str">
        <f t="shared" si="251"/>
        <v>Oct</v>
      </c>
      <c r="O2672">
        <f t="shared" si="252"/>
        <v>2025</v>
      </c>
    </row>
    <row r="2673" spans="1:15" x14ac:dyDescent="0.3">
      <c r="A2673">
        <v>202242</v>
      </c>
      <c r="B2673" t="s">
        <v>70</v>
      </c>
      <c r="C2673" s="2">
        <v>45941</v>
      </c>
      <c r="D2673" s="2">
        <f t="shared" si="250"/>
        <v>45971</v>
      </c>
      <c r="E2673" s="1">
        <f>D2673</f>
        <v>45971</v>
      </c>
      <c r="F2673">
        <v>11847</v>
      </c>
      <c r="G2673">
        <v>30</v>
      </c>
      <c r="H2673">
        <f t="shared" si="255"/>
        <v>0</v>
      </c>
      <c r="I2673" t="str">
        <f t="shared" si="253"/>
        <v>On Time</v>
      </c>
      <c r="J2673" cm="1">
        <f t="array" ref="J2673">_xlfn.IFS(H2673&lt;30,0,H2673&lt;60,1,H2673&lt;90,2,H2673&lt;120,3)</f>
        <v>0</v>
      </c>
      <c r="M2673" t="str">
        <f t="shared" si="254"/>
        <v>Low</v>
      </c>
      <c r="N2673" t="str">
        <f t="shared" si="251"/>
        <v>Oct</v>
      </c>
      <c r="O2673">
        <f t="shared" si="252"/>
        <v>2025</v>
      </c>
    </row>
    <row r="2674" spans="1:15" x14ac:dyDescent="0.3">
      <c r="A2674">
        <v>202243</v>
      </c>
      <c r="B2674" t="s">
        <v>71</v>
      </c>
      <c r="C2674" s="2">
        <v>45941</v>
      </c>
      <c r="D2674" s="2">
        <f t="shared" si="250"/>
        <v>45971</v>
      </c>
      <c r="E2674" s="1">
        <f>D2674+60</f>
        <v>46031</v>
      </c>
      <c r="F2674">
        <v>147</v>
      </c>
      <c r="G2674">
        <v>30</v>
      </c>
      <c r="H2674">
        <f t="shared" si="255"/>
        <v>0</v>
      </c>
      <c r="I2674" t="str">
        <f t="shared" si="253"/>
        <v>On Time</v>
      </c>
      <c r="J2674" cm="1">
        <f t="array" ref="J2674">_xlfn.IFS(H2674&lt;30,0,H2674&lt;60,1,H2674&lt;90,2,H2674&lt;120,3)</f>
        <v>0</v>
      </c>
      <c r="M2674" t="str">
        <f t="shared" si="254"/>
        <v>Low</v>
      </c>
      <c r="N2674" t="str">
        <f t="shared" si="251"/>
        <v>Oct</v>
      </c>
      <c r="O2674">
        <f t="shared" si="252"/>
        <v>2025</v>
      </c>
    </row>
    <row r="2675" spans="1:15" x14ac:dyDescent="0.3">
      <c r="A2675">
        <v>202244</v>
      </c>
      <c r="B2675" t="s">
        <v>72</v>
      </c>
      <c r="C2675" s="2">
        <v>45941</v>
      </c>
      <c r="D2675" s="2">
        <f t="shared" si="250"/>
        <v>45971</v>
      </c>
      <c r="E2675" s="1">
        <f>D2675</f>
        <v>45971</v>
      </c>
      <c r="F2675">
        <v>6039</v>
      </c>
      <c r="G2675">
        <v>30</v>
      </c>
      <c r="H2675">
        <f t="shared" si="255"/>
        <v>0</v>
      </c>
      <c r="I2675" t="str">
        <f t="shared" si="253"/>
        <v>On Time</v>
      </c>
      <c r="J2675" cm="1">
        <f t="array" ref="J2675">_xlfn.IFS(H2675&lt;30,0,H2675&lt;60,1,H2675&lt;90,2,H2675&lt;120,3)</f>
        <v>0</v>
      </c>
      <c r="M2675" t="str">
        <f t="shared" si="254"/>
        <v>Low</v>
      </c>
      <c r="N2675" t="str">
        <f t="shared" si="251"/>
        <v>Oct</v>
      </c>
      <c r="O2675">
        <f t="shared" si="252"/>
        <v>2025</v>
      </c>
    </row>
    <row r="2676" spans="1:15" x14ac:dyDescent="0.3">
      <c r="A2676">
        <v>202245</v>
      </c>
      <c r="B2676" t="s">
        <v>73</v>
      </c>
      <c r="C2676" s="2">
        <v>45941</v>
      </c>
      <c r="D2676" s="2">
        <f t="shared" si="250"/>
        <v>45986</v>
      </c>
      <c r="E2676" s="1">
        <f>D2676</f>
        <v>45986</v>
      </c>
      <c r="F2676">
        <v>3688</v>
      </c>
      <c r="G2676">
        <v>45</v>
      </c>
      <c r="H2676">
        <f t="shared" si="255"/>
        <v>0</v>
      </c>
      <c r="I2676" t="str">
        <f t="shared" si="253"/>
        <v>On Time</v>
      </c>
      <c r="J2676" cm="1">
        <f t="array" ref="J2676">_xlfn.IFS(H2676&lt;30,0,H2676&lt;60,1,H2676&lt;90,2,H2676&lt;120,3)</f>
        <v>0</v>
      </c>
      <c r="M2676" t="str">
        <f t="shared" si="254"/>
        <v>Low</v>
      </c>
      <c r="N2676" t="str">
        <f t="shared" si="251"/>
        <v>Oct</v>
      </c>
      <c r="O2676">
        <f t="shared" si="252"/>
        <v>2025</v>
      </c>
    </row>
    <row r="2677" spans="1:15" x14ac:dyDescent="0.3">
      <c r="A2677">
        <v>202246</v>
      </c>
      <c r="B2677" t="s">
        <v>74</v>
      </c>
      <c r="C2677" s="2">
        <v>45941</v>
      </c>
      <c r="D2677" s="2">
        <f t="shared" si="250"/>
        <v>45986</v>
      </c>
      <c r="E2677" s="1">
        <f>D2677+3</f>
        <v>45989</v>
      </c>
      <c r="F2677">
        <v>2443</v>
      </c>
      <c r="G2677">
        <v>45</v>
      </c>
      <c r="H2677">
        <f t="shared" si="255"/>
        <v>0</v>
      </c>
      <c r="I2677" t="str">
        <f t="shared" si="253"/>
        <v>On Time</v>
      </c>
      <c r="J2677" cm="1">
        <f t="array" ref="J2677">_xlfn.IFS(H2677&lt;30,0,H2677&lt;60,1,H2677&lt;90,2,H2677&lt;120,3)</f>
        <v>0</v>
      </c>
      <c r="M2677" t="str">
        <f t="shared" si="254"/>
        <v>Low</v>
      </c>
      <c r="N2677" t="str">
        <f t="shared" si="251"/>
        <v>Oct</v>
      </c>
      <c r="O2677">
        <f t="shared" si="252"/>
        <v>2025</v>
      </c>
    </row>
    <row r="2678" spans="1:15" x14ac:dyDescent="0.3">
      <c r="A2678">
        <v>202247</v>
      </c>
      <c r="B2678" t="s">
        <v>75</v>
      </c>
      <c r="C2678" s="2">
        <v>45941</v>
      </c>
      <c r="D2678" s="2">
        <f t="shared" si="250"/>
        <v>46001</v>
      </c>
      <c r="E2678" s="1">
        <f>D2678+1</f>
        <v>46002</v>
      </c>
      <c r="F2678">
        <v>4318</v>
      </c>
      <c r="G2678">
        <v>60</v>
      </c>
      <c r="H2678">
        <f t="shared" si="255"/>
        <v>0</v>
      </c>
      <c r="I2678" t="str">
        <f t="shared" si="253"/>
        <v>On Time</v>
      </c>
      <c r="J2678" cm="1">
        <f t="array" ref="J2678">_xlfn.IFS(H2678&lt;30,0,H2678&lt;60,1,H2678&lt;90,2,H2678&lt;120,3)</f>
        <v>0</v>
      </c>
      <c r="M2678" t="str">
        <f t="shared" si="254"/>
        <v>Low</v>
      </c>
      <c r="N2678" t="str">
        <f t="shared" si="251"/>
        <v>Oct</v>
      </c>
      <c r="O2678">
        <f t="shared" si="252"/>
        <v>2025</v>
      </c>
    </row>
    <row r="2679" spans="1:15" x14ac:dyDescent="0.3">
      <c r="A2679">
        <v>202248</v>
      </c>
      <c r="B2679" t="s">
        <v>76</v>
      </c>
      <c r="C2679" s="2">
        <v>45941</v>
      </c>
      <c r="D2679" s="2">
        <f t="shared" si="250"/>
        <v>45971</v>
      </c>
      <c r="E2679" s="1">
        <f>D2679-1</f>
        <v>45970</v>
      </c>
      <c r="F2679">
        <v>3643</v>
      </c>
      <c r="G2679">
        <v>30</v>
      </c>
      <c r="H2679">
        <f t="shared" si="255"/>
        <v>0</v>
      </c>
      <c r="I2679" t="str">
        <f t="shared" si="253"/>
        <v>On Time</v>
      </c>
      <c r="J2679" cm="1">
        <f t="array" ref="J2679">_xlfn.IFS(H2679&lt;30,0,H2679&lt;60,1,H2679&lt;90,2,H2679&lt;120,3)</f>
        <v>0</v>
      </c>
      <c r="M2679" t="str">
        <f t="shared" si="254"/>
        <v>Low</v>
      </c>
      <c r="N2679" t="str">
        <f t="shared" si="251"/>
        <v>Oct</v>
      </c>
      <c r="O2679">
        <f t="shared" si="252"/>
        <v>2025</v>
      </c>
    </row>
    <row r="2680" spans="1:15" x14ac:dyDescent="0.3">
      <c r="A2680">
        <v>202249</v>
      </c>
      <c r="B2680" t="s">
        <v>44</v>
      </c>
      <c r="C2680" s="2">
        <v>45941</v>
      </c>
      <c r="D2680" s="2">
        <f t="shared" si="250"/>
        <v>45986</v>
      </c>
      <c r="E2680" s="1">
        <f>D2680</f>
        <v>45986</v>
      </c>
      <c r="F2680">
        <v>4497</v>
      </c>
      <c r="G2680">
        <v>45</v>
      </c>
      <c r="H2680">
        <f t="shared" si="255"/>
        <v>0</v>
      </c>
      <c r="I2680" t="str">
        <f t="shared" si="253"/>
        <v>On Time</v>
      </c>
      <c r="J2680" cm="1">
        <f t="array" ref="J2680">_xlfn.IFS(H2680&lt;30,0,H2680&lt;60,1,H2680&lt;90,2,H2680&lt;120,3)</f>
        <v>0</v>
      </c>
      <c r="M2680" t="str">
        <f t="shared" si="254"/>
        <v>Low</v>
      </c>
      <c r="N2680" t="str">
        <f t="shared" si="251"/>
        <v>Oct</v>
      </c>
      <c r="O2680">
        <f t="shared" si="252"/>
        <v>2025</v>
      </c>
    </row>
    <row r="2681" spans="1:15" x14ac:dyDescent="0.3">
      <c r="A2681">
        <v>202250</v>
      </c>
      <c r="B2681" t="s">
        <v>45</v>
      </c>
      <c r="C2681" s="2">
        <v>45941</v>
      </c>
      <c r="D2681" s="2">
        <f t="shared" si="250"/>
        <v>45986</v>
      </c>
      <c r="E2681" s="1">
        <f>D2681+1</f>
        <v>45987</v>
      </c>
      <c r="F2681">
        <v>447</v>
      </c>
      <c r="G2681">
        <v>45</v>
      </c>
      <c r="H2681">
        <f t="shared" si="255"/>
        <v>0</v>
      </c>
      <c r="I2681" t="str">
        <f t="shared" si="253"/>
        <v>On Time</v>
      </c>
      <c r="J2681" cm="1">
        <f t="array" ref="J2681">_xlfn.IFS(H2681&lt;30,0,H2681&lt;60,1,H2681&lt;90,2,H2681&lt;120,3)</f>
        <v>0</v>
      </c>
      <c r="M2681" t="str">
        <f t="shared" si="254"/>
        <v>Low</v>
      </c>
      <c r="N2681" t="str">
        <f t="shared" si="251"/>
        <v>Oct</v>
      </c>
      <c r="O2681">
        <f t="shared" si="252"/>
        <v>2025</v>
      </c>
    </row>
    <row r="2682" spans="1:15" x14ac:dyDescent="0.3">
      <c r="A2682">
        <v>202251</v>
      </c>
      <c r="B2682" t="s">
        <v>46</v>
      </c>
      <c r="C2682" s="2">
        <v>45941</v>
      </c>
      <c r="D2682" s="2">
        <f t="shared" si="250"/>
        <v>46001</v>
      </c>
      <c r="E2682" s="1">
        <f>D2682+35</f>
        <v>46036</v>
      </c>
      <c r="F2682">
        <v>786</v>
      </c>
      <c r="G2682">
        <v>60</v>
      </c>
      <c r="H2682">
        <f t="shared" si="255"/>
        <v>0</v>
      </c>
      <c r="I2682" t="str">
        <f t="shared" si="253"/>
        <v>On Time</v>
      </c>
      <c r="J2682" cm="1">
        <f t="array" ref="J2682">_xlfn.IFS(H2682&lt;30,0,H2682&lt;60,1,H2682&lt;90,2,H2682&lt;120,3)</f>
        <v>0</v>
      </c>
      <c r="M2682" t="str">
        <f t="shared" si="254"/>
        <v>Low</v>
      </c>
      <c r="N2682" t="str">
        <f t="shared" si="251"/>
        <v>Oct</v>
      </c>
      <c r="O2682">
        <f t="shared" si="252"/>
        <v>2025</v>
      </c>
    </row>
    <row r="2683" spans="1:15" x14ac:dyDescent="0.3">
      <c r="A2683">
        <v>201822</v>
      </c>
      <c r="B2683" t="s">
        <v>99</v>
      </c>
      <c r="C2683" s="2">
        <v>45940</v>
      </c>
      <c r="D2683" s="2">
        <f t="shared" si="250"/>
        <v>45970</v>
      </c>
      <c r="E2683" s="1">
        <f>D2683+35</f>
        <v>46005</v>
      </c>
      <c r="F2683">
        <v>6841</v>
      </c>
      <c r="G2683">
        <v>30</v>
      </c>
      <c r="H2683">
        <f t="shared" si="255"/>
        <v>0</v>
      </c>
      <c r="I2683" t="str">
        <f t="shared" si="253"/>
        <v>On Time</v>
      </c>
      <c r="J2683" cm="1">
        <f t="array" ref="J2683">_xlfn.IFS(H2683&lt;30,0,H2683&lt;60,1,H2683&lt;90,2,H2683&lt;120,3)</f>
        <v>0</v>
      </c>
      <c r="M2683" t="str">
        <f t="shared" si="254"/>
        <v>Low</v>
      </c>
      <c r="N2683" t="str">
        <f t="shared" si="251"/>
        <v>Oct</v>
      </c>
      <c r="O2683">
        <f t="shared" si="252"/>
        <v>2025</v>
      </c>
    </row>
    <row r="2684" spans="1:15" x14ac:dyDescent="0.3">
      <c r="A2684">
        <v>201823</v>
      </c>
      <c r="B2684" t="s">
        <v>100</v>
      </c>
      <c r="C2684" s="2">
        <v>45940</v>
      </c>
      <c r="D2684" s="2">
        <f t="shared" si="250"/>
        <v>45970</v>
      </c>
      <c r="E2684" s="1">
        <f>D2684+75</f>
        <v>46045</v>
      </c>
      <c r="F2684">
        <v>4264</v>
      </c>
      <c r="G2684">
        <v>30</v>
      </c>
      <c r="H2684">
        <f t="shared" si="255"/>
        <v>0</v>
      </c>
      <c r="I2684" t="str">
        <f t="shared" si="253"/>
        <v>On Time</v>
      </c>
      <c r="J2684" cm="1">
        <f t="array" ref="J2684">_xlfn.IFS(H2684&lt;30,0,H2684&lt;60,1,H2684&lt;90,2,H2684&lt;120,3)</f>
        <v>0</v>
      </c>
      <c r="M2684" t="str">
        <f t="shared" si="254"/>
        <v>Low</v>
      </c>
      <c r="N2684" t="str">
        <f t="shared" si="251"/>
        <v>Oct</v>
      </c>
      <c r="O2684">
        <f t="shared" si="252"/>
        <v>2025</v>
      </c>
    </row>
    <row r="2685" spans="1:15" x14ac:dyDescent="0.3">
      <c r="A2685">
        <v>201824</v>
      </c>
      <c r="B2685" t="s">
        <v>101</v>
      </c>
      <c r="C2685" s="2">
        <v>45940</v>
      </c>
      <c r="D2685" s="2">
        <f t="shared" si="250"/>
        <v>45970</v>
      </c>
      <c r="E2685" s="1">
        <f>D2685+5</f>
        <v>45975</v>
      </c>
      <c r="F2685">
        <v>1913</v>
      </c>
      <c r="G2685">
        <v>30</v>
      </c>
      <c r="H2685">
        <f t="shared" si="255"/>
        <v>0</v>
      </c>
      <c r="I2685" t="str">
        <f t="shared" si="253"/>
        <v>On Time</v>
      </c>
      <c r="J2685" cm="1">
        <f t="array" ref="J2685">_xlfn.IFS(H2685&lt;30,0,H2685&lt;60,1,H2685&lt;90,2,H2685&lt;120,3)</f>
        <v>0</v>
      </c>
      <c r="M2685" t="str">
        <f t="shared" si="254"/>
        <v>Low</v>
      </c>
      <c r="N2685" t="str">
        <f t="shared" si="251"/>
        <v>Oct</v>
      </c>
      <c r="O2685">
        <f t="shared" si="252"/>
        <v>2025</v>
      </c>
    </row>
    <row r="2686" spans="1:15" x14ac:dyDescent="0.3">
      <c r="A2686">
        <v>201825</v>
      </c>
      <c r="B2686" t="s">
        <v>102</v>
      </c>
      <c r="C2686" s="2">
        <v>45940</v>
      </c>
      <c r="D2686" s="2">
        <f t="shared" si="250"/>
        <v>45970</v>
      </c>
      <c r="E2686" s="1">
        <f>D2686</f>
        <v>45970</v>
      </c>
      <c r="F2686">
        <v>690</v>
      </c>
      <c r="G2686">
        <v>30</v>
      </c>
      <c r="H2686">
        <f t="shared" si="255"/>
        <v>0</v>
      </c>
      <c r="I2686" t="str">
        <f t="shared" si="253"/>
        <v>On Time</v>
      </c>
      <c r="J2686" cm="1">
        <f t="array" ref="J2686">_xlfn.IFS(H2686&lt;30,0,H2686&lt;60,1,H2686&lt;90,2,H2686&lt;120,3)</f>
        <v>0</v>
      </c>
      <c r="M2686" t="str">
        <f t="shared" si="254"/>
        <v>Low</v>
      </c>
      <c r="N2686" t="str">
        <f t="shared" si="251"/>
        <v>Oct</v>
      </c>
      <c r="O2686">
        <f t="shared" si="252"/>
        <v>2025</v>
      </c>
    </row>
    <row r="2687" spans="1:15" x14ac:dyDescent="0.3">
      <c r="A2687">
        <v>201826</v>
      </c>
      <c r="B2687" t="s">
        <v>103</v>
      </c>
      <c r="C2687" s="2">
        <v>45940</v>
      </c>
      <c r="D2687" s="2">
        <f t="shared" si="250"/>
        <v>45970</v>
      </c>
      <c r="E2687" s="1">
        <f>D2687-1</f>
        <v>45969</v>
      </c>
      <c r="F2687">
        <v>2262</v>
      </c>
      <c r="G2687">
        <v>30</v>
      </c>
      <c r="H2687">
        <f t="shared" si="255"/>
        <v>0</v>
      </c>
      <c r="I2687" t="str">
        <f t="shared" si="253"/>
        <v>On Time</v>
      </c>
      <c r="J2687" cm="1">
        <f t="array" ref="J2687">_xlfn.IFS(H2687&lt;30,0,H2687&lt;60,1,H2687&lt;90,2,H2687&lt;120,3)</f>
        <v>0</v>
      </c>
      <c r="M2687" t="str">
        <f t="shared" si="254"/>
        <v>Low</v>
      </c>
      <c r="N2687" t="str">
        <f t="shared" si="251"/>
        <v>Oct</v>
      </c>
      <c r="O2687">
        <f t="shared" si="252"/>
        <v>2025</v>
      </c>
    </row>
    <row r="2688" spans="1:15" x14ac:dyDescent="0.3">
      <c r="A2688">
        <v>201827</v>
      </c>
      <c r="B2688" t="s">
        <v>104</v>
      </c>
      <c r="C2688" s="2">
        <v>45940</v>
      </c>
      <c r="D2688" s="2">
        <f t="shared" si="250"/>
        <v>45970</v>
      </c>
      <c r="E2688" s="1">
        <f>D2688</f>
        <v>45970</v>
      </c>
      <c r="F2688">
        <v>4077</v>
      </c>
      <c r="G2688">
        <v>30</v>
      </c>
      <c r="H2688">
        <f t="shared" si="255"/>
        <v>0</v>
      </c>
      <c r="I2688" t="str">
        <f t="shared" si="253"/>
        <v>On Time</v>
      </c>
      <c r="J2688" cm="1">
        <f t="array" ref="J2688">_xlfn.IFS(H2688&lt;30,0,H2688&lt;60,1,H2688&lt;90,2,H2688&lt;120,3)</f>
        <v>0</v>
      </c>
      <c r="M2688" t="str">
        <f t="shared" si="254"/>
        <v>Low</v>
      </c>
      <c r="N2688" t="str">
        <f t="shared" si="251"/>
        <v>Oct</v>
      </c>
      <c r="O2688">
        <f t="shared" si="252"/>
        <v>2025</v>
      </c>
    </row>
    <row r="2689" spans="1:15" x14ac:dyDescent="0.3">
      <c r="A2689">
        <v>201828</v>
      </c>
      <c r="B2689" t="s">
        <v>105</v>
      </c>
      <c r="C2689" s="2">
        <v>45940</v>
      </c>
      <c r="D2689" s="2">
        <f t="shared" si="250"/>
        <v>45970</v>
      </c>
      <c r="E2689" s="1">
        <f>D2689+32</f>
        <v>46002</v>
      </c>
      <c r="F2689">
        <v>961</v>
      </c>
      <c r="G2689">
        <v>30</v>
      </c>
      <c r="H2689">
        <f t="shared" si="255"/>
        <v>0</v>
      </c>
      <c r="I2689" t="str">
        <f t="shared" si="253"/>
        <v>On Time</v>
      </c>
      <c r="J2689" cm="1">
        <f t="array" ref="J2689">_xlfn.IFS(H2689&lt;30,0,H2689&lt;60,1,H2689&lt;90,2,H2689&lt;120,3)</f>
        <v>0</v>
      </c>
      <c r="M2689" t="str">
        <f t="shared" si="254"/>
        <v>Low</v>
      </c>
      <c r="N2689" t="str">
        <f t="shared" si="251"/>
        <v>Oct</v>
      </c>
      <c r="O2689">
        <f t="shared" si="252"/>
        <v>2025</v>
      </c>
    </row>
    <row r="2690" spans="1:15" x14ac:dyDescent="0.3">
      <c r="A2690">
        <v>201829</v>
      </c>
      <c r="B2690" t="s">
        <v>114</v>
      </c>
      <c r="C2690" s="2">
        <v>45940</v>
      </c>
      <c r="D2690" s="2">
        <f t="shared" ref="D2690:D2753" si="256">C2690+G2690</f>
        <v>45970</v>
      </c>
      <c r="E2690" s="1">
        <f>D2690+15</f>
        <v>45985</v>
      </c>
      <c r="F2690">
        <v>635</v>
      </c>
      <c r="G2690">
        <v>30</v>
      </c>
      <c r="H2690">
        <f t="shared" si="255"/>
        <v>0</v>
      </c>
      <c r="I2690" t="str">
        <f t="shared" si="253"/>
        <v>On Time</v>
      </c>
      <c r="J2690" cm="1">
        <f t="array" ref="J2690">_xlfn.IFS(H2690&lt;30,0,H2690&lt;60,1,H2690&lt;90,2,H2690&lt;120,3)</f>
        <v>0</v>
      </c>
      <c r="M2690" t="str">
        <f t="shared" si="254"/>
        <v>Low</v>
      </c>
      <c r="N2690" t="str">
        <f t="shared" ref="N2690:N2753" si="257">TEXT(C2690,"mmm")</f>
        <v>Oct</v>
      </c>
      <c r="O2690">
        <f t="shared" ref="O2690:O2753" si="258">YEAR(C2690)</f>
        <v>2025</v>
      </c>
    </row>
    <row r="2691" spans="1:15" x14ac:dyDescent="0.3">
      <c r="A2691">
        <v>201830</v>
      </c>
      <c r="B2691" t="s">
        <v>115</v>
      </c>
      <c r="C2691" s="2">
        <v>45940</v>
      </c>
      <c r="D2691" s="2">
        <f t="shared" si="256"/>
        <v>45970</v>
      </c>
      <c r="E2691" s="1">
        <f>D2691</f>
        <v>45970</v>
      </c>
      <c r="F2691">
        <v>15429</v>
      </c>
      <c r="G2691">
        <v>30</v>
      </c>
      <c r="H2691">
        <f t="shared" si="255"/>
        <v>0</v>
      </c>
      <c r="I2691" t="str">
        <f t="shared" si="253"/>
        <v>On Time</v>
      </c>
      <c r="J2691" cm="1">
        <f t="array" ref="J2691">_xlfn.IFS(H2691&lt;30,0,H2691&lt;60,1,H2691&lt;90,2,H2691&lt;120,3)</f>
        <v>0</v>
      </c>
      <c r="M2691" t="str">
        <f t="shared" si="254"/>
        <v>Low</v>
      </c>
      <c r="N2691" t="str">
        <f t="shared" si="257"/>
        <v>Oct</v>
      </c>
      <c r="O2691">
        <f t="shared" si="258"/>
        <v>2025</v>
      </c>
    </row>
    <row r="2692" spans="1:15" x14ac:dyDescent="0.3">
      <c r="A2692">
        <v>201831</v>
      </c>
      <c r="B2692" t="s">
        <v>116</v>
      </c>
      <c r="C2692" s="2">
        <v>45940</v>
      </c>
      <c r="D2692" s="2">
        <f t="shared" si="256"/>
        <v>45970</v>
      </c>
      <c r="E2692" s="1">
        <f>D2692-2</f>
        <v>45968</v>
      </c>
      <c r="F2692">
        <v>17856</v>
      </c>
      <c r="G2692">
        <v>30</v>
      </c>
      <c r="H2692">
        <f t="shared" si="255"/>
        <v>0</v>
      </c>
      <c r="I2692" t="str">
        <f t="shared" si="253"/>
        <v>On Time</v>
      </c>
      <c r="J2692" cm="1">
        <f t="array" ref="J2692">_xlfn.IFS(H2692&lt;30,0,H2692&lt;60,1,H2692&lt;90,2,H2692&lt;120,3)</f>
        <v>0</v>
      </c>
      <c r="M2692" t="str">
        <f t="shared" si="254"/>
        <v>Low</v>
      </c>
      <c r="N2692" t="str">
        <f t="shared" si="257"/>
        <v>Oct</v>
      </c>
      <c r="O2692">
        <f t="shared" si="258"/>
        <v>2025</v>
      </c>
    </row>
    <row r="2693" spans="1:15" x14ac:dyDescent="0.3">
      <c r="A2693">
        <v>201832</v>
      </c>
      <c r="B2693" t="s">
        <v>117</v>
      </c>
      <c r="C2693" s="2">
        <v>45940</v>
      </c>
      <c r="D2693" s="2">
        <f t="shared" si="256"/>
        <v>45970</v>
      </c>
      <c r="E2693" s="1">
        <f>D2693</f>
        <v>45970</v>
      </c>
      <c r="F2693">
        <v>1245</v>
      </c>
      <c r="G2693">
        <v>30</v>
      </c>
      <c r="H2693">
        <f t="shared" si="255"/>
        <v>0</v>
      </c>
      <c r="I2693" t="str">
        <f t="shared" si="253"/>
        <v>On Time</v>
      </c>
      <c r="J2693" cm="1">
        <f t="array" ref="J2693">_xlfn.IFS(H2693&lt;30,0,H2693&lt;60,1,H2693&lt;90,2,H2693&lt;120,3)</f>
        <v>0</v>
      </c>
      <c r="M2693" t="str">
        <f t="shared" si="254"/>
        <v>Low</v>
      </c>
      <c r="N2693" t="str">
        <f t="shared" si="257"/>
        <v>Oct</v>
      </c>
      <c r="O2693">
        <f t="shared" si="258"/>
        <v>2025</v>
      </c>
    </row>
    <row r="2694" spans="1:15" x14ac:dyDescent="0.3">
      <c r="A2694">
        <v>201833</v>
      </c>
      <c r="B2694" t="s">
        <v>118</v>
      </c>
      <c r="C2694" s="2">
        <v>45940</v>
      </c>
      <c r="D2694" s="2">
        <f t="shared" si="256"/>
        <v>45970</v>
      </c>
      <c r="E2694" s="1">
        <f>D2694+2</f>
        <v>45972</v>
      </c>
      <c r="F2694">
        <v>1361</v>
      </c>
      <c r="G2694">
        <v>30</v>
      </c>
      <c r="H2694">
        <f t="shared" si="255"/>
        <v>0</v>
      </c>
      <c r="I2694" t="str">
        <f t="shared" si="253"/>
        <v>On Time</v>
      </c>
      <c r="J2694" cm="1">
        <f t="array" ref="J2694">_xlfn.IFS(H2694&lt;30,0,H2694&lt;60,1,H2694&lt;90,2,H2694&lt;120,3)</f>
        <v>0</v>
      </c>
      <c r="M2694" t="str">
        <f t="shared" si="254"/>
        <v>Low</v>
      </c>
      <c r="N2694" t="str">
        <f t="shared" si="257"/>
        <v>Oct</v>
      </c>
      <c r="O2694">
        <f t="shared" si="258"/>
        <v>2025</v>
      </c>
    </row>
    <row r="2695" spans="1:15" x14ac:dyDescent="0.3">
      <c r="A2695">
        <v>201834</v>
      </c>
      <c r="B2695" t="s">
        <v>119</v>
      </c>
      <c r="C2695" s="2">
        <v>45940</v>
      </c>
      <c r="D2695" s="2">
        <f t="shared" si="256"/>
        <v>45970</v>
      </c>
      <c r="E2695" s="1">
        <f>D2695+2</f>
        <v>45972</v>
      </c>
      <c r="F2695">
        <v>1023</v>
      </c>
      <c r="G2695">
        <v>30</v>
      </c>
      <c r="H2695">
        <f t="shared" si="255"/>
        <v>0</v>
      </c>
      <c r="I2695" t="str">
        <f t="shared" si="253"/>
        <v>On Time</v>
      </c>
      <c r="J2695" cm="1">
        <f t="array" ref="J2695">_xlfn.IFS(H2695&lt;30,0,H2695&lt;60,1,H2695&lt;90,2,H2695&lt;120,3)</f>
        <v>0</v>
      </c>
      <c r="M2695" t="str">
        <f t="shared" si="254"/>
        <v>Low</v>
      </c>
      <c r="N2695" t="str">
        <f t="shared" si="257"/>
        <v>Oct</v>
      </c>
      <c r="O2695">
        <f t="shared" si="258"/>
        <v>2025</v>
      </c>
    </row>
    <row r="2696" spans="1:15" x14ac:dyDescent="0.3">
      <c r="A2696">
        <v>201835</v>
      </c>
      <c r="B2696" t="s">
        <v>31</v>
      </c>
      <c r="C2696" s="2">
        <v>45940</v>
      </c>
      <c r="D2696" s="2">
        <f t="shared" si="256"/>
        <v>45985</v>
      </c>
      <c r="E2696" s="1">
        <f>D2696+2</f>
        <v>45987</v>
      </c>
      <c r="F2696">
        <v>4375</v>
      </c>
      <c r="G2696">
        <v>45</v>
      </c>
      <c r="H2696">
        <f t="shared" si="255"/>
        <v>0</v>
      </c>
      <c r="I2696" t="str">
        <f t="shared" si="253"/>
        <v>On Time</v>
      </c>
      <c r="J2696" cm="1">
        <f t="array" ref="J2696">_xlfn.IFS(H2696&lt;30,0,H2696&lt;60,1,H2696&lt;90,2,H2696&lt;120,3)</f>
        <v>0</v>
      </c>
      <c r="M2696" t="str">
        <f t="shared" si="254"/>
        <v>Low</v>
      </c>
      <c r="N2696" t="str">
        <f t="shared" si="257"/>
        <v>Oct</v>
      </c>
      <c r="O2696">
        <f t="shared" si="258"/>
        <v>2025</v>
      </c>
    </row>
    <row r="2697" spans="1:15" x14ac:dyDescent="0.3">
      <c r="A2697">
        <v>201836</v>
      </c>
      <c r="B2697" t="s">
        <v>32</v>
      </c>
      <c r="C2697" s="2">
        <v>45940</v>
      </c>
      <c r="D2697" s="2">
        <f t="shared" si="256"/>
        <v>45985</v>
      </c>
      <c r="E2697" s="1">
        <f>D2697</f>
        <v>45985</v>
      </c>
      <c r="F2697">
        <v>4384</v>
      </c>
      <c r="G2697">
        <v>45</v>
      </c>
      <c r="H2697">
        <f t="shared" si="255"/>
        <v>0</v>
      </c>
      <c r="I2697" t="str">
        <f t="shared" si="253"/>
        <v>On Time</v>
      </c>
      <c r="J2697" cm="1">
        <f t="array" ref="J2697">_xlfn.IFS(H2697&lt;30,0,H2697&lt;60,1,H2697&lt;90,2,H2697&lt;120,3)</f>
        <v>0</v>
      </c>
      <c r="M2697" t="str">
        <f t="shared" si="254"/>
        <v>Low</v>
      </c>
      <c r="N2697" t="str">
        <f t="shared" si="257"/>
        <v>Oct</v>
      </c>
      <c r="O2697">
        <f t="shared" si="258"/>
        <v>2025</v>
      </c>
    </row>
    <row r="2698" spans="1:15" x14ac:dyDescent="0.3">
      <c r="A2698">
        <v>201837</v>
      </c>
      <c r="B2698" t="s">
        <v>33</v>
      </c>
      <c r="C2698" s="2">
        <v>45940</v>
      </c>
      <c r="D2698" s="2">
        <f t="shared" si="256"/>
        <v>45970</v>
      </c>
      <c r="E2698" s="1">
        <f>D2698+20</f>
        <v>45990</v>
      </c>
      <c r="F2698">
        <v>4090</v>
      </c>
      <c r="G2698">
        <v>30</v>
      </c>
      <c r="H2698">
        <f t="shared" si="255"/>
        <v>0</v>
      </c>
      <c r="I2698" t="str">
        <f t="shared" si="253"/>
        <v>On Time</v>
      </c>
      <c r="J2698" cm="1">
        <f t="array" ref="J2698">_xlfn.IFS(H2698&lt;30,0,H2698&lt;60,1,H2698&lt;90,2,H2698&lt;120,3)</f>
        <v>0</v>
      </c>
      <c r="M2698" t="str">
        <f t="shared" si="254"/>
        <v>Low</v>
      </c>
      <c r="N2698" t="str">
        <f t="shared" si="257"/>
        <v>Oct</v>
      </c>
      <c r="O2698">
        <f t="shared" si="258"/>
        <v>2025</v>
      </c>
    </row>
    <row r="2699" spans="1:15" x14ac:dyDescent="0.3">
      <c r="A2699">
        <v>201838</v>
      </c>
      <c r="B2699" t="s">
        <v>34</v>
      </c>
      <c r="C2699" s="2">
        <v>45940</v>
      </c>
      <c r="D2699" s="2">
        <f t="shared" si="256"/>
        <v>46000</v>
      </c>
      <c r="E2699" s="1">
        <f>D2699</f>
        <v>46000</v>
      </c>
      <c r="F2699">
        <v>4310</v>
      </c>
      <c r="G2699">
        <v>60</v>
      </c>
      <c r="H2699">
        <f t="shared" si="255"/>
        <v>0</v>
      </c>
      <c r="I2699" t="str">
        <f t="shared" si="253"/>
        <v>On Time</v>
      </c>
      <c r="J2699" cm="1">
        <f t="array" ref="J2699">_xlfn.IFS(H2699&lt;30,0,H2699&lt;60,1,H2699&lt;90,2,H2699&lt;120,3)</f>
        <v>0</v>
      </c>
      <c r="M2699" t="str">
        <f t="shared" si="254"/>
        <v>Low</v>
      </c>
      <c r="N2699" t="str">
        <f t="shared" si="257"/>
        <v>Oct</v>
      </c>
      <c r="O2699">
        <f t="shared" si="258"/>
        <v>2025</v>
      </c>
    </row>
    <row r="2700" spans="1:15" x14ac:dyDescent="0.3">
      <c r="A2700">
        <v>201839</v>
      </c>
      <c r="B2700" t="s">
        <v>35</v>
      </c>
      <c r="C2700" s="2">
        <v>45940</v>
      </c>
      <c r="D2700" s="2">
        <f t="shared" si="256"/>
        <v>45985</v>
      </c>
      <c r="E2700" s="1">
        <f>D2700+1</f>
        <v>45986</v>
      </c>
      <c r="F2700">
        <v>17438</v>
      </c>
      <c r="G2700">
        <v>45</v>
      </c>
      <c r="H2700">
        <f t="shared" si="255"/>
        <v>0</v>
      </c>
      <c r="I2700" t="str">
        <f t="shared" si="253"/>
        <v>On Time</v>
      </c>
      <c r="J2700" cm="1">
        <f t="array" ref="J2700">_xlfn.IFS(H2700&lt;30,0,H2700&lt;60,1,H2700&lt;90,2,H2700&lt;120,3)</f>
        <v>0</v>
      </c>
      <c r="M2700" t="str">
        <f t="shared" si="254"/>
        <v>Low</v>
      </c>
      <c r="N2700" t="str">
        <f t="shared" si="257"/>
        <v>Oct</v>
      </c>
      <c r="O2700">
        <f t="shared" si="258"/>
        <v>2025</v>
      </c>
    </row>
    <row r="2701" spans="1:15" x14ac:dyDescent="0.3">
      <c r="A2701">
        <v>202218</v>
      </c>
      <c r="B2701" t="s">
        <v>118</v>
      </c>
      <c r="C2701" s="2">
        <v>45940</v>
      </c>
      <c r="D2701" s="2">
        <f t="shared" si="256"/>
        <v>45970</v>
      </c>
      <c r="E2701" s="1">
        <f>D2701+35</f>
        <v>46005</v>
      </c>
      <c r="F2701">
        <v>1476</v>
      </c>
      <c r="G2701">
        <v>30</v>
      </c>
      <c r="H2701">
        <f t="shared" si="255"/>
        <v>0</v>
      </c>
      <c r="I2701" t="str">
        <f t="shared" si="253"/>
        <v>On Time</v>
      </c>
      <c r="J2701" cm="1">
        <f t="array" ref="J2701">_xlfn.IFS(H2701&lt;30,0,H2701&lt;60,1,H2701&lt;90,2,H2701&lt;120,3)</f>
        <v>0</v>
      </c>
      <c r="M2701" t="str">
        <f t="shared" si="254"/>
        <v>Low</v>
      </c>
      <c r="N2701" t="str">
        <f t="shared" si="257"/>
        <v>Oct</v>
      </c>
      <c r="O2701">
        <f t="shared" si="258"/>
        <v>2025</v>
      </c>
    </row>
    <row r="2702" spans="1:15" x14ac:dyDescent="0.3">
      <c r="A2702">
        <v>202219</v>
      </c>
      <c r="B2702" t="s">
        <v>119</v>
      </c>
      <c r="C2702" s="2">
        <v>45940</v>
      </c>
      <c r="D2702" s="2">
        <f t="shared" si="256"/>
        <v>45970</v>
      </c>
      <c r="E2702" s="1">
        <f>D2702+75</f>
        <v>46045</v>
      </c>
      <c r="F2702">
        <v>3670</v>
      </c>
      <c r="G2702">
        <v>30</v>
      </c>
      <c r="H2702">
        <f t="shared" si="255"/>
        <v>0</v>
      </c>
      <c r="I2702" t="str">
        <f t="shared" si="253"/>
        <v>On Time</v>
      </c>
      <c r="J2702" cm="1">
        <f t="array" ref="J2702">_xlfn.IFS(H2702&lt;30,0,H2702&lt;60,1,H2702&lt;90,2,H2702&lt;120,3)</f>
        <v>0</v>
      </c>
      <c r="M2702" t="str">
        <f t="shared" si="254"/>
        <v>Low</v>
      </c>
      <c r="N2702" t="str">
        <f t="shared" si="257"/>
        <v>Oct</v>
      </c>
      <c r="O2702">
        <f t="shared" si="258"/>
        <v>2025</v>
      </c>
    </row>
    <row r="2703" spans="1:15" x14ac:dyDescent="0.3">
      <c r="A2703">
        <v>202220</v>
      </c>
      <c r="B2703" t="s">
        <v>100</v>
      </c>
      <c r="C2703" s="2">
        <v>45940</v>
      </c>
      <c r="D2703" s="2">
        <f t="shared" si="256"/>
        <v>45970</v>
      </c>
      <c r="E2703" s="1">
        <f>D2703+5</f>
        <v>45975</v>
      </c>
      <c r="F2703">
        <v>3266</v>
      </c>
      <c r="G2703">
        <v>30</v>
      </c>
      <c r="H2703">
        <f t="shared" si="255"/>
        <v>0</v>
      </c>
      <c r="I2703" t="str">
        <f t="shared" si="253"/>
        <v>On Time</v>
      </c>
      <c r="J2703" cm="1">
        <f t="array" ref="J2703">_xlfn.IFS(H2703&lt;30,0,H2703&lt;60,1,H2703&lt;90,2,H2703&lt;120,3)</f>
        <v>0</v>
      </c>
      <c r="M2703" t="str">
        <f t="shared" si="254"/>
        <v>Low</v>
      </c>
      <c r="N2703" t="str">
        <f t="shared" si="257"/>
        <v>Oct</v>
      </c>
      <c r="O2703">
        <f t="shared" si="258"/>
        <v>2025</v>
      </c>
    </row>
    <row r="2704" spans="1:15" x14ac:dyDescent="0.3">
      <c r="A2704">
        <v>202221</v>
      </c>
      <c r="B2704" t="s">
        <v>101</v>
      </c>
      <c r="C2704" s="2">
        <v>45940</v>
      </c>
      <c r="D2704" s="2">
        <f t="shared" si="256"/>
        <v>45970</v>
      </c>
      <c r="E2704" s="1">
        <f>D2704</f>
        <v>45970</v>
      </c>
      <c r="F2704">
        <v>12847</v>
      </c>
      <c r="G2704">
        <v>30</v>
      </c>
      <c r="H2704">
        <f t="shared" si="255"/>
        <v>0</v>
      </c>
      <c r="I2704" t="str">
        <f t="shared" si="253"/>
        <v>On Time</v>
      </c>
      <c r="J2704" cm="1">
        <f t="array" ref="J2704">_xlfn.IFS(H2704&lt;30,0,H2704&lt;60,1,H2704&lt;90,2,H2704&lt;120,3)</f>
        <v>0</v>
      </c>
      <c r="M2704" t="str">
        <f t="shared" si="254"/>
        <v>Low</v>
      </c>
      <c r="N2704" t="str">
        <f t="shared" si="257"/>
        <v>Oct</v>
      </c>
      <c r="O2704">
        <f t="shared" si="258"/>
        <v>2025</v>
      </c>
    </row>
    <row r="2705" spans="1:15" x14ac:dyDescent="0.3">
      <c r="A2705">
        <v>202222</v>
      </c>
      <c r="B2705" t="s">
        <v>102</v>
      </c>
      <c r="C2705" s="2">
        <v>45940</v>
      </c>
      <c r="D2705" s="2">
        <f t="shared" si="256"/>
        <v>45970</v>
      </c>
      <c r="E2705" s="1">
        <f>D2705-1</f>
        <v>45969</v>
      </c>
      <c r="F2705">
        <v>3095</v>
      </c>
      <c r="G2705">
        <v>30</v>
      </c>
      <c r="H2705">
        <f t="shared" si="255"/>
        <v>0</v>
      </c>
      <c r="I2705" t="str">
        <f t="shared" si="253"/>
        <v>On Time</v>
      </c>
      <c r="J2705" cm="1">
        <f t="array" ref="J2705">_xlfn.IFS(H2705&lt;30,0,H2705&lt;60,1,H2705&lt;90,2,H2705&lt;120,3)</f>
        <v>0</v>
      </c>
      <c r="M2705" t="str">
        <f t="shared" si="254"/>
        <v>Low</v>
      </c>
      <c r="N2705" t="str">
        <f t="shared" si="257"/>
        <v>Oct</v>
      </c>
      <c r="O2705">
        <f t="shared" si="258"/>
        <v>2025</v>
      </c>
    </row>
    <row r="2706" spans="1:15" x14ac:dyDescent="0.3">
      <c r="A2706">
        <v>202223</v>
      </c>
      <c r="B2706" t="s">
        <v>103</v>
      </c>
      <c r="C2706" s="2">
        <v>45940</v>
      </c>
      <c r="D2706" s="2">
        <f t="shared" si="256"/>
        <v>45970</v>
      </c>
      <c r="E2706" s="1">
        <f>D2706</f>
        <v>45970</v>
      </c>
      <c r="F2706">
        <v>1124</v>
      </c>
      <c r="G2706">
        <v>30</v>
      </c>
      <c r="H2706">
        <f t="shared" si="255"/>
        <v>0</v>
      </c>
      <c r="I2706" t="str">
        <f t="shared" si="253"/>
        <v>On Time</v>
      </c>
      <c r="J2706" cm="1">
        <f t="array" ref="J2706">_xlfn.IFS(H2706&lt;30,0,H2706&lt;60,1,H2706&lt;90,2,H2706&lt;120,3)</f>
        <v>0</v>
      </c>
      <c r="M2706" t="str">
        <f t="shared" si="254"/>
        <v>Low</v>
      </c>
      <c r="N2706" t="str">
        <f t="shared" si="257"/>
        <v>Oct</v>
      </c>
      <c r="O2706">
        <f t="shared" si="258"/>
        <v>2025</v>
      </c>
    </row>
    <row r="2707" spans="1:15" x14ac:dyDescent="0.3">
      <c r="A2707">
        <v>202224</v>
      </c>
      <c r="B2707" t="s">
        <v>104</v>
      </c>
      <c r="C2707" s="2">
        <v>45940</v>
      </c>
      <c r="D2707" s="2">
        <f t="shared" si="256"/>
        <v>45970</v>
      </c>
      <c r="E2707" s="1">
        <f>D2707+32</f>
        <v>46002</v>
      </c>
      <c r="F2707">
        <v>446</v>
      </c>
      <c r="G2707">
        <v>30</v>
      </c>
      <c r="H2707">
        <f t="shared" si="255"/>
        <v>0</v>
      </c>
      <c r="I2707" t="str">
        <f t="shared" si="253"/>
        <v>On Time</v>
      </c>
      <c r="J2707" cm="1">
        <f t="array" ref="J2707">_xlfn.IFS(H2707&lt;30,0,H2707&lt;60,1,H2707&lt;90,2,H2707&lt;120,3)</f>
        <v>0</v>
      </c>
      <c r="M2707" t="str">
        <f t="shared" si="254"/>
        <v>Low</v>
      </c>
      <c r="N2707" t="str">
        <f t="shared" si="257"/>
        <v>Oct</v>
      </c>
      <c r="O2707">
        <f t="shared" si="258"/>
        <v>2025</v>
      </c>
    </row>
    <row r="2708" spans="1:15" x14ac:dyDescent="0.3">
      <c r="A2708">
        <v>202225</v>
      </c>
      <c r="B2708" t="s">
        <v>105</v>
      </c>
      <c r="C2708" s="2">
        <v>45940</v>
      </c>
      <c r="D2708" s="2">
        <f t="shared" si="256"/>
        <v>45970</v>
      </c>
      <c r="E2708" s="1">
        <f>D2708+15</f>
        <v>45985</v>
      </c>
      <c r="F2708">
        <v>1009</v>
      </c>
      <c r="G2708">
        <v>30</v>
      </c>
      <c r="H2708">
        <f t="shared" si="255"/>
        <v>0</v>
      </c>
      <c r="I2708" t="str">
        <f t="shared" si="253"/>
        <v>On Time</v>
      </c>
      <c r="J2708" cm="1">
        <f t="array" ref="J2708">_xlfn.IFS(H2708&lt;30,0,H2708&lt;60,1,H2708&lt;90,2,H2708&lt;120,3)</f>
        <v>0</v>
      </c>
      <c r="M2708" t="str">
        <f t="shared" si="254"/>
        <v>Low</v>
      </c>
      <c r="N2708" t="str">
        <f t="shared" si="257"/>
        <v>Oct</v>
      </c>
      <c r="O2708">
        <f t="shared" si="258"/>
        <v>2025</v>
      </c>
    </row>
    <row r="2709" spans="1:15" x14ac:dyDescent="0.3">
      <c r="A2709">
        <v>202226</v>
      </c>
      <c r="B2709" t="s">
        <v>106</v>
      </c>
      <c r="C2709" s="2">
        <v>45940</v>
      </c>
      <c r="D2709" s="2">
        <f t="shared" si="256"/>
        <v>45970</v>
      </c>
      <c r="E2709" s="1">
        <f>D2709</f>
        <v>45970</v>
      </c>
      <c r="F2709">
        <v>283</v>
      </c>
      <c r="G2709">
        <v>30</v>
      </c>
      <c r="H2709">
        <f t="shared" si="255"/>
        <v>0</v>
      </c>
      <c r="I2709" t="str">
        <f t="shared" si="253"/>
        <v>On Time</v>
      </c>
      <c r="J2709" cm="1">
        <f t="array" ref="J2709">_xlfn.IFS(H2709&lt;30,0,H2709&lt;60,1,H2709&lt;90,2,H2709&lt;120,3)</f>
        <v>0</v>
      </c>
      <c r="M2709" t="str">
        <f t="shared" si="254"/>
        <v>Low</v>
      </c>
      <c r="N2709" t="str">
        <f t="shared" si="257"/>
        <v>Oct</v>
      </c>
      <c r="O2709">
        <f t="shared" si="258"/>
        <v>2025</v>
      </c>
    </row>
    <row r="2710" spans="1:15" x14ac:dyDescent="0.3">
      <c r="A2710">
        <v>202227</v>
      </c>
      <c r="B2710" t="s">
        <v>107</v>
      </c>
      <c r="C2710" s="2">
        <v>45940</v>
      </c>
      <c r="D2710" s="2">
        <f t="shared" si="256"/>
        <v>45970</v>
      </c>
      <c r="E2710" s="1">
        <f>D2710-2</f>
        <v>45968</v>
      </c>
      <c r="F2710">
        <v>2607</v>
      </c>
      <c r="G2710">
        <v>30</v>
      </c>
      <c r="H2710">
        <f t="shared" si="255"/>
        <v>0</v>
      </c>
      <c r="I2710" t="str">
        <f t="shared" ref="I2710:I2773" si="259">IF(H2710=0,"On Time",IF(H2710&lt;=15,"Paid Late","Seriously Late"))</f>
        <v>On Time</v>
      </c>
      <c r="J2710" cm="1">
        <f t="array" ref="J2710">_xlfn.IFS(H2710&lt;30,0,H2710&lt;60,1,H2710&lt;90,2,H2710&lt;120,3)</f>
        <v>0</v>
      </c>
      <c r="M2710" t="str">
        <f t="shared" ref="M2710:M2773" si="260">IF(H2710&gt;30,"High",IF(H2710&gt;10,"Medium","Low"))</f>
        <v>Low</v>
      </c>
      <c r="N2710" t="str">
        <f t="shared" si="257"/>
        <v>Oct</v>
      </c>
      <c r="O2710">
        <f t="shared" si="258"/>
        <v>2025</v>
      </c>
    </row>
    <row r="2711" spans="1:15" x14ac:dyDescent="0.3">
      <c r="A2711">
        <v>202228</v>
      </c>
      <c r="B2711" t="s">
        <v>108</v>
      </c>
      <c r="C2711" s="2">
        <v>45940</v>
      </c>
      <c r="D2711" s="2">
        <f t="shared" si="256"/>
        <v>45970</v>
      </c>
      <c r="E2711" s="1">
        <f>D2711</f>
        <v>45970</v>
      </c>
      <c r="F2711">
        <v>4171</v>
      </c>
      <c r="G2711">
        <v>30</v>
      </c>
      <c r="H2711">
        <f t="shared" si="255"/>
        <v>0</v>
      </c>
      <c r="I2711" t="str">
        <f t="shared" si="259"/>
        <v>On Time</v>
      </c>
      <c r="J2711" cm="1">
        <f t="array" ref="J2711">_xlfn.IFS(H2711&lt;30,0,H2711&lt;60,1,H2711&lt;90,2,H2711&lt;120,3)</f>
        <v>0</v>
      </c>
      <c r="M2711" t="str">
        <f t="shared" si="260"/>
        <v>Low</v>
      </c>
      <c r="N2711" t="str">
        <f t="shared" si="257"/>
        <v>Oct</v>
      </c>
      <c r="O2711">
        <f t="shared" si="258"/>
        <v>2025</v>
      </c>
    </row>
    <row r="2712" spans="1:15" x14ac:dyDescent="0.3">
      <c r="A2712">
        <v>202229</v>
      </c>
      <c r="B2712" t="s">
        <v>85</v>
      </c>
      <c r="C2712" s="2">
        <v>45940</v>
      </c>
      <c r="D2712" s="2">
        <f t="shared" si="256"/>
        <v>46000</v>
      </c>
      <c r="E2712" s="1">
        <f>D2712+2</f>
        <v>46002</v>
      </c>
      <c r="F2712">
        <v>5049</v>
      </c>
      <c r="G2712">
        <v>60</v>
      </c>
      <c r="H2712">
        <f t="shared" si="255"/>
        <v>0</v>
      </c>
      <c r="I2712" t="str">
        <f t="shared" si="259"/>
        <v>On Time</v>
      </c>
      <c r="J2712" cm="1">
        <f t="array" ref="J2712">_xlfn.IFS(H2712&lt;30,0,H2712&lt;60,1,H2712&lt;90,2,H2712&lt;120,3)</f>
        <v>0</v>
      </c>
      <c r="M2712" t="str">
        <f t="shared" si="260"/>
        <v>Low</v>
      </c>
      <c r="N2712" t="str">
        <f t="shared" si="257"/>
        <v>Oct</v>
      </c>
      <c r="O2712">
        <f t="shared" si="258"/>
        <v>2025</v>
      </c>
    </row>
    <row r="2713" spans="1:15" x14ac:dyDescent="0.3">
      <c r="A2713">
        <v>202230</v>
      </c>
      <c r="B2713" t="s">
        <v>86</v>
      </c>
      <c r="C2713" s="2">
        <v>45940</v>
      </c>
      <c r="D2713" s="2">
        <f t="shared" si="256"/>
        <v>45970</v>
      </c>
      <c r="E2713" s="1">
        <f>D2713+2</f>
        <v>45972</v>
      </c>
      <c r="F2713">
        <v>8362</v>
      </c>
      <c r="G2713">
        <v>30</v>
      </c>
      <c r="H2713">
        <f t="shared" si="255"/>
        <v>0</v>
      </c>
      <c r="I2713" t="str">
        <f t="shared" si="259"/>
        <v>On Time</v>
      </c>
      <c r="J2713" cm="1">
        <f t="array" ref="J2713">_xlfn.IFS(H2713&lt;30,0,H2713&lt;60,1,H2713&lt;90,2,H2713&lt;120,3)</f>
        <v>0</v>
      </c>
      <c r="M2713" t="str">
        <f t="shared" si="260"/>
        <v>Low</v>
      </c>
      <c r="N2713" t="str">
        <f t="shared" si="257"/>
        <v>Oct</v>
      </c>
      <c r="O2713">
        <f t="shared" si="258"/>
        <v>2025</v>
      </c>
    </row>
    <row r="2714" spans="1:15" x14ac:dyDescent="0.3">
      <c r="A2714">
        <v>202231</v>
      </c>
      <c r="B2714" t="s">
        <v>87</v>
      </c>
      <c r="C2714" s="2">
        <v>45940</v>
      </c>
      <c r="D2714" s="2">
        <f t="shared" si="256"/>
        <v>45970</v>
      </c>
      <c r="E2714" s="1">
        <f>D2714+2</f>
        <v>45972</v>
      </c>
      <c r="F2714">
        <v>463</v>
      </c>
      <c r="G2714">
        <v>30</v>
      </c>
      <c r="H2714">
        <f t="shared" si="255"/>
        <v>0</v>
      </c>
      <c r="I2714" t="str">
        <f t="shared" si="259"/>
        <v>On Time</v>
      </c>
      <c r="J2714" cm="1">
        <f t="array" ref="J2714">_xlfn.IFS(H2714&lt;30,0,H2714&lt;60,1,H2714&lt;90,2,H2714&lt;120,3)</f>
        <v>0</v>
      </c>
      <c r="M2714" t="str">
        <f t="shared" si="260"/>
        <v>Low</v>
      </c>
      <c r="N2714" t="str">
        <f t="shared" si="257"/>
        <v>Oct</v>
      </c>
      <c r="O2714">
        <f t="shared" si="258"/>
        <v>2025</v>
      </c>
    </row>
    <row r="2715" spans="1:15" x14ac:dyDescent="0.3">
      <c r="A2715">
        <v>202232</v>
      </c>
      <c r="B2715" t="s">
        <v>88</v>
      </c>
      <c r="C2715" s="2">
        <v>45940</v>
      </c>
      <c r="D2715" s="2">
        <f t="shared" si="256"/>
        <v>45970</v>
      </c>
      <c r="E2715" s="1">
        <f>D2715</f>
        <v>45970</v>
      </c>
      <c r="F2715">
        <v>1358</v>
      </c>
      <c r="G2715">
        <v>30</v>
      </c>
      <c r="H2715">
        <f t="shared" si="255"/>
        <v>0</v>
      </c>
      <c r="I2715" t="str">
        <f t="shared" si="259"/>
        <v>On Time</v>
      </c>
      <c r="J2715" cm="1">
        <f t="array" ref="J2715">_xlfn.IFS(H2715&lt;30,0,H2715&lt;60,1,H2715&lt;90,2,H2715&lt;120,3)</f>
        <v>0</v>
      </c>
      <c r="M2715" t="str">
        <f t="shared" si="260"/>
        <v>Low</v>
      </c>
      <c r="N2715" t="str">
        <f t="shared" si="257"/>
        <v>Oct</v>
      </c>
      <c r="O2715">
        <f t="shared" si="258"/>
        <v>2025</v>
      </c>
    </row>
    <row r="2716" spans="1:15" x14ac:dyDescent="0.3">
      <c r="A2716">
        <v>202233</v>
      </c>
      <c r="B2716" t="s">
        <v>89</v>
      </c>
      <c r="C2716" s="2">
        <v>45940</v>
      </c>
      <c r="D2716" s="2">
        <f t="shared" si="256"/>
        <v>45970</v>
      </c>
      <c r="E2716" s="1">
        <f>D2716+20</f>
        <v>45990</v>
      </c>
      <c r="F2716">
        <v>4813</v>
      </c>
      <c r="G2716">
        <v>30</v>
      </c>
      <c r="H2716">
        <f t="shared" si="255"/>
        <v>0</v>
      </c>
      <c r="I2716" t="str">
        <f t="shared" si="259"/>
        <v>On Time</v>
      </c>
      <c r="J2716" cm="1">
        <f t="array" ref="J2716">_xlfn.IFS(H2716&lt;30,0,H2716&lt;60,1,H2716&lt;90,2,H2716&lt;120,3)</f>
        <v>0</v>
      </c>
      <c r="M2716" t="str">
        <f t="shared" si="260"/>
        <v>Low</v>
      </c>
      <c r="N2716" t="str">
        <f t="shared" si="257"/>
        <v>Oct</v>
      </c>
      <c r="O2716">
        <f t="shared" si="258"/>
        <v>2025</v>
      </c>
    </row>
    <row r="2717" spans="1:15" x14ac:dyDescent="0.3">
      <c r="A2717">
        <v>202234</v>
      </c>
      <c r="B2717" t="s">
        <v>90</v>
      </c>
      <c r="C2717" s="2">
        <v>45940</v>
      </c>
      <c r="D2717" s="2">
        <f t="shared" si="256"/>
        <v>45970</v>
      </c>
      <c r="E2717" s="1">
        <f>D2717</f>
        <v>45970</v>
      </c>
      <c r="F2717">
        <v>3289</v>
      </c>
      <c r="G2717">
        <v>30</v>
      </c>
      <c r="H2717">
        <f t="shared" si="255"/>
        <v>0</v>
      </c>
      <c r="I2717" t="str">
        <f t="shared" si="259"/>
        <v>On Time</v>
      </c>
      <c r="J2717" cm="1">
        <f t="array" ref="J2717">_xlfn.IFS(H2717&lt;30,0,H2717&lt;60,1,H2717&lt;90,2,H2717&lt;120,3)</f>
        <v>0</v>
      </c>
      <c r="M2717" t="str">
        <f t="shared" si="260"/>
        <v>Low</v>
      </c>
      <c r="N2717" t="str">
        <f t="shared" si="257"/>
        <v>Oct</v>
      </c>
      <c r="O2717">
        <f t="shared" si="258"/>
        <v>2025</v>
      </c>
    </row>
    <row r="2718" spans="1:15" x14ac:dyDescent="0.3">
      <c r="A2718">
        <v>201801</v>
      </c>
      <c r="B2718" t="s">
        <v>28</v>
      </c>
      <c r="C2718" s="2">
        <v>45939</v>
      </c>
      <c r="D2718" s="2">
        <f t="shared" si="256"/>
        <v>45969</v>
      </c>
      <c r="E2718" s="1">
        <f>D2718+2</f>
        <v>45971</v>
      </c>
      <c r="F2718">
        <v>1930</v>
      </c>
      <c r="G2718">
        <v>30</v>
      </c>
      <c r="H2718">
        <f t="shared" si="255"/>
        <v>0</v>
      </c>
      <c r="I2718" t="str">
        <f t="shared" si="259"/>
        <v>On Time</v>
      </c>
      <c r="J2718" cm="1">
        <f t="array" ref="J2718">_xlfn.IFS(H2718&lt;30,0,H2718&lt;60,1,H2718&lt;90,2,H2718&lt;120,3)</f>
        <v>0</v>
      </c>
      <c r="M2718" t="str">
        <f t="shared" si="260"/>
        <v>Low</v>
      </c>
      <c r="N2718" t="str">
        <f t="shared" si="257"/>
        <v>Oct</v>
      </c>
      <c r="O2718">
        <f t="shared" si="258"/>
        <v>2025</v>
      </c>
    </row>
    <row r="2719" spans="1:15" x14ac:dyDescent="0.3">
      <c r="A2719">
        <v>201802</v>
      </c>
      <c r="B2719" t="s">
        <v>29</v>
      </c>
      <c r="C2719" s="2">
        <v>45939</v>
      </c>
      <c r="D2719" s="2">
        <f t="shared" si="256"/>
        <v>45969</v>
      </c>
      <c r="E2719" s="1">
        <f>D2719+2</f>
        <v>45971</v>
      </c>
      <c r="F2719">
        <v>4582</v>
      </c>
      <c r="G2719">
        <v>30</v>
      </c>
      <c r="H2719">
        <f t="shared" si="255"/>
        <v>0</v>
      </c>
      <c r="I2719" t="str">
        <f t="shared" si="259"/>
        <v>On Time</v>
      </c>
      <c r="J2719" cm="1">
        <f t="array" ref="J2719">_xlfn.IFS(H2719&lt;30,0,H2719&lt;60,1,H2719&lt;90,2,H2719&lt;120,3)</f>
        <v>0</v>
      </c>
      <c r="M2719" t="str">
        <f t="shared" si="260"/>
        <v>Low</v>
      </c>
      <c r="N2719" t="str">
        <f t="shared" si="257"/>
        <v>Oct</v>
      </c>
      <c r="O2719">
        <f t="shared" si="258"/>
        <v>2025</v>
      </c>
    </row>
    <row r="2720" spans="1:15" x14ac:dyDescent="0.3">
      <c r="A2720">
        <v>201803</v>
      </c>
      <c r="B2720" t="s">
        <v>30</v>
      </c>
      <c r="C2720" s="2">
        <v>45939</v>
      </c>
      <c r="D2720" s="2">
        <f t="shared" si="256"/>
        <v>45969</v>
      </c>
      <c r="E2720" s="1">
        <f>D2720</f>
        <v>45969</v>
      </c>
      <c r="F2720">
        <v>1233</v>
      </c>
      <c r="G2720">
        <v>30</v>
      </c>
      <c r="H2720">
        <f t="shared" si="255"/>
        <v>0</v>
      </c>
      <c r="I2720" t="str">
        <f t="shared" si="259"/>
        <v>On Time</v>
      </c>
      <c r="J2720" cm="1">
        <f t="array" ref="J2720">_xlfn.IFS(H2720&lt;30,0,H2720&lt;60,1,H2720&lt;90,2,H2720&lt;120,3)</f>
        <v>0</v>
      </c>
      <c r="M2720" t="str">
        <f t="shared" si="260"/>
        <v>Low</v>
      </c>
      <c r="N2720" t="str">
        <f t="shared" si="257"/>
        <v>Oct</v>
      </c>
      <c r="O2720">
        <f t="shared" si="258"/>
        <v>2025</v>
      </c>
    </row>
    <row r="2721" spans="1:15" x14ac:dyDescent="0.3">
      <c r="A2721">
        <v>201804</v>
      </c>
      <c r="B2721" t="s">
        <v>31</v>
      </c>
      <c r="C2721" s="2">
        <v>45939</v>
      </c>
      <c r="D2721" s="2">
        <f t="shared" si="256"/>
        <v>45984</v>
      </c>
      <c r="E2721" s="1">
        <f>D2721+20</f>
        <v>46004</v>
      </c>
      <c r="F2721">
        <v>1206</v>
      </c>
      <c r="G2721">
        <v>45</v>
      </c>
      <c r="H2721">
        <f t="shared" si="255"/>
        <v>0</v>
      </c>
      <c r="I2721" t="str">
        <f t="shared" si="259"/>
        <v>On Time</v>
      </c>
      <c r="J2721" cm="1">
        <f t="array" ref="J2721">_xlfn.IFS(H2721&lt;30,0,H2721&lt;60,1,H2721&lt;90,2,H2721&lt;120,3)</f>
        <v>0</v>
      </c>
      <c r="M2721" t="str">
        <f t="shared" si="260"/>
        <v>Low</v>
      </c>
      <c r="N2721" t="str">
        <f t="shared" si="257"/>
        <v>Oct</v>
      </c>
      <c r="O2721">
        <f t="shared" si="258"/>
        <v>2025</v>
      </c>
    </row>
    <row r="2722" spans="1:15" x14ac:dyDescent="0.3">
      <c r="A2722">
        <v>201805</v>
      </c>
      <c r="B2722" t="s">
        <v>54</v>
      </c>
      <c r="C2722" s="2">
        <v>45939</v>
      </c>
      <c r="D2722" s="2">
        <f t="shared" si="256"/>
        <v>45969</v>
      </c>
      <c r="E2722" s="1">
        <f>D2722</f>
        <v>45969</v>
      </c>
      <c r="F2722">
        <v>3062</v>
      </c>
      <c r="G2722">
        <v>30</v>
      </c>
      <c r="H2722">
        <f t="shared" si="255"/>
        <v>0</v>
      </c>
      <c r="I2722" t="str">
        <f t="shared" si="259"/>
        <v>On Time</v>
      </c>
      <c r="J2722" cm="1">
        <f t="array" ref="J2722">_xlfn.IFS(H2722&lt;30,0,H2722&lt;60,1,H2722&lt;90,2,H2722&lt;120,3)</f>
        <v>0</v>
      </c>
      <c r="M2722" t="str">
        <f t="shared" si="260"/>
        <v>Low</v>
      </c>
      <c r="N2722" t="str">
        <f t="shared" si="257"/>
        <v>Oct</v>
      </c>
      <c r="O2722">
        <f t="shared" si="258"/>
        <v>2025</v>
      </c>
    </row>
    <row r="2723" spans="1:15" x14ac:dyDescent="0.3">
      <c r="A2723">
        <v>201806</v>
      </c>
      <c r="B2723" t="s">
        <v>55</v>
      </c>
      <c r="C2723" s="2">
        <v>45939</v>
      </c>
      <c r="D2723" s="2">
        <f t="shared" si="256"/>
        <v>45969</v>
      </c>
      <c r="E2723" s="1">
        <f>D2723+1</f>
        <v>45970</v>
      </c>
      <c r="F2723">
        <v>1782</v>
      </c>
      <c r="G2723">
        <v>30</v>
      </c>
      <c r="H2723">
        <f t="shared" si="255"/>
        <v>0</v>
      </c>
      <c r="I2723" t="str">
        <f t="shared" si="259"/>
        <v>On Time</v>
      </c>
      <c r="J2723" cm="1">
        <f t="array" ref="J2723">_xlfn.IFS(H2723&lt;30,0,H2723&lt;60,1,H2723&lt;90,2,H2723&lt;120,3)</f>
        <v>0</v>
      </c>
      <c r="M2723" t="str">
        <f t="shared" si="260"/>
        <v>Low</v>
      </c>
      <c r="N2723" t="str">
        <f t="shared" si="257"/>
        <v>Oct</v>
      </c>
      <c r="O2723">
        <f t="shared" si="258"/>
        <v>2025</v>
      </c>
    </row>
    <row r="2724" spans="1:15" x14ac:dyDescent="0.3">
      <c r="A2724">
        <v>201807</v>
      </c>
      <c r="B2724" t="s">
        <v>56</v>
      </c>
      <c r="C2724" s="2">
        <v>45939</v>
      </c>
      <c r="D2724" s="2">
        <f t="shared" si="256"/>
        <v>45984</v>
      </c>
      <c r="E2724" s="1">
        <f>D2724</f>
        <v>45984</v>
      </c>
      <c r="F2724">
        <v>18217</v>
      </c>
      <c r="G2724">
        <v>45</v>
      </c>
      <c r="H2724">
        <f t="shared" si="255"/>
        <v>0</v>
      </c>
      <c r="I2724" t="str">
        <f t="shared" si="259"/>
        <v>On Time</v>
      </c>
      <c r="J2724" cm="1">
        <f t="array" ref="J2724">_xlfn.IFS(H2724&lt;30,0,H2724&lt;60,1,H2724&lt;90,2,H2724&lt;120,3)</f>
        <v>0</v>
      </c>
      <c r="M2724" t="str">
        <f t="shared" si="260"/>
        <v>Low</v>
      </c>
      <c r="N2724" t="str">
        <f t="shared" si="257"/>
        <v>Oct</v>
      </c>
      <c r="O2724">
        <f t="shared" si="258"/>
        <v>2025</v>
      </c>
    </row>
    <row r="2725" spans="1:15" x14ac:dyDescent="0.3">
      <c r="A2725">
        <v>201808</v>
      </c>
      <c r="B2725" t="s">
        <v>57</v>
      </c>
      <c r="C2725" s="2">
        <v>45939</v>
      </c>
      <c r="D2725" s="2">
        <f t="shared" si="256"/>
        <v>45999</v>
      </c>
      <c r="E2725" s="1">
        <f>D2725</f>
        <v>45999</v>
      </c>
      <c r="F2725">
        <v>2115</v>
      </c>
      <c r="G2725">
        <v>60</v>
      </c>
      <c r="H2725">
        <f t="shared" si="255"/>
        <v>0</v>
      </c>
      <c r="I2725" t="str">
        <f t="shared" si="259"/>
        <v>On Time</v>
      </c>
      <c r="J2725" cm="1">
        <f t="array" ref="J2725">_xlfn.IFS(H2725&lt;30,0,H2725&lt;60,1,H2725&lt;90,2,H2725&lt;120,3)</f>
        <v>0</v>
      </c>
      <c r="M2725" t="str">
        <f t="shared" si="260"/>
        <v>Low</v>
      </c>
      <c r="N2725" t="str">
        <f t="shared" si="257"/>
        <v>Oct</v>
      </c>
      <c r="O2725">
        <f t="shared" si="258"/>
        <v>2025</v>
      </c>
    </row>
    <row r="2726" spans="1:15" x14ac:dyDescent="0.3">
      <c r="A2726">
        <v>201809</v>
      </c>
      <c r="B2726" t="s">
        <v>58</v>
      </c>
      <c r="C2726" s="2">
        <v>45939</v>
      </c>
      <c r="D2726" s="2">
        <f t="shared" si="256"/>
        <v>45969</v>
      </c>
      <c r="E2726" s="1">
        <f>D2726+5</f>
        <v>45974</v>
      </c>
      <c r="F2726">
        <v>3074</v>
      </c>
      <c r="G2726">
        <v>30</v>
      </c>
      <c r="H2726">
        <f t="shared" ref="H2726:H2789" si="261">MAX(0,P2691-D2726)</f>
        <v>0</v>
      </c>
      <c r="I2726" t="str">
        <f t="shared" si="259"/>
        <v>On Time</v>
      </c>
      <c r="J2726" cm="1">
        <f t="array" ref="J2726">_xlfn.IFS(H2726&lt;30,0,H2726&lt;60,1,H2726&lt;90,2,H2726&lt;120,3)</f>
        <v>0</v>
      </c>
      <c r="M2726" t="str">
        <f t="shared" si="260"/>
        <v>Low</v>
      </c>
      <c r="N2726" t="str">
        <f t="shared" si="257"/>
        <v>Oct</v>
      </c>
      <c r="O2726">
        <f t="shared" si="258"/>
        <v>2025</v>
      </c>
    </row>
    <row r="2727" spans="1:15" x14ac:dyDescent="0.3">
      <c r="A2727">
        <v>201810</v>
      </c>
      <c r="B2727" t="s">
        <v>59</v>
      </c>
      <c r="C2727" s="2">
        <v>45939</v>
      </c>
      <c r="D2727" s="2">
        <f t="shared" si="256"/>
        <v>45969</v>
      </c>
      <c r="E2727" s="1">
        <f>D2727+2</f>
        <v>45971</v>
      </c>
      <c r="F2727">
        <v>4509</v>
      </c>
      <c r="G2727">
        <v>30</v>
      </c>
      <c r="H2727">
        <f t="shared" si="261"/>
        <v>0</v>
      </c>
      <c r="I2727" t="str">
        <f t="shared" si="259"/>
        <v>On Time</v>
      </c>
      <c r="J2727" cm="1">
        <f t="array" ref="J2727">_xlfn.IFS(H2727&lt;30,0,H2727&lt;60,1,H2727&lt;90,2,H2727&lt;120,3)</f>
        <v>0</v>
      </c>
      <c r="M2727" t="str">
        <f t="shared" si="260"/>
        <v>Low</v>
      </c>
      <c r="N2727" t="str">
        <f t="shared" si="257"/>
        <v>Oct</v>
      </c>
      <c r="O2727">
        <f t="shared" si="258"/>
        <v>2025</v>
      </c>
    </row>
    <row r="2728" spans="1:15" x14ac:dyDescent="0.3">
      <c r="A2728">
        <v>201811</v>
      </c>
      <c r="B2728" t="s">
        <v>60</v>
      </c>
      <c r="C2728" s="2">
        <v>45939</v>
      </c>
      <c r="D2728" s="2">
        <f t="shared" si="256"/>
        <v>45969</v>
      </c>
      <c r="E2728" s="1">
        <f>D2728+5</f>
        <v>45974</v>
      </c>
      <c r="F2728">
        <v>4700</v>
      </c>
      <c r="G2728">
        <v>30</v>
      </c>
      <c r="H2728">
        <f t="shared" si="261"/>
        <v>0</v>
      </c>
      <c r="I2728" t="str">
        <f t="shared" si="259"/>
        <v>On Time</v>
      </c>
      <c r="J2728" cm="1">
        <f t="array" ref="J2728">_xlfn.IFS(H2728&lt;30,0,H2728&lt;60,1,H2728&lt;90,2,H2728&lt;120,3)</f>
        <v>0</v>
      </c>
      <c r="M2728" t="str">
        <f t="shared" si="260"/>
        <v>Low</v>
      </c>
      <c r="N2728" t="str">
        <f t="shared" si="257"/>
        <v>Oct</v>
      </c>
      <c r="O2728">
        <f t="shared" si="258"/>
        <v>2025</v>
      </c>
    </row>
    <row r="2729" spans="1:15" x14ac:dyDescent="0.3">
      <c r="A2729">
        <v>201812</v>
      </c>
      <c r="B2729" t="s">
        <v>61</v>
      </c>
      <c r="C2729" s="2">
        <v>45939</v>
      </c>
      <c r="D2729" s="2">
        <f t="shared" si="256"/>
        <v>45969</v>
      </c>
      <c r="E2729" s="1">
        <f>D2729</f>
        <v>45969</v>
      </c>
      <c r="F2729">
        <v>271</v>
      </c>
      <c r="G2729">
        <v>30</v>
      </c>
      <c r="H2729">
        <f t="shared" si="261"/>
        <v>0</v>
      </c>
      <c r="I2729" t="str">
        <f t="shared" si="259"/>
        <v>On Time</v>
      </c>
      <c r="J2729" cm="1">
        <f t="array" ref="J2729">_xlfn.IFS(H2729&lt;30,0,H2729&lt;60,1,H2729&lt;90,2,H2729&lt;120,3)</f>
        <v>0</v>
      </c>
      <c r="M2729" t="str">
        <f t="shared" si="260"/>
        <v>Low</v>
      </c>
      <c r="N2729" t="str">
        <f t="shared" si="257"/>
        <v>Oct</v>
      </c>
      <c r="O2729">
        <f t="shared" si="258"/>
        <v>2025</v>
      </c>
    </row>
    <row r="2730" spans="1:15" x14ac:dyDescent="0.3">
      <c r="A2730">
        <v>201813</v>
      </c>
      <c r="B2730" t="s">
        <v>62</v>
      </c>
      <c r="C2730" s="2">
        <v>45939</v>
      </c>
      <c r="D2730" s="2">
        <f t="shared" si="256"/>
        <v>45969</v>
      </c>
      <c r="E2730" s="1">
        <f>D2730</f>
        <v>45969</v>
      </c>
      <c r="F2730">
        <v>761</v>
      </c>
      <c r="G2730">
        <v>30</v>
      </c>
      <c r="H2730">
        <f t="shared" si="261"/>
        <v>0</v>
      </c>
      <c r="I2730" t="str">
        <f t="shared" si="259"/>
        <v>On Time</v>
      </c>
      <c r="J2730" cm="1">
        <f t="array" ref="J2730">_xlfn.IFS(H2730&lt;30,0,H2730&lt;60,1,H2730&lt;90,2,H2730&lt;120,3)</f>
        <v>0</v>
      </c>
      <c r="M2730" t="str">
        <f t="shared" si="260"/>
        <v>Low</v>
      </c>
      <c r="N2730" t="str">
        <f t="shared" si="257"/>
        <v>Oct</v>
      </c>
      <c r="O2730">
        <f t="shared" si="258"/>
        <v>2025</v>
      </c>
    </row>
    <row r="2731" spans="1:15" x14ac:dyDescent="0.3">
      <c r="A2731">
        <v>201814</v>
      </c>
      <c r="B2731" t="s">
        <v>63</v>
      </c>
      <c r="C2731" s="2">
        <v>45939</v>
      </c>
      <c r="D2731" s="2">
        <f t="shared" si="256"/>
        <v>45969</v>
      </c>
      <c r="E2731" s="1">
        <f>D2731+60</f>
        <v>46029</v>
      </c>
      <c r="F2731">
        <v>3354</v>
      </c>
      <c r="G2731">
        <v>30</v>
      </c>
      <c r="H2731">
        <f t="shared" si="261"/>
        <v>0</v>
      </c>
      <c r="I2731" t="str">
        <f t="shared" si="259"/>
        <v>On Time</v>
      </c>
      <c r="J2731" cm="1">
        <f t="array" ref="J2731">_xlfn.IFS(H2731&lt;30,0,H2731&lt;60,1,H2731&lt;90,2,H2731&lt;120,3)</f>
        <v>0</v>
      </c>
      <c r="M2731" t="str">
        <f t="shared" si="260"/>
        <v>Low</v>
      </c>
      <c r="N2731" t="str">
        <f t="shared" si="257"/>
        <v>Oct</v>
      </c>
      <c r="O2731">
        <f t="shared" si="258"/>
        <v>2025</v>
      </c>
    </row>
    <row r="2732" spans="1:15" x14ac:dyDescent="0.3">
      <c r="A2732">
        <v>201815</v>
      </c>
      <c r="B2732" t="s">
        <v>64</v>
      </c>
      <c r="C2732" s="2">
        <v>45939</v>
      </c>
      <c r="D2732" s="2">
        <f t="shared" si="256"/>
        <v>45969</v>
      </c>
      <c r="E2732" s="1">
        <f>D2732</f>
        <v>45969</v>
      </c>
      <c r="F2732">
        <v>2459</v>
      </c>
      <c r="G2732">
        <v>30</v>
      </c>
      <c r="H2732">
        <f t="shared" si="261"/>
        <v>0</v>
      </c>
      <c r="I2732" t="str">
        <f t="shared" si="259"/>
        <v>On Time</v>
      </c>
      <c r="J2732" cm="1">
        <f t="array" ref="J2732">_xlfn.IFS(H2732&lt;30,0,H2732&lt;60,1,H2732&lt;90,2,H2732&lt;120,3)</f>
        <v>0</v>
      </c>
      <c r="M2732" t="str">
        <f t="shared" si="260"/>
        <v>Low</v>
      </c>
      <c r="N2732" t="str">
        <f t="shared" si="257"/>
        <v>Oct</v>
      </c>
      <c r="O2732">
        <f t="shared" si="258"/>
        <v>2025</v>
      </c>
    </row>
    <row r="2733" spans="1:15" x14ac:dyDescent="0.3">
      <c r="A2733">
        <v>201816</v>
      </c>
      <c r="B2733" t="s">
        <v>65</v>
      </c>
      <c r="C2733" s="2">
        <v>45939</v>
      </c>
      <c r="D2733" s="2">
        <f t="shared" si="256"/>
        <v>45984</v>
      </c>
      <c r="F2733">
        <v>3480</v>
      </c>
      <c r="G2733">
        <v>45</v>
      </c>
      <c r="H2733">
        <f t="shared" si="261"/>
        <v>0</v>
      </c>
      <c r="I2733" t="str">
        <f t="shared" si="259"/>
        <v>On Time</v>
      </c>
      <c r="J2733" cm="1">
        <f t="array" ref="J2733">_xlfn.IFS(H2733&lt;30,0,H2733&lt;60,1,H2733&lt;90,2,H2733&lt;120,3)</f>
        <v>0</v>
      </c>
      <c r="M2733" t="str">
        <f t="shared" si="260"/>
        <v>Low</v>
      </c>
      <c r="N2733" t="str">
        <f t="shared" si="257"/>
        <v>Oct</v>
      </c>
      <c r="O2733">
        <f t="shared" si="258"/>
        <v>2025</v>
      </c>
    </row>
    <row r="2734" spans="1:15" x14ac:dyDescent="0.3">
      <c r="A2734">
        <v>201817</v>
      </c>
      <c r="B2734" t="s">
        <v>94</v>
      </c>
      <c r="C2734" s="2">
        <v>45939</v>
      </c>
      <c r="D2734" s="2">
        <f t="shared" si="256"/>
        <v>45969</v>
      </c>
      <c r="E2734" s="1">
        <f>D2734+3</f>
        <v>45972</v>
      </c>
      <c r="F2734">
        <v>4701</v>
      </c>
      <c r="G2734">
        <v>30</v>
      </c>
      <c r="H2734">
        <f t="shared" si="261"/>
        <v>0</v>
      </c>
      <c r="I2734" t="str">
        <f t="shared" si="259"/>
        <v>On Time</v>
      </c>
      <c r="J2734" cm="1">
        <f t="array" ref="J2734">_xlfn.IFS(H2734&lt;30,0,H2734&lt;60,1,H2734&lt;90,2,H2734&lt;120,3)</f>
        <v>0</v>
      </c>
      <c r="M2734" t="str">
        <f t="shared" si="260"/>
        <v>Low</v>
      </c>
      <c r="N2734" t="str">
        <f t="shared" si="257"/>
        <v>Oct</v>
      </c>
      <c r="O2734">
        <f t="shared" si="258"/>
        <v>2025</v>
      </c>
    </row>
    <row r="2735" spans="1:15" x14ac:dyDescent="0.3">
      <c r="A2735">
        <v>201818</v>
      </c>
      <c r="B2735" t="s">
        <v>95</v>
      </c>
      <c r="C2735" s="2">
        <v>45939</v>
      </c>
      <c r="D2735" s="2">
        <f t="shared" si="256"/>
        <v>45984</v>
      </c>
      <c r="E2735" s="1">
        <f>D2735+1</f>
        <v>45985</v>
      </c>
      <c r="F2735">
        <v>2200</v>
      </c>
      <c r="G2735">
        <v>45</v>
      </c>
      <c r="H2735">
        <f t="shared" si="261"/>
        <v>0</v>
      </c>
      <c r="I2735" t="str">
        <f t="shared" si="259"/>
        <v>On Time</v>
      </c>
      <c r="J2735" cm="1">
        <f t="array" ref="J2735">_xlfn.IFS(H2735&lt;30,0,H2735&lt;60,1,H2735&lt;90,2,H2735&lt;120,3)</f>
        <v>0</v>
      </c>
      <c r="M2735" t="str">
        <f t="shared" si="260"/>
        <v>Low</v>
      </c>
      <c r="N2735" t="str">
        <f t="shared" si="257"/>
        <v>Oct</v>
      </c>
      <c r="O2735">
        <f t="shared" si="258"/>
        <v>2025</v>
      </c>
    </row>
    <row r="2736" spans="1:15" x14ac:dyDescent="0.3">
      <c r="A2736">
        <v>201819</v>
      </c>
      <c r="B2736" t="s">
        <v>96</v>
      </c>
      <c r="C2736" s="2">
        <v>45939</v>
      </c>
      <c r="D2736" s="2">
        <f t="shared" si="256"/>
        <v>45999</v>
      </c>
      <c r="E2736" s="1">
        <f>D2736-1</f>
        <v>45998</v>
      </c>
      <c r="F2736">
        <v>679</v>
      </c>
      <c r="G2736">
        <v>60</v>
      </c>
      <c r="H2736">
        <f t="shared" si="261"/>
        <v>0</v>
      </c>
      <c r="I2736" t="str">
        <f t="shared" si="259"/>
        <v>On Time</v>
      </c>
      <c r="J2736" cm="1">
        <f t="array" ref="J2736">_xlfn.IFS(H2736&lt;30,0,H2736&lt;60,1,H2736&lt;90,2,H2736&lt;120,3)</f>
        <v>0</v>
      </c>
      <c r="M2736" t="str">
        <f t="shared" si="260"/>
        <v>Low</v>
      </c>
      <c r="N2736" t="str">
        <f t="shared" si="257"/>
        <v>Oct</v>
      </c>
      <c r="O2736">
        <f t="shared" si="258"/>
        <v>2025</v>
      </c>
    </row>
    <row r="2737" spans="1:15" x14ac:dyDescent="0.3">
      <c r="A2737">
        <v>201820</v>
      </c>
      <c r="B2737" t="s">
        <v>97</v>
      </c>
      <c r="C2737" s="2">
        <v>45939</v>
      </c>
      <c r="D2737" s="2">
        <f t="shared" si="256"/>
        <v>45969</v>
      </c>
      <c r="E2737" s="1">
        <f>D2737</f>
        <v>45969</v>
      </c>
      <c r="F2737">
        <v>4000</v>
      </c>
      <c r="G2737">
        <v>30</v>
      </c>
      <c r="H2737">
        <f t="shared" si="261"/>
        <v>0</v>
      </c>
      <c r="I2737" t="str">
        <f t="shared" si="259"/>
        <v>On Time</v>
      </c>
      <c r="J2737" cm="1">
        <f t="array" ref="J2737">_xlfn.IFS(H2737&lt;30,0,H2737&lt;60,1,H2737&lt;90,2,H2737&lt;120,3)</f>
        <v>0</v>
      </c>
      <c r="M2737" t="str">
        <f t="shared" si="260"/>
        <v>Low</v>
      </c>
      <c r="N2737" t="str">
        <f t="shared" si="257"/>
        <v>Oct</v>
      </c>
      <c r="O2737">
        <f t="shared" si="258"/>
        <v>2025</v>
      </c>
    </row>
    <row r="2738" spans="1:15" x14ac:dyDescent="0.3">
      <c r="A2738">
        <v>201821</v>
      </c>
      <c r="B2738" t="s">
        <v>98</v>
      </c>
      <c r="C2738" s="2">
        <v>45939</v>
      </c>
      <c r="D2738" s="2">
        <f t="shared" si="256"/>
        <v>45969</v>
      </c>
      <c r="E2738" s="1">
        <f>D2738-5</f>
        <v>45964</v>
      </c>
      <c r="F2738">
        <v>7856</v>
      </c>
      <c r="G2738">
        <v>30</v>
      </c>
      <c r="H2738">
        <f t="shared" si="261"/>
        <v>0</v>
      </c>
      <c r="I2738" t="str">
        <f t="shared" si="259"/>
        <v>On Time</v>
      </c>
      <c r="J2738" cm="1">
        <f t="array" ref="J2738">_xlfn.IFS(H2738&lt;30,0,H2738&lt;60,1,H2738&lt;90,2,H2738&lt;120,3)</f>
        <v>0</v>
      </c>
      <c r="M2738" t="str">
        <f t="shared" si="260"/>
        <v>Low</v>
      </c>
      <c r="N2738" t="str">
        <f t="shared" si="257"/>
        <v>Oct</v>
      </c>
      <c r="O2738">
        <f t="shared" si="258"/>
        <v>2025</v>
      </c>
    </row>
    <row r="2739" spans="1:15" x14ac:dyDescent="0.3">
      <c r="A2739">
        <v>201778</v>
      </c>
      <c r="B2739" t="s">
        <v>61</v>
      </c>
      <c r="C2739" s="2">
        <v>45938</v>
      </c>
      <c r="D2739" s="2">
        <f t="shared" si="256"/>
        <v>45968</v>
      </c>
      <c r="E2739" s="1">
        <f>D2739</f>
        <v>45968</v>
      </c>
      <c r="F2739">
        <v>2511</v>
      </c>
      <c r="G2739">
        <v>30</v>
      </c>
      <c r="H2739">
        <f t="shared" si="261"/>
        <v>0</v>
      </c>
      <c r="I2739" t="str">
        <f t="shared" si="259"/>
        <v>On Time</v>
      </c>
      <c r="J2739" cm="1">
        <f t="array" ref="J2739">_xlfn.IFS(H2739&lt;30,0,H2739&lt;60,1,H2739&lt;90,2,H2739&lt;120,3)</f>
        <v>0</v>
      </c>
      <c r="M2739" t="str">
        <f t="shared" si="260"/>
        <v>Low</v>
      </c>
      <c r="N2739" t="str">
        <f t="shared" si="257"/>
        <v>Oct</v>
      </c>
      <c r="O2739">
        <f t="shared" si="258"/>
        <v>2025</v>
      </c>
    </row>
    <row r="2740" spans="1:15" x14ac:dyDescent="0.3">
      <c r="A2740">
        <v>201779</v>
      </c>
      <c r="B2740" t="s">
        <v>62</v>
      </c>
      <c r="C2740" s="2">
        <v>45938</v>
      </c>
      <c r="D2740" s="2">
        <f t="shared" si="256"/>
        <v>45968</v>
      </c>
      <c r="E2740" s="1">
        <f>D2740</f>
        <v>45968</v>
      </c>
      <c r="F2740">
        <v>1327</v>
      </c>
      <c r="G2740">
        <v>30</v>
      </c>
      <c r="H2740">
        <f t="shared" si="261"/>
        <v>0</v>
      </c>
      <c r="I2740" t="str">
        <f t="shared" si="259"/>
        <v>On Time</v>
      </c>
      <c r="J2740" cm="1">
        <f t="array" ref="J2740">_xlfn.IFS(H2740&lt;30,0,H2740&lt;60,1,H2740&lt;90,2,H2740&lt;120,3)</f>
        <v>0</v>
      </c>
      <c r="M2740" t="str">
        <f t="shared" si="260"/>
        <v>Low</v>
      </c>
      <c r="N2740" t="str">
        <f t="shared" si="257"/>
        <v>Oct</v>
      </c>
      <c r="O2740">
        <f t="shared" si="258"/>
        <v>2025</v>
      </c>
    </row>
    <row r="2741" spans="1:15" x14ac:dyDescent="0.3">
      <c r="A2741">
        <v>201780</v>
      </c>
      <c r="B2741" t="s">
        <v>63</v>
      </c>
      <c r="C2741" s="2">
        <v>45938</v>
      </c>
      <c r="D2741" s="2">
        <f t="shared" si="256"/>
        <v>45968</v>
      </c>
      <c r="E2741" s="1">
        <f>D2741</f>
        <v>45968</v>
      </c>
      <c r="F2741">
        <v>2176</v>
      </c>
      <c r="G2741">
        <v>30</v>
      </c>
      <c r="H2741">
        <f t="shared" si="261"/>
        <v>0</v>
      </c>
      <c r="I2741" t="str">
        <f t="shared" si="259"/>
        <v>On Time</v>
      </c>
      <c r="J2741" cm="1">
        <f t="array" ref="J2741">_xlfn.IFS(H2741&lt;30,0,H2741&lt;60,1,H2741&lt;90,2,H2741&lt;120,3)</f>
        <v>0</v>
      </c>
      <c r="M2741" t="str">
        <f t="shared" si="260"/>
        <v>Low</v>
      </c>
      <c r="N2741" t="str">
        <f t="shared" si="257"/>
        <v>Oct</v>
      </c>
      <c r="O2741">
        <f t="shared" si="258"/>
        <v>2025</v>
      </c>
    </row>
    <row r="2742" spans="1:15" x14ac:dyDescent="0.3">
      <c r="A2742">
        <v>201781</v>
      </c>
      <c r="B2742" t="s">
        <v>64</v>
      </c>
      <c r="C2742" s="2">
        <v>45938</v>
      </c>
      <c r="D2742" s="2">
        <f t="shared" si="256"/>
        <v>45968</v>
      </c>
      <c r="E2742" s="1">
        <f>D2742+60</f>
        <v>46028</v>
      </c>
      <c r="F2742">
        <v>2795</v>
      </c>
      <c r="G2742">
        <v>30</v>
      </c>
      <c r="H2742">
        <f t="shared" si="261"/>
        <v>0</v>
      </c>
      <c r="I2742" t="str">
        <f t="shared" si="259"/>
        <v>On Time</v>
      </c>
      <c r="J2742" cm="1">
        <f t="array" ref="J2742">_xlfn.IFS(H2742&lt;30,0,H2742&lt;60,1,H2742&lt;90,2,H2742&lt;120,3)</f>
        <v>0</v>
      </c>
      <c r="M2742" t="str">
        <f t="shared" si="260"/>
        <v>Low</v>
      </c>
      <c r="N2742" t="str">
        <f t="shared" si="257"/>
        <v>Oct</v>
      </c>
      <c r="O2742">
        <f t="shared" si="258"/>
        <v>2025</v>
      </c>
    </row>
    <row r="2743" spans="1:15" x14ac:dyDescent="0.3">
      <c r="A2743">
        <v>201782</v>
      </c>
      <c r="B2743" t="s">
        <v>65</v>
      </c>
      <c r="C2743" s="2">
        <v>45938</v>
      </c>
      <c r="D2743" s="2">
        <f t="shared" si="256"/>
        <v>45983</v>
      </c>
      <c r="E2743" s="1">
        <f>D2743</f>
        <v>45983</v>
      </c>
      <c r="F2743">
        <v>4327</v>
      </c>
      <c r="G2743">
        <v>45</v>
      </c>
      <c r="H2743">
        <f t="shared" si="261"/>
        <v>0</v>
      </c>
      <c r="I2743" t="str">
        <f t="shared" si="259"/>
        <v>On Time</v>
      </c>
      <c r="J2743" cm="1">
        <f t="array" ref="J2743">_xlfn.IFS(H2743&lt;30,0,H2743&lt;60,1,H2743&lt;90,2,H2743&lt;120,3)</f>
        <v>0</v>
      </c>
      <c r="M2743" t="str">
        <f t="shared" si="260"/>
        <v>Low</v>
      </c>
      <c r="N2743" t="str">
        <f t="shared" si="257"/>
        <v>Oct</v>
      </c>
      <c r="O2743">
        <f t="shared" si="258"/>
        <v>2025</v>
      </c>
    </row>
    <row r="2744" spans="1:15" x14ac:dyDescent="0.3">
      <c r="A2744">
        <v>201783</v>
      </c>
      <c r="B2744" t="s">
        <v>66</v>
      </c>
      <c r="C2744" s="2">
        <v>45938</v>
      </c>
      <c r="D2744" s="2">
        <f t="shared" si="256"/>
        <v>45998</v>
      </c>
      <c r="E2744" s="1">
        <f>D2744</f>
        <v>45998</v>
      </c>
      <c r="F2744">
        <v>3437</v>
      </c>
      <c r="G2744">
        <v>60</v>
      </c>
      <c r="H2744">
        <f t="shared" si="261"/>
        <v>0</v>
      </c>
      <c r="I2744" t="str">
        <f t="shared" si="259"/>
        <v>On Time</v>
      </c>
      <c r="J2744" cm="1">
        <f t="array" ref="J2744">_xlfn.IFS(H2744&lt;30,0,H2744&lt;60,1,H2744&lt;90,2,H2744&lt;120,3)</f>
        <v>0</v>
      </c>
      <c r="M2744" t="str">
        <f t="shared" si="260"/>
        <v>Low</v>
      </c>
      <c r="N2744" t="str">
        <f t="shared" si="257"/>
        <v>Oct</v>
      </c>
      <c r="O2744">
        <f t="shared" si="258"/>
        <v>2025</v>
      </c>
    </row>
    <row r="2745" spans="1:15" x14ac:dyDescent="0.3">
      <c r="A2745">
        <v>201784</v>
      </c>
      <c r="B2745" t="s">
        <v>108</v>
      </c>
      <c r="C2745" s="2">
        <v>45938</v>
      </c>
      <c r="D2745" s="2">
        <f t="shared" si="256"/>
        <v>45968</v>
      </c>
      <c r="E2745" s="1">
        <f>D2745+3</f>
        <v>45971</v>
      </c>
      <c r="F2745">
        <v>4980</v>
      </c>
      <c r="G2745">
        <v>30</v>
      </c>
      <c r="H2745">
        <f t="shared" si="261"/>
        <v>0</v>
      </c>
      <c r="I2745" t="str">
        <f t="shared" si="259"/>
        <v>On Time</v>
      </c>
      <c r="J2745" cm="1">
        <f t="array" ref="J2745">_xlfn.IFS(H2745&lt;30,0,H2745&lt;60,1,H2745&lt;90,2,H2745&lt;120,3)</f>
        <v>0</v>
      </c>
      <c r="M2745" t="str">
        <f t="shared" si="260"/>
        <v>Low</v>
      </c>
      <c r="N2745" t="str">
        <f t="shared" si="257"/>
        <v>Oct</v>
      </c>
      <c r="O2745">
        <f t="shared" si="258"/>
        <v>2025</v>
      </c>
    </row>
    <row r="2746" spans="1:15" x14ac:dyDescent="0.3">
      <c r="A2746">
        <v>201785</v>
      </c>
      <c r="B2746" t="s">
        <v>109</v>
      </c>
      <c r="C2746" s="2">
        <v>45938</v>
      </c>
      <c r="D2746" s="2">
        <f t="shared" si="256"/>
        <v>45968</v>
      </c>
      <c r="E2746" s="1">
        <f>D2746+1</f>
        <v>45969</v>
      </c>
      <c r="F2746">
        <v>17718</v>
      </c>
      <c r="G2746">
        <v>30</v>
      </c>
      <c r="H2746">
        <f t="shared" si="261"/>
        <v>0</v>
      </c>
      <c r="I2746" t="str">
        <f t="shared" si="259"/>
        <v>On Time</v>
      </c>
      <c r="J2746" cm="1">
        <f t="array" ref="J2746">_xlfn.IFS(H2746&lt;30,0,H2746&lt;60,1,H2746&lt;90,2,H2746&lt;120,3)</f>
        <v>0</v>
      </c>
      <c r="M2746" t="str">
        <f t="shared" si="260"/>
        <v>Low</v>
      </c>
      <c r="N2746" t="str">
        <f t="shared" si="257"/>
        <v>Oct</v>
      </c>
      <c r="O2746">
        <f t="shared" si="258"/>
        <v>2025</v>
      </c>
    </row>
    <row r="2747" spans="1:15" x14ac:dyDescent="0.3">
      <c r="A2747">
        <v>201786</v>
      </c>
      <c r="B2747" t="s">
        <v>110</v>
      </c>
      <c r="C2747" s="2">
        <v>45938</v>
      </c>
      <c r="D2747" s="2">
        <f t="shared" si="256"/>
        <v>45983</v>
      </c>
      <c r="E2747" s="1">
        <f>D2747-1</f>
        <v>45982</v>
      </c>
      <c r="F2747">
        <v>3804</v>
      </c>
      <c r="G2747">
        <v>45</v>
      </c>
      <c r="H2747">
        <f t="shared" si="261"/>
        <v>0</v>
      </c>
      <c r="I2747" t="str">
        <f t="shared" si="259"/>
        <v>On Time</v>
      </c>
      <c r="J2747" cm="1">
        <f t="array" ref="J2747">_xlfn.IFS(H2747&lt;30,0,H2747&lt;60,1,H2747&lt;90,2,H2747&lt;120,3)</f>
        <v>0</v>
      </c>
      <c r="M2747" t="str">
        <f t="shared" si="260"/>
        <v>Low</v>
      </c>
      <c r="N2747" t="str">
        <f t="shared" si="257"/>
        <v>Oct</v>
      </c>
      <c r="O2747">
        <f t="shared" si="258"/>
        <v>2025</v>
      </c>
    </row>
    <row r="2748" spans="1:15" x14ac:dyDescent="0.3">
      <c r="A2748">
        <v>201787</v>
      </c>
      <c r="B2748" t="s">
        <v>111</v>
      </c>
      <c r="C2748" s="2">
        <v>45938</v>
      </c>
      <c r="D2748" s="2">
        <f t="shared" si="256"/>
        <v>45998</v>
      </c>
      <c r="E2748" s="1">
        <f>D2748</f>
        <v>45998</v>
      </c>
      <c r="F2748">
        <v>4674</v>
      </c>
      <c r="G2748">
        <v>60</v>
      </c>
      <c r="H2748">
        <f t="shared" si="261"/>
        <v>0</v>
      </c>
      <c r="I2748" t="str">
        <f t="shared" si="259"/>
        <v>On Time</v>
      </c>
      <c r="J2748" cm="1">
        <f t="array" ref="J2748">_xlfn.IFS(H2748&lt;30,0,H2748&lt;60,1,H2748&lt;90,2,H2748&lt;120,3)</f>
        <v>0</v>
      </c>
      <c r="M2748" t="str">
        <f t="shared" si="260"/>
        <v>Low</v>
      </c>
      <c r="N2748" t="str">
        <f t="shared" si="257"/>
        <v>Oct</v>
      </c>
      <c r="O2748">
        <f t="shared" si="258"/>
        <v>2025</v>
      </c>
    </row>
    <row r="2749" spans="1:15" x14ac:dyDescent="0.3">
      <c r="A2749">
        <v>201788</v>
      </c>
      <c r="B2749" t="s">
        <v>112</v>
      </c>
      <c r="C2749" s="2">
        <v>45938</v>
      </c>
      <c r="D2749" s="2">
        <f t="shared" si="256"/>
        <v>45983</v>
      </c>
      <c r="E2749" s="1">
        <f>D2749+1</f>
        <v>45984</v>
      </c>
      <c r="F2749">
        <v>3499</v>
      </c>
      <c r="G2749">
        <v>45</v>
      </c>
      <c r="H2749">
        <f t="shared" si="261"/>
        <v>0</v>
      </c>
      <c r="I2749" t="str">
        <f t="shared" si="259"/>
        <v>On Time</v>
      </c>
      <c r="J2749" cm="1">
        <f t="array" ref="J2749">_xlfn.IFS(H2749&lt;30,0,H2749&lt;60,1,H2749&lt;90,2,H2749&lt;120,3)</f>
        <v>0</v>
      </c>
      <c r="M2749" t="str">
        <f t="shared" si="260"/>
        <v>Low</v>
      </c>
      <c r="N2749" t="str">
        <f t="shared" si="257"/>
        <v>Oct</v>
      </c>
      <c r="O2749">
        <f t="shared" si="258"/>
        <v>2025</v>
      </c>
    </row>
    <row r="2750" spans="1:15" x14ac:dyDescent="0.3">
      <c r="A2750">
        <v>201789</v>
      </c>
      <c r="B2750" t="s">
        <v>113</v>
      </c>
      <c r="C2750" s="2">
        <v>45938</v>
      </c>
      <c r="D2750" s="2">
        <f t="shared" si="256"/>
        <v>45983</v>
      </c>
      <c r="E2750" s="1">
        <f>D2750+35</f>
        <v>46018</v>
      </c>
      <c r="F2750">
        <v>517</v>
      </c>
      <c r="G2750">
        <v>45</v>
      </c>
      <c r="H2750">
        <f t="shared" si="261"/>
        <v>0</v>
      </c>
      <c r="I2750" t="str">
        <f t="shared" si="259"/>
        <v>On Time</v>
      </c>
      <c r="J2750" cm="1">
        <f t="array" ref="J2750">_xlfn.IFS(H2750&lt;30,0,H2750&lt;60,1,H2750&lt;90,2,H2750&lt;120,3)</f>
        <v>0</v>
      </c>
      <c r="M2750" t="str">
        <f t="shared" si="260"/>
        <v>Low</v>
      </c>
      <c r="N2750" t="str">
        <f t="shared" si="257"/>
        <v>Oct</v>
      </c>
      <c r="O2750">
        <f t="shared" si="258"/>
        <v>2025</v>
      </c>
    </row>
    <row r="2751" spans="1:15" x14ac:dyDescent="0.3">
      <c r="A2751">
        <v>201790</v>
      </c>
      <c r="B2751" t="s">
        <v>114</v>
      </c>
      <c r="C2751" s="2">
        <v>45938</v>
      </c>
      <c r="D2751" s="2">
        <f t="shared" si="256"/>
        <v>45968</v>
      </c>
      <c r="E2751" s="1">
        <f>D2751+75</f>
        <v>46043</v>
      </c>
      <c r="F2751">
        <v>1533</v>
      </c>
      <c r="G2751">
        <v>30</v>
      </c>
      <c r="H2751">
        <f t="shared" si="261"/>
        <v>0</v>
      </c>
      <c r="I2751" t="str">
        <f t="shared" si="259"/>
        <v>On Time</v>
      </c>
      <c r="J2751" cm="1">
        <f t="array" ref="J2751">_xlfn.IFS(H2751&lt;30,0,H2751&lt;60,1,H2751&lt;90,2,H2751&lt;120,3)</f>
        <v>0</v>
      </c>
      <c r="M2751" t="str">
        <f t="shared" si="260"/>
        <v>Low</v>
      </c>
      <c r="N2751" t="str">
        <f t="shared" si="257"/>
        <v>Oct</v>
      </c>
      <c r="O2751">
        <f t="shared" si="258"/>
        <v>2025</v>
      </c>
    </row>
    <row r="2752" spans="1:15" x14ac:dyDescent="0.3">
      <c r="A2752">
        <v>201791</v>
      </c>
      <c r="B2752" t="s">
        <v>115</v>
      </c>
      <c r="C2752" s="2">
        <v>45938</v>
      </c>
      <c r="D2752" s="2">
        <f t="shared" si="256"/>
        <v>45968</v>
      </c>
      <c r="E2752" s="1">
        <f>D2752+5</f>
        <v>45973</v>
      </c>
      <c r="F2752">
        <v>4667</v>
      </c>
      <c r="G2752">
        <v>30</v>
      </c>
      <c r="H2752">
        <f t="shared" si="261"/>
        <v>0</v>
      </c>
      <c r="I2752" t="str">
        <f t="shared" si="259"/>
        <v>On Time</v>
      </c>
      <c r="J2752" cm="1">
        <f t="array" ref="J2752">_xlfn.IFS(H2752&lt;30,0,H2752&lt;60,1,H2752&lt;90,2,H2752&lt;120,3)</f>
        <v>0</v>
      </c>
      <c r="M2752" t="str">
        <f t="shared" si="260"/>
        <v>Low</v>
      </c>
      <c r="N2752" t="str">
        <f t="shared" si="257"/>
        <v>Oct</v>
      </c>
      <c r="O2752">
        <f t="shared" si="258"/>
        <v>2025</v>
      </c>
    </row>
    <row r="2753" spans="1:15" x14ac:dyDescent="0.3">
      <c r="A2753">
        <v>201792</v>
      </c>
      <c r="B2753" t="s">
        <v>116</v>
      </c>
      <c r="C2753" s="2">
        <v>45938</v>
      </c>
      <c r="D2753" s="2">
        <f t="shared" si="256"/>
        <v>45968</v>
      </c>
      <c r="E2753" s="1">
        <f>D2753</f>
        <v>45968</v>
      </c>
      <c r="F2753">
        <v>124</v>
      </c>
      <c r="G2753">
        <v>30</v>
      </c>
      <c r="H2753">
        <f t="shared" si="261"/>
        <v>0</v>
      </c>
      <c r="I2753" t="str">
        <f t="shared" si="259"/>
        <v>On Time</v>
      </c>
      <c r="J2753" cm="1">
        <f t="array" ref="J2753">_xlfn.IFS(H2753&lt;30,0,H2753&lt;60,1,H2753&lt;90,2,H2753&lt;120,3)</f>
        <v>0</v>
      </c>
      <c r="M2753" t="str">
        <f t="shared" si="260"/>
        <v>Low</v>
      </c>
      <c r="N2753" t="str">
        <f t="shared" si="257"/>
        <v>Oct</v>
      </c>
      <c r="O2753">
        <f t="shared" si="258"/>
        <v>2025</v>
      </c>
    </row>
    <row r="2754" spans="1:15" x14ac:dyDescent="0.3">
      <c r="A2754">
        <v>201793</v>
      </c>
      <c r="B2754" t="s">
        <v>20</v>
      </c>
      <c r="C2754" s="2">
        <v>45938</v>
      </c>
      <c r="D2754" s="2">
        <f t="shared" ref="D2754:D2817" si="262">C2754+G2754</f>
        <v>45968</v>
      </c>
      <c r="E2754" s="1">
        <f>D2754-1</f>
        <v>45967</v>
      </c>
      <c r="F2754">
        <v>1367</v>
      </c>
      <c r="G2754">
        <v>30</v>
      </c>
      <c r="H2754">
        <f t="shared" si="261"/>
        <v>0</v>
      </c>
      <c r="I2754" t="str">
        <f t="shared" si="259"/>
        <v>On Time</v>
      </c>
      <c r="J2754" cm="1">
        <f t="array" ref="J2754">_xlfn.IFS(H2754&lt;30,0,H2754&lt;60,1,H2754&lt;90,2,H2754&lt;120,3)</f>
        <v>0</v>
      </c>
      <c r="M2754" t="str">
        <f t="shared" si="260"/>
        <v>Low</v>
      </c>
      <c r="N2754" t="str">
        <f t="shared" ref="N2754:N2817" si="263">TEXT(C2754,"mmm")</f>
        <v>Oct</v>
      </c>
      <c r="O2754">
        <f t="shared" ref="O2754:O2817" si="264">YEAR(C2754)</f>
        <v>2025</v>
      </c>
    </row>
    <row r="2755" spans="1:15" x14ac:dyDescent="0.3">
      <c r="A2755">
        <v>201794</v>
      </c>
      <c r="B2755" t="s">
        <v>21</v>
      </c>
      <c r="C2755" s="2">
        <v>45938</v>
      </c>
      <c r="D2755" s="2">
        <f t="shared" si="262"/>
        <v>45968</v>
      </c>
      <c r="E2755" s="1">
        <f>D2755</f>
        <v>45968</v>
      </c>
      <c r="F2755">
        <v>123</v>
      </c>
      <c r="G2755">
        <v>30</v>
      </c>
      <c r="H2755">
        <f t="shared" si="261"/>
        <v>0</v>
      </c>
      <c r="I2755" t="str">
        <f t="shared" si="259"/>
        <v>On Time</v>
      </c>
      <c r="J2755" cm="1">
        <f t="array" ref="J2755">_xlfn.IFS(H2755&lt;30,0,H2755&lt;60,1,H2755&lt;90,2,H2755&lt;120,3)</f>
        <v>0</v>
      </c>
      <c r="M2755" t="str">
        <f t="shared" si="260"/>
        <v>Low</v>
      </c>
      <c r="N2755" t="str">
        <f t="shared" si="263"/>
        <v>Oct</v>
      </c>
      <c r="O2755">
        <f t="shared" si="264"/>
        <v>2025</v>
      </c>
    </row>
    <row r="2756" spans="1:15" x14ac:dyDescent="0.3">
      <c r="A2756">
        <v>201795</v>
      </c>
      <c r="B2756" t="s">
        <v>22</v>
      </c>
      <c r="C2756" s="2">
        <v>45938</v>
      </c>
      <c r="D2756" s="2">
        <f t="shared" si="262"/>
        <v>45968</v>
      </c>
      <c r="E2756" s="1">
        <f>D2756+32</f>
        <v>46000</v>
      </c>
      <c r="F2756">
        <v>1756</v>
      </c>
      <c r="G2756">
        <v>30</v>
      </c>
      <c r="H2756">
        <f t="shared" si="261"/>
        <v>0</v>
      </c>
      <c r="I2756" t="str">
        <f t="shared" si="259"/>
        <v>On Time</v>
      </c>
      <c r="J2756" cm="1">
        <f t="array" ref="J2756">_xlfn.IFS(H2756&lt;30,0,H2756&lt;60,1,H2756&lt;90,2,H2756&lt;120,3)</f>
        <v>0</v>
      </c>
      <c r="M2756" t="str">
        <f t="shared" si="260"/>
        <v>Low</v>
      </c>
      <c r="N2756" t="str">
        <f t="shared" si="263"/>
        <v>Oct</v>
      </c>
      <c r="O2756">
        <f t="shared" si="264"/>
        <v>2025</v>
      </c>
    </row>
    <row r="2757" spans="1:15" x14ac:dyDescent="0.3">
      <c r="A2757">
        <v>201796</v>
      </c>
      <c r="B2757" t="s">
        <v>23</v>
      </c>
      <c r="C2757" s="2">
        <v>45938</v>
      </c>
      <c r="D2757" s="2">
        <f t="shared" si="262"/>
        <v>45983</v>
      </c>
      <c r="E2757" s="1">
        <f>D2757+15</f>
        <v>45998</v>
      </c>
      <c r="F2757">
        <v>3696</v>
      </c>
      <c r="G2757">
        <v>45</v>
      </c>
      <c r="H2757">
        <f t="shared" si="261"/>
        <v>0</v>
      </c>
      <c r="I2757" t="str">
        <f t="shared" si="259"/>
        <v>On Time</v>
      </c>
      <c r="J2757" cm="1">
        <f t="array" ref="J2757">_xlfn.IFS(H2757&lt;30,0,H2757&lt;60,1,H2757&lt;90,2,H2757&lt;120,3)</f>
        <v>0</v>
      </c>
      <c r="M2757" t="str">
        <f t="shared" si="260"/>
        <v>Low</v>
      </c>
      <c r="N2757" t="str">
        <f t="shared" si="263"/>
        <v>Oct</v>
      </c>
      <c r="O2757">
        <f t="shared" si="264"/>
        <v>2025</v>
      </c>
    </row>
    <row r="2758" spans="1:15" x14ac:dyDescent="0.3">
      <c r="A2758">
        <v>201797</v>
      </c>
      <c r="B2758" t="s">
        <v>24</v>
      </c>
      <c r="C2758" s="2">
        <v>45938</v>
      </c>
      <c r="D2758" s="2">
        <f t="shared" si="262"/>
        <v>45983</v>
      </c>
      <c r="E2758" s="1">
        <f>D2758-2</f>
        <v>45981</v>
      </c>
      <c r="F2758">
        <v>4781</v>
      </c>
      <c r="G2758">
        <v>45</v>
      </c>
      <c r="H2758">
        <f t="shared" si="261"/>
        <v>0</v>
      </c>
      <c r="I2758" t="str">
        <f t="shared" si="259"/>
        <v>On Time</v>
      </c>
      <c r="J2758" cm="1">
        <f t="array" ref="J2758">_xlfn.IFS(H2758&lt;30,0,H2758&lt;60,1,H2758&lt;90,2,H2758&lt;120,3)</f>
        <v>0</v>
      </c>
      <c r="M2758" t="str">
        <f t="shared" si="260"/>
        <v>Low</v>
      </c>
      <c r="N2758" t="str">
        <f t="shared" si="263"/>
        <v>Oct</v>
      </c>
      <c r="O2758">
        <f t="shared" si="264"/>
        <v>2025</v>
      </c>
    </row>
    <row r="2759" spans="1:15" x14ac:dyDescent="0.3">
      <c r="A2759">
        <v>201798</v>
      </c>
      <c r="B2759" t="s">
        <v>25</v>
      </c>
      <c r="C2759" s="2">
        <v>45938</v>
      </c>
      <c r="D2759" s="2">
        <f t="shared" si="262"/>
        <v>45998</v>
      </c>
      <c r="E2759" s="1">
        <f>D2759-2</f>
        <v>45996</v>
      </c>
      <c r="F2759">
        <v>1094</v>
      </c>
      <c r="G2759">
        <v>60</v>
      </c>
      <c r="H2759">
        <f t="shared" si="261"/>
        <v>0</v>
      </c>
      <c r="I2759" t="str">
        <f t="shared" si="259"/>
        <v>On Time</v>
      </c>
      <c r="J2759" cm="1">
        <f t="array" ref="J2759">_xlfn.IFS(H2759&lt;30,0,H2759&lt;60,1,H2759&lt;90,2,H2759&lt;120,3)</f>
        <v>0</v>
      </c>
      <c r="M2759" t="str">
        <f t="shared" si="260"/>
        <v>Low</v>
      </c>
      <c r="N2759" t="str">
        <f t="shared" si="263"/>
        <v>Oct</v>
      </c>
      <c r="O2759">
        <f t="shared" si="264"/>
        <v>2025</v>
      </c>
    </row>
    <row r="2760" spans="1:15" x14ac:dyDescent="0.3">
      <c r="A2760">
        <v>201799</v>
      </c>
      <c r="B2760" t="s">
        <v>26</v>
      </c>
      <c r="C2760" s="2">
        <v>45938</v>
      </c>
      <c r="D2760" s="2">
        <f t="shared" si="262"/>
        <v>45968</v>
      </c>
      <c r="E2760" s="1">
        <f>D2760</f>
        <v>45968</v>
      </c>
      <c r="F2760">
        <v>4537</v>
      </c>
      <c r="G2760">
        <v>30</v>
      </c>
      <c r="H2760">
        <f t="shared" si="261"/>
        <v>0</v>
      </c>
      <c r="I2760" t="str">
        <f t="shared" si="259"/>
        <v>On Time</v>
      </c>
      <c r="J2760" cm="1">
        <f t="array" ref="J2760">_xlfn.IFS(H2760&lt;30,0,H2760&lt;60,1,H2760&lt;90,2,H2760&lt;120,3)</f>
        <v>0</v>
      </c>
      <c r="M2760" t="str">
        <f t="shared" si="260"/>
        <v>Low</v>
      </c>
      <c r="N2760" t="str">
        <f t="shared" si="263"/>
        <v>Oct</v>
      </c>
      <c r="O2760">
        <f t="shared" si="264"/>
        <v>2025</v>
      </c>
    </row>
    <row r="2761" spans="1:15" x14ac:dyDescent="0.3">
      <c r="A2761">
        <v>201800</v>
      </c>
      <c r="B2761" t="s">
        <v>27</v>
      </c>
      <c r="C2761" s="2">
        <v>45938</v>
      </c>
      <c r="D2761" s="2">
        <f t="shared" si="262"/>
        <v>45998</v>
      </c>
      <c r="E2761" s="1">
        <f>D2761+2</f>
        <v>46000</v>
      </c>
      <c r="F2761">
        <v>1868</v>
      </c>
      <c r="G2761">
        <v>60</v>
      </c>
      <c r="H2761">
        <f t="shared" si="261"/>
        <v>0</v>
      </c>
      <c r="I2761" t="str">
        <f t="shared" si="259"/>
        <v>On Time</v>
      </c>
      <c r="J2761" cm="1">
        <f t="array" ref="J2761">_xlfn.IFS(H2761&lt;30,0,H2761&lt;60,1,H2761&lt;90,2,H2761&lt;120,3)</f>
        <v>0</v>
      </c>
      <c r="M2761" t="str">
        <f t="shared" si="260"/>
        <v>Low</v>
      </c>
      <c r="N2761" t="str">
        <f t="shared" si="263"/>
        <v>Oct</v>
      </c>
      <c r="O2761">
        <f t="shared" si="264"/>
        <v>2025</v>
      </c>
    </row>
    <row r="2762" spans="1:15" x14ac:dyDescent="0.3">
      <c r="A2762">
        <v>201757</v>
      </c>
      <c r="B2762" t="s">
        <v>41</v>
      </c>
      <c r="C2762" s="2">
        <v>45937</v>
      </c>
      <c r="D2762" s="2">
        <f t="shared" si="262"/>
        <v>45967</v>
      </c>
      <c r="E2762" s="1">
        <f>D2762+75</f>
        <v>46042</v>
      </c>
      <c r="F2762">
        <v>15034</v>
      </c>
      <c r="G2762">
        <v>30</v>
      </c>
      <c r="H2762">
        <f t="shared" si="261"/>
        <v>0</v>
      </c>
      <c r="I2762" t="str">
        <f t="shared" si="259"/>
        <v>On Time</v>
      </c>
      <c r="J2762" cm="1">
        <f t="array" ref="J2762">_xlfn.IFS(H2762&lt;30,0,H2762&lt;60,1,H2762&lt;90,2,H2762&lt;120,3)</f>
        <v>0</v>
      </c>
      <c r="M2762" t="str">
        <f t="shared" si="260"/>
        <v>Low</v>
      </c>
      <c r="N2762" t="str">
        <f t="shared" si="263"/>
        <v>Oct</v>
      </c>
      <c r="O2762">
        <f t="shared" si="264"/>
        <v>2025</v>
      </c>
    </row>
    <row r="2763" spans="1:15" x14ac:dyDescent="0.3">
      <c r="A2763">
        <v>201758</v>
      </c>
      <c r="B2763" t="s">
        <v>42</v>
      </c>
      <c r="C2763" s="2">
        <v>45937</v>
      </c>
      <c r="D2763" s="2">
        <f t="shared" si="262"/>
        <v>45967</v>
      </c>
      <c r="E2763" s="1">
        <f>D2763+5</f>
        <v>45972</v>
      </c>
      <c r="F2763">
        <v>1646</v>
      </c>
      <c r="G2763">
        <v>30</v>
      </c>
      <c r="H2763">
        <f t="shared" si="261"/>
        <v>0</v>
      </c>
      <c r="I2763" t="str">
        <f t="shared" si="259"/>
        <v>On Time</v>
      </c>
      <c r="J2763" cm="1">
        <f t="array" ref="J2763">_xlfn.IFS(H2763&lt;30,0,H2763&lt;60,1,H2763&lt;90,2,H2763&lt;120,3)</f>
        <v>0</v>
      </c>
      <c r="M2763" t="str">
        <f t="shared" si="260"/>
        <v>Low</v>
      </c>
      <c r="N2763" t="str">
        <f t="shared" si="263"/>
        <v>Oct</v>
      </c>
      <c r="O2763">
        <f t="shared" si="264"/>
        <v>2025</v>
      </c>
    </row>
    <row r="2764" spans="1:15" x14ac:dyDescent="0.3">
      <c r="A2764">
        <v>201759</v>
      </c>
      <c r="B2764" t="s">
        <v>43</v>
      </c>
      <c r="C2764" s="2">
        <v>45937</v>
      </c>
      <c r="D2764" s="2">
        <f t="shared" si="262"/>
        <v>45967</v>
      </c>
      <c r="E2764" s="1">
        <f>D2764</f>
        <v>45967</v>
      </c>
      <c r="F2764">
        <v>530</v>
      </c>
      <c r="G2764">
        <v>30</v>
      </c>
      <c r="H2764">
        <f t="shared" si="261"/>
        <v>0</v>
      </c>
      <c r="I2764" t="str">
        <f t="shared" si="259"/>
        <v>On Time</v>
      </c>
      <c r="J2764" cm="1">
        <f t="array" ref="J2764">_xlfn.IFS(H2764&lt;30,0,H2764&lt;60,1,H2764&lt;90,2,H2764&lt;120,3)</f>
        <v>0</v>
      </c>
      <c r="M2764" t="str">
        <f t="shared" si="260"/>
        <v>Low</v>
      </c>
      <c r="N2764" t="str">
        <f t="shared" si="263"/>
        <v>Oct</v>
      </c>
      <c r="O2764">
        <f t="shared" si="264"/>
        <v>2025</v>
      </c>
    </row>
    <row r="2765" spans="1:15" x14ac:dyDescent="0.3">
      <c r="A2765">
        <v>201760</v>
      </c>
      <c r="B2765" t="s">
        <v>44</v>
      </c>
      <c r="C2765" s="2">
        <v>45937</v>
      </c>
      <c r="D2765" s="2">
        <f t="shared" si="262"/>
        <v>45982</v>
      </c>
      <c r="E2765" s="1">
        <f>D2765-1</f>
        <v>45981</v>
      </c>
      <c r="F2765">
        <v>3345</v>
      </c>
      <c r="G2765">
        <v>45</v>
      </c>
      <c r="H2765">
        <f t="shared" si="261"/>
        <v>0</v>
      </c>
      <c r="I2765" t="str">
        <f t="shared" si="259"/>
        <v>On Time</v>
      </c>
      <c r="J2765" cm="1">
        <f t="array" ref="J2765">_xlfn.IFS(H2765&lt;30,0,H2765&lt;60,1,H2765&lt;90,2,H2765&lt;120,3)</f>
        <v>0</v>
      </c>
      <c r="M2765" t="str">
        <f t="shared" si="260"/>
        <v>Low</v>
      </c>
      <c r="N2765" t="str">
        <f t="shared" si="263"/>
        <v>Oct</v>
      </c>
      <c r="O2765">
        <f t="shared" si="264"/>
        <v>2025</v>
      </c>
    </row>
    <row r="2766" spans="1:15" x14ac:dyDescent="0.3">
      <c r="A2766">
        <v>201761</v>
      </c>
      <c r="B2766" t="s">
        <v>96</v>
      </c>
      <c r="C2766" s="2">
        <v>45937</v>
      </c>
      <c r="D2766" s="2">
        <f t="shared" si="262"/>
        <v>45997</v>
      </c>
      <c r="E2766" s="1">
        <f>D2766</f>
        <v>45997</v>
      </c>
      <c r="F2766">
        <v>2251</v>
      </c>
      <c r="G2766">
        <v>60</v>
      </c>
      <c r="H2766">
        <f t="shared" si="261"/>
        <v>0</v>
      </c>
      <c r="I2766" t="str">
        <f t="shared" si="259"/>
        <v>On Time</v>
      </c>
      <c r="J2766" cm="1">
        <f t="array" ref="J2766">_xlfn.IFS(H2766&lt;30,0,H2766&lt;60,1,H2766&lt;90,2,H2766&lt;120,3)</f>
        <v>0</v>
      </c>
      <c r="M2766" t="str">
        <f t="shared" si="260"/>
        <v>Low</v>
      </c>
      <c r="N2766" t="str">
        <f t="shared" si="263"/>
        <v>Oct</v>
      </c>
      <c r="O2766">
        <f t="shared" si="264"/>
        <v>2025</v>
      </c>
    </row>
    <row r="2767" spans="1:15" x14ac:dyDescent="0.3">
      <c r="A2767">
        <v>201762</v>
      </c>
      <c r="B2767" t="s">
        <v>97</v>
      </c>
      <c r="C2767" s="2">
        <v>45937</v>
      </c>
      <c r="D2767" s="2">
        <f t="shared" si="262"/>
        <v>45967</v>
      </c>
      <c r="E2767" s="1">
        <f>D2767+32</f>
        <v>45999</v>
      </c>
      <c r="F2767">
        <v>1707</v>
      </c>
      <c r="G2767">
        <v>30</v>
      </c>
      <c r="H2767">
        <f t="shared" si="261"/>
        <v>0</v>
      </c>
      <c r="I2767" t="str">
        <f t="shared" si="259"/>
        <v>On Time</v>
      </c>
      <c r="J2767" cm="1">
        <f t="array" ref="J2767">_xlfn.IFS(H2767&lt;30,0,H2767&lt;60,1,H2767&lt;90,2,H2767&lt;120,3)</f>
        <v>0</v>
      </c>
      <c r="M2767" t="str">
        <f t="shared" si="260"/>
        <v>Low</v>
      </c>
      <c r="N2767" t="str">
        <f t="shared" si="263"/>
        <v>Oct</v>
      </c>
      <c r="O2767">
        <f t="shared" si="264"/>
        <v>2025</v>
      </c>
    </row>
    <row r="2768" spans="1:15" x14ac:dyDescent="0.3">
      <c r="A2768">
        <v>201763</v>
      </c>
      <c r="B2768" t="s">
        <v>98</v>
      </c>
      <c r="C2768" s="2">
        <v>45937</v>
      </c>
      <c r="D2768" s="2">
        <f t="shared" si="262"/>
        <v>45967</v>
      </c>
      <c r="E2768" s="1">
        <f>D2768+15</f>
        <v>45982</v>
      </c>
      <c r="F2768">
        <v>5018</v>
      </c>
      <c r="G2768">
        <v>30</v>
      </c>
      <c r="H2768">
        <f t="shared" si="261"/>
        <v>0</v>
      </c>
      <c r="I2768" t="str">
        <f t="shared" si="259"/>
        <v>On Time</v>
      </c>
      <c r="J2768" cm="1">
        <f t="array" ref="J2768">_xlfn.IFS(H2768&lt;30,0,H2768&lt;60,1,H2768&lt;90,2,H2768&lt;120,3)</f>
        <v>0</v>
      </c>
      <c r="M2768" t="str">
        <f t="shared" si="260"/>
        <v>Low</v>
      </c>
      <c r="N2768" t="str">
        <f t="shared" si="263"/>
        <v>Oct</v>
      </c>
      <c r="O2768">
        <f t="shared" si="264"/>
        <v>2025</v>
      </c>
    </row>
    <row r="2769" spans="1:15" x14ac:dyDescent="0.3">
      <c r="A2769">
        <v>201764</v>
      </c>
      <c r="B2769" t="s">
        <v>99</v>
      </c>
      <c r="C2769" s="2">
        <v>45937</v>
      </c>
      <c r="D2769" s="2">
        <f t="shared" si="262"/>
        <v>45967</v>
      </c>
      <c r="E2769" s="1">
        <f>D2769</f>
        <v>45967</v>
      </c>
      <c r="F2769">
        <v>4557</v>
      </c>
      <c r="G2769">
        <v>30</v>
      </c>
      <c r="H2769">
        <f t="shared" si="261"/>
        <v>0</v>
      </c>
      <c r="I2769" t="str">
        <f t="shared" si="259"/>
        <v>On Time</v>
      </c>
      <c r="J2769" cm="1">
        <f t="array" ref="J2769">_xlfn.IFS(H2769&lt;30,0,H2769&lt;60,1,H2769&lt;90,2,H2769&lt;120,3)</f>
        <v>0</v>
      </c>
      <c r="M2769" t="str">
        <f t="shared" si="260"/>
        <v>Low</v>
      </c>
      <c r="N2769" t="str">
        <f t="shared" si="263"/>
        <v>Oct</v>
      </c>
      <c r="O2769">
        <f t="shared" si="264"/>
        <v>2025</v>
      </c>
    </row>
    <row r="2770" spans="1:15" x14ac:dyDescent="0.3">
      <c r="A2770">
        <v>201765</v>
      </c>
      <c r="B2770" t="s">
        <v>100</v>
      </c>
      <c r="C2770" s="2">
        <v>45937</v>
      </c>
      <c r="D2770" s="2">
        <f t="shared" si="262"/>
        <v>45967</v>
      </c>
      <c r="E2770" s="1">
        <f>D2770-2</f>
        <v>45965</v>
      </c>
      <c r="F2770">
        <v>1438</v>
      </c>
      <c r="G2770">
        <v>30</v>
      </c>
      <c r="H2770">
        <f t="shared" si="261"/>
        <v>0</v>
      </c>
      <c r="I2770" t="str">
        <f t="shared" si="259"/>
        <v>On Time</v>
      </c>
      <c r="J2770" cm="1">
        <f t="array" ref="J2770">_xlfn.IFS(H2770&lt;30,0,H2770&lt;60,1,H2770&lt;90,2,H2770&lt;120,3)</f>
        <v>0</v>
      </c>
      <c r="M2770" t="str">
        <f t="shared" si="260"/>
        <v>Low</v>
      </c>
      <c r="N2770" t="str">
        <f t="shared" si="263"/>
        <v>Oct</v>
      </c>
      <c r="O2770">
        <f t="shared" si="264"/>
        <v>2025</v>
      </c>
    </row>
    <row r="2771" spans="1:15" x14ac:dyDescent="0.3">
      <c r="A2771">
        <v>201766</v>
      </c>
      <c r="B2771" t="s">
        <v>101</v>
      </c>
      <c r="C2771" s="2">
        <v>45937</v>
      </c>
      <c r="D2771" s="2">
        <f t="shared" si="262"/>
        <v>45967</v>
      </c>
      <c r="E2771" s="1">
        <f>D2771</f>
        <v>45967</v>
      </c>
      <c r="F2771">
        <v>4060</v>
      </c>
      <c r="G2771">
        <v>30</v>
      </c>
      <c r="H2771">
        <f t="shared" si="261"/>
        <v>0</v>
      </c>
      <c r="I2771" t="str">
        <f t="shared" si="259"/>
        <v>On Time</v>
      </c>
      <c r="J2771" cm="1">
        <f t="array" ref="J2771">_xlfn.IFS(H2771&lt;30,0,H2771&lt;60,1,H2771&lt;90,2,H2771&lt;120,3)</f>
        <v>0</v>
      </c>
      <c r="M2771" t="str">
        <f t="shared" si="260"/>
        <v>Low</v>
      </c>
      <c r="N2771" t="str">
        <f t="shared" si="263"/>
        <v>Oct</v>
      </c>
      <c r="O2771">
        <f t="shared" si="264"/>
        <v>2025</v>
      </c>
    </row>
    <row r="2772" spans="1:15" x14ac:dyDescent="0.3">
      <c r="A2772">
        <v>201767</v>
      </c>
      <c r="B2772" t="s">
        <v>102</v>
      </c>
      <c r="C2772" s="2">
        <v>45937</v>
      </c>
      <c r="D2772" s="2">
        <f t="shared" si="262"/>
        <v>45967</v>
      </c>
      <c r="E2772" s="1">
        <f>D2772+2</f>
        <v>45969</v>
      </c>
      <c r="F2772">
        <v>3439</v>
      </c>
      <c r="G2772">
        <v>30</v>
      </c>
      <c r="H2772">
        <f t="shared" si="261"/>
        <v>0</v>
      </c>
      <c r="I2772" t="str">
        <f t="shared" si="259"/>
        <v>On Time</v>
      </c>
      <c r="J2772" cm="1">
        <f t="array" ref="J2772">_xlfn.IFS(H2772&lt;30,0,H2772&lt;60,1,H2772&lt;90,2,H2772&lt;120,3)</f>
        <v>0</v>
      </c>
      <c r="M2772" t="str">
        <f t="shared" si="260"/>
        <v>Low</v>
      </c>
      <c r="N2772" t="str">
        <f t="shared" si="263"/>
        <v>Oct</v>
      </c>
      <c r="O2772">
        <f t="shared" si="264"/>
        <v>2025</v>
      </c>
    </row>
    <row r="2773" spans="1:15" x14ac:dyDescent="0.3">
      <c r="A2773">
        <v>201768</v>
      </c>
      <c r="B2773" t="s">
        <v>103</v>
      </c>
      <c r="C2773" s="2">
        <v>45937</v>
      </c>
      <c r="D2773" s="2">
        <f t="shared" si="262"/>
        <v>45967</v>
      </c>
      <c r="E2773" s="1">
        <f>D2773+2</f>
        <v>45969</v>
      </c>
      <c r="F2773">
        <v>3438</v>
      </c>
      <c r="G2773">
        <v>30</v>
      </c>
      <c r="H2773">
        <f t="shared" si="261"/>
        <v>0</v>
      </c>
      <c r="I2773" t="str">
        <f t="shared" si="259"/>
        <v>On Time</v>
      </c>
      <c r="J2773" cm="1">
        <f t="array" ref="J2773">_xlfn.IFS(H2773&lt;30,0,H2773&lt;60,1,H2773&lt;90,2,H2773&lt;120,3)</f>
        <v>0</v>
      </c>
      <c r="M2773" t="str">
        <f t="shared" si="260"/>
        <v>Low</v>
      </c>
      <c r="N2773" t="str">
        <f t="shared" si="263"/>
        <v>Oct</v>
      </c>
      <c r="O2773">
        <f t="shared" si="264"/>
        <v>2025</v>
      </c>
    </row>
    <row r="2774" spans="1:15" x14ac:dyDescent="0.3">
      <c r="A2774">
        <v>201769</v>
      </c>
      <c r="B2774" t="s">
        <v>104</v>
      </c>
      <c r="C2774" s="2">
        <v>45937</v>
      </c>
      <c r="D2774" s="2">
        <f t="shared" si="262"/>
        <v>45967</v>
      </c>
      <c r="E2774" s="1">
        <f>D2774+2</f>
        <v>45969</v>
      </c>
      <c r="F2774">
        <v>6739</v>
      </c>
      <c r="G2774">
        <v>30</v>
      </c>
      <c r="H2774">
        <f t="shared" si="261"/>
        <v>0</v>
      </c>
      <c r="I2774" t="str">
        <f t="shared" ref="I2774:I2837" si="265">IF(H2774=0,"On Time",IF(H2774&lt;=15,"Paid Late","Seriously Late"))</f>
        <v>On Time</v>
      </c>
      <c r="J2774" cm="1">
        <f t="array" ref="J2774">_xlfn.IFS(H2774&lt;30,0,H2774&lt;60,1,H2774&lt;90,2,H2774&lt;120,3)</f>
        <v>0</v>
      </c>
      <c r="M2774" t="str">
        <f t="shared" ref="M2774:M2837" si="266">IF(H2774&gt;30,"High",IF(H2774&gt;10,"Medium","Low"))</f>
        <v>Low</v>
      </c>
      <c r="N2774" t="str">
        <f t="shared" si="263"/>
        <v>Oct</v>
      </c>
      <c r="O2774">
        <f t="shared" si="264"/>
        <v>2025</v>
      </c>
    </row>
    <row r="2775" spans="1:15" x14ac:dyDescent="0.3">
      <c r="A2775">
        <v>201770</v>
      </c>
      <c r="B2775" t="s">
        <v>105</v>
      </c>
      <c r="C2775" s="2">
        <v>45937</v>
      </c>
      <c r="D2775" s="2">
        <f t="shared" si="262"/>
        <v>45967</v>
      </c>
      <c r="E2775" s="1">
        <f>D2775</f>
        <v>45967</v>
      </c>
      <c r="F2775">
        <v>1292</v>
      </c>
      <c r="G2775">
        <v>30</v>
      </c>
      <c r="H2775">
        <f t="shared" si="261"/>
        <v>0</v>
      </c>
      <c r="I2775" t="str">
        <f t="shared" si="265"/>
        <v>On Time</v>
      </c>
      <c r="J2775" cm="1">
        <f t="array" ref="J2775">_xlfn.IFS(H2775&lt;30,0,H2775&lt;60,1,H2775&lt;90,2,H2775&lt;120,3)</f>
        <v>0</v>
      </c>
      <c r="M2775" t="str">
        <f t="shared" si="266"/>
        <v>Low</v>
      </c>
      <c r="N2775" t="str">
        <f t="shared" si="263"/>
        <v>Oct</v>
      </c>
      <c r="O2775">
        <f t="shared" si="264"/>
        <v>2025</v>
      </c>
    </row>
    <row r="2776" spans="1:15" x14ac:dyDescent="0.3">
      <c r="A2776">
        <v>201771</v>
      </c>
      <c r="B2776" t="s">
        <v>106</v>
      </c>
      <c r="C2776" s="2">
        <v>45937</v>
      </c>
      <c r="D2776" s="2">
        <f t="shared" si="262"/>
        <v>45967</v>
      </c>
      <c r="E2776" s="1">
        <f>D2776+20</f>
        <v>45987</v>
      </c>
      <c r="F2776">
        <v>1548</v>
      </c>
      <c r="G2776">
        <v>30</v>
      </c>
      <c r="H2776">
        <f t="shared" si="261"/>
        <v>0</v>
      </c>
      <c r="I2776" t="str">
        <f t="shared" si="265"/>
        <v>On Time</v>
      </c>
      <c r="J2776" cm="1">
        <f t="array" ref="J2776">_xlfn.IFS(H2776&lt;30,0,H2776&lt;60,1,H2776&lt;90,2,H2776&lt;120,3)</f>
        <v>0</v>
      </c>
      <c r="M2776" t="str">
        <f t="shared" si="266"/>
        <v>Low</v>
      </c>
      <c r="N2776" t="str">
        <f t="shared" si="263"/>
        <v>Oct</v>
      </c>
      <c r="O2776">
        <f t="shared" si="264"/>
        <v>2025</v>
      </c>
    </row>
    <row r="2777" spans="1:15" x14ac:dyDescent="0.3">
      <c r="A2777">
        <v>201772</v>
      </c>
      <c r="B2777" t="s">
        <v>107</v>
      </c>
      <c r="C2777" s="2">
        <v>45937</v>
      </c>
      <c r="D2777" s="2">
        <f t="shared" si="262"/>
        <v>45967</v>
      </c>
      <c r="E2777" s="1">
        <f>D2777</f>
        <v>45967</v>
      </c>
      <c r="F2777">
        <v>2708</v>
      </c>
      <c r="G2777">
        <v>30</v>
      </c>
      <c r="H2777">
        <f t="shared" si="261"/>
        <v>0</v>
      </c>
      <c r="I2777" t="str">
        <f t="shared" si="265"/>
        <v>On Time</v>
      </c>
      <c r="J2777" cm="1">
        <f t="array" ref="J2777">_xlfn.IFS(H2777&lt;30,0,H2777&lt;60,1,H2777&lt;90,2,H2777&lt;120,3)</f>
        <v>0</v>
      </c>
      <c r="M2777" t="str">
        <f t="shared" si="266"/>
        <v>Low</v>
      </c>
      <c r="N2777" t="str">
        <f t="shared" si="263"/>
        <v>Oct</v>
      </c>
      <c r="O2777">
        <f t="shared" si="264"/>
        <v>2025</v>
      </c>
    </row>
    <row r="2778" spans="1:15" x14ac:dyDescent="0.3">
      <c r="A2778">
        <v>201773</v>
      </c>
      <c r="B2778" t="s">
        <v>56</v>
      </c>
      <c r="C2778" s="2">
        <v>45937</v>
      </c>
      <c r="D2778" s="2">
        <f t="shared" si="262"/>
        <v>45982</v>
      </c>
      <c r="E2778" s="1">
        <f>D2778+1</f>
        <v>45983</v>
      </c>
      <c r="F2778">
        <v>1386</v>
      </c>
      <c r="G2778">
        <v>45</v>
      </c>
      <c r="H2778">
        <f t="shared" si="261"/>
        <v>0</v>
      </c>
      <c r="I2778" t="str">
        <f t="shared" si="265"/>
        <v>On Time</v>
      </c>
      <c r="J2778" cm="1">
        <f t="array" ref="J2778">_xlfn.IFS(H2778&lt;30,0,H2778&lt;60,1,H2778&lt;90,2,H2778&lt;120,3)</f>
        <v>0</v>
      </c>
      <c r="M2778" t="str">
        <f t="shared" si="266"/>
        <v>Low</v>
      </c>
      <c r="N2778" t="str">
        <f t="shared" si="263"/>
        <v>Oct</v>
      </c>
      <c r="O2778">
        <f t="shared" si="264"/>
        <v>2025</v>
      </c>
    </row>
    <row r="2779" spans="1:15" x14ac:dyDescent="0.3">
      <c r="A2779">
        <v>201774</v>
      </c>
      <c r="B2779" t="s">
        <v>57</v>
      </c>
      <c r="C2779" s="2">
        <v>45937</v>
      </c>
      <c r="D2779" s="2">
        <f t="shared" si="262"/>
        <v>45997</v>
      </c>
      <c r="E2779" s="1">
        <f>D2779</f>
        <v>45997</v>
      </c>
      <c r="F2779">
        <v>3930</v>
      </c>
      <c r="G2779">
        <v>60</v>
      </c>
      <c r="H2779">
        <f t="shared" si="261"/>
        <v>0</v>
      </c>
      <c r="I2779" t="str">
        <f t="shared" si="265"/>
        <v>On Time</v>
      </c>
      <c r="J2779" cm="1">
        <f t="array" ref="J2779">_xlfn.IFS(H2779&lt;30,0,H2779&lt;60,1,H2779&lt;90,2,H2779&lt;120,3)</f>
        <v>0</v>
      </c>
      <c r="M2779" t="str">
        <f t="shared" si="266"/>
        <v>Low</v>
      </c>
      <c r="N2779" t="str">
        <f t="shared" si="263"/>
        <v>Oct</v>
      </c>
      <c r="O2779">
        <f t="shared" si="264"/>
        <v>2025</v>
      </c>
    </row>
    <row r="2780" spans="1:15" x14ac:dyDescent="0.3">
      <c r="A2780">
        <v>201775</v>
      </c>
      <c r="B2780" t="s">
        <v>58</v>
      </c>
      <c r="C2780" s="2">
        <v>45937</v>
      </c>
      <c r="D2780" s="2">
        <f t="shared" si="262"/>
        <v>45967</v>
      </c>
      <c r="E2780" s="1">
        <f>D2780</f>
        <v>45967</v>
      </c>
      <c r="F2780">
        <v>4560</v>
      </c>
      <c r="G2780">
        <v>30</v>
      </c>
      <c r="H2780">
        <f t="shared" si="261"/>
        <v>0</v>
      </c>
      <c r="I2780" t="str">
        <f t="shared" si="265"/>
        <v>On Time</v>
      </c>
      <c r="J2780" cm="1">
        <f t="array" ref="J2780">_xlfn.IFS(H2780&lt;30,0,H2780&lt;60,1,H2780&lt;90,2,H2780&lt;120,3)</f>
        <v>0</v>
      </c>
      <c r="M2780" t="str">
        <f t="shared" si="266"/>
        <v>Low</v>
      </c>
      <c r="N2780" t="str">
        <f t="shared" si="263"/>
        <v>Oct</v>
      </c>
      <c r="O2780">
        <f t="shared" si="264"/>
        <v>2025</v>
      </c>
    </row>
    <row r="2781" spans="1:15" x14ac:dyDescent="0.3">
      <c r="A2781">
        <v>201776</v>
      </c>
      <c r="B2781" t="s">
        <v>59</v>
      </c>
      <c r="C2781" s="2">
        <v>45937</v>
      </c>
      <c r="D2781" s="2">
        <f t="shared" si="262"/>
        <v>45967</v>
      </c>
      <c r="E2781" s="1">
        <f>D2781+5</f>
        <v>45972</v>
      </c>
      <c r="F2781">
        <v>3335</v>
      </c>
      <c r="G2781">
        <v>30</v>
      </c>
      <c r="H2781">
        <f t="shared" si="261"/>
        <v>0</v>
      </c>
      <c r="I2781" t="str">
        <f t="shared" si="265"/>
        <v>On Time</v>
      </c>
      <c r="J2781" cm="1">
        <f t="array" ref="J2781">_xlfn.IFS(H2781&lt;30,0,H2781&lt;60,1,H2781&lt;90,2,H2781&lt;120,3)</f>
        <v>0</v>
      </c>
      <c r="M2781" t="str">
        <f t="shared" si="266"/>
        <v>Low</v>
      </c>
      <c r="N2781" t="str">
        <f t="shared" si="263"/>
        <v>Oct</v>
      </c>
      <c r="O2781">
        <f t="shared" si="264"/>
        <v>2025</v>
      </c>
    </row>
    <row r="2782" spans="1:15" x14ac:dyDescent="0.3">
      <c r="A2782">
        <v>201777</v>
      </c>
      <c r="B2782" t="s">
        <v>60</v>
      </c>
      <c r="C2782" s="2">
        <v>45937</v>
      </c>
      <c r="D2782" s="2">
        <f t="shared" si="262"/>
        <v>45967</v>
      </c>
      <c r="E2782" s="1">
        <f>D2782+2</f>
        <v>45969</v>
      </c>
      <c r="F2782">
        <v>4750</v>
      </c>
      <c r="G2782">
        <v>30</v>
      </c>
      <c r="H2782">
        <f t="shared" si="261"/>
        <v>0</v>
      </c>
      <c r="I2782" t="str">
        <f t="shared" si="265"/>
        <v>On Time</v>
      </c>
      <c r="J2782" cm="1">
        <f t="array" ref="J2782">_xlfn.IFS(H2782&lt;30,0,H2782&lt;60,1,H2782&lt;90,2,H2782&lt;120,3)</f>
        <v>0</v>
      </c>
      <c r="M2782" t="str">
        <f t="shared" si="266"/>
        <v>Low</v>
      </c>
      <c r="N2782" t="str">
        <f t="shared" si="263"/>
        <v>Oct</v>
      </c>
      <c r="O2782">
        <f t="shared" si="264"/>
        <v>2025</v>
      </c>
    </row>
    <row r="2783" spans="1:15" x14ac:dyDescent="0.3">
      <c r="A2783">
        <v>202200</v>
      </c>
      <c r="B2783" t="s">
        <v>26</v>
      </c>
      <c r="C2783" s="2">
        <v>45937</v>
      </c>
      <c r="D2783" s="2">
        <f t="shared" si="262"/>
        <v>45967</v>
      </c>
      <c r="E2783" s="1">
        <f>D2783+20</f>
        <v>45987</v>
      </c>
      <c r="F2783">
        <v>3550</v>
      </c>
      <c r="G2783">
        <v>30</v>
      </c>
      <c r="H2783">
        <f t="shared" si="261"/>
        <v>0</v>
      </c>
      <c r="I2783" t="str">
        <f t="shared" si="265"/>
        <v>On Time</v>
      </c>
      <c r="J2783" cm="1">
        <f t="array" ref="J2783">_xlfn.IFS(H2783&lt;30,0,H2783&lt;60,1,H2783&lt;90,2,H2783&lt;120,3)</f>
        <v>0</v>
      </c>
      <c r="M2783" t="str">
        <f t="shared" si="266"/>
        <v>Low</v>
      </c>
      <c r="N2783" t="str">
        <f t="shared" si="263"/>
        <v>Oct</v>
      </c>
      <c r="O2783">
        <f t="shared" si="264"/>
        <v>2025</v>
      </c>
    </row>
    <row r="2784" spans="1:15" x14ac:dyDescent="0.3">
      <c r="A2784">
        <v>202201</v>
      </c>
      <c r="B2784" t="s">
        <v>27</v>
      </c>
      <c r="C2784" s="2">
        <v>45937</v>
      </c>
      <c r="D2784" s="2">
        <f t="shared" si="262"/>
        <v>45997</v>
      </c>
      <c r="E2784" s="1">
        <f>D2784</f>
        <v>45997</v>
      </c>
      <c r="F2784">
        <v>1670</v>
      </c>
      <c r="G2784">
        <v>60</v>
      </c>
      <c r="H2784">
        <f t="shared" si="261"/>
        <v>0</v>
      </c>
      <c r="I2784" t="str">
        <f t="shared" si="265"/>
        <v>On Time</v>
      </c>
      <c r="J2784" cm="1">
        <f t="array" ref="J2784">_xlfn.IFS(H2784&lt;30,0,H2784&lt;60,1,H2784&lt;90,2,H2784&lt;120,3)</f>
        <v>0</v>
      </c>
      <c r="M2784" t="str">
        <f t="shared" si="266"/>
        <v>Low</v>
      </c>
      <c r="N2784" t="str">
        <f t="shared" si="263"/>
        <v>Oct</v>
      </c>
      <c r="O2784">
        <f t="shared" si="264"/>
        <v>2025</v>
      </c>
    </row>
    <row r="2785" spans="1:15" x14ac:dyDescent="0.3">
      <c r="A2785">
        <v>202202</v>
      </c>
      <c r="B2785" t="s">
        <v>28</v>
      </c>
      <c r="C2785" s="2">
        <v>45937</v>
      </c>
      <c r="D2785" s="2">
        <f t="shared" si="262"/>
        <v>45967</v>
      </c>
      <c r="E2785" s="1">
        <f>D2785+1</f>
        <v>45968</v>
      </c>
      <c r="F2785">
        <v>1091</v>
      </c>
      <c r="G2785">
        <v>30</v>
      </c>
      <c r="H2785">
        <f t="shared" si="261"/>
        <v>0</v>
      </c>
      <c r="I2785" t="str">
        <f t="shared" si="265"/>
        <v>On Time</v>
      </c>
      <c r="J2785" cm="1">
        <f t="array" ref="J2785">_xlfn.IFS(H2785&lt;30,0,H2785&lt;60,1,H2785&lt;90,2,H2785&lt;120,3)</f>
        <v>0</v>
      </c>
      <c r="M2785" t="str">
        <f t="shared" si="266"/>
        <v>Low</v>
      </c>
      <c r="N2785" t="str">
        <f t="shared" si="263"/>
        <v>Oct</v>
      </c>
      <c r="O2785">
        <f t="shared" si="264"/>
        <v>2025</v>
      </c>
    </row>
    <row r="2786" spans="1:15" x14ac:dyDescent="0.3">
      <c r="A2786">
        <v>202203</v>
      </c>
      <c r="B2786" t="s">
        <v>29</v>
      </c>
      <c r="C2786" s="2">
        <v>45937</v>
      </c>
      <c r="D2786" s="2">
        <f t="shared" si="262"/>
        <v>45967</v>
      </c>
      <c r="E2786" s="1">
        <f>D2786</f>
        <v>45967</v>
      </c>
      <c r="F2786">
        <v>17164</v>
      </c>
      <c r="G2786">
        <v>30</v>
      </c>
      <c r="H2786">
        <f t="shared" si="261"/>
        <v>0</v>
      </c>
      <c r="I2786" t="str">
        <f t="shared" si="265"/>
        <v>On Time</v>
      </c>
      <c r="J2786" cm="1">
        <f t="array" ref="J2786">_xlfn.IFS(H2786&lt;30,0,H2786&lt;60,1,H2786&lt;90,2,H2786&lt;120,3)</f>
        <v>0</v>
      </c>
      <c r="M2786" t="str">
        <f t="shared" si="266"/>
        <v>Low</v>
      </c>
      <c r="N2786" t="str">
        <f t="shared" si="263"/>
        <v>Oct</v>
      </c>
      <c r="O2786">
        <f t="shared" si="264"/>
        <v>2025</v>
      </c>
    </row>
    <row r="2787" spans="1:15" x14ac:dyDescent="0.3">
      <c r="A2787">
        <v>202204</v>
      </c>
      <c r="B2787" t="s">
        <v>30</v>
      </c>
      <c r="C2787" s="2">
        <v>45937</v>
      </c>
      <c r="D2787" s="2">
        <f t="shared" si="262"/>
        <v>45967</v>
      </c>
      <c r="E2787" s="1">
        <f>D2787</f>
        <v>45967</v>
      </c>
      <c r="F2787">
        <v>3833</v>
      </c>
      <c r="G2787">
        <v>30</v>
      </c>
      <c r="H2787">
        <f t="shared" si="261"/>
        <v>0</v>
      </c>
      <c r="I2787" t="str">
        <f t="shared" si="265"/>
        <v>On Time</v>
      </c>
      <c r="J2787" cm="1">
        <f t="array" ref="J2787">_xlfn.IFS(H2787&lt;30,0,H2787&lt;60,1,H2787&lt;90,2,H2787&lt;120,3)</f>
        <v>0</v>
      </c>
      <c r="M2787" t="str">
        <f t="shared" si="266"/>
        <v>Low</v>
      </c>
      <c r="N2787" t="str">
        <f t="shared" si="263"/>
        <v>Oct</v>
      </c>
      <c r="O2787">
        <f t="shared" si="264"/>
        <v>2025</v>
      </c>
    </row>
    <row r="2788" spans="1:15" x14ac:dyDescent="0.3">
      <c r="A2788">
        <v>202205</v>
      </c>
      <c r="B2788" t="s">
        <v>31</v>
      </c>
      <c r="C2788" s="2">
        <v>45937</v>
      </c>
      <c r="D2788" s="2">
        <f t="shared" si="262"/>
        <v>45982</v>
      </c>
      <c r="E2788" s="1">
        <f>D2788+5</f>
        <v>45987</v>
      </c>
      <c r="F2788">
        <v>4113</v>
      </c>
      <c r="G2788">
        <v>45</v>
      </c>
      <c r="H2788">
        <f t="shared" si="261"/>
        <v>0</v>
      </c>
      <c r="I2788" t="str">
        <f t="shared" si="265"/>
        <v>On Time</v>
      </c>
      <c r="J2788" cm="1">
        <f t="array" ref="J2788">_xlfn.IFS(H2788&lt;30,0,H2788&lt;60,1,H2788&lt;90,2,H2788&lt;120,3)</f>
        <v>0</v>
      </c>
      <c r="M2788" t="str">
        <f t="shared" si="266"/>
        <v>Low</v>
      </c>
      <c r="N2788" t="str">
        <f t="shared" si="263"/>
        <v>Oct</v>
      </c>
      <c r="O2788">
        <f t="shared" si="264"/>
        <v>2025</v>
      </c>
    </row>
    <row r="2789" spans="1:15" x14ac:dyDescent="0.3">
      <c r="A2789">
        <v>202206</v>
      </c>
      <c r="B2789" t="s">
        <v>39</v>
      </c>
      <c r="C2789" s="2">
        <v>45937</v>
      </c>
      <c r="D2789" s="2">
        <f t="shared" si="262"/>
        <v>45967</v>
      </c>
      <c r="E2789" s="1">
        <f>D2789+2</f>
        <v>45969</v>
      </c>
      <c r="F2789">
        <v>4977</v>
      </c>
      <c r="G2789">
        <v>30</v>
      </c>
      <c r="H2789">
        <f t="shared" si="261"/>
        <v>0</v>
      </c>
      <c r="I2789" t="str">
        <f t="shared" si="265"/>
        <v>On Time</v>
      </c>
      <c r="J2789" cm="1">
        <f t="array" ref="J2789">_xlfn.IFS(H2789&lt;30,0,H2789&lt;60,1,H2789&lt;90,2,H2789&lt;120,3)</f>
        <v>0</v>
      </c>
      <c r="M2789" t="str">
        <f t="shared" si="266"/>
        <v>Low</v>
      </c>
      <c r="N2789" t="str">
        <f t="shared" si="263"/>
        <v>Oct</v>
      </c>
      <c r="O2789">
        <f t="shared" si="264"/>
        <v>2025</v>
      </c>
    </row>
    <row r="2790" spans="1:15" x14ac:dyDescent="0.3">
      <c r="A2790">
        <v>202207</v>
      </c>
      <c r="B2790" t="s">
        <v>40</v>
      </c>
      <c r="C2790" s="2">
        <v>45937</v>
      </c>
      <c r="D2790" s="2">
        <f t="shared" si="262"/>
        <v>45967</v>
      </c>
      <c r="E2790" s="1">
        <f>D2790+5</f>
        <v>45972</v>
      </c>
      <c r="F2790">
        <v>19399</v>
      </c>
      <c r="G2790">
        <v>30</v>
      </c>
      <c r="H2790">
        <f t="shared" ref="H2790:H2853" si="267">MAX(0,P2755-D2790)</f>
        <v>0</v>
      </c>
      <c r="I2790" t="str">
        <f t="shared" si="265"/>
        <v>On Time</v>
      </c>
      <c r="J2790" cm="1">
        <f t="array" ref="J2790">_xlfn.IFS(H2790&lt;30,0,H2790&lt;60,1,H2790&lt;90,2,H2790&lt;120,3)</f>
        <v>0</v>
      </c>
      <c r="M2790" t="str">
        <f t="shared" si="266"/>
        <v>Low</v>
      </c>
      <c r="N2790" t="str">
        <f t="shared" si="263"/>
        <v>Oct</v>
      </c>
      <c r="O2790">
        <f t="shared" si="264"/>
        <v>2025</v>
      </c>
    </row>
    <row r="2791" spans="1:15" x14ac:dyDescent="0.3">
      <c r="A2791">
        <v>202208</v>
      </c>
      <c r="B2791" t="s">
        <v>41</v>
      </c>
      <c r="C2791" s="2">
        <v>45937</v>
      </c>
      <c r="D2791" s="2">
        <f t="shared" si="262"/>
        <v>45967</v>
      </c>
      <c r="E2791" s="1">
        <f>D2791</f>
        <v>45967</v>
      </c>
      <c r="F2791">
        <v>471</v>
      </c>
      <c r="G2791">
        <v>30</v>
      </c>
      <c r="H2791">
        <f t="shared" si="267"/>
        <v>0</v>
      </c>
      <c r="I2791" t="str">
        <f t="shared" si="265"/>
        <v>On Time</v>
      </c>
      <c r="J2791" cm="1">
        <f t="array" ref="J2791">_xlfn.IFS(H2791&lt;30,0,H2791&lt;60,1,H2791&lt;90,2,H2791&lt;120,3)</f>
        <v>0</v>
      </c>
      <c r="M2791" t="str">
        <f t="shared" si="266"/>
        <v>Low</v>
      </c>
      <c r="N2791" t="str">
        <f t="shared" si="263"/>
        <v>Oct</v>
      </c>
      <c r="O2791">
        <f t="shared" si="264"/>
        <v>2025</v>
      </c>
    </row>
    <row r="2792" spans="1:15" x14ac:dyDescent="0.3">
      <c r="A2792">
        <v>202209</v>
      </c>
      <c r="B2792" t="s">
        <v>42</v>
      </c>
      <c r="C2792" s="2">
        <v>45937</v>
      </c>
      <c r="D2792" s="2">
        <f t="shared" si="262"/>
        <v>45967</v>
      </c>
      <c r="E2792" s="1">
        <f>D2792</f>
        <v>45967</v>
      </c>
      <c r="F2792">
        <v>1514</v>
      </c>
      <c r="G2792">
        <v>30</v>
      </c>
      <c r="H2792">
        <f t="shared" si="267"/>
        <v>0</v>
      </c>
      <c r="I2792" t="str">
        <f t="shared" si="265"/>
        <v>On Time</v>
      </c>
      <c r="J2792" cm="1">
        <f t="array" ref="J2792">_xlfn.IFS(H2792&lt;30,0,H2792&lt;60,1,H2792&lt;90,2,H2792&lt;120,3)</f>
        <v>0</v>
      </c>
      <c r="M2792" t="str">
        <f t="shared" si="266"/>
        <v>Low</v>
      </c>
      <c r="N2792" t="str">
        <f t="shared" si="263"/>
        <v>Oct</v>
      </c>
      <c r="O2792">
        <f t="shared" si="264"/>
        <v>2025</v>
      </c>
    </row>
    <row r="2793" spans="1:15" x14ac:dyDescent="0.3">
      <c r="A2793">
        <v>202210</v>
      </c>
      <c r="B2793" t="s">
        <v>43</v>
      </c>
      <c r="C2793" s="2">
        <v>45937</v>
      </c>
      <c r="D2793" s="2">
        <f t="shared" si="262"/>
        <v>45967</v>
      </c>
      <c r="E2793" s="1">
        <f>D2793+60</f>
        <v>46027</v>
      </c>
      <c r="F2793">
        <v>2764</v>
      </c>
      <c r="G2793">
        <v>30</v>
      </c>
      <c r="H2793">
        <f t="shared" si="267"/>
        <v>0</v>
      </c>
      <c r="I2793" t="str">
        <f t="shared" si="265"/>
        <v>On Time</v>
      </c>
      <c r="J2793" cm="1">
        <f t="array" ref="J2793">_xlfn.IFS(H2793&lt;30,0,H2793&lt;60,1,H2793&lt;90,2,H2793&lt;120,3)</f>
        <v>0</v>
      </c>
      <c r="M2793" t="str">
        <f t="shared" si="266"/>
        <v>Low</v>
      </c>
      <c r="N2793" t="str">
        <f t="shared" si="263"/>
        <v>Oct</v>
      </c>
      <c r="O2793">
        <f t="shared" si="264"/>
        <v>2025</v>
      </c>
    </row>
    <row r="2794" spans="1:15" x14ac:dyDescent="0.3">
      <c r="A2794">
        <v>202211</v>
      </c>
      <c r="B2794" t="s">
        <v>44</v>
      </c>
      <c r="C2794" s="2">
        <v>45937</v>
      </c>
      <c r="D2794" s="2">
        <f t="shared" si="262"/>
        <v>45982</v>
      </c>
      <c r="E2794" s="1">
        <f>D2794</f>
        <v>45982</v>
      </c>
      <c r="F2794">
        <v>1318</v>
      </c>
      <c r="G2794">
        <v>45</v>
      </c>
      <c r="H2794">
        <f t="shared" si="267"/>
        <v>0</v>
      </c>
      <c r="I2794" t="str">
        <f t="shared" si="265"/>
        <v>On Time</v>
      </c>
      <c r="J2794" cm="1">
        <f t="array" ref="J2794">_xlfn.IFS(H2794&lt;30,0,H2794&lt;60,1,H2794&lt;90,2,H2794&lt;120,3)</f>
        <v>0</v>
      </c>
      <c r="M2794" t="str">
        <f t="shared" si="266"/>
        <v>Low</v>
      </c>
      <c r="N2794" t="str">
        <f t="shared" si="263"/>
        <v>Oct</v>
      </c>
      <c r="O2794">
        <f t="shared" si="264"/>
        <v>2025</v>
      </c>
    </row>
    <row r="2795" spans="1:15" x14ac:dyDescent="0.3">
      <c r="A2795">
        <v>202212</v>
      </c>
      <c r="B2795" t="s">
        <v>45</v>
      </c>
      <c r="C2795" s="2">
        <v>45937</v>
      </c>
      <c r="D2795" s="2">
        <f t="shared" si="262"/>
        <v>45982</v>
      </c>
      <c r="F2795">
        <v>2516</v>
      </c>
      <c r="G2795">
        <v>45</v>
      </c>
      <c r="H2795">
        <f t="shared" si="267"/>
        <v>0</v>
      </c>
      <c r="I2795" t="str">
        <f t="shared" si="265"/>
        <v>On Time</v>
      </c>
      <c r="J2795" cm="1">
        <f t="array" ref="J2795">_xlfn.IFS(H2795&lt;30,0,H2795&lt;60,1,H2795&lt;90,2,H2795&lt;120,3)</f>
        <v>0</v>
      </c>
      <c r="M2795" t="str">
        <f t="shared" si="266"/>
        <v>Low</v>
      </c>
      <c r="N2795" t="str">
        <f t="shared" si="263"/>
        <v>Oct</v>
      </c>
      <c r="O2795">
        <f t="shared" si="264"/>
        <v>2025</v>
      </c>
    </row>
    <row r="2796" spans="1:15" x14ac:dyDescent="0.3">
      <c r="A2796">
        <v>202213</v>
      </c>
      <c r="B2796" t="s">
        <v>46</v>
      </c>
      <c r="C2796" s="2">
        <v>45937</v>
      </c>
      <c r="D2796" s="2">
        <f t="shared" si="262"/>
        <v>45997</v>
      </c>
      <c r="E2796" s="1">
        <f>D2796+3</f>
        <v>46000</v>
      </c>
      <c r="F2796">
        <v>688</v>
      </c>
      <c r="G2796">
        <v>60</v>
      </c>
      <c r="H2796">
        <f t="shared" si="267"/>
        <v>0</v>
      </c>
      <c r="I2796" t="str">
        <f t="shared" si="265"/>
        <v>On Time</v>
      </c>
      <c r="J2796" cm="1">
        <f t="array" ref="J2796">_xlfn.IFS(H2796&lt;30,0,H2796&lt;60,1,H2796&lt;90,2,H2796&lt;120,3)</f>
        <v>0</v>
      </c>
      <c r="M2796" t="str">
        <f t="shared" si="266"/>
        <v>Low</v>
      </c>
      <c r="N2796" t="str">
        <f t="shared" si="263"/>
        <v>Oct</v>
      </c>
      <c r="O2796">
        <f t="shared" si="264"/>
        <v>2025</v>
      </c>
    </row>
    <row r="2797" spans="1:15" x14ac:dyDescent="0.3">
      <c r="A2797">
        <v>202214</v>
      </c>
      <c r="B2797" t="s">
        <v>114</v>
      </c>
      <c r="C2797" s="2">
        <v>45937</v>
      </c>
      <c r="D2797" s="2">
        <f t="shared" si="262"/>
        <v>45967</v>
      </c>
      <c r="E2797" s="1">
        <f>D2797+1</f>
        <v>45968</v>
      </c>
      <c r="F2797">
        <v>4860</v>
      </c>
      <c r="G2797">
        <v>30</v>
      </c>
      <c r="H2797">
        <f t="shared" si="267"/>
        <v>0</v>
      </c>
      <c r="I2797" t="str">
        <f t="shared" si="265"/>
        <v>On Time</v>
      </c>
      <c r="J2797" cm="1">
        <f t="array" ref="J2797">_xlfn.IFS(H2797&lt;30,0,H2797&lt;60,1,H2797&lt;90,2,H2797&lt;120,3)</f>
        <v>0</v>
      </c>
      <c r="M2797" t="str">
        <f t="shared" si="266"/>
        <v>Low</v>
      </c>
      <c r="N2797" t="str">
        <f t="shared" si="263"/>
        <v>Oct</v>
      </c>
      <c r="O2797">
        <f t="shared" si="264"/>
        <v>2025</v>
      </c>
    </row>
    <row r="2798" spans="1:15" x14ac:dyDescent="0.3">
      <c r="A2798">
        <v>202215</v>
      </c>
      <c r="B2798" t="s">
        <v>115</v>
      </c>
      <c r="C2798" s="2">
        <v>45937</v>
      </c>
      <c r="D2798" s="2">
        <f t="shared" si="262"/>
        <v>45967</v>
      </c>
      <c r="E2798" s="1">
        <f>D2798-1</f>
        <v>45966</v>
      </c>
      <c r="F2798">
        <v>2434</v>
      </c>
      <c r="G2798">
        <v>30</v>
      </c>
      <c r="H2798">
        <f t="shared" si="267"/>
        <v>0</v>
      </c>
      <c r="I2798" t="str">
        <f t="shared" si="265"/>
        <v>On Time</v>
      </c>
      <c r="J2798" cm="1">
        <f t="array" ref="J2798">_xlfn.IFS(H2798&lt;30,0,H2798&lt;60,1,H2798&lt;90,2,H2798&lt;120,3)</f>
        <v>0</v>
      </c>
      <c r="M2798" t="str">
        <f t="shared" si="266"/>
        <v>Low</v>
      </c>
      <c r="N2798" t="str">
        <f t="shared" si="263"/>
        <v>Oct</v>
      </c>
      <c r="O2798">
        <f t="shared" si="264"/>
        <v>2025</v>
      </c>
    </row>
    <row r="2799" spans="1:15" x14ac:dyDescent="0.3">
      <c r="A2799">
        <v>202216</v>
      </c>
      <c r="B2799" t="s">
        <v>116</v>
      </c>
      <c r="C2799" s="2">
        <v>45937</v>
      </c>
      <c r="D2799" s="2">
        <f t="shared" si="262"/>
        <v>45967</v>
      </c>
      <c r="E2799" s="1">
        <f>D2799</f>
        <v>45967</v>
      </c>
      <c r="F2799">
        <v>2465</v>
      </c>
      <c r="G2799">
        <v>30</v>
      </c>
      <c r="H2799">
        <f t="shared" si="267"/>
        <v>0</v>
      </c>
      <c r="I2799" t="str">
        <f t="shared" si="265"/>
        <v>On Time</v>
      </c>
      <c r="J2799" cm="1">
        <f t="array" ref="J2799">_xlfn.IFS(H2799&lt;30,0,H2799&lt;60,1,H2799&lt;90,2,H2799&lt;120,3)</f>
        <v>0</v>
      </c>
      <c r="M2799" t="str">
        <f t="shared" si="266"/>
        <v>Low</v>
      </c>
      <c r="N2799" t="str">
        <f t="shared" si="263"/>
        <v>Oct</v>
      </c>
      <c r="O2799">
        <f t="shared" si="264"/>
        <v>2025</v>
      </c>
    </row>
    <row r="2800" spans="1:15" x14ac:dyDescent="0.3">
      <c r="A2800">
        <v>202217</v>
      </c>
      <c r="B2800" t="s">
        <v>117</v>
      </c>
      <c r="C2800" s="2">
        <v>45937</v>
      </c>
      <c r="D2800" s="2">
        <f t="shared" si="262"/>
        <v>45967</v>
      </c>
      <c r="E2800" s="1">
        <f>D2800-5</f>
        <v>45962</v>
      </c>
      <c r="F2800">
        <v>2718</v>
      </c>
      <c r="G2800">
        <v>30</v>
      </c>
      <c r="H2800">
        <f t="shared" si="267"/>
        <v>0</v>
      </c>
      <c r="I2800" t="str">
        <f t="shared" si="265"/>
        <v>On Time</v>
      </c>
      <c r="J2800" cm="1">
        <f t="array" ref="J2800">_xlfn.IFS(H2800&lt;30,0,H2800&lt;60,1,H2800&lt;90,2,H2800&lt;120,3)</f>
        <v>0</v>
      </c>
      <c r="M2800" t="str">
        <f t="shared" si="266"/>
        <v>Low</v>
      </c>
      <c r="N2800" t="str">
        <f t="shared" si="263"/>
        <v>Oct</v>
      </c>
      <c r="O2800">
        <f t="shared" si="264"/>
        <v>2025</v>
      </c>
    </row>
    <row r="2801" spans="1:15" x14ac:dyDescent="0.3">
      <c r="A2801">
        <v>201739</v>
      </c>
      <c r="B2801" t="s">
        <v>81</v>
      </c>
      <c r="C2801" s="2">
        <v>45936</v>
      </c>
      <c r="D2801" s="2">
        <f t="shared" si="262"/>
        <v>45966</v>
      </c>
      <c r="E2801" s="1">
        <f>D2801</f>
        <v>45966</v>
      </c>
      <c r="F2801">
        <v>4654</v>
      </c>
      <c r="G2801">
        <v>30</v>
      </c>
      <c r="H2801">
        <f t="shared" si="267"/>
        <v>0</v>
      </c>
      <c r="I2801" t="str">
        <f t="shared" si="265"/>
        <v>On Time</v>
      </c>
      <c r="J2801" cm="1">
        <f t="array" ref="J2801">_xlfn.IFS(H2801&lt;30,0,H2801&lt;60,1,H2801&lt;90,2,H2801&lt;120,3)</f>
        <v>0</v>
      </c>
      <c r="M2801" t="str">
        <f t="shared" si="266"/>
        <v>Low</v>
      </c>
      <c r="N2801" t="str">
        <f t="shared" si="263"/>
        <v>Oct</v>
      </c>
      <c r="O2801">
        <f t="shared" si="264"/>
        <v>2025</v>
      </c>
    </row>
    <row r="2802" spans="1:15" x14ac:dyDescent="0.3">
      <c r="A2802">
        <v>201740</v>
      </c>
      <c r="B2802" t="s">
        <v>82</v>
      </c>
      <c r="C2802" s="2">
        <v>45936</v>
      </c>
      <c r="D2802" s="2">
        <f t="shared" si="262"/>
        <v>45981</v>
      </c>
      <c r="E2802" s="1">
        <f>D2802+1</f>
        <v>45982</v>
      </c>
      <c r="F2802">
        <v>1587</v>
      </c>
      <c r="G2802">
        <v>45</v>
      </c>
      <c r="H2802">
        <f t="shared" si="267"/>
        <v>0</v>
      </c>
      <c r="I2802" t="str">
        <f t="shared" si="265"/>
        <v>On Time</v>
      </c>
      <c r="J2802" cm="1">
        <f t="array" ref="J2802">_xlfn.IFS(H2802&lt;30,0,H2802&lt;60,1,H2802&lt;90,2,H2802&lt;120,3)</f>
        <v>0</v>
      </c>
      <c r="M2802" t="str">
        <f t="shared" si="266"/>
        <v>Low</v>
      </c>
      <c r="N2802" t="str">
        <f t="shared" si="263"/>
        <v>Oct</v>
      </c>
      <c r="O2802">
        <f t="shared" si="264"/>
        <v>2025</v>
      </c>
    </row>
    <row r="2803" spans="1:15" x14ac:dyDescent="0.3">
      <c r="A2803">
        <v>201741</v>
      </c>
      <c r="B2803" t="s">
        <v>83</v>
      </c>
      <c r="C2803" s="2">
        <v>45936</v>
      </c>
      <c r="D2803" s="2">
        <f t="shared" si="262"/>
        <v>45981</v>
      </c>
      <c r="E2803" s="1">
        <f>D2803</f>
        <v>45981</v>
      </c>
      <c r="F2803">
        <v>1361</v>
      </c>
      <c r="G2803">
        <v>45</v>
      </c>
      <c r="H2803">
        <f t="shared" si="267"/>
        <v>0</v>
      </c>
      <c r="I2803" t="str">
        <f t="shared" si="265"/>
        <v>On Time</v>
      </c>
      <c r="J2803" cm="1">
        <f t="array" ref="J2803">_xlfn.IFS(H2803&lt;30,0,H2803&lt;60,1,H2803&lt;90,2,H2803&lt;120,3)</f>
        <v>0</v>
      </c>
      <c r="M2803" t="str">
        <f t="shared" si="266"/>
        <v>Low</v>
      </c>
      <c r="N2803" t="str">
        <f t="shared" si="263"/>
        <v>Oct</v>
      </c>
      <c r="O2803">
        <f t="shared" si="264"/>
        <v>2025</v>
      </c>
    </row>
    <row r="2804" spans="1:15" x14ac:dyDescent="0.3">
      <c r="A2804">
        <v>201742</v>
      </c>
      <c r="B2804" t="s">
        <v>84</v>
      </c>
      <c r="C2804" s="2">
        <v>45936</v>
      </c>
      <c r="D2804" s="2">
        <f t="shared" si="262"/>
        <v>45996</v>
      </c>
      <c r="E2804" s="1">
        <f>D2804</f>
        <v>45996</v>
      </c>
      <c r="F2804">
        <v>3254</v>
      </c>
      <c r="G2804">
        <v>60</v>
      </c>
      <c r="H2804">
        <f t="shared" si="267"/>
        <v>0</v>
      </c>
      <c r="I2804" t="str">
        <f t="shared" si="265"/>
        <v>On Time</v>
      </c>
      <c r="J2804" cm="1">
        <f t="array" ref="J2804">_xlfn.IFS(H2804&lt;30,0,H2804&lt;60,1,H2804&lt;90,2,H2804&lt;120,3)</f>
        <v>0</v>
      </c>
      <c r="M2804" t="str">
        <f t="shared" si="266"/>
        <v>Low</v>
      </c>
      <c r="N2804" t="str">
        <f t="shared" si="263"/>
        <v>Oct</v>
      </c>
      <c r="O2804">
        <f t="shared" si="264"/>
        <v>2025</v>
      </c>
    </row>
    <row r="2805" spans="1:15" x14ac:dyDescent="0.3">
      <c r="A2805">
        <v>201743</v>
      </c>
      <c r="B2805" t="s">
        <v>92</v>
      </c>
      <c r="C2805" s="2">
        <v>45936</v>
      </c>
      <c r="D2805" s="2">
        <f t="shared" si="262"/>
        <v>45966</v>
      </c>
      <c r="E2805" s="1">
        <f>D2805+5</f>
        <v>45971</v>
      </c>
      <c r="F2805">
        <v>1455</v>
      </c>
      <c r="G2805">
        <v>30</v>
      </c>
      <c r="H2805">
        <f t="shared" si="267"/>
        <v>0</v>
      </c>
      <c r="I2805" t="str">
        <f t="shared" si="265"/>
        <v>On Time</v>
      </c>
      <c r="J2805" cm="1">
        <f t="array" ref="J2805">_xlfn.IFS(H2805&lt;30,0,H2805&lt;60,1,H2805&lt;90,2,H2805&lt;120,3)</f>
        <v>0</v>
      </c>
      <c r="M2805" t="str">
        <f t="shared" si="266"/>
        <v>Low</v>
      </c>
      <c r="N2805" t="str">
        <f t="shared" si="263"/>
        <v>Oct</v>
      </c>
      <c r="O2805">
        <f t="shared" si="264"/>
        <v>2025</v>
      </c>
    </row>
    <row r="2806" spans="1:15" x14ac:dyDescent="0.3">
      <c r="A2806">
        <v>201744</v>
      </c>
      <c r="B2806" t="s">
        <v>93</v>
      </c>
      <c r="C2806" s="2">
        <v>45936</v>
      </c>
      <c r="D2806" s="2">
        <f t="shared" si="262"/>
        <v>45966</v>
      </c>
      <c r="E2806" s="1">
        <f>D2806+2</f>
        <v>45968</v>
      </c>
      <c r="F2806">
        <v>1009</v>
      </c>
      <c r="G2806">
        <v>30</v>
      </c>
      <c r="H2806">
        <f t="shared" si="267"/>
        <v>0</v>
      </c>
      <c r="I2806" t="str">
        <f t="shared" si="265"/>
        <v>On Time</v>
      </c>
      <c r="J2806" cm="1">
        <f t="array" ref="J2806">_xlfn.IFS(H2806&lt;30,0,H2806&lt;60,1,H2806&lt;90,2,H2806&lt;120,3)</f>
        <v>0</v>
      </c>
      <c r="M2806" t="str">
        <f t="shared" si="266"/>
        <v>Low</v>
      </c>
      <c r="N2806" t="str">
        <f t="shared" si="263"/>
        <v>Oct</v>
      </c>
      <c r="O2806">
        <f t="shared" si="264"/>
        <v>2025</v>
      </c>
    </row>
    <row r="2807" spans="1:15" x14ac:dyDescent="0.3">
      <c r="A2807">
        <v>201745</v>
      </c>
      <c r="B2807" t="s">
        <v>94</v>
      </c>
      <c r="C2807" s="2">
        <v>45936</v>
      </c>
      <c r="D2807" s="2">
        <f t="shared" si="262"/>
        <v>45966</v>
      </c>
      <c r="E2807" s="1">
        <f>D2807+5</f>
        <v>45971</v>
      </c>
      <c r="F2807">
        <v>4079</v>
      </c>
      <c r="G2807">
        <v>30</v>
      </c>
      <c r="H2807">
        <f t="shared" si="267"/>
        <v>0</v>
      </c>
      <c r="I2807" t="str">
        <f t="shared" si="265"/>
        <v>On Time</v>
      </c>
      <c r="J2807" cm="1">
        <f t="array" ref="J2807">_xlfn.IFS(H2807&lt;30,0,H2807&lt;60,1,H2807&lt;90,2,H2807&lt;120,3)</f>
        <v>0</v>
      </c>
      <c r="M2807" t="str">
        <f t="shared" si="266"/>
        <v>Low</v>
      </c>
      <c r="N2807" t="str">
        <f t="shared" si="263"/>
        <v>Oct</v>
      </c>
      <c r="O2807">
        <f t="shared" si="264"/>
        <v>2025</v>
      </c>
    </row>
    <row r="2808" spans="1:15" x14ac:dyDescent="0.3">
      <c r="A2808">
        <v>201746</v>
      </c>
      <c r="B2808" t="s">
        <v>95</v>
      </c>
      <c r="C2808" s="2">
        <v>45936</v>
      </c>
      <c r="D2808" s="2">
        <f t="shared" si="262"/>
        <v>45981</v>
      </c>
      <c r="E2808" s="1">
        <f>D2808</f>
        <v>45981</v>
      </c>
      <c r="F2808">
        <v>1411</v>
      </c>
      <c r="G2808">
        <v>45</v>
      </c>
      <c r="H2808">
        <f t="shared" si="267"/>
        <v>0</v>
      </c>
      <c r="I2808" t="str">
        <f t="shared" si="265"/>
        <v>On Time</v>
      </c>
      <c r="J2808" cm="1">
        <f t="array" ref="J2808">_xlfn.IFS(H2808&lt;30,0,H2808&lt;60,1,H2808&lt;90,2,H2808&lt;120,3)</f>
        <v>0</v>
      </c>
      <c r="M2808" t="str">
        <f t="shared" si="266"/>
        <v>Low</v>
      </c>
      <c r="N2808" t="str">
        <f t="shared" si="263"/>
        <v>Oct</v>
      </c>
      <c r="O2808">
        <f t="shared" si="264"/>
        <v>2025</v>
      </c>
    </row>
    <row r="2809" spans="1:15" x14ac:dyDescent="0.3">
      <c r="A2809">
        <v>201747</v>
      </c>
      <c r="B2809" t="s">
        <v>96</v>
      </c>
      <c r="C2809" s="2">
        <v>45936</v>
      </c>
      <c r="D2809" s="2">
        <f t="shared" si="262"/>
        <v>45996</v>
      </c>
      <c r="E2809" s="1">
        <f>D2809</f>
        <v>45996</v>
      </c>
      <c r="F2809">
        <v>2586</v>
      </c>
      <c r="G2809">
        <v>60</v>
      </c>
      <c r="H2809">
        <f t="shared" si="267"/>
        <v>0</v>
      </c>
      <c r="I2809" t="str">
        <f t="shared" si="265"/>
        <v>On Time</v>
      </c>
      <c r="J2809" cm="1">
        <f t="array" ref="J2809">_xlfn.IFS(H2809&lt;30,0,H2809&lt;60,1,H2809&lt;90,2,H2809&lt;120,3)</f>
        <v>0</v>
      </c>
      <c r="M2809" t="str">
        <f t="shared" si="266"/>
        <v>Low</v>
      </c>
      <c r="N2809" t="str">
        <f t="shared" si="263"/>
        <v>Oct</v>
      </c>
      <c r="O2809">
        <f t="shared" si="264"/>
        <v>2025</v>
      </c>
    </row>
    <row r="2810" spans="1:15" x14ac:dyDescent="0.3">
      <c r="A2810">
        <v>201748</v>
      </c>
      <c r="B2810" t="s">
        <v>97</v>
      </c>
      <c r="C2810" s="2">
        <v>45936</v>
      </c>
      <c r="D2810" s="2">
        <f t="shared" si="262"/>
        <v>45966</v>
      </c>
      <c r="E2810" s="1">
        <f>D2810+60</f>
        <v>46026</v>
      </c>
      <c r="F2810">
        <v>349</v>
      </c>
      <c r="G2810">
        <v>30</v>
      </c>
      <c r="H2810">
        <f t="shared" si="267"/>
        <v>0</v>
      </c>
      <c r="I2810" t="str">
        <f t="shared" si="265"/>
        <v>On Time</v>
      </c>
      <c r="J2810" cm="1">
        <f t="array" ref="J2810">_xlfn.IFS(H2810&lt;30,0,H2810&lt;60,1,H2810&lt;90,2,H2810&lt;120,3)</f>
        <v>0</v>
      </c>
      <c r="M2810" t="str">
        <f t="shared" si="266"/>
        <v>Low</v>
      </c>
      <c r="N2810" t="str">
        <f t="shared" si="263"/>
        <v>Oct</v>
      </c>
      <c r="O2810">
        <f t="shared" si="264"/>
        <v>2025</v>
      </c>
    </row>
    <row r="2811" spans="1:15" x14ac:dyDescent="0.3">
      <c r="A2811">
        <v>201749</v>
      </c>
      <c r="B2811" t="s">
        <v>98</v>
      </c>
      <c r="C2811" s="2">
        <v>45936</v>
      </c>
      <c r="D2811" s="2">
        <f t="shared" si="262"/>
        <v>45966</v>
      </c>
      <c r="E2811" s="1">
        <f>D2811</f>
        <v>45966</v>
      </c>
      <c r="F2811">
        <v>4014</v>
      </c>
      <c r="G2811">
        <v>30</v>
      </c>
      <c r="H2811">
        <f t="shared" si="267"/>
        <v>0</v>
      </c>
      <c r="I2811" t="str">
        <f t="shared" si="265"/>
        <v>On Time</v>
      </c>
      <c r="J2811" cm="1">
        <f t="array" ref="J2811">_xlfn.IFS(H2811&lt;30,0,H2811&lt;60,1,H2811&lt;90,2,H2811&lt;120,3)</f>
        <v>0</v>
      </c>
      <c r="M2811" t="str">
        <f t="shared" si="266"/>
        <v>Low</v>
      </c>
      <c r="N2811" t="str">
        <f t="shared" si="263"/>
        <v>Oct</v>
      </c>
      <c r="O2811">
        <f t="shared" si="264"/>
        <v>2025</v>
      </c>
    </row>
    <row r="2812" spans="1:15" x14ac:dyDescent="0.3">
      <c r="A2812">
        <v>201750</v>
      </c>
      <c r="B2812" t="s">
        <v>99</v>
      </c>
      <c r="C2812" s="2">
        <v>45936</v>
      </c>
      <c r="D2812" s="2">
        <f t="shared" si="262"/>
        <v>45966</v>
      </c>
      <c r="F2812">
        <v>1077</v>
      </c>
      <c r="G2812">
        <v>30</v>
      </c>
      <c r="H2812">
        <f t="shared" si="267"/>
        <v>0</v>
      </c>
      <c r="I2812" t="str">
        <f t="shared" si="265"/>
        <v>On Time</v>
      </c>
      <c r="J2812" cm="1">
        <f t="array" ref="J2812">_xlfn.IFS(H2812&lt;30,0,H2812&lt;60,1,H2812&lt;90,2,H2812&lt;120,3)</f>
        <v>0</v>
      </c>
      <c r="M2812" t="str">
        <f t="shared" si="266"/>
        <v>Low</v>
      </c>
      <c r="N2812" t="str">
        <f t="shared" si="263"/>
        <v>Oct</v>
      </c>
      <c r="O2812">
        <f t="shared" si="264"/>
        <v>2025</v>
      </c>
    </row>
    <row r="2813" spans="1:15" x14ac:dyDescent="0.3">
      <c r="A2813">
        <v>201751</v>
      </c>
      <c r="B2813" t="s">
        <v>100</v>
      </c>
      <c r="C2813" s="2">
        <v>45936</v>
      </c>
      <c r="D2813" s="2">
        <f t="shared" si="262"/>
        <v>45966</v>
      </c>
      <c r="E2813" s="1">
        <f>D2813+3</f>
        <v>45969</v>
      </c>
      <c r="F2813">
        <v>874</v>
      </c>
      <c r="G2813">
        <v>30</v>
      </c>
      <c r="H2813">
        <f t="shared" si="267"/>
        <v>0</v>
      </c>
      <c r="I2813" t="str">
        <f t="shared" si="265"/>
        <v>On Time</v>
      </c>
      <c r="J2813" cm="1">
        <f t="array" ref="J2813">_xlfn.IFS(H2813&lt;30,0,H2813&lt;60,1,H2813&lt;90,2,H2813&lt;120,3)</f>
        <v>0</v>
      </c>
      <c r="M2813" t="str">
        <f t="shared" si="266"/>
        <v>Low</v>
      </c>
      <c r="N2813" t="str">
        <f t="shared" si="263"/>
        <v>Oct</v>
      </c>
      <c r="O2813">
        <f t="shared" si="264"/>
        <v>2025</v>
      </c>
    </row>
    <row r="2814" spans="1:15" x14ac:dyDescent="0.3">
      <c r="A2814">
        <v>201752</v>
      </c>
      <c r="B2814" t="s">
        <v>101</v>
      </c>
      <c r="C2814" s="2">
        <v>45936</v>
      </c>
      <c r="D2814" s="2">
        <f t="shared" si="262"/>
        <v>45966</v>
      </c>
      <c r="E2814" s="1">
        <f>D2814+1</f>
        <v>45967</v>
      </c>
      <c r="F2814">
        <v>14145</v>
      </c>
      <c r="G2814">
        <v>30</v>
      </c>
      <c r="H2814">
        <f t="shared" si="267"/>
        <v>0</v>
      </c>
      <c r="I2814" t="str">
        <f t="shared" si="265"/>
        <v>On Time</v>
      </c>
      <c r="J2814" cm="1">
        <f t="array" ref="J2814">_xlfn.IFS(H2814&lt;30,0,H2814&lt;60,1,H2814&lt;90,2,H2814&lt;120,3)</f>
        <v>0</v>
      </c>
      <c r="M2814" t="str">
        <f t="shared" si="266"/>
        <v>Low</v>
      </c>
      <c r="N2814" t="str">
        <f t="shared" si="263"/>
        <v>Oct</v>
      </c>
      <c r="O2814">
        <f t="shared" si="264"/>
        <v>2025</v>
      </c>
    </row>
    <row r="2815" spans="1:15" x14ac:dyDescent="0.3">
      <c r="A2815">
        <v>201753</v>
      </c>
      <c r="B2815" t="s">
        <v>102</v>
      </c>
      <c r="C2815" s="2">
        <v>45936</v>
      </c>
      <c r="D2815" s="2">
        <f t="shared" si="262"/>
        <v>45966</v>
      </c>
      <c r="E2815" s="1">
        <f>D2815-1</f>
        <v>45965</v>
      </c>
      <c r="F2815">
        <v>635</v>
      </c>
      <c r="G2815">
        <v>30</v>
      </c>
      <c r="H2815">
        <f t="shared" si="267"/>
        <v>0</v>
      </c>
      <c r="I2815" t="str">
        <f t="shared" si="265"/>
        <v>On Time</v>
      </c>
      <c r="J2815" cm="1">
        <f t="array" ref="J2815">_xlfn.IFS(H2815&lt;30,0,H2815&lt;60,1,H2815&lt;90,2,H2815&lt;120,3)</f>
        <v>0</v>
      </c>
      <c r="M2815" t="str">
        <f t="shared" si="266"/>
        <v>Low</v>
      </c>
      <c r="N2815" t="str">
        <f t="shared" si="263"/>
        <v>Oct</v>
      </c>
      <c r="O2815">
        <f t="shared" si="264"/>
        <v>2025</v>
      </c>
    </row>
    <row r="2816" spans="1:15" x14ac:dyDescent="0.3">
      <c r="A2816">
        <v>201754</v>
      </c>
      <c r="B2816" t="s">
        <v>38</v>
      </c>
      <c r="C2816" s="2">
        <v>45936</v>
      </c>
      <c r="D2816" s="2">
        <f t="shared" si="262"/>
        <v>45966</v>
      </c>
      <c r="E2816" s="1">
        <f>D2816</f>
        <v>45966</v>
      </c>
      <c r="F2816">
        <v>3978</v>
      </c>
      <c r="G2816">
        <v>30</v>
      </c>
      <c r="H2816">
        <f t="shared" si="267"/>
        <v>0</v>
      </c>
      <c r="I2816" t="str">
        <f t="shared" si="265"/>
        <v>On Time</v>
      </c>
      <c r="J2816" cm="1">
        <f t="array" ref="J2816">_xlfn.IFS(H2816&lt;30,0,H2816&lt;60,1,H2816&lt;90,2,H2816&lt;120,3)</f>
        <v>0</v>
      </c>
      <c r="M2816" t="str">
        <f t="shared" si="266"/>
        <v>Low</v>
      </c>
      <c r="N2816" t="str">
        <f t="shared" si="263"/>
        <v>Oct</v>
      </c>
      <c r="O2816">
        <f t="shared" si="264"/>
        <v>2025</v>
      </c>
    </row>
    <row r="2817" spans="1:15" x14ac:dyDescent="0.3">
      <c r="A2817">
        <v>201755</v>
      </c>
      <c r="B2817" t="s">
        <v>39</v>
      </c>
      <c r="C2817" s="2">
        <v>45936</v>
      </c>
      <c r="D2817" s="2">
        <f t="shared" si="262"/>
        <v>45966</v>
      </c>
      <c r="E2817" s="1">
        <f>D2817-5</f>
        <v>45961</v>
      </c>
      <c r="F2817">
        <v>1993</v>
      </c>
      <c r="G2817">
        <v>30</v>
      </c>
      <c r="H2817">
        <f t="shared" si="267"/>
        <v>0</v>
      </c>
      <c r="I2817" t="str">
        <f t="shared" si="265"/>
        <v>On Time</v>
      </c>
      <c r="J2817" cm="1">
        <f t="array" ref="J2817">_xlfn.IFS(H2817&lt;30,0,H2817&lt;60,1,H2817&lt;90,2,H2817&lt;120,3)</f>
        <v>0</v>
      </c>
      <c r="M2817" t="str">
        <f t="shared" si="266"/>
        <v>Low</v>
      </c>
      <c r="N2817" t="str">
        <f t="shared" si="263"/>
        <v>Oct</v>
      </c>
      <c r="O2817">
        <f t="shared" si="264"/>
        <v>2025</v>
      </c>
    </row>
    <row r="2818" spans="1:15" x14ac:dyDescent="0.3">
      <c r="A2818">
        <v>201756</v>
      </c>
      <c r="B2818" t="s">
        <v>40</v>
      </c>
      <c r="C2818" s="2">
        <v>45936</v>
      </c>
      <c r="D2818" s="2">
        <f t="shared" ref="D2818:D2881" si="268">C2818+G2818</f>
        <v>45966</v>
      </c>
      <c r="E2818" s="1">
        <f>D2818+35</f>
        <v>46001</v>
      </c>
      <c r="F2818">
        <v>4347</v>
      </c>
      <c r="G2818">
        <v>30</v>
      </c>
      <c r="H2818">
        <f t="shared" si="267"/>
        <v>0</v>
      </c>
      <c r="I2818" t="str">
        <f t="shared" si="265"/>
        <v>On Time</v>
      </c>
      <c r="J2818" cm="1">
        <f t="array" ref="J2818">_xlfn.IFS(H2818&lt;30,0,H2818&lt;60,1,H2818&lt;90,2,H2818&lt;120,3)</f>
        <v>0</v>
      </c>
      <c r="M2818" t="str">
        <f t="shared" si="266"/>
        <v>Low</v>
      </c>
      <c r="N2818" t="str">
        <f t="shared" ref="N2818:N2881" si="269">TEXT(C2818,"mmm")</f>
        <v>Oct</v>
      </c>
      <c r="O2818">
        <f t="shared" ref="O2818:O2881" si="270">YEAR(C2818)</f>
        <v>2025</v>
      </c>
    </row>
    <row r="2819" spans="1:15" x14ac:dyDescent="0.3">
      <c r="A2819">
        <v>201719</v>
      </c>
      <c r="B2819" t="s">
        <v>41</v>
      </c>
      <c r="C2819" s="2">
        <v>45933</v>
      </c>
      <c r="D2819" s="2">
        <f t="shared" si="268"/>
        <v>45963</v>
      </c>
      <c r="E2819" s="1">
        <f>D2819+1</f>
        <v>45964</v>
      </c>
      <c r="F2819">
        <v>2631</v>
      </c>
      <c r="G2819">
        <v>30</v>
      </c>
      <c r="H2819">
        <f t="shared" si="267"/>
        <v>0</v>
      </c>
      <c r="I2819" t="str">
        <f t="shared" si="265"/>
        <v>On Time</v>
      </c>
      <c r="J2819" cm="1">
        <f t="array" ref="J2819">_xlfn.IFS(H2819&lt;30,0,H2819&lt;60,1,H2819&lt;90,2,H2819&lt;120,3)</f>
        <v>0</v>
      </c>
      <c r="M2819" t="str">
        <f t="shared" si="266"/>
        <v>Low</v>
      </c>
      <c r="N2819" t="str">
        <f t="shared" si="269"/>
        <v>Oct</v>
      </c>
      <c r="O2819">
        <f t="shared" si="270"/>
        <v>2025</v>
      </c>
    </row>
    <row r="2820" spans="1:15" x14ac:dyDescent="0.3">
      <c r="A2820">
        <v>201720</v>
      </c>
      <c r="B2820" t="s">
        <v>42</v>
      </c>
      <c r="C2820" s="2">
        <v>45933</v>
      </c>
      <c r="D2820" s="2">
        <f t="shared" si="268"/>
        <v>45963</v>
      </c>
      <c r="E2820" s="1">
        <f>D2820-1</f>
        <v>45962</v>
      </c>
      <c r="F2820">
        <v>233</v>
      </c>
      <c r="G2820">
        <v>30</v>
      </c>
      <c r="H2820">
        <f t="shared" si="267"/>
        <v>0</v>
      </c>
      <c r="I2820" t="str">
        <f t="shared" si="265"/>
        <v>On Time</v>
      </c>
      <c r="J2820" cm="1">
        <f t="array" ref="J2820">_xlfn.IFS(H2820&lt;30,0,H2820&lt;60,1,H2820&lt;90,2,H2820&lt;120,3)</f>
        <v>0</v>
      </c>
      <c r="M2820" t="str">
        <f t="shared" si="266"/>
        <v>Low</v>
      </c>
      <c r="N2820" t="str">
        <f t="shared" si="269"/>
        <v>Oct</v>
      </c>
      <c r="O2820">
        <f t="shared" si="270"/>
        <v>2025</v>
      </c>
    </row>
    <row r="2821" spans="1:15" x14ac:dyDescent="0.3">
      <c r="A2821">
        <v>201721</v>
      </c>
      <c r="B2821" t="s">
        <v>43</v>
      </c>
      <c r="C2821" s="2">
        <v>45933</v>
      </c>
      <c r="D2821" s="2">
        <f t="shared" si="268"/>
        <v>45963</v>
      </c>
      <c r="E2821" s="1">
        <f>D2821</f>
        <v>45963</v>
      </c>
      <c r="F2821">
        <v>2415</v>
      </c>
      <c r="G2821">
        <v>30</v>
      </c>
      <c r="H2821">
        <f t="shared" si="267"/>
        <v>0</v>
      </c>
      <c r="I2821" t="str">
        <f t="shared" si="265"/>
        <v>On Time</v>
      </c>
      <c r="J2821" cm="1">
        <f t="array" ref="J2821">_xlfn.IFS(H2821&lt;30,0,H2821&lt;60,1,H2821&lt;90,2,H2821&lt;120,3)</f>
        <v>0</v>
      </c>
      <c r="M2821" t="str">
        <f t="shared" si="266"/>
        <v>Low</v>
      </c>
      <c r="N2821" t="str">
        <f t="shared" si="269"/>
        <v>Oct</v>
      </c>
      <c r="O2821">
        <f t="shared" si="270"/>
        <v>2025</v>
      </c>
    </row>
    <row r="2822" spans="1:15" x14ac:dyDescent="0.3">
      <c r="A2822">
        <v>201722</v>
      </c>
      <c r="B2822" t="s">
        <v>44</v>
      </c>
      <c r="C2822" s="2">
        <v>45933</v>
      </c>
      <c r="D2822" s="2">
        <f t="shared" si="268"/>
        <v>45978</v>
      </c>
      <c r="E2822" s="1">
        <f>D2822+1</f>
        <v>45979</v>
      </c>
      <c r="F2822">
        <v>1771</v>
      </c>
      <c r="G2822">
        <v>45</v>
      </c>
      <c r="H2822">
        <f t="shared" si="267"/>
        <v>0</v>
      </c>
      <c r="I2822" t="str">
        <f t="shared" si="265"/>
        <v>On Time</v>
      </c>
      <c r="J2822" cm="1">
        <f t="array" ref="J2822">_xlfn.IFS(H2822&lt;30,0,H2822&lt;60,1,H2822&lt;90,2,H2822&lt;120,3)</f>
        <v>0</v>
      </c>
      <c r="M2822" t="str">
        <f t="shared" si="266"/>
        <v>Low</v>
      </c>
      <c r="N2822" t="str">
        <f t="shared" si="269"/>
        <v>Oct</v>
      </c>
      <c r="O2822">
        <f t="shared" si="270"/>
        <v>2025</v>
      </c>
    </row>
    <row r="2823" spans="1:15" x14ac:dyDescent="0.3">
      <c r="A2823">
        <v>201723</v>
      </c>
      <c r="B2823" t="s">
        <v>20</v>
      </c>
      <c r="C2823" s="2">
        <v>45933</v>
      </c>
      <c r="D2823" s="2">
        <f t="shared" si="268"/>
        <v>45963</v>
      </c>
      <c r="E2823" s="1">
        <f>D2823+35</f>
        <v>45998</v>
      </c>
      <c r="F2823">
        <v>2430</v>
      </c>
      <c r="G2823">
        <v>30</v>
      </c>
      <c r="H2823">
        <f t="shared" si="267"/>
        <v>0</v>
      </c>
      <c r="I2823" t="str">
        <f t="shared" si="265"/>
        <v>On Time</v>
      </c>
      <c r="J2823" cm="1">
        <f t="array" ref="J2823">_xlfn.IFS(H2823&lt;30,0,H2823&lt;60,1,H2823&lt;90,2,H2823&lt;120,3)</f>
        <v>0</v>
      </c>
      <c r="M2823" t="str">
        <f t="shared" si="266"/>
        <v>Low</v>
      </c>
      <c r="N2823" t="str">
        <f t="shared" si="269"/>
        <v>Oct</v>
      </c>
      <c r="O2823">
        <f t="shared" si="270"/>
        <v>2025</v>
      </c>
    </row>
    <row r="2824" spans="1:15" x14ac:dyDescent="0.3">
      <c r="A2824">
        <v>201724</v>
      </c>
      <c r="B2824" t="s">
        <v>21</v>
      </c>
      <c r="C2824" s="2">
        <v>45933</v>
      </c>
      <c r="D2824" s="2">
        <f t="shared" si="268"/>
        <v>45963</v>
      </c>
      <c r="E2824" s="1">
        <f>D2824+75</f>
        <v>46038</v>
      </c>
      <c r="F2824">
        <v>662</v>
      </c>
      <c r="G2824">
        <v>30</v>
      </c>
      <c r="H2824">
        <f t="shared" si="267"/>
        <v>0</v>
      </c>
      <c r="I2824" t="str">
        <f t="shared" si="265"/>
        <v>On Time</v>
      </c>
      <c r="J2824" cm="1">
        <f t="array" ref="J2824">_xlfn.IFS(H2824&lt;30,0,H2824&lt;60,1,H2824&lt;90,2,H2824&lt;120,3)</f>
        <v>0</v>
      </c>
      <c r="M2824" t="str">
        <f t="shared" si="266"/>
        <v>Low</v>
      </c>
      <c r="N2824" t="str">
        <f t="shared" si="269"/>
        <v>Oct</v>
      </c>
      <c r="O2824">
        <f t="shared" si="270"/>
        <v>2025</v>
      </c>
    </row>
    <row r="2825" spans="1:15" x14ac:dyDescent="0.3">
      <c r="A2825">
        <v>201725</v>
      </c>
      <c r="B2825" t="s">
        <v>22</v>
      </c>
      <c r="C2825" s="2">
        <v>45933</v>
      </c>
      <c r="D2825" s="2">
        <f t="shared" si="268"/>
        <v>45963</v>
      </c>
      <c r="E2825" s="1">
        <f>D2825+5</f>
        <v>45968</v>
      </c>
      <c r="F2825">
        <v>3100</v>
      </c>
      <c r="G2825">
        <v>30</v>
      </c>
      <c r="H2825">
        <f t="shared" si="267"/>
        <v>0</v>
      </c>
      <c r="I2825" t="str">
        <f t="shared" si="265"/>
        <v>On Time</v>
      </c>
      <c r="J2825" cm="1">
        <f t="array" ref="J2825">_xlfn.IFS(H2825&lt;30,0,H2825&lt;60,1,H2825&lt;90,2,H2825&lt;120,3)</f>
        <v>0</v>
      </c>
      <c r="M2825" t="str">
        <f t="shared" si="266"/>
        <v>Low</v>
      </c>
      <c r="N2825" t="str">
        <f t="shared" si="269"/>
        <v>Oct</v>
      </c>
      <c r="O2825">
        <f t="shared" si="270"/>
        <v>2025</v>
      </c>
    </row>
    <row r="2826" spans="1:15" x14ac:dyDescent="0.3">
      <c r="A2826">
        <v>201726</v>
      </c>
      <c r="B2826" t="s">
        <v>23</v>
      </c>
      <c r="C2826" s="2">
        <v>45933</v>
      </c>
      <c r="D2826" s="2">
        <f t="shared" si="268"/>
        <v>45978</v>
      </c>
      <c r="E2826" s="1">
        <f>D2826</f>
        <v>45978</v>
      </c>
      <c r="F2826">
        <v>1890</v>
      </c>
      <c r="G2826">
        <v>45</v>
      </c>
      <c r="H2826">
        <f t="shared" si="267"/>
        <v>0</v>
      </c>
      <c r="I2826" t="str">
        <f t="shared" si="265"/>
        <v>On Time</v>
      </c>
      <c r="J2826" cm="1">
        <f t="array" ref="J2826">_xlfn.IFS(H2826&lt;30,0,H2826&lt;60,1,H2826&lt;90,2,H2826&lt;120,3)</f>
        <v>0</v>
      </c>
      <c r="M2826" t="str">
        <f t="shared" si="266"/>
        <v>Low</v>
      </c>
      <c r="N2826" t="str">
        <f t="shared" si="269"/>
        <v>Oct</v>
      </c>
      <c r="O2826">
        <f t="shared" si="270"/>
        <v>2025</v>
      </c>
    </row>
    <row r="2827" spans="1:15" x14ac:dyDescent="0.3">
      <c r="A2827">
        <v>201727</v>
      </c>
      <c r="B2827" t="s">
        <v>24</v>
      </c>
      <c r="C2827" s="2">
        <v>45933</v>
      </c>
      <c r="D2827" s="2">
        <f t="shared" si="268"/>
        <v>45978</v>
      </c>
      <c r="E2827" s="1">
        <f>D2827-1</f>
        <v>45977</v>
      </c>
      <c r="F2827">
        <v>111</v>
      </c>
      <c r="G2827">
        <v>45</v>
      </c>
      <c r="H2827">
        <f t="shared" si="267"/>
        <v>0</v>
      </c>
      <c r="I2827" t="str">
        <f t="shared" si="265"/>
        <v>On Time</v>
      </c>
      <c r="J2827" cm="1">
        <f t="array" ref="J2827">_xlfn.IFS(H2827&lt;30,0,H2827&lt;60,1,H2827&lt;90,2,H2827&lt;120,3)</f>
        <v>0</v>
      </c>
      <c r="M2827" t="str">
        <f t="shared" si="266"/>
        <v>Low</v>
      </c>
      <c r="N2827" t="str">
        <f t="shared" si="269"/>
        <v>Oct</v>
      </c>
      <c r="O2827">
        <f t="shared" si="270"/>
        <v>2025</v>
      </c>
    </row>
    <row r="2828" spans="1:15" x14ac:dyDescent="0.3">
      <c r="A2828">
        <v>201728</v>
      </c>
      <c r="B2828" t="s">
        <v>25</v>
      </c>
      <c r="C2828" s="2">
        <v>45933</v>
      </c>
      <c r="D2828" s="2">
        <f t="shared" si="268"/>
        <v>45993</v>
      </c>
      <c r="E2828" s="1">
        <f>D2828</f>
        <v>45993</v>
      </c>
      <c r="F2828">
        <v>4207</v>
      </c>
      <c r="G2828">
        <v>60</v>
      </c>
      <c r="H2828">
        <f t="shared" si="267"/>
        <v>0</v>
      </c>
      <c r="I2828" t="str">
        <f t="shared" si="265"/>
        <v>On Time</v>
      </c>
      <c r="J2828" cm="1">
        <f t="array" ref="J2828">_xlfn.IFS(H2828&lt;30,0,H2828&lt;60,1,H2828&lt;90,2,H2828&lt;120,3)</f>
        <v>0</v>
      </c>
      <c r="M2828" t="str">
        <f t="shared" si="266"/>
        <v>Low</v>
      </c>
      <c r="N2828" t="str">
        <f t="shared" si="269"/>
        <v>Oct</v>
      </c>
      <c r="O2828">
        <f t="shared" si="270"/>
        <v>2025</v>
      </c>
    </row>
    <row r="2829" spans="1:15" x14ac:dyDescent="0.3">
      <c r="A2829">
        <v>201729</v>
      </c>
      <c r="B2829" t="s">
        <v>26</v>
      </c>
      <c r="C2829" s="2">
        <v>45933</v>
      </c>
      <c r="D2829" s="2">
        <f t="shared" si="268"/>
        <v>45963</v>
      </c>
      <c r="E2829" s="1">
        <f>D2829+32</f>
        <v>45995</v>
      </c>
      <c r="F2829">
        <v>2266</v>
      </c>
      <c r="G2829">
        <v>30</v>
      </c>
      <c r="H2829">
        <f t="shared" si="267"/>
        <v>0</v>
      </c>
      <c r="I2829" t="str">
        <f t="shared" si="265"/>
        <v>On Time</v>
      </c>
      <c r="J2829" cm="1">
        <f t="array" ref="J2829">_xlfn.IFS(H2829&lt;30,0,H2829&lt;60,1,H2829&lt;90,2,H2829&lt;120,3)</f>
        <v>0</v>
      </c>
      <c r="M2829" t="str">
        <f t="shared" si="266"/>
        <v>Low</v>
      </c>
      <c r="N2829" t="str">
        <f t="shared" si="269"/>
        <v>Oct</v>
      </c>
      <c r="O2829">
        <f t="shared" si="270"/>
        <v>2025</v>
      </c>
    </row>
    <row r="2830" spans="1:15" x14ac:dyDescent="0.3">
      <c r="A2830">
        <v>201730</v>
      </c>
      <c r="B2830" t="s">
        <v>27</v>
      </c>
      <c r="C2830" s="2">
        <v>45933</v>
      </c>
      <c r="D2830" s="2">
        <f t="shared" si="268"/>
        <v>45993</v>
      </c>
      <c r="E2830" s="1">
        <f>D2830+15</f>
        <v>46008</v>
      </c>
      <c r="F2830">
        <v>236</v>
      </c>
      <c r="G2830">
        <v>60</v>
      </c>
      <c r="H2830">
        <f t="shared" si="267"/>
        <v>0</v>
      </c>
      <c r="I2830" t="str">
        <f t="shared" si="265"/>
        <v>On Time</v>
      </c>
      <c r="J2830" cm="1">
        <f t="array" ref="J2830">_xlfn.IFS(H2830&lt;30,0,H2830&lt;60,1,H2830&lt;90,2,H2830&lt;120,3)</f>
        <v>0</v>
      </c>
      <c r="M2830" t="str">
        <f t="shared" si="266"/>
        <v>Low</v>
      </c>
      <c r="N2830" t="str">
        <f t="shared" si="269"/>
        <v>Oct</v>
      </c>
      <c r="O2830">
        <f t="shared" si="270"/>
        <v>2025</v>
      </c>
    </row>
    <row r="2831" spans="1:15" x14ac:dyDescent="0.3">
      <c r="A2831">
        <v>201731</v>
      </c>
      <c r="B2831" t="s">
        <v>28</v>
      </c>
      <c r="C2831" s="2">
        <v>45933</v>
      </c>
      <c r="D2831" s="2">
        <f t="shared" si="268"/>
        <v>45963</v>
      </c>
      <c r="E2831" s="1">
        <f>D2831-2</f>
        <v>45961</v>
      </c>
      <c r="F2831">
        <v>3034</v>
      </c>
      <c r="G2831">
        <v>30</v>
      </c>
      <c r="H2831">
        <f t="shared" si="267"/>
        <v>0</v>
      </c>
      <c r="I2831" t="str">
        <f t="shared" si="265"/>
        <v>On Time</v>
      </c>
      <c r="J2831" cm="1">
        <f t="array" ref="J2831">_xlfn.IFS(H2831&lt;30,0,H2831&lt;60,1,H2831&lt;90,2,H2831&lt;120,3)</f>
        <v>0</v>
      </c>
      <c r="M2831" t="str">
        <f t="shared" si="266"/>
        <v>Low</v>
      </c>
      <c r="N2831" t="str">
        <f t="shared" si="269"/>
        <v>Oct</v>
      </c>
      <c r="O2831">
        <f t="shared" si="270"/>
        <v>2025</v>
      </c>
    </row>
    <row r="2832" spans="1:15" x14ac:dyDescent="0.3">
      <c r="A2832">
        <v>201732</v>
      </c>
      <c r="B2832" t="s">
        <v>29</v>
      </c>
      <c r="C2832" s="2">
        <v>45933</v>
      </c>
      <c r="D2832" s="2">
        <f t="shared" si="268"/>
        <v>45963</v>
      </c>
      <c r="E2832" s="1">
        <f>D2832-2</f>
        <v>45961</v>
      </c>
      <c r="F2832">
        <v>3504</v>
      </c>
      <c r="G2832">
        <v>30</v>
      </c>
      <c r="H2832">
        <f t="shared" si="267"/>
        <v>0</v>
      </c>
      <c r="I2832" t="str">
        <f t="shared" si="265"/>
        <v>On Time</v>
      </c>
      <c r="J2832" cm="1">
        <f t="array" ref="J2832">_xlfn.IFS(H2832&lt;30,0,H2832&lt;60,1,H2832&lt;90,2,H2832&lt;120,3)</f>
        <v>0</v>
      </c>
      <c r="M2832" t="str">
        <f t="shared" si="266"/>
        <v>Low</v>
      </c>
      <c r="N2832" t="str">
        <f t="shared" si="269"/>
        <v>Oct</v>
      </c>
      <c r="O2832">
        <f t="shared" si="270"/>
        <v>2025</v>
      </c>
    </row>
    <row r="2833" spans="1:15" x14ac:dyDescent="0.3">
      <c r="A2833">
        <v>201733</v>
      </c>
      <c r="B2833" t="s">
        <v>75</v>
      </c>
      <c r="C2833" s="2">
        <v>45933</v>
      </c>
      <c r="D2833" s="2">
        <f t="shared" si="268"/>
        <v>45993</v>
      </c>
      <c r="E2833" s="1">
        <f>D2833</f>
        <v>45993</v>
      </c>
      <c r="F2833">
        <v>4015</v>
      </c>
      <c r="G2833">
        <v>60</v>
      </c>
      <c r="H2833">
        <f t="shared" si="267"/>
        <v>0</v>
      </c>
      <c r="I2833" t="str">
        <f t="shared" si="265"/>
        <v>On Time</v>
      </c>
      <c r="J2833" cm="1">
        <f t="array" ref="J2833">_xlfn.IFS(H2833&lt;30,0,H2833&lt;60,1,H2833&lt;90,2,H2833&lt;120,3)</f>
        <v>0</v>
      </c>
      <c r="M2833" t="str">
        <f t="shared" si="266"/>
        <v>Low</v>
      </c>
      <c r="N2833" t="str">
        <f t="shared" si="269"/>
        <v>Oct</v>
      </c>
      <c r="O2833">
        <f t="shared" si="270"/>
        <v>2025</v>
      </c>
    </row>
    <row r="2834" spans="1:15" x14ac:dyDescent="0.3">
      <c r="A2834">
        <v>201734</v>
      </c>
      <c r="B2834" t="s">
        <v>76</v>
      </c>
      <c r="C2834" s="2">
        <v>45933</v>
      </c>
      <c r="D2834" s="2">
        <f t="shared" si="268"/>
        <v>45963</v>
      </c>
      <c r="E2834" s="1">
        <f>D2834+2</f>
        <v>45965</v>
      </c>
      <c r="F2834">
        <v>988</v>
      </c>
      <c r="G2834">
        <v>30</v>
      </c>
      <c r="H2834">
        <f t="shared" si="267"/>
        <v>0</v>
      </c>
      <c r="I2834" t="str">
        <f t="shared" si="265"/>
        <v>On Time</v>
      </c>
      <c r="J2834" cm="1">
        <f t="array" ref="J2834">_xlfn.IFS(H2834&lt;30,0,H2834&lt;60,1,H2834&lt;90,2,H2834&lt;120,3)</f>
        <v>0</v>
      </c>
      <c r="M2834" t="str">
        <f t="shared" si="266"/>
        <v>Low</v>
      </c>
      <c r="N2834" t="str">
        <f t="shared" si="269"/>
        <v>Oct</v>
      </c>
      <c r="O2834">
        <f t="shared" si="270"/>
        <v>2025</v>
      </c>
    </row>
    <row r="2835" spans="1:15" x14ac:dyDescent="0.3">
      <c r="A2835">
        <v>201735</v>
      </c>
      <c r="B2835" t="s">
        <v>77</v>
      </c>
      <c r="C2835" s="2">
        <v>45933</v>
      </c>
      <c r="D2835" s="2">
        <f t="shared" si="268"/>
        <v>45963</v>
      </c>
      <c r="E2835" s="1">
        <f>D2835+2</f>
        <v>45965</v>
      </c>
      <c r="F2835">
        <v>4170</v>
      </c>
      <c r="G2835">
        <v>30</v>
      </c>
      <c r="H2835">
        <f t="shared" si="267"/>
        <v>0</v>
      </c>
      <c r="I2835" t="str">
        <f t="shared" si="265"/>
        <v>On Time</v>
      </c>
      <c r="J2835" cm="1">
        <f t="array" ref="J2835">_xlfn.IFS(H2835&lt;30,0,H2835&lt;60,1,H2835&lt;90,2,H2835&lt;120,3)</f>
        <v>0</v>
      </c>
      <c r="M2835" t="str">
        <f t="shared" si="266"/>
        <v>Low</v>
      </c>
      <c r="N2835" t="str">
        <f t="shared" si="269"/>
        <v>Oct</v>
      </c>
      <c r="O2835">
        <f t="shared" si="270"/>
        <v>2025</v>
      </c>
    </row>
    <row r="2836" spans="1:15" x14ac:dyDescent="0.3">
      <c r="A2836">
        <v>201736</v>
      </c>
      <c r="B2836" t="s">
        <v>78</v>
      </c>
      <c r="C2836" s="2">
        <v>45933</v>
      </c>
      <c r="D2836" s="2">
        <f t="shared" si="268"/>
        <v>45963</v>
      </c>
      <c r="E2836" s="1">
        <f>D2836+2</f>
        <v>45965</v>
      </c>
      <c r="F2836">
        <v>1390</v>
      </c>
      <c r="G2836">
        <v>30</v>
      </c>
      <c r="H2836">
        <f t="shared" si="267"/>
        <v>0</v>
      </c>
      <c r="I2836" t="str">
        <f t="shared" si="265"/>
        <v>On Time</v>
      </c>
      <c r="J2836" cm="1">
        <f t="array" ref="J2836">_xlfn.IFS(H2836&lt;30,0,H2836&lt;60,1,H2836&lt;90,2,H2836&lt;120,3)</f>
        <v>0</v>
      </c>
      <c r="M2836" t="str">
        <f t="shared" si="266"/>
        <v>Low</v>
      </c>
      <c r="N2836" t="str">
        <f t="shared" si="269"/>
        <v>Oct</v>
      </c>
      <c r="O2836">
        <f t="shared" si="270"/>
        <v>2025</v>
      </c>
    </row>
    <row r="2837" spans="1:15" x14ac:dyDescent="0.3">
      <c r="A2837">
        <v>201737</v>
      </c>
      <c r="B2837" t="s">
        <v>79</v>
      </c>
      <c r="C2837" s="2">
        <v>45933</v>
      </c>
      <c r="D2837" s="2">
        <f t="shared" si="268"/>
        <v>45963</v>
      </c>
      <c r="E2837" s="1">
        <f>D2837</f>
        <v>45963</v>
      </c>
      <c r="F2837">
        <v>193</v>
      </c>
      <c r="G2837">
        <v>30</v>
      </c>
      <c r="H2837">
        <f t="shared" si="267"/>
        <v>0</v>
      </c>
      <c r="I2837" t="str">
        <f t="shared" si="265"/>
        <v>On Time</v>
      </c>
      <c r="J2837" cm="1">
        <f t="array" ref="J2837">_xlfn.IFS(H2837&lt;30,0,H2837&lt;60,1,H2837&lt;90,2,H2837&lt;120,3)</f>
        <v>0</v>
      </c>
      <c r="M2837" t="str">
        <f t="shared" si="266"/>
        <v>Low</v>
      </c>
      <c r="N2837" t="str">
        <f t="shared" si="269"/>
        <v>Oct</v>
      </c>
      <c r="O2837">
        <f t="shared" si="270"/>
        <v>2025</v>
      </c>
    </row>
    <row r="2838" spans="1:15" x14ac:dyDescent="0.3">
      <c r="A2838">
        <v>201738</v>
      </c>
      <c r="B2838" t="s">
        <v>80</v>
      </c>
      <c r="C2838" s="2">
        <v>45933</v>
      </c>
      <c r="D2838" s="2">
        <f t="shared" si="268"/>
        <v>45963</v>
      </c>
      <c r="E2838" s="1">
        <f>D2838+20</f>
        <v>45983</v>
      </c>
      <c r="F2838">
        <v>2181</v>
      </c>
      <c r="G2838">
        <v>30</v>
      </c>
      <c r="H2838">
        <f t="shared" si="267"/>
        <v>0</v>
      </c>
      <c r="I2838" t="str">
        <f t="shared" ref="I2838:I2901" si="271">IF(H2838=0,"On Time",IF(H2838&lt;=15,"Paid Late","Seriously Late"))</f>
        <v>On Time</v>
      </c>
      <c r="J2838" cm="1">
        <f t="array" ref="J2838">_xlfn.IFS(H2838&lt;30,0,H2838&lt;60,1,H2838&lt;90,2,H2838&lt;120,3)</f>
        <v>0</v>
      </c>
      <c r="M2838" t="str">
        <f t="shared" ref="M2838:M2901" si="272">IF(H2838&gt;30,"High",IF(H2838&gt;10,"Medium","Low"))</f>
        <v>Low</v>
      </c>
      <c r="N2838" t="str">
        <f t="shared" si="269"/>
        <v>Oct</v>
      </c>
      <c r="O2838">
        <f t="shared" si="270"/>
        <v>2025</v>
      </c>
    </row>
    <row r="2839" spans="1:15" x14ac:dyDescent="0.3">
      <c r="A2839">
        <v>201703</v>
      </c>
      <c r="B2839" t="s">
        <v>44</v>
      </c>
      <c r="C2839" s="2">
        <v>45932</v>
      </c>
      <c r="D2839" s="2">
        <f t="shared" si="268"/>
        <v>45977</v>
      </c>
      <c r="E2839" s="1">
        <f>D2839+2</f>
        <v>45979</v>
      </c>
      <c r="F2839">
        <v>8099</v>
      </c>
      <c r="G2839">
        <v>45</v>
      </c>
      <c r="H2839">
        <f t="shared" si="267"/>
        <v>0</v>
      </c>
      <c r="I2839" t="str">
        <f t="shared" si="271"/>
        <v>On Time</v>
      </c>
      <c r="J2839" cm="1">
        <f t="array" ref="J2839">_xlfn.IFS(H2839&lt;30,0,H2839&lt;60,1,H2839&lt;90,2,H2839&lt;120,3)</f>
        <v>0</v>
      </c>
      <c r="M2839" t="str">
        <f t="shared" si="272"/>
        <v>Low</v>
      </c>
      <c r="N2839" t="str">
        <f t="shared" si="269"/>
        <v>Oct</v>
      </c>
      <c r="O2839">
        <f t="shared" si="270"/>
        <v>2025</v>
      </c>
    </row>
    <row r="2840" spans="1:15" x14ac:dyDescent="0.3">
      <c r="A2840">
        <v>201704</v>
      </c>
      <c r="B2840" t="s">
        <v>45</v>
      </c>
      <c r="C2840" s="2">
        <v>45932</v>
      </c>
      <c r="D2840" s="2">
        <f t="shared" si="268"/>
        <v>45977</v>
      </c>
      <c r="E2840" s="1">
        <f>D2840</f>
        <v>45977</v>
      </c>
      <c r="F2840">
        <v>2851</v>
      </c>
      <c r="G2840">
        <v>45</v>
      </c>
      <c r="H2840">
        <f t="shared" si="267"/>
        <v>0</v>
      </c>
      <c r="I2840" t="str">
        <f t="shared" si="271"/>
        <v>On Time</v>
      </c>
      <c r="J2840" cm="1">
        <f t="array" ref="J2840">_xlfn.IFS(H2840&lt;30,0,H2840&lt;60,1,H2840&lt;90,2,H2840&lt;120,3)</f>
        <v>0</v>
      </c>
      <c r="M2840" t="str">
        <f t="shared" si="272"/>
        <v>Low</v>
      </c>
      <c r="N2840" t="str">
        <f t="shared" si="269"/>
        <v>Oct</v>
      </c>
      <c r="O2840">
        <f t="shared" si="270"/>
        <v>2025</v>
      </c>
    </row>
    <row r="2841" spans="1:15" x14ac:dyDescent="0.3">
      <c r="A2841">
        <v>201705</v>
      </c>
      <c r="B2841" t="s">
        <v>46</v>
      </c>
      <c r="C2841" s="2">
        <v>45932</v>
      </c>
      <c r="D2841" s="2">
        <f t="shared" si="268"/>
        <v>45992</v>
      </c>
      <c r="E2841" s="1">
        <f>D2841+20</f>
        <v>46012</v>
      </c>
      <c r="F2841">
        <v>3582</v>
      </c>
      <c r="G2841">
        <v>60</v>
      </c>
      <c r="H2841">
        <f t="shared" si="267"/>
        <v>0</v>
      </c>
      <c r="I2841" t="str">
        <f t="shared" si="271"/>
        <v>On Time</v>
      </c>
      <c r="J2841" cm="1">
        <f t="array" ref="J2841">_xlfn.IFS(H2841&lt;30,0,H2841&lt;60,1,H2841&lt;90,2,H2841&lt;120,3)</f>
        <v>0</v>
      </c>
      <c r="M2841" t="str">
        <f t="shared" si="272"/>
        <v>Low</v>
      </c>
      <c r="N2841" t="str">
        <f t="shared" si="269"/>
        <v>Oct</v>
      </c>
      <c r="O2841">
        <f t="shared" si="270"/>
        <v>2025</v>
      </c>
    </row>
    <row r="2842" spans="1:15" x14ac:dyDescent="0.3">
      <c r="A2842">
        <v>201706</v>
      </c>
      <c r="B2842" t="s">
        <v>47</v>
      </c>
      <c r="C2842" s="2">
        <v>45932</v>
      </c>
      <c r="D2842" s="2">
        <f t="shared" si="268"/>
        <v>45992</v>
      </c>
      <c r="E2842" s="1">
        <f>D2842</f>
        <v>45992</v>
      </c>
      <c r="F2842">
        <v>2870</v>
      </c>
      <c r="G2842">
        <v>60</v>
      </c>
      <c r="H2842">
        <f t="shared" si="267"/>
        <v>0</v>
      </c>
      <c r="I2842" t="str">
        <f t="shared" si="271"/>
        <v>On Time</v>
      </c>
      <c r="J2842" cm="1">
        <f t="array" ref="J2842">_xlfn.IFS(H2842&lt;30,0,H2842&lt;60,1,H2842&lt;90,2,H2842&lt;120,3)</f>
        <v>0</v>
      </c>
      <c r="M2842" t="str">
        <f t="shared" si="272"/>
        <v>Low</v>
      </c>
      <c r="N2842" t="str">
        <f t="shared" si="269"/>
        <v>Oct</v>
      </c>
      <c r="O2842">
        <f t="shared" si="270"/>
        <v>2025</v>
      </c>
    </row>
    <row r="2843" spans="1:15" x14ac:dyDescent="0.3">
      <c r="A2843">
        <v>201707</v>
      </c>
      <c r="B2843" t="s">
        <v>48</v>
      </c>
      <c r="C2843" s="2">
        <v>45932</v>
      </c>
      <c r="D2843" s="2">
        <f t="shared" si="268"/>
        <v>45977</v>
      </c>
      <c r="E2843" s="1">
        <f>D2843+1</f>
        <v>45978</v>
      </c>
      <c r="F2843">
        <v>2400</v>
      </c>
      <c r="G2843">
        <v>45</v>
      </c>
      <c r="H2843">
        <f t="shared" si="267"/>
        <v>0</v>
      </c>
      <c r="I2843" t="str">
        <f t="shared" si="271"/>
        <v>On Time</v>
      </c>
      <c r="J2843" cm="1">
        <f t="array" ref="J2843">_xlfn.IFS(H2843&lt;30,0,H2843&lt;60,1,H2843&lt;90,2,H2843&lt;120,3)</f>
        <v>0</v>
      </c>
      <c r="M2843" t="str">
        <f t="shared" si="272"/>
        <v>Low</v>
      </c>
      <c r="N2843" t="str">
        <f t="shared" si="269"/>
        <v>Oct</v>
      </c>
      <c r="O2843">
        <f t="shared" si="270"/>
        <v>2025</v>
      </c>
    </row>
    <row r="2844" spans="1:15" x14ac:dyDescent="0.3">
      <c r="A2844">
        <v>201708</v>
      </c>
      <c r="B2844" t="s">
        <v>49</v>
      </c>
      <c r="C2844" s="2">
        <v>45932</v>
      </c>
      <c r="D2844" s="2">
        <f t="shared" si="268"/>
        <v>45962</v>
      </c>
      <c r="E2844" s="1">
        <f>D2844</f>
        <v>45962</v>
      </c>
      <c r="F2844">
        <v>375</v>
      </c>
      <c r="G2844">
        <v>30</v>
      </c>
      <c r="H2844">
        <f t="shared" si="267"/>
        <v>0</v>
      </c>
      <c r="I2844" t="str">
        <f t="shared" si="271"/>
        <v>On Time</v>
      </c>
      <c r="J2844" cm="1">
        <f t="array" ref="J2844">_xlfn.IFS(H2844&lt;30,0,H2844&lt;60,1,H2844&lt;90,2,H2844&lt;120,3)</f>
        <v>0</v>
      </c>
      <c r="M2844" t="str">
        <f t="shared" si="272"/>
        <v>Low</v>
      </c>
      <c r="N2844" t="str">
        <f t="shared" si="269"/>
        <v>Oct</v>
      </c>
      <c r="O2844">
        <f t="shared" si="270"/>
        <v>2025</v>
      </c>
    </row>
    <row r="2845" spans="1:15" x14ac:dyDescent="0.3">
      <c r="A2845">
        <v>201709</v>
      </c>
      <c r="B2845" t="s">
        <v>50</v>
      </c>
      <c r="C2845" s="2">
        <v>45932</v>
      </c>
      <c r="D2845" s="2">
        <f t="shared" si="268"/>
        <v>45962</v>
      </c>
      <c r="E2845" s="1">
        <f>D2845</f>
        <v>45962</v>
      </c>
      <c r="F2845">
        <v>3065</v>
      </c>
      <c r="G2845">
        <v>30</v>
      </c>
      <c r="H2845">
        <f t="shared" si="267"/>
        <v>0</v>
      </c>
      <c r="I2845" t="str">
        <f t="shared" si="271"/>
        <v>On Time</v>
      </c>
      <c r="J2845" cm="1">
        <f t="array" ref="J2845">_xlfn.IFS(H2845&lt;30,0,H2845&lt;60,1,H2845&lt;90,2,H2845&lt;120,3)</f>
        <v>0</v>
      </c>
      <c r="M2845" t="str">
        <f t="shared" si="272"/>
        <v>Low</v>
      </c>
      <c r="N2845" t="str">
        <f t="shared" si="269"/>
        <v>Oct</v>
      </c>
      <c r="O2845">
        <f t="shared" si="270"/>
        <v>2025</v>
      </c>
    </row>
    <row r="2846" spans="1:15" x14ac:dyDescent="0.3">
      <c r="A2846">
        <v>201710</v>
      </c>
      <c r="B2846" t="s">
        <v>51</v>
      </c>
      <c r="C2846" s="2">
        <v>45932</v>
      </c>
      <c r="D2846" s="2">
        <f t="shared" si="268"/>
        <v>45962</v>
      </c>
      <c r="E2846" s="1">
        <f>D2846+5</f>
        <v>45967</v>
      </c>
      <c r="F2846">
        <v>1455</v>
      </c>
      <c r="G2846">
        <v>30</v>
      </c>
      <c r="H2846">
        <f t="shared" si="267"/>
        <v>0</v>
      </c>
      <c r="I2846" t="str">
        <f t="shared" si="271"/>
        <v>On Time</v>
      </c>
      <c r="J2846" cm="1">
        <f t="array" ref="J2846">_xlfn.IFS(H2846&lt;30,0,H2846&lt;60,1,H2846&lt;90,2,H2846&lt;120,3)</f>
        <v>0</v>
      </c>
      <c r="M2846" t="str">
        <f t="shared" si="272"/>
        <v>Low</v>
      </c>
      <c r="N2846" t="str">
        <f t="shared" si="269"/>
        <v>Oct</v>
      </c>
      <c r="O2846">
        <f t="shared" si="270"/>
        <v>2025</v>
      </c>
    </row>
    <row r="2847" spans="1:15" x14ac:dyDescent="0.3">
      <c r="A2847">
        <v>201711</v>
      </c>
      <c r="B2847" t="s">
        <v>52</v>
      </c>
      <c r="C2847" s="2">
        <v>45932</v>
      </c>
      <c r="D2847" s="2">
        <f t="shared" si="268"/>
        <v>45962</v>
      </c>
      <c r="E2847" s="1">
        <f>D2847+2</f>
        <v>45964</v>
      </c>
      <c r="F2847">
        <v>1397</v>
      </c>
      <c r="G2847">
        <v>30</v>
      </c>
      <c r="H2847">
        <f t="shared" si="267"/>
        <v>0</v>
      </c>
      <c r="I2847" t="str">
        <f t="shared" si="271"/>
        <v>On Time</v>
      </c>
      <c r="J2847" cm="1">
        <f t="array" ref="J2847">_xlfn.IFS(H2847&lt;30,0,H2847&lt;60,1,H2847&lt;90,2,H2847&lt;120,3)</f>
        <v>0</v>
      </c>
      <c r="M2847" t="str">
        <f t="shared" si="272"/>
        <v>Low</v>
      </c>
      <c r="N2847" t="str">
        <f t="shared" si="269"/>
        <v>Oct</v>
      </c>
      <c r="O2847">
        <f t="shared" si="270"/>
        <v>2025</v>
      </c>
    </row>
    <row r="2848" spans="1:15" x14ac:dyDescent="0.3">
      <c r="A2848">
        <v>201712</v>
      </c>
      <c r="B2848" t="s">
        <v>53</v>
      </c>
      <c r="C2848" s="2">
        <v>45932</v>
      </c>
      <c r="D2848" s="2">
        <f t="shared" si="268"/>
        <v>45962</v>
      </c>
      <c r="E2848" s="1">
        <f>D2848</f>
        <v>45962</v>
      </c>
      <c r="F2848">
        <v>2100</v>
      </c>
      <c r="G2848">
        <v>30</v>
      </c>
      <c r="H2848">
        <f t="shared" si="267"/>
        <v>0</v>
      </c>
      <c r="I2848" t="str">
        <f t="shared" si="271"/>
        <v>On Time</v>
      </c>
      <c r="J2848" cm="1">
        <f t="array" ref="J2848">_xlfn.IFS(H2848&lt;30,0,H2848&lt;60,1,H2848&lt;90,2,H2848&lt;120,3)</f>
        <v>0</v>
      </c>
      <c r="M2848" t="str">
        <f t="shared" si="272"/>
        <v>Low</v>
      </c>
      <c r="N2848" t="str">
        <f t="shared" si="269"/>
        <v>Oct</v>
      </c>
      <c r="O2848">
        <f t="shared" si="270"/>
        <v>2025</v>
      </c>
    </row>
    <row r="2849" spans="1:15" x14ac:dyDescent="0.3">
      <c r="A2849">
        <v>201713</v>
      </c>
      <c r="B2849" t="s">
        <v>54</v>
      </c>
      <c r="C2849" s="2">
        <v>45932</v>
      </c>
      <c r="D2849" s="2">
        <f t="shared" si="268"/>
        <v>45962</v>
      </c>
      <c r="E2849" s="1">
        <f>D2849</f>
        <v>45962</v>
      </c>
      <c r="F2849">
        <v>3347</v>
      </c>
      <c r="G2849">
        <v>30</v>
      </c>
      <c r="H2849">
        <f t="shared" si="267"/>
        <v>0</v>
      </c>
      <c r="I2849" t="str">
        <f t="shared" si="271"/>
        <v>On Time</v>
      </c>
      <c r="J2849" cm="1">
        <f t="array" ref="J2849">_xlfn.IFS(H2849&lt;30,0,H2849&lt;60,1,H2849&lt;90,2,H2849&lt;120,3)</f>
        <v>0</v>
      </c>
      <c r="M2849" t="str">
        <f t="shared" si="272"/>
        <v>Low</v>
      </c>
      <c r="N2849" t="str">
        <f t="shared" si="269"/>
        <v>Oct</v>
      </c>
      <c r="O2849">
        <f t="shared" si="270"/>
        <v>2025</v>
      </c>
    </row>
    <row r="2850" spans="1:15" x14ac:dyDescent="0.3">
      <c r="A2850">
        <v>201714</v>
      </c>
      <c r="B2850" t="s">
        <v>36</v>
      </c>
      <c r="C2850" s="2">
        <v>45932</v>
      </c>
      <c r="D2850" s="2">
        <f t="shared" si="268"/>
        <v>45962</v>
      </c>
      <c r="E2850" s="1">
        <f>D2850</f>
        <v>45962</v>
      </c>
      <c r="F2850">
        <v>4359</v>
      </c>
      <c r="G2850">
        <v>30</v>
      </c>
      <c r="H2850">
        <f t="shared" si="267"/>
        <v>0</v>
      </c>
      <c r="I2850" t="str">
        <f t="shared" si="271"/>
        <v>On Time</v>
      </c>
      <c r="J2850" cm="1">
        <f t="array" ref="J2850">_xlfn.IFS(H2850&lt;30,0,H2850&lt;60,1,H2850&lt;90,2,H2850&lt;120,3)</f>
        <v>0</v>
      </c>
      <c r="M2850" t="str">
        <f t="shared" si="272"/>
        <v>Low</v>
      </c>
      <c r="N2850" t="str">
        <f t="shared" si="269"/>
        <v>Oct</v>
      </c>
      <c r="O2850">
        <f t="shared" si="270"/>
        <v>2025</v>
      </c>
    </row>
    <row r="2851" spans="1:15" x14ac:dyDescent="0.3">
      <c r="A2851">
        <v>201715</v>
      </c>
      <c r="B2851" t="s">
        <v>37</v>
      </c>
      <c r="C2851" s="2">
        <v>45932</v>
      </c>
      <c r="D2851" s="2">
        <f t="shared" si="268"/>
        <v>45962</v>
      </c>
      <c r="E2851" s="1">
        <f>D2851+60</f>
        <v>46022</v>
      </c>
      <c r="F2851">
        <v>1331</v>
      </c>
      <c r="G2851">
        <v>30</v>
      </c>
      <c r="H2851">
        <f t="shared" si="267"/>
        <v>0</v>
      </c>
      <c r="I2851" t="str">
        <f t="shared" si="271"/>
        <v>On Time</v>
      </c>
      <c r="J2851" cm="1">
        <f t="array" ref="J2851">_xlfn.IFS(H2851&lt;30,0,H2851&lt;60,1,H2851&lt;90,2,H2851&lt;120,3)</f>
        <v>0</v>
      </c>
      <c r="M2851" t="str">
        <f t="shared" si="272"/>
        <v>Low</v>
      </c>
      <c r="N2851" t="str">
        <f t="shared" si="269"/>
        <v>Oct</v>
      </c>
      <c r="O2851">
        <f t="shared" si="270"/>
        <v>2025</v>
      </c>
    </row>
    <row r="2852" spans="1:15" x14ac:dyDescent="0.3">
      <c r="A2852">
        <v>201716</v>
      </c>
      <c r="B2852" t="s">
        <v>38</v>
      </c>
      <c r="C2852" s="2">
        <v>45932</v>
      </c>
      <c r="D2852" s="2">
        <f t="shared" si="268"/>
        <v>45962</v>
      </c>
      <c r="E2852" s="1">
        <f>D2852</f>
        <v>45962</v>
      </c>
      <c r="F2852">
        <v>2572</v>
      </c>
      <c r="G2852">
        <v>30</v>
      </c>
      <c r="H2852">
        <f t="shared" si="267"/>
        <v>0</v>
      </c>
      <c r="I2852" t="str">
        <f t="shared" si="271"/>
        <v>On Time</v>
      </c>
      <c r="J2852" cm="1">
        <f t="array" ref="J2852">_xlfn.IFS(H2852&lt;30,0,H2852&lt;60,1,H2852&lt;90,2,H2852&lt;120,3)</f>
        <v>0</v>
      </c>
      <c r="M2852" t="str">
        <f t="shared" si="272"/>
        <v>Low</v>
      </c>
      <c r="N2852" t="str">
        <f t="shared" si="269"/>
        <v>Oct</v>
      </c>
      <c r="O2852">
        <f t="shared" si="270"/>
        <v>2025</v>
      </c>
    </row>
    <row r="2853" spans="1:15" x14ac:dyDescent="0.3">
      <c r="A2853">
        <v>201717</v>
      </c>
      <c r="B2853" t="s">
        <v>39</v>
      </c>
      <c r="C2853" s="2">
        <v>45932</v>
      </c>
      <c r="D2853" s="2">
        <f t="shared" si="268"/>
        <v>45962</v>
      </c>
      <c r="E2853" s="1">
        <f>D2853</f>
        <v>45962</v>
      </c>
      <c r="F2853">
        <v>3828</v>
      </c>
      <c r="G2853">
        <v>30</v>
      </c>
      <c r="H2853">
        <f t="shared" si="267"/>
        <v>0</v>
      </c>
      <c r="I2853" t="str">
        <f t="shared" si="271"/>
        <v>On Time</v>
      </c>
      <c r="J2853" cm="1">
        <f t="array" ref="J2853">_xlfn.IFS(H2853&lt;30,0,H2853&lt;60,1,H2853&lt;90,2,H2853&lt;120,3)</f>
        <v>0</v>
      </c>
      <c r="M2853" t="str">
        <f t="shared" si="272"/>
        <v>Low</v>
      </c>
      <c r="N2853" t="str">
        <f t="shared" si="269"/>
        <v>Oct</v>
      </c>
      <c r="O2853">
        <f t="shared" si="270"/>
        <v>2025</v>
      </c>
    </row>
    <row r="2854" spans="1:15" x14ac:dyDescent="0.3">
      <c r="A2854">
        <v>201718</v>
      </c>
      <c r="B2854" t="s">
        <v>40</v>
      </c>
      <c r="C2854" s="2">
        <v>45932</v>
      </c>
      <c r="D2854" s="2">
        <f t="shared" si="268"/>
        <v>45962</v>
      </c>
      <c r="E2854" s="1">
        <f>D2854+3</f>
        <v>45965</v>
      </c>
      <c r="F2854">
        <v>7902</v>
      </c>
      <c r="G2854">
        <v>30</v>
      </c>
      <c r="H2854">
        <f t="shared" ref="H2854:H2917" si="273">MAX(0,P2819-D2854)</f>
        <v>0</v>
      </c>
      <c r="I2854" t="str">
        <f t="shared" si="271"/>
        <v>On Time</v>
      </c>
      <c r="J2854" cm="1">
        <f t="array" ref="J2854">_xlfn.IFS(H2854&lt;30,0,H2854&lt;60,1,H2854&lt;90,2,H2854&lt;120,3)</f>
        <v>0</v>
      </c>
      <c r="M2854" t="str">
        <f t="shared" si="272"/>
        <v>Low</v>
      </c>
      <c r="N2854" t="str">
        <f t="shared" si="269"/>
        <v>Oct</v>
      </c>
      <c r="O2854">
        <f t="shared" si="270"/>
        <v>2025</v>
      </c>
    </row>
    <row r="2855" spans="1:15" x14ac:dyDescent="0.3">
      <c r="A2855">
        <v>201688</v>
      </c>
      <c r="B2855" t="s">
        <v>90</v>
      </c>
      <c r="C2855" s="2">
        <v>45931</v>
      </c>
      <c r="D2855" s="2">
        <f t="shared" si="268"/>
        <v>45961</v>
      </c>
      <c r="E2855" s="1">
        <f>D2855</f>
        <v>45961</v>
      </c>
      <c r="F2855">
        <v>3479</v>
      </c>
      <c r="G2855">
        <v>30</v>
      </c>
      <c r="H2855">
        <f t="shared" si="273"/>
        <v>0</v>
      </c>
      <c r="I2855" t="str">
        <f t="shared" si="271"/>
        <v>On Time</v>
      </c>
      <c r="J2855" cm="1">
        <f t="array" ref="J2855">_xlfn.IFS(H2855&lt;30,0,H2855&lt;60,1,H2855&lt;90,2,H2855&lt;120,3)</f>
        <v>0</v>
      </c>
      <c r="M2855" t="str">
        <f t="shared" si="272"/>
        <v>Low</v>
      </c>
      <c r="N2855" t="str">
        <f t="shared" si="269"/>
        <v>Oct</v>
      </c>
      <c r="O2855">
        <f t="shared" si="270"/>
        <v>2025</v>
      </c>
    </row>
    <row r="2856" spans="1:15" x14ac:dyDescent="0.3">
      <c r="A2856">
        <v>201689</v>
      </c>
      <c r="B2856" t="s">
        <v>91</v>
      </c>
      <c r="C2856" s="2">
        <v>45931</v>
      </c>
      <c r="D2856" s="2">
        <f t="shared" si="268"/>
        <v>45961</v>
      </c>
      <c r="E2856" s="1">
        <f>D2856-5</f>
        <v>45956</v>
      </c>
      <c r="F2856">
        <v>1581</v>
      </c>
      <c r="G2856">
        <v>30</v>
      </c>
      <c r="H2856">
        <f t="shared" si="273"/>
        <v>0</v>
      </c>
      <c r="I2856" t="str">
        <f t="shared" si="271"/>
        <v>On Time</v>
      </c>
      <c r="J2856" cm="1">
        <f t="array" ref="J2856">_xlfn.IFS(H2856&lt;30,0,H2856&lt;60,1,H2856&lt;90,2,H2856&lt;120,3)</f>
        <v>0</v>
      </c>
      <c r="M2856" t="str">
        <f t="shared" si="272"/>
        <v>Low</v>
      </c>
      <c r="N2856" t="str">
        <f t="shared" si="269"/>
        <v>Oct</v>
      </c>
      <c r="O2856">
        <f t="shared" si="270"/>
        <v>2025</v>
      </c>
    </row>
    <row r="2857" spans="1:15" x14ac:dyDescent="0.3">
      <c r="A2857">
        <v>201690</v>
      </c>
      <c r="B2857" t="s">
        <v>92</v>
      </c>
      <c r="C2857" s="2">
        <v>45931</v>
      </c>
      <c r="D2857" s="2">
        <f t="shared" si="268"/>
        <v>45961</v>
      </c>
      <c r="E2857" s="1">
        <f>D2857+35</f>
        <v>45996</v>
      </c>
      <c r="F2857">
        <v>3027</v>
      </c>
      <c r="G2857">
        <v>30</v>
      </c>
      <c r="H2857">
        <f t="shared" si="273"/>
        <v>0</v>
      </c>
      <c r="I2857" t="str">
        <f t="shared" si="271"/>
        <v>On Time</v>
      </c>
      <c r="J2857" cm="1">
        <f t="array" ref="J2857">_xlfn.IFS(H2857&lt;30,0,H2857&lt;60,1,H2857&lt;90,2,H2857&lt;120,3)</f>
        <v>0</v>
      </c>
      <c r="M2857" t="str">
        <f t="shared" si="272"/>
        <v>Low</v>
      </c>
      <c r="N2857" t="str">
        <f t="shared" si="269"/>
        <v>Oct</v>
      </c>
      <c r="O2857">
        <f t="shared" si="270"/>
        <v>2025</v>
      </c>
    </row>
    <row r="2858" spans="1:15" x14ac:dyDescent="0.3">
      <c r="A2858">
        <v>201691</v>
      </c>
      <c r="B2858" t="s">
        <v>93</v>
      </c>
      <c r="C2858" s="2">
        <v>45931</v>
      </c>
      <c r="D2858" s="2">
        <f t="shared" si="268"/>
        <v>45961</v>
      </c>
      <c r="E2858" s="1">
        <f>D2858+75</f>
        <v>46036</v>
      </c>
      <c r="F2858">
        <v>4390</v>
      </c>
      <c r="G2858">
        <v>30</v>
      </c>
      <c r="H2858">
        <f t="shared" si="273"/>
        <v>0</v>
      </c>
      <c r="I2858" t="str">
        <f t="shared" si="271"/>
        <v>On Time</v>
      </c>
      <c r="J2858" cm="1">
        <f t="array" ref="J2858">_xlfn.IFS(H2858&lt;30,0,H2858&lt;60,1,H2858&lt;90,2,H2858&lt;120,3)</f>
        <v>0</v>
      </c>
      <c r="M2858" t="str">
        <f t="shared" si="272"/>
        <v>Low</v>
      </c>
      <c r="N2858" t="str">
        <f t="shared" si="269"/>
        <v>Oct</v>
      </c>
      <c r="O2858">
        <f t="shared" si="270"/>
        <v>2025</v>
      </c>
    </row>
    <row r="2859" spans="1:15" x14ac:dyDescent="0.3">
      <c r="A2859">
        <v>201692</v>
      </c>
      <c r="B2859" t="s">
        <v>94</v>
      </c>
      <c r="C2859" s="2">
        <v>45931</v>
      </c>
      <c r="D2859" s="2">
        <f t="shared" si="268"/>
        <v>45961</v>
      </c>
      <c r="E2859" s="1">
        <f>D2859+5</f>
        <v>45966</v>
      </c>
      <c r="F2859">
        <v>2608</v>
      </c>
      <c r="G2859">
        <v>30</v>
      </c>
      <c r="H2859">
        <f t="shared" si="273"/>
        <v>0</v>
      </c>
      <c r="I2859" t="str">
        <f t="shared" si="271"/>
        <v>On Time</v>
      </c>
      <c r="J2859" cm="1">
        <f t="array" ref="J2859">_xlfn.IFS(H2859&lt;30,0,H2859&lt;60,1,H2859&lt;90,2,H2859&lt;120,3)</f>
        <v>0</v>
      </c>
      <c r="M2859" t="str">
        <f t="shared" si="272"/>
        <v>Low</v>
      </c>
      <c r="N2859" t="str">
        <f t="shared" si="269"/>
        <v>Oct</v>
      </c>
      <c r="O2859">
        <f t="shared" si="270"/>
        <v>2025</v>
      </c>
    </row>
    <row r="2860" spans="1:15" x14ac:dyDescent="0.3">
      <c r="A2860">
        <v>201693</v>
      </c>
      <c r="B2860" t="s">
        <v>95</v>
      </c>
      <c r="C2860" s="2">
        <v>45931</v>
      </c>
      <c r="D2860" s="2">
        <f t="shared" si="268"/>
        <v>45976</v>
      </c>
      <c r="E2860" s="1">
        <f>D2860</f>
        <v>45976</v>
      </c>
      <c r="F2860">
        <v>7998</v>
      </c>
      <c r="G2860">
        <v>45</v>
      </c>
      <c r="H2860">
        <f t="shared" si="273"/>
        <v>0</v>
      </c>
      <c r="I2860" t="str">
        <f t="shared" si="271"/>
        <v>On Time</v>
      </c>
      <c r="J2860" cm="1">
        <f t="array" ref="J2860">_xlfn.IFS(H2860&lt;30,0,H2860&lt;60,1,H2860&lt;90,2,H2860&lt;120,3)</f>
        <v>0</v>
      </c>
      <c r="M2860" t="str">
        <f t="shared" si="272"/>
        <v>Low</v>
      </c>
      <c r="N2860" t="str">
        <f t="shared" si="269"/>
        <v>Oct</v>
      </c>
      <c r="O2860">
        <f t="shared" si="270"/>
        <v>2025</v>
      </c>
    </row>
    <row r="2861" spans="1:15" x14ac:dyDescent="0.3">
      <c r="A2861">
        <v>201694</v>
      </c>
      <c r="B2861" t="s">
        <v>68</v>
      </c>
      <c r="C2861" s="2">
        <v>45931</v>
      </c>
      <c r="D2861" s="2">
        <f t="shared" si="268"/>
        <v>45961</v>
      </c>
      <c r="E2861" s="1">
        <f>D2861-1</f>
        <v>45960</v>
      </c>
      <c r="F2861">
        <v>4802</v>
      </c>
      <c r="G2861">
        <v>30</v>
      </c>
      <c r="H2861">
        <f t="shared" si="273"/>
        <v>0</v>
      </c>
      <c r="I2861" t="str">
        <f t="shared" si="271"/>
        <v>On Time</v>
      </c>
      <c r="J2861" cm="1">
        <f t="array" ref="J2861">_xlfn.IFS(H2861&lt;30,0,H2861&lt;60,1,H2861&lt;90,2,H2861&lt;120,3)</f>
        <v>0</v>
      </c>
      <c r="M2861" t="str">
        <f t="shared" si="272"/>
        <v>Low</v>
      </c>
      <c r="N2861" t="str">
        <f t="shared" si="269"/>
        <v>Oct</v>
      </c>
      <c r="O2861">
        <f t="shared" si="270"/>
        <v>2025</v>
      </c>
    </row>
    <row r="2862" spans="1:15" x14ac:dyDescent="0.3">
      <c r="A2862">
        <v>201695</v>
      </c>
      <c r="B2862" t="s">
        <v>69</v>
      </c>
      <c r="C2862" s="2">
        <v>45931</v>
      </c>
      <c r="D2862" s="2">
        <f t="shared" si="268"/>
        <v>45961</v>
      </c>
      <c r="E2862" s="1">
        <f>D2862</f>
        <v>45961</v>
      </c>
      <c r="F2862">
        <v>2046</v>
      </c>
      <c r="G2862">
        <v>30</v>
      </c>
      <c r="H2862">
        <f t="shared" si="273"/>
        <v>0</v>
      </c>
      <c r="I2862" t="str">
        <f t="shared" si="271"/>
        <v>On Time</v>
      </c>
      <c r="J2862" cm="1">
        <f t="array" ref="J2862">_xlfn.IFS(H2862&lt;30,0,H2862&lt;60,1,H2862&lt;90,2,H2862&lt;120,3)</f>
        <v>0</v>
      </c>
      <c r="M2862" t="str">
        <f t="shared" si="272"/>
        <v>Low</v>
      </c>
      <c r="N2862" t="str">
        <f t="shared" si="269"/>
        <v>Oct</v>
      </c>
      <c r="O2862">
        <f t="shared" si="270"/>
        <v>2025</v>
      </c>
    </row>
    <row r="2863" spans="1:15" x14ac:dyDescent="0.3">
      <c r="A2863">
        <v>201696</v>
      </c>
      <c r="B2863" t="s">
        <v>70</v>
      </c>
      <c r="C2863" s="2">
        <v>45931</v>
      </c>
      <c r="D2863" s="2">
        <f t="shared" si="268"/>
        <v>45961</v>
      </c>
      <c r="E2863" s="1">
        <f>D2863+32</f>
        <v>45993</v>
      </c>
      <c r="F2863">
        <v>4207</v>
      </c>
      <c r="G2863">
        <v>30</v>
      </c>
      <c r="H2863">
        <f t="shared" si="273"/>
        <v>0</v>
      </c>
      <c r="I2863" t="str">
        <f t="shared" si="271"/>
        <v>On Time</v>
      </c>
      <c r="J2863" cm="1">
        <f t="array" ref="J2863">_xlfn.IFS(H2863&lt;30,0,H2863&lt;60,1,H2863&lt;90,2,H2863&lt;120,3)</f>
        <v>0</v>
      </c>
      <c r="M2863" t="str">
        <f t="shared" si="272"/>
        <v>Low</v>
      </c>
      <c r="N2863" t="str">
        <f t="shared" si="269"/>
        <v>Oct</v>
      </c>
      <c r="O2863">
        <f t="shared" si="270"/>
        <v>2025</v>
      </c>
    </row>
    <row r="2864" spans="1:15" x14ac:dyDescent="0.3">
      <c r="A2864">
        <v>201697</v>
      </c>
      <c r="B2864" t="s">
        <v>71</v>
      </c>
      <c r="C2864" s="2">
        <v>45931</v>
      </c>
      <c r="D2864" s="2">
        <f t="shared" si="268"/>
        <v>45961</v>
      </c>
      <c r="E2864" s="1">
        <f>D2864+15</f>
        <v>45976</v>
      </c>
      <c r="F2864">
        <v>1272</v>
      </c>
      <c r="G2864">
        <v>30</v>
      </c>
      <c r="H2864">
        <f t="shared" si="273"/>
        <v>0</v>
      </c>
      <c r="I2864" t="str">
        <f t="shared" si="271"/>
        <v>On Time</v>
      </c>
      <c r="J2864" cm="1">
        <f t="array" ref="J2864">_xlfn.IFS(H2864&lt;30,0,H2864&lt;60,1,H2864&lt;90,2,H2864&lt;120,3)</f>
        <v>0</v>
      </c>
      <c r="M2864" t="str">
        <f t="shared" si="272"/>
        <v>Low</v>
      </c>
      <c r="N2864" t="str">
        <f t="shared" si="269"/>
        <v>Oct</v>
      </c>
      <c r="O2864">
        <f t="shared" si="270"/>
        <v>2025</v>
      </c>
    </row>
    <row r="2865" spans="1:15" x14ac:dyDescent="0.3">
      <c r="A2865">
        <v>201698</v>
      </c>
      <c r="B2865" t="s">
        <v>72</v>
      </c>
      <c r="C2865" s="2">
        <v>45931</v>
      </c>
      <c r="D2865" s="2">
        <f t="shared" si="268"/>
        <v>45961</v>
      </c>
      <c r="E2865" s="1">
        <f>D2865</f>
        <v>45961</v>
      </c>
      <c r="F2865">
        <v>1578</v>
      </c>
      <c r="G2865">
        <v>30</v>
      </c>
      <c r="H2865">
        <f t="shared" si="273"/>
        <v>0</v>
      </c>
      <c r="I2865" t="str">
        <f t="shared" si="271"/>
        <v>On Time</v>
      </c>
      <c r="J2865" cm="1">
        <f t="array" ref="J2865">_xlfn.IFS(H2865&lt;30,0,H2865&lt;60,1,H2865&lt;90,2,H2865&lt;120,3)</f>
        <v>0</v>
      </c>
      <c r="M2865" t="str">
        <f t="shared" si="272"/>
        <v>Low</v>
      </c>
      <c r="N2865" t="str">
        <f t="shared" si="269"/>
        <v>Oct</v>
      </c>
      <c r="O2865">
        <f t="shared" si="270"/>
        <v>2025</v>
      </c>
    </row>
    <row r="2866" spans="1:15" x14ac:dyDescent="0.3">
      <c r="A2866">
        <v>201699</v>
      </c>
      <c r="B2866" t="s">
        <v>73</v>
      </c>
      <c r="C2866" s="2">
        <v>45931</v>
      </c>
      <c r="D2866" s="2">
        <f t="shared" si="268"/>
        <v>45976</v>
      </c>
      <c r="E2866" s="1">
        <f>D2866-2</f>
        <v>45974</v>
      </c>
      <c r="F2866">
        <v>4462</v>
      </c>
      <c r="G2866">
        <v>45</v>
      </c>
      <c r="H2866">
        <f t="shared" si="273"/>
        <v>0</v>
      </c>
      <c r="I2866" t="str">
        <f t="shared" si="271"/>
        <v>On Time</v>
      </c>
      <c r="J2866" cm="1">
        <f t="array" ref="J2866">_xlfn.IFS(H2866&lt;30,0,H2866&lt;60,1,H2866&lt;90,2,H2866&lt;120,3)</f>
        <v>0</v>
      </c>
      <c r="M2866" t="str">
        <f t="shared" si="272"/>
        <v>Low</v>
      </c>
      <c r="N2866" t="str">
        <f t="shared" si="269"/>
        <v>Oct</v>
      </c>
      <c r="O2866">
        <f t="shared" si="270"/>
        <v>2025</v>
      </c>
    </row>
    <row r="2867" spans="1:15" x14ac:dyDescent="0.3">
      <c r="A2867">
        <v>201700</v>
      </c>
      <c r="B2867" t="s">
        <v>74</v>
      </c>
      <c r="C2867" s="2">
        <v>45931</v>
      </c>
      <c r="D2867" s="2">
        <f t="shared" si="268"/>
        <v>45976</v>
      </c>
      <c r="E2867" s="1">
        <f>D2867</f>
        <v>45976</v>
      </c>
      <c r="F2867">
        <v>4165</v>
      </c>
      <c r="G2867">
        <v>45</v>
      </c>
      <c r="H2867">
        <f t="shared" si="273"/>
        <v>0</v>
      </c>
      <c r="I2867" t="str">
        <f t="shared" si="271"/>
        <v>On Time</v>
      </c>
      <c r="J2867" cm="1">
        <f t="array" ref="J2867">_xlfn.IFS(H2867&lt;30,0,H2867&lt;60,1,H2867&lt;90,2,H2867&lt;120,3)</f>
        <v>0</v>
      </c>
      <c r="M2867" t="str">
        <f t="shared" si="272"/>
        <v>Low</v>
      </c>
      <c r="N2867" t="str">
        <f t="shared" si="269"/>
        <v>Oct</v>
      </c>
      <c r="O2867">
        <f t="shared" si="270"/>
        <v>2025</v>
      </c>
    </row>
    <row r="2868" spans="1:15" x14ac:dyDescent="0.3">
      <c r="A2868">
        <v>201701</v>
      </c>
      <c r="B2868" t="s">
        <v>75</v>
      </c>
      <c r="C2868" s="2">
        <v>45931</v>
      </c>
      <c r="D2868" s="2">
        <f t="shared" si="268"/>
        <v>45991</v>
      </c>
      <c r="E2868" s="1">
        <f>D2868+2</f>
        <v>45993</v>
      </c>
      <c r="F2868">
        <v>4392</v>
      </c>
      <c r="G2868">
        <v>60</v>
      </c>
      <c r="H2868">
        <f t="shared" si="273"/>
        <v>0</v>
      </c>
      <c r="I2868" t="str">
        <f t="shared" si="271"/>
        <v>On Time</v>
      </c>
      <c r="J2868" cm="1">
        <f t="array" ref="J2868">_xlfn.IFS(H2868&lt;30,0,H2868&lt;60,1,H2868&lt;90,2,H2868&lt;120,3)</f>
        <v>0</v>
      </c>
      <c r="M2868" t="str">
        <f t="shared" si="272"/>
        <v>Low</v>
      </c>
      <c r="N2868" t="str">
        <f t="shared" si="269"/>
        <v>Oct</v>
      </c>
      <c r="O2868">
        <f t="shared" si="270"/>
        <v>2025</v>
      </c>
    </row>
    <row r="2869" spans="1:15" x14ac:dyDescent="0.3">
      <c r="A2869">
        <v>201702</v>
      </c>
      <c r="B2869" t="s">
        <v>76</v>
      </c>
      <c r="C2869" s="2">
        <v>45931</v>
      </c>
      <c r="D2869" s="2">
        <f t="shared" si="268"/>
        <v>45961</v>
      </c>
      <c r="E2869" s="1">
        <f>D2869+2</f>
        <v>45963</v>
      </c>
      <c r="F2869">
        <v>1818</v>
      </c>
      <c r="G2869">
        <v>30</v>
      </c>
      <c r="H2869">
        <f t="shared" si="273"/>
        <v>0</v>
      </c>
      <c r="I2869" t="str">
        <f t="shared" si="271"/>
        <v>On Time</v>
      </c>
      <c r="J2869" cm="1">
        <f t="array" ref="J2869">_xlfn.IFS(H2869&lt;30,0,H2869&lt;60,1,H2869&lt;90,2,H2869&lt;120,3)</f>
        <v>0</v>
      </c>
      <c r="M2869" t="str">
        <f t="shared" si="272"/>
        <v>Low</v>
      </c>
      <c r="N2869" t="str">
        <f t="shared" si="269"/>
        <v>Oct</v>
      </c>
      <c r="O2869">
        <f t="shared" si="270"/>
        <v>2025</v>
      </c>
    </row>
    <row r="2870" spans="1:15" x14ac:dyDescent="0.3">
      <c r="A2870">
        <v>201671</v>
      </c>
      <c r="B2870" t="s">
        <v>117</v>
      </c>
      <c r="C2870" s="2">
        <v>45930</v>
      </c>
      <c r="D2870" s="2">
        <f t="shared" si="268"/>
        <v>45960</v>
      </c>
      <c r="E2870" s="1">
        <f>D2870</f>
        <v>45960</v>
      </c>
      <c r="F2870">
        <v>1460</v>
      </c>
      <c r="G2870">
        <v>30</v>
      </c>
      <c r="H2870">
        <f t="shared" si="273"/>
        <v>0</v>
      </c>
      <c r="I2870" t="str">
        <f t="shared" si="271"/>
        <v>On Time</v>
      </c>
      <c r="J2870" cm="1">
        <f t="array" ref="J2870">_xlfn.IFS(H2870&lt;30,0,H2870&lt;60,1,H2870&lt;90,2,H2870&lt;120,3)</f>
        <v>0</v>
      </c>
      <c r="M2870" t="str">
        <f t="shared" si="272"/>
        <v>Low</v>
      </c>
      <c r="N2870" t="str">
        <f t="shared" si="269"/>
        <v>Sep</v>
      </c>
      <c r="O2870">
        <f t="shared" si="270"/>
        <v>2025</v>
      </c>
    </row>
    <row r="2871" spans="1:15" x14ac:dyDescent="0.3">
      <c r="A2871">
        <v>201672</v>
      </c>
      <c r="B2871" t="s">
        <v>118</v>
      </c>
      <c r="C2871" s="2">
        <v>45930</v>
      </c>
      <c r="D2871" s="2">
        <f t="shared" si="268"/>
        <v>45960</v>
      </c>
      <c r="E2871" s="1">
        <f>D2871+60</f>
        <v>46020</v>
      </c>
      <c r="F2871">
        <v>4098</v>
      </c>
      <c r="G2871">
        <v>30</v>
      </c>
      <c r="H2871">
        <f t="shared" si="273"/>
        <v>0</v>
      </c>
      <c r="I2871" t="str">
        <f t="shared" si="271"/>
        <v>On Time</v>
      </c>
      <c r="J2871" cm="1">
        <f t="array" ref="J2871">_xlfn.IFS(H2871&lt;30,0,H2871&lt;60,1,H2871&lt;90,2,H2871&lt;120,3)</f>
        <v>0</v>
      </c>
      <c r="M2871" t="str">
        <f t="shared" si="272"/>
        <v>Low</v>
      </c>
      <c r="N2871" t="str">
        <f t="shared" si="269"/>
        <v>Sep</v>
      </c>
      <c r="O2871">
        <f t="shared" si="270"/>
        <v>2025</v>
      </c>
    </row>
    <row r="2872" spans="1:15" x14ac:dyDescent="0.3">
      <c r="A2872">
        <v>201673</v>
      </c>
      <c r="B2872" t="s">
        <v>119</v>
      </c>
      <c r="C2872" s="2">
        <v>45930</v>
      </c>
      <c r="D2872" s="2">
        <f t="shared" si="268"/>
        <v>45960</v>
      </c>
      <c r="E2872" s="1">
        <f>D2872</f>
        <v>45960</v>
      </c>
      <c r="F2872">
        <v>4970</v>
      </c>
      <c r="G2872">
        <v>30</v>
      </c>
      <c r="H2872">
        <f t="shared" si="273"/>
        <v>0</v>
      </c>
      <c r="I2872" t="str">
        <f t="shared" si="271"/>
        <v>On Time</v>
      </c>
      <c r="J2872" cm="1">
        <f t="array" ref="J2872">_xlfn.IFS(H2872&lt;30,0,H2872&lt;60,1,H2872&lt;90,2,H2872&lt;120,3)</f>
        <v>0</v>
      </c>
      <c r="M2872" t="str">
        <f t="shared" si="272"/>
        <v>Low</v>
      </c>
      <c r="N2872" t="str">
        <f t="shared" si="269"/>
        <v>Sep</v>
      </c>
      <c r="O2872">
        <f t="shared" si="270"/>
        <v>2025</v>
      </c>
    </row>
    <row r="2873" spans="1:15" x14ac:dyDescent="0.3">
      <c r="A2873">
        <v>201674</v>
      </c>
      <c r="B2873" t="s">
        <v>100</v>
      </c>
      <c r="C2873" s="2">
        <v>45930</v>
      </c>
      <c r="D2873" s="2">
        <f t="shared" si="268"/>
        <v>45960</v>
      </c>
      <c r="E2873" s="1">
        <f>D2873</f>
        <v>45960</v>
      </c>
      <c r="F2873">
        <v>517</v>
      </c>
      <c r="G2873">
        <v>30</v>
      </c>
      <c r="H2873">
        <f t="shared" si="273"/>
        <v>0</v>
      </c>
      <c r="I2873" t="str">
        <f t="shared" si="271"/>
        <v>On Time</v>
      </c>
      <c r="J2873" cm="1">
        <f t="array" ref="J2873">_xlfn.IFS(H2873&lt;30,0,H2873&lt;60,1,H2873&lt;90,2,H2873&lt;120,3)</f>
        <v>0</v>
      </c>
      <c r="M2873" t="str">
        <f t="shared" si="272"/>
        <v>Low</v>
      </c>
      <c r="N2873" t="str">
        <f t="shared" si="269"/>
        <v>Sep</v>
      </c>
      <c r="O2873">
        <f t="shared" si="270"/>
        <v>2025</v>
      </c>
    </row>
    <row r="2874" spans="1:15" x14ac:dyDescent="0.3">
      <c r="A2874">
        <v>201675</v>
      </c>
      <c r="B2874" t="s">
        <v>101</v>
      </c>
      <c r="C2874" s="2">
        <v>45930</v>
      </c>
      <c r="D2874" s="2">
        <f t="shared" si="268"/>
        <v>45960</v>
      </c>
      <c r="E2874" s="1">
        <f>D2874+3</f>
        <v>45963</v>
      </c>
      <c r="F2874">
        <v>278</v>
      </c>
      <c r="G2874">
        <v>30</v>
      </c>
      <c r="H2874">
        <f t="shared" si="273"/>
        <v>0</v>
      </c>
      <c r="I2874" t="str">
        <f t="shared" si="271"/>
        <v>On Time</v>
      </c>
      <c r="J2874" cm="1">
        <f t="array" ref="J2874">_xlfn.IFS(H2874&lt;30,0,H2874&lt;60,1,H2874&lt;90,2,H2874&lt;120,3)</f>
        <v>0</v>
      </c>
      <c r="M2874" t="str">
        <f t="shared" si="272"/>
        <v>Low</v>
      </c>
      <c r="N2874" t="str">
        <f t="shared" si="269"/>
        <v>Sep</v>
      </c>
      <c r="O2874">
        <f t="shared" si="270"/>
        <v>2025</v>
      </c>
    </row>
    <row r="2875" spans="1:15" x14ac:dyDescent="0.3">
      <c r="A2875">
        <v>201676</v>
      </c>
      <c r="B2875" t="s">
        <v>102</v>
      </c>
      <c r="C2875" s="2">
        <v>45930</v>
      </c>
      <c r="D2875" s="2">
        <f t="shared" si="268"/>
        <v>45960</v>
      </c>
      <c r="E2875" s="1">
        <f>D2875+1</f>
        <v>45961</v>
      </c>
      <c r="F2875">
        <v>3340</v>
      </c>
      <c r="G2875">
        <v>30</v>
      </c>
      <c r="H2875">
        <f t="shared" si="273"/>
        <v>0</v>
      </c>
      <c r="I2875" t="str">
        <f t="shared" si="271"/>
        <v>On Time</v>
      </c>
      <c r="J2875" cm="1">
        <f t="array" ref="J2875">_xlfn.IFS(H2875&lt;30,0,H2875&lt;60,1,H2875&lt;90,2,H2875&lt;120,3)</f>
        <v>0</v>
      </c>
      <c r="M2875" t="str">
        <f t="shared" si="272"/>
        <v>Low</v>
      </c>
      <c r="N2875" t="str">
        <f t="shared" si="269"/>
        <v>Sep</v>
      </c>
      <c r="O2875">
        <f t="shared" si="270"/>
        <v>2025</v>
      </c>
    </row>
    <row r="2876" spans="1:15" x14ac:dyDescent="0.3">
      <c r="A2876">
        <v>201677</v>
      </c>
      <c r="B2876" t="s">
        <v>103</v>
      </c>
      <c r="C2876" s="2">
        <v>45930</v>
      </c>
      <c r="D2876" s="2">
        <f t="shared" si="268"/>
        <v>45960</v>
      </c>
      <c r="E2876" s="1">
        <f>D2876-1</f>
        <v>45959</v>
      </c>
      <c r="F2876">
        <v>10128</v>
      </c>
      <c r="G2876">
        <v>30</v>
      </c>
      <c r="H2876">
        <f t="shared" si="273"/>
        <v>0</v>
      </c>
      <c r="I2876" t="str">
        <f t="shared" si="271"/>
        <v>On Time</v>
      </c>
      <c r="J2876" cm="1">
        <f t="array" ref="J2876">_xlfn.IFS(H2876&lt;30,0,H2876&lt;60,1,H2876&lt;90,2,H2876&lt;120,3)</f>
        <v>0</v>
      </c>
      <c r="M2876" t="str">
        <f t="shared" si="272"/>
        <v>Low</v>
      </c>
      <c r="N2876" t="str">
        <f t="shared" si="269"/>
        <v>Sep</v>
      </c>
      <c r="O2876">
        <f t="shared" si="270"/>
        <v>2025</v>
      </c>
    </row>
    <row r="2877" spans="1:15" x14ac:dyDescent="0.3">
      <c r="A2877">
        <v>201678</v>
      </c>
      <c r="B2877" t="s">
        <v>104</v>
      </c>
      <c r="C2877" s="2">
        <v>45930</v>
      </c>
      <c r="D2877" s="2">
        <f t="shared" si="268"/>
        <v>45960</v>
      </c>
      <c r="E2877" s="1">
        <f>D2877</f>
        <v>45960</v>
      </c>
      <c r="F2877">
        <v>3838</v>
      </c>
      <c r="G2877">
        <v>30</v>
      </c>
      <c r="H2877">
        <f t="shared" si="273"/>
        <v>0</v>
      </c>
      <c r="I2877" t="str">
        <f t="shared" si="271"/>
        <v>On Time</v>
      </c>
      <c r="J2877" cm="1">
        <f t="array" ref="J2877">_xlfn.IFS(H2877&lt;30,0,H2877&lt;60,1,H2877&lt;90,2,H2877&lt;120,3)</f>
        <v>0</v>
      </c>
      <c r="M2877" t="str">
        <f t="shared" si="272"/>
        <v>Low</v>
      </c>
      <c r="N2877" t="str">
        <f t="shared" si="269"/>
        <v>Sep</v>
      </c>
      <c r="O2877">
        <f t="shared" si="270"/>
        <v>2025</v>
      </c>
    </row>
    <row r="2878" spans="1:15" x14ac:dyDescent="0.3">
      <c r="A2878">
        <v>201679</v>
      </c>
      <c r="B2878" t="s">
        <v>105</v>
      </c>
      <c r="C2878" s="2">
        <v>45930</v>
      </c>
      <c r="D2878" s="2">
        <f t="shared" si="268"/>
        <v>45960</v>
      </c>
      <c r="E2878" s="1">
        <f>D2878+1</f>
        <v>45961</v>
      </c>
      <c r="F2878">
        <v>4573</v>
      </c>
      <c r="G2878">
        <v>30</v>
      </c>
      <c r="H2878">
        <f t="shared" si="273"/>
        <v>0</v>
      </c>
      <c r="I2878" t="str">
        <f t="shared" si="271"/>
        <v>On Time</v>
      </c>
      <c r="J2878" cm="1">
        <f t="array" ref="J2878">_xlfn.IFS(H2878&lt;30,0,H2878&lt;60,1,H2878&lt;90,2,H2878&lt;120,3)</f>
        <v>0</v>
      </c>
      <c r="M2878" t="str">
        <f t="shared" si="272"/>
        <v>Low</v>
      </c>
      <c r="N2878" t="str">
        <f t="shared" si="269"/>
        <v>Sep</v>
      </c>
      <c r="O2878">
        <f t="shared" si="270"/>
        <v>2025</v>
      </c>
    </row>
    <row r="2879" spans="1:15" x14ac:dyDescent="0.3">
      <c r="A2879">
        <v>201680</v>
      </c>
      <c r="B2879" t="s">
        <v>106</v>
      </c>
      <c r="C2879" s="2">
        <v>45930</v>
      </c>
      <c r="D2879" s="2">
        <f t="shared" si="268"/>
        <v>45960</v>
      </c>
      <c r="E2879" s="1">
        <f>D2879+35</f>
        <v>45995</v>
      </c>
      <c r="F2879">
        <v>459</v>
      </c>
      <c r="G2879">
        <v>30</v>
      </c>
      <c r="H2879">
        <f t="shared" si="273"/>
        <v>0</v>
      </c>
      <c r="I2879" t="str">
        <f t="shared" si="271"/>
        <v>On Time</v>
      </c>
      <c r="J2879" cm="1">
        <f t="array" ref="J2879">_xlfn.IFS(H2879&lt;30,0,H2879&lt;60,1,H2879&lt;90,2,H2879&lt;120,3)</f>
        <v>0</v>
      </c>
      <c r="M2879" t="str">
        <f t="shared" si="272"/>
        <v>Low</v>
      </c>
      <c r="N2879" t="str">
        <f t="shared" si="269"/>
        <v>Sep</v>
      </c>
      <c r="O2879">
        <f t="shared" si="270"/>
        <v>2025</v>
      </c>
    </row>
    <row r="2880" spans="1:15" x14ac:dyDescent="0.3">
      <c r="A2880">
        <v>201681</v>
      </c>
      <c r="B2880" t="s">
        <v>107</v>
      </c>
      <c r="C2880" s="2">
        <v>45930</v>
      </c>
      <c r="D2880" s="2">
        <f t="shared" si="268"/>
        <v>45960</v>
      </c>
      <c r="E2880" s="1">
        <f>D2880+75</f>
        <v>46035</v>
      </c>
      <c r="F2880">
        <v>876</v>
      </c>
      <c r="G2880">
        <v>30</v>
      </c>
      <c r="H2880">
        <f t="shared" si="273"/>
        <v>0</v>
      </c>
      <c r="I2880" t="str">
        <f t="shared" si="271"/>
        <v>On Time</v>
      </c>
      <c r="J2880" cm="1">
        <f t="array" ref="J2880">_xlfn.IFS(H2880&lt;30,0,H2880&lt;60,1,H2880&lt;90,2,H2880&lt;120,3)</f>
        <v>0</v>
      </c>
      <c r="M2880" t="str">
        <f t="shared" si="272"/>
        <v>Low</v>
      </c>
      <c r="N2880" t="str">
        <f t="shared" si="269"/>
        <v>Sep</v>
      </c>
      <c r="O2880">
        <f t="shared" si="270"/>
        <v>2025</v>
      </c>
    </row>
    <row r="2881" spans="1:15" x14ac:dyDescent="0.3">
      <c r="A2881">
        <v>201682</v>
      </c>
      <c r="B2881" t="s">
        <v>108</v>
      </c>
      <c r="C2881" s="2">
        <v>45930</v>
      </c>
      <c r="D2881" s="2">
        <f t="shared" si="268"/>
        <v>45960</v>
      </c>
      <c r="E2881" s="1">
        <f>D2881+5</f>
        <v>45965</v>
      </c>
      <c r="F2881">
        <v>4607</v>
      </c>
      <c r="G2881">
        <v>30</v>
      </c>
      <c r="H2881">
        <f t="shared" si="273"/>
        <v>0</v>
      </c>
      <c r="I2881" t="str">
        <f t="shared" si="271"/>
        <v>On Time</v>
      </c>
      <c r="J2881" cm="1">
        <f t="array" ref="J2881">_xlfn.IFS(H2881&lt;30,0,H2881&lt;60,1,H2881&lt;90,2,H2881&lt;120,3)</f>
        <v>0</v>
      </c>
      <c r="M2881" t="str">
        <f t="shared" si="272"/>
        <v>Low</v>
      </c>
      <c r="N2881" t="str">
        <f t="shared" si="269"/>
        <v>Sep</v>
      </c>
      <c r="O2881">
        <f t="shared" si="270"/>
        <v>2025</v>
      </c>
    </row>
    <row r="2882" spans="1:15" x14ac:dyDescent="0.3">
      <c r="A2882">
        <v>201683</v>
      </c>
      <c r="B2882" t="s">
        <v>85</v>
      </c>
      <c r="C2882" s="2">
        <v>45930</v>
      </c>
      <c r="D2882" s="2">
        <f t="shared" ref="D2882:D2945" si="274">C2882+G2882</f>
        <v>45990</v>
      </c>
      <c r="E2882" s="1">
        <f>D2882</f>
        <v>45990</v>
      </c>
      <c r="F2882">
        <v>3373</v>
      </c>
      <c r="G2882">
        <v>60</v>
      </c>
      <c r="H2882">
        <f t="shared" si="273"/>
        <v>0</v>
      </c>
      <c r="I2882" t="str">
        <f t="shared" si="271"/>
        <v>On Time</v>
      </c>
      <c r="J2882" cm="1">
        <f t="array" ref="J2882">_xlfn.IFS(H2882&lt;30,0,H2882&lt;60,1,H2882&lt;90,2,H2882&lt;120,3)</f>
        <v>0</v>
      </c>
      <c r="M2882" t="str">
        <f t="shared" si="272"/>
        <v>Low</v>
      </c>
      <c r="N2882" t="str">
        <f t="shared" ref="N2882:N2945" si="275">TEXT(C2882,"mmm")</f>
        <v>Sep</v>
      </c>
      <c r="O2882">
        <f t="shared" ref="O2882:O2945" si="276">YEAR(C2882)</f>
        <v>2025</v>
      </c>
    </row>
    <row r="2883" spans="1:15" x14ac:dyDescent="0.3">
      <c r="A2883">
        <v>201684</v>
      </c>
      <c r="B2883" t="s">
        <v>86</v>
      </c>
      <c r="C2883" s="2">
        <v>45930</v>
      </c>
      <c r="D2883" s="2">
        <f t="shared" si="274"/>
        <v>45960</v>
      </c>
      <c r="E2883" s="1">
        <f>D2883-1</f>
        <v>45959</v>
      </c>
      <c r="F2883">
        <v>1232</v>
      </c>
      <c r="G2883">
        <v>30</v>
      </c>
      <c r="H2883">
        <f t="shared" si="273"/>
        <v>0</v>
      </c>
      <c r="I2883" t="str">
        <f t="shared" si="271"/>
        <v>On Time</v>
      </c>
      <c r="J2883" cm="1">
        <f t="array" ref="J2883">_xlfn.IFS(H2883&lt;30,0,H2883&lt;60,1,H2883&lt;90,2,H2883&lt;120,3)</f>
        <v>0</v>
      </c>
      <c r="M2883" t="str">
        <f t="shared" si="272"/>
        <v>Low</v>
      </c>
      <c r="N2883" t="str">
        <f t="shared" si="275"/>
        <v>Sep</v>
      </c>
      <c r="O2883">
        <f t="shared" si="276"/>
        <v>2025</v>
      </c>
    </row>
    <row r="2884" spans="1:15" x14ac:dyDescent="0.3">
      <c r="A2884">
        <v>201685</v>
      </c>
      <c r="B2884" t="s">
        <v>87</v>
      </c>
      <c r="C2884" s="2">
        <v>45930</v>
      </c>
      <c r="D2884" s="2">
        <f t="shared" si="274"/>
        <v>45960</v>
      </c>
      <c r="E2884" s="1">
        <f>D2884+3</f>
        <v>45963</v>
      </c>
      <c r="F2884">
        <v>2648</v>
      </c>
      <c r="G2884">
        <v>30</v>
      </c>
      <c r="H2884">
        <f t="shared" si="273"/>
        <v>0</v>
      </c>
      <c r="I2884" t="str">
        <f t="shared" si="271"/>
        <v>On Time</v>
      </c>
      <c r="J2884" cm="1">
        <f t="array" ref="J2884">_xlfn.IFS(H2884&lt;30,0,H2884&lt;60,1,H2884&lt;90,2,H2884&lt;120,3)</f>
        <v>0</v>
      </c>
      <c r="M2884" t="str">
        <f t="shared" si="272"/>
        <v>Low</v>
      </c>
      <c r="N2884" t="str">
        <f t="shared" si="275"/>
        <v>Sep</v>
      </c>
      <c r="O2884">
        <f t="shared" si="276"/>
        <v>2025</v>
      </c>
    </row>
    <row r="2885" spans="1:15" x14ac:dyDescent="0.3">
      <c r="A2885">
        <v>201686</v>
      </c>
      <c r="B2885" t="s">
        <v>88</v>
      </c>
      <c r="C2885" s="2">
        <v>45930</v>
      </c>
      <c r="D2885" s="2">
        <f t="shared" si="274"/>
        <v>45960</v>
      </c>
      <c r="E2885" s="1">
        <f>D2885+1</f>
        <v>45961</v>
      </c>
      <c r="F2885">
        <v>6521</v>
      </c>
      <c r="G2885">
        <v>30</v>
      </c>
      <c r="H2885">
        <f t="shared" si="273"/>
        <v>0</v>
      </c>
      <c r="I2885" t="str">
        <f t="shared" si="271"/>
        <v>On Time</v>
      </c>
      <c r="J2885" cm="1">
        <f t="array" ref="J2885">_xlfn.IFS(H2885&lt;30,0,H2885&lt;60,1,H2885&lt;90,2,H2885&lt;120,3)</f>
        <v>0</v>
      </c>
      <c r="M2885" t="str">
        <f t="shared" si="272"/>
        <v>Low</v>
      </c>
      <c r="N2885" t="str">
        <f t="shared" si="275"/>
        <v>Sep</v>
      </c>
      <c r="O2885">
        <f t="shared" si="276"/>
        <v>2025</v>
      </c>
    </row>
    <row r="2886" spans="1:15" x14ac:dyDescent="0.3">
      <c r="A2886">
        <v>201687</v>
      </c>
      <c r="B2886" t="s">
        <v>89</v>
      </c>
      <c r="C2886" s="2">
        <v>45930</v>
      </c>
      <c r="D2886" s="2">
        <f t="shared" si="274"/>
        <v>45960</v>
      </c>
      <c r="E2886" s="1">
        <f>D2886-1</f>
        <v>45959</v>
      </c>
      <c r="F2886">
        <v>359</v>
      </c>
      <c r="G2886">
        <v>30</v>
      </c>
      <c r="H2886">
        <f t="shared" si="273"/>
        <v>0</v>
      </c>
      <c r="I2886" t="str">
        <f t="shared" si="271"/>
        <v>On Time</v>
      </c>
      <c r="J2886" cm="1">
        <f t="array" ref="J2886">_xlfn.IFS(H2886&lt;30,0,H2886&lt;60,1,H2886&lt;90,2,H2886&lt;120,3)</f>
        <v>0</v>
      </c>
      <c r="M2886" t="str">
        <f t="shared" si="272"/>
        <v>Low</v>
      </c>
      <c r="N2886" t="str">
        <f t="shared" si="275"/>
        <v>Sep</v>
      </c>
      <c r="O2886">
        <f t="shared" si="276"/>
        <v>2025</v>
      </c>
    </row>
    <row r="2887" spans="1:15" x14ac:dyDescent="0.3">
      <c r="A2887">
        <v>201655</v>
      </c>
      <c r="B2887" t="s">
        <v>27</v>
      </c>
      <c r="C2887" s="2">
        <v>45929</v>
      </c>
      <c r="D2887" s="2">
        <f t="shared" si="274"/>
        <v>45989</v>
      </c>
      <c r="E2887" s="1">
        <f>D2887</f>
        <v>45989</v>
      </c>
      <c r="F2887">
        <v>3425</v>
      </c>
      <c r="G2887">
        <v>60</v>
      </c>
      <c r="H2887">
        <f t="shared" si="273"/>
        <v>0</v>
      </c>
      <c r="I2887" t="str">
        <f t="shared" si="271"/>
        <v>On Time</v>
      </c>
      <c r="J2887" cm="1">
        <f t="array" ref="J2887">_xlfn.IFS(H2887&lt;30,0,H2887&lt;60,1,H2887&lt;90,2,H2887&lt;120,3)</f>
        <v>0</v>
      </c>
      <c r="M2887" t="str">
        <f t="shared" si="272"/>
        <v>Low</v>
      </c>
      <c r="N2887" t="str">
        <f t="shared" si="275"/>
        <v>Sep</v>
      </c>
      <c r="O2887">
        <f t="shared" si="276"/>
        <v>2025</v>
      </c>
    </row>
    <row r="2888" spans="1:15" x14ac:dyDescent="0.3">
      <c r="A2888">
        <v>201656</v>
      </c>
      <c r="B2888" t="s">
        <v>28</v>
      </c>
      <c r="C2888" s="2">
        <v>45929</v>
      </c>
      <c r="D2888" s="2">
        <f t="shared" si="274"/>
        <v>45959</v>
      </c>
      <c r="E2888" s="1">
        <f>D2888-2</f>
        <v>45957</v>
      </c>
      <c r="F2888">
        <v>2540</v>
      </c>
      <c r="G2888">
        <v>30</v>
      </c>
      <c r="H2888">
        <f t="shared" si="273"/>
        <v>0</v>
      </c>
      <c r="I2888" t="str">
        <f t="shared" si="271"/>
        <v>On Time</v>
      </c>
      <c r="J2888" cm="1">
        <f t="array" ref="J2888">_xlfn.IFS(H2888&lt;30,0,H2888&lt;60,1,H2888&lt;90,2,H2888&lt;120,3)</f>
        <v>0</v>
      </c>
      <c r="M2888" t="str">
        <f t="shared" si="272"/>
        <v>Low</v>
      </c>
      <c r="N2888" t="str">
        <f t="shared" si="275"/>
        <v>Sep</v>
      </c>
      <c r="O2888">
        <f t="shared" si="276"/>
        <v>2025</v>
      </c>
    </row>
    <row r="2889" spans="1:15" x14ac:dyDescent="0.3">
      <c r="A2889">
        <v>201657</v>
      </c>
      <c r="B2889" t="s">
        <v>29</v>
      </c>
      <c r="C2889" s="2">
        <v>45929</v>
      </c>
      <c r="D2889" s="2">
        <f t="shared" si="274"/>
        <v>45959</v>
      </c>
      <c r="E2889" s="1">
        <f>D2889</f>
        <v>45959</v>
      </c>
      <c r="F2889">
        <v>1993</v>
      </c>
      <c r="G2889">
        <v>30</v>
      </c>
      <c r="H2889">
        <f t="shared" si="273"/>
        <v>0</v>
      </c>
      <c r="I2889" t="str">
        <f t="shared" si="271"/>
        <v>On Time</v>
      </c>
      <c r="J2889" cm="1">
        <f t="array" ref="J2889">_xlfn.IFS(H2889&lt;30,0,H2889&lt;60,1,H2889&lt;90,2,H2889&lt;120,3)</f>
        <v>0</v>
      </c>
      <c r="M2889" t="str">
        <f t="shared" si="272"/>
        <v>Low</v>
      </c>
      <c r="N2889" t="str">
        <f t="shared" si="275"/>
        <v>Sep</v>
      </c>
      <c r="O2889">
        <f t="shared" si="276"/>
        <v>2025</v>
      </c>
    </row>
    <row r="2890" spans="1:15" x14ac:dyDescent="0.3">
      <c r="A2890">
        <v>201658</v>
      </c>
      <c r="B2890" t="s">
        <v>30</v>
      </c>
      <c r="C2890" s="2">
        <v>45929</v>
      </c>
      <c r="D2890" s="2">
        <f t="shared" si="274"/>
        <v>45959</v>
      </c>
      <c r="E2890" s="1">
        <f>D2890+2</f>
        <v>45961</v>
      </c>
      <c r="F2890">
        <v>405</v>
      </c>
      <c r="G2890">
        <v>30</v>
      </c>
      <c r="H2890">
        <f t="shared" si="273"/>
        <v>0</v>
      </c>
      <c r="I2890" t="str">
        <f t="shared" si="271"/>
        <v>On Time</v>
      </c>
      <c r="J2890" cm="1">
        <f t="array" ref="J2890">_xlfn.IFS(H2890&lt;30,0,H2890&lt;60,1,H2890&lt;90,2,H2890&lt;120,3)</f>
        <v>0</v>
      </c>
      <c r="M2890" t="str">
        <f t="shared" si="272"/>
        <v>Low</v>
      </c>
      <c r="N2890" t="str">
        <f t="shared" si="275"/>
        <v>Sep</v>
      </c>
      <c r="O2890">
        <f t="shared" si="276"/>
        <v>2025</v>
      </c>
    </row>
    <row r="2891" spans="1:15" x14ac:dyDescent="0.3">
      <c r="A2891">
        <v>201659</v>
      </c>
      <c r="B2891" t="s">
        <v>31</v>
      </c>
      <c r="C2891" s="2">
        <v>45929</v>
      </c>
      <c r="D2891" s="2">
        <f t="shared" si="274"/>
        <v>45974</v>
      </c>
      <c r="E2891" s="1">
        <f>D2891+2</f>
        <v>45976</v>
      </c>
      <c r="F2891">
        <v>2957</v>
      </c>
      <c r="G2891">
        <v>45</v>
      </c>
      <c r="H2891">
        <f t="shared" si="273"/>
        <v>0</v>
      </c>
      <c r="I2891" t="str">
        <f t="shared" si="271"/>
        <v>On Time</v>
      </c>
      <c r="J2891" cm="1">
        <f t="array" ref="J2891">_xlfn.IFS(H2891&lt;30,0,H2891&lt;60,1,H2891&lt;90,2,H2891&lt;120,3)</f>
        <v>0</v>
      </c>
      <c r="M2891" t="str">
        <f t="shared" si="272"/>
        <v>Low</v>
      </c>
      <c r="N2891" t="str">
        <f t="shared" si="275"/>
        <v>Sep</v>
      </c>
      <c r="O2891">
        <f t="shared" si="276"/>
        <v>2025</v>
      </c>
    </row>
    <row r="2892" spans="1:15" x14ac:dyDescent="0.3">
      <c r="A2892">
        <v>201660</v>
      </c>
      <c r="B2892" t="s">
        <v>39</v>
      </c>
      <c r="C2892" s="2">
        <v>45929</v>
      </c>
      <c r="D2892" s="2">
        <f t="shared" si="274"/>
        <v>45959</v>
      </c>
      <c r="E2892" s="1">
        <f>D2892+2</f>
        <v>45961</v>
      </c>
      <c r="F2892">
        <v>2921</v>
      </c>
      <c r="G2892">
        <v>30</v>
      </c>
      <c r="H2892">
        <f t="shared" si="273"/>
        <v>0</v>
      </c>
      <c r="I2892" t="str">
        <f t="shared" si="271"/>
        <v>On Time</v>
      </c>
      <c r="J2892" cm="1">
        <f t="array" ref="J2892">_xlfn.IFS(H2892&lt;30,0,H2892&lt;60,1,H2892&lt;90,2,H2892&lt;120,3)</f>
        <v>0</v>
      </c>
      <c r="M2892" t="str">
        <f t="shared" si="272"/>
        <v>Low</v>
      </c>
      <c r="N2892" t="str">
        <f t="shared" si="275"/>
        <v>Sep</v>
      </c>
      <c r="O2892">
        <f t="shared" si="276"/>
        <v>2025</v>
      </c>
    </row>
    <row r="2893" spans="1:15" x14ac:dyDescent="0.3">
      <c r="A2893">
        <v>201661</v>
      </c>
      <c r="B2893" t="s">
        <v>40</v>
      </c>
      <c r="C2893" s="2">
        <v>45929</v>
      </c>
      <c r="D2893" s="2">
        <f t="shared" si="274"/>
        <v>45959</v>
      </c>
      <c r="E2893" s="1">
        <f>D2893</f>
        <v>45959</v>
      </c>
      <c r="F2893">
        <v>2972</v>
      </c>
      <c r="G2893">
        <v>30</v>
      </c>
      <c r="H2893">
        <f t="shared" si="273"/>
        <v>0</v>
      </c>
      <c r="I2893" t="str">
        <f t="shared" si="271"/>
        <v>On Time</v>
      </c>
      <c r="J2893" cm="1">
        <f t="array" ref="J2893">_xlfn.IFS(H2893&lt;30,0,H2893&lt;60,1,H2893&lt;90,2,H2893&lt;120,3)</f>
        <v>0</v>
      </c>
      <c r="M2893" t="str">
        <f t="shared" si="272"/>
        <v>Low</v>
      </c>
      <c r="N2893" t="str">
        <f t="shared" si="275"/>
        <v>Sep</v>
      </c>
      <c r="O2893">
        <f t="shared" si="276"/>
        <v>2025</v>
      </c>
    </row>
    <row r="2894" spans="1:15" x14ac:dyDescent="0.3">
      <c r="A2894">
        <v>201662</v>
      </c>
      <c r="B2894" t="s">
        <v>41</v>
      </c>
      <c r="C2894" s="2">
        <v>45929</v>
      </c>
      <c r="D2894" s="2">
        <f t="shared" si="274"/>
        <v>45959</v>
      </c>
      <c r="E2894" s="1">
        <f>D2894+20</f>
        <v>45979</v>
      </c>
      <c r="F2894">
        <v>1804</v>
      </c>
      <c r="G2894">
        <v>30</v>
      </c>
      <c r="H2894">
        <f t="shared" si="273"/>
        <v>0</v>
      </c>
      <c r="I2894" t="str">
        <f t="shared" si="271"/>
        <v>On Time</v>
      </c>
      <c r="J2894" cm="1">
        <f t="array" ref="J2894">_xlfn.IFS(H2894&lt;30,0,H2894&lt;60,1,H2894&lt;90,2,H2894&lt;120,3)</f>
        <v>0</v>
      </c>
      <c r="M2894" t="str">
        <f t="shared" si="272"/>
        <v>Low</v>
      </c>
      <c r="N2894" t="str">
        <f t="shared" si="275"/>
        <v>Sep</v>
      </c>
      <c r="O2894">
        <f t="shared" si="276"/>
        <v>2025</v>
      </c>
    </row>
    <row r="2895" spans="1:15" x14ac:dyDescent="0.3">
      <c r="A2895">
        <v>201663</v>
      </c>
      <c r="B2895" t="s">
        <v>42</v>
      </c>
      <c r="C2895" s="2">
        <v>45929</v>
      </c>
      <c r="D2895" s="2">
        <f t="shared" si="274"/>
        <v>45959</v>
      </c>
      <c r="E2895" s="1">
        <f>D2895</f>
        <v>45959</v>
      </c>
      <c r="F2895">
        <v>2034</v>
      </c>
      <c r="G2895">
        <v>30</v>
      </c>
      <c r="H2895">
        <f t="shared" si="273"/>
        <v>0</v>
      </c>
      <c r="I2895" t="str">
        <f t="shared" si="271"/>
        <v>On Time</v>
      </c>
      <c r="J2895" cm="1">
        <f t="array" ref="J2895">_xlfn.IFS(H2895&lt;30,0,H2895&lt;60,1,H2895&lt;90,2,H2895&lt;120,3)</f>
        <v>0</v>
      </c>
      <c r="M2895" t="str">
        <f t="shared" si="272"/>
        <v>Low</v>
      </c>
      <c r="N2895" t="str">
        <f t="shared" si="275"/>
        <v>Sep</v>
      </c>
      <c r="O2895">
        <f t="shared" si="276"/>
        <v>2025</v>
      </c>
    </row>
    <row r="2896" spans="1:15" x14ac:dyDescent="0.3">
      <c r="A2896">
        <v>201664</v>
      </c>
      <c r="B2896" t="s">
        <v>43</v>
      </c>
      <c r="C2896" s="2">
        <v>45929</v>
      </c>
      <c r="D2896" s="2">
        <f t="shared" si="274"/>
        <v>45959</v>
      </c>
      <c r="E2896" s="1">
        <f>D2896+1</f>
        <v>45960</v>
      </c>
      <c r="F2896">
        <v>15558</v>
      </c>
      <c r="G2896">
        <v>30</v>
      </c>
      <c r="H2896">
        <f t="shared" si="273"/>
        <v>0</v>
      </c>
      <c r="I2896" t="str">
        <f t="shared" si="271"/>
        <v>On Time</v>
      </c>
      <c r="J2896" cm="1">
        <f t="array" ref="J2896">_xlfn.IFS(H2896&lt;30,0,H2896&lt;60,1,H2896&lt;90,2,H2896&lt;120,3)</f>
        <v>0</v>
      </c>
      <c r="M2896" t="str">
        <f t="shared" si="272"/>
        <v>Low</v>
      </c>
      <c r="N2896" t="str">
        <f t="shared" si="275"/>
        <v>Sep</v>
      </c>
      <c r="O2896">
        <f t="shared" si="276"/>
        <v>2025</v>
      </c>
    </row>
    <row r="2897" spans="1:15" x14ac:dyDescent="0.3">
      <c r="A2897">
        <v>201665</v>
      </c>
      <c r="B2897" t="s">
        <v>44</v>
      </c>
      <c r="C2897" s="2">
        <v>45929</v>
      </c>
      <c r="D2897" s="2">
        <f t="shared" si="274"/>
        <v>45974</v>
      </c>
      <c r="E2897" s="1">
        <f>D2897</f>
        <v>45974</v>
      </c>
      <c r="F2897">
        <v>1765</v>
      </c>
      <c r="G2897">
        <v>45</v>
      </c>
      <c r="H2897">
        <f t="shared" si="273"/>
        <v>0</v>
      </c>
      <c r="I2897" t="str">
        <f t="shared" si="271"/>
        <v>On Time</v>
      </c>
      <c r="J2897" cm="1">
        <f t="array" ref="J2897">_xlfn.IFS(H2897&lt;30,0,H2897&lt;60,1,H2897&lt;90,2,H2897&lt;120,3)</f>
        <v>0</v>
      </c>
      <c r="M2897" t="str">
        <f t="shared" si="272"/>
        <v>Low</v>
      </c>
      <c r="N2897" t="str">
        <f t="shared" si="275"/>
        <v>Sep</v>
      </c>
      <c r="O2897">
        <f t="shared" si="276"/>
        <v>2025</v>
      </c>
    </row>
    <row r="2898" spans="1:15" x14ac:dyDescent="0.3">
      <c r="A2898">
        <v>201666</v>
      </c>
      <c r="B2898" t="s">
        <v>45</v>
      </c>
      <c r="C2898" s="2">
        <v>45929</v>
      </c>
      <c r="D2898" s="2">
        <f t="shared" si="274"/>
        <v>45974</v>
      </c>
      <c r="E2898" s="1">
        <f>D2898</f>
        <v>45974</v>
      </c>
      <c r="F2898">
        <v>2092</v>
      </c>
      <c r="G2898">
        <v>45</v>
      </c>
      <c r="H2898">
        <f t="shared" si="273"/>
        <v>0</v>
      </c>
      <c r="I2898" t="str">
        <f t="shared" si="271"/>
        <v>On Time</v>
      </c>
      <c r="J2898" cm="1">
        <f t="array" ref="J2898">_xlfn.IFS(H2898&lt;30,0,H2898&lt;60,1,H2898&lt;90,2,H2898&lt;120,3)</f>
        <v>0</v>
      </c>
      <c r="M2898" t="str">
        <f t="shared" si="272"/>
        <v>Low</v>
      </c>
      <c r="N2898" t="str">
        <f t="shared" si="275"/>
        <v>Sep</v>
      </c>
      <c r="O2898">
        <f t="shared" si="276"/>
        <v>2025</v>
      </c>
    </row>
    <row r="2899" spans="1:15" x14ac:dyDescent="0.3">
      <c r="A2899">
        <v>201667</v>
      </c>
      <c r="B2899" t="s">
        <v>46</v>
      </c>
      <c r="C2899" s="2">
        <v>45929</v>
      </c>
      <c r="D2899" s="2">
        <f t="shared" si="274"/>
        <v>45989</v>
      </c>
      <c r="E2899" s="1">
        <f>D2899+5</f>
        <v>45994</v>
      </c>
      <c r="F2899">
        <v>6461</v>
      </c>
      <c r="G2899">
        <v>60</v>
      </c>
      <c r="H2899">
        <f t="shared" si="273"/>
        <v>0</v>
      </c>
      <c r="I2899" t="str">
        <f t="shared" si="271"/>
        <v>On Time</v>
      </c>
      <c r="J2899" cm="1">
        <f t="array" ref="J2899">_xlfn.IFS(H2899&lt;30,0,H2899&lt;60,1,H2899&lt;90,2,H2899&lt;120,3)</f>
        <v>0</v>
      </c>
      <c r="M2899" t="str">
        <f t="shared" si="272"/>
        <v>Low</v>
      </c>
      <c r="N2899" t="str">
        <f t="shared" si="275"/>
        <v>Sep</v>
      </c>
      <c r="O2899">
        <f t="shared" si="276"/>
        <v>2025</v>
      </c>
    </row>
    <row r="2900" spans="1:15" x14ac:dyDescent="0.3">
      <c r="A2900">
        <v>201668</v>
      </c>
      <c r="B2900" t="s">
        <v>114</v>
      </c>
      <c r="C2900" s="2">
        <v>45929</v>
      </c>
      <c r="D2900" s="2">
        <f t="shared" si="274"/>
        <v>45959</v>
      </c>
      <c r="E2900" s="1">
        <f>D2900+2</f>
        <v>45961</v>
      </c>
      <c r="F2900">
        <v>3749</v>
      </c>
      <c r="G2900">
        <v>30</v>
      </c>
      <c r="H2900">
        <f t="shared" si="273"/>
        <v>0</v>
      </c>
      <c r="I2900" t="str">
        <f t="shared" si="271"/>
        <v>On Time</v>
      </c>
      <c r="J2900" cm="1">
        <f t="array" ref="J2900">_xlfn.IFS(H2900&lt;30,0,H2900&lt;60,1,H2900&lt;90,2,H2900&lt;120,3)</f>
        <v>0</v>
      </c>
      <c r="M2900" t="str">
        <f t="shared" si="272"/>
        <v>Low</v>
      </c>
      <c r="N2900" t="str">
        <f t="shared" si="275"/>
        <v>Sep</v>
      </c>
      <c r="O2900">
        <f t="shared" si="276"/>
        <v>2025</v>
      </c>
    </row>
    <row r="2901" spans="1:15" x14ac:dyDescent="0.3">
      <c r="A2901">
        <v>201669</v>
      </c>
      <c r="B2901" t="s">
        <v>115</v>
      </c>
      <c r="C2901" s="2">
        <v>45929</v>
      </c>
      <c r="D2901" s="2">
        <f t="shared" si="274"/>
        <v>45959</v>
      </c>
      <c r="E2901" s="1">
        <f>D2901</f>
        <v>45959</v>
      </c>
      <c r="F2901">
        <v>619</v>
      </c>
      <c r="G2901">
        <v>30</v>
      </c>
      <c r="H2901">
        <f t="shared" si="273"/>
        <v>0</v>
      </c>
      <c r="I2901" t="str">
        <f t="shared" si="271"/>
        <v>On Time</v>
      </c>
      <c r="J2901" cm="1">
        <f t="array" ref="J2901">_xlfn.IFS(H2901&lt;30,0,H2901&lt;60,1,H2901&lt;90,2,H2901&lt;120,3)</f>
        <v>0</v>
      </c>
      <c r="M2901" t="str">
        <f t="shared" si="272"/>
        <v>Low</v>
      </c>
      <c r="N2901" t="str">
        <f t="shared" si="275"/>
        <v>Sep</v>
      </c>
      <c r="O2901">
        <f t="shared" si="276"/>
        <v>2025</v>
      </c>
    </row>
    <row r="2902" spans="1:15" x14ac:dyDescent="0.3">
      <c r="A2902">
        <v>201670</v>
      </c>
      <c r="B2902" t="s">
        <v>116</v>
      </c>
      <c r="C2902" s="2">
        <v>45929</v>
      </c>
      <c r="D2902" s="2">
        <f t="shared" si="274"/>
        <v>45959</v>
      </c>
      <c r="E2902" s="1">
        <f>D2902</f>
        <v>45959</v>
      </c>
      <c r="F2902">
        <v>1866</v>
      </c>
      <c r="G2902">
        <v>30</v>
      </c>
      <c r="H2902">
        <f t="shared" si="273"/>
        <v>0</v>
      </c>
      <c r="I2902" t="str">
        <f t="shared" ref="I2902:I2965" si="277">IF(H2902=0,"On Time",IF(H2902&lt;=15,"Paid Late","Seriously Late"))</f>
        <v>On Time</v>
      </c>
      <c r="J2902" cm="1">
        <f t="array" ref="J2902">_xlfn.IFS(H2902&lt;30,0,H2902&lt;60,1,H2902&lt;90,2,H2902&lt;120,3)</f>
        <v>0</v>
      </c>
      <c r="M2902" t="str">
        <f t="shared" ref="M2902:M2965" si="278">IF(H2902&gt;30,"High",IF(H2902&gt;10,"Medium","Low"))</f>
        <v>Low</v>
      </c>
      <c r="N2902" t="str">
        <f t="shared" si="275"/>
        <v>Sep</v>
      </c>
      <c r="O2902">
        <f t="shared" si="276"/>
        <v>2025</v>
      </c>
    </row>
    <row r="2903" spans="1:15" x14ac:dyDescent="0.3">
      <c r="A2903">
        <v>201639</v>
      </c>
      <c r="B2903" t="s">
        <v>105</v>
      </c>
      <c r="C2903" s="2">
        <v>45926</v>
      </c>
      <c r="D2903" s="2">
        <f t="shared" si="274"/>
        <v>45956</v>
      </c>
      <c r="E2903" s="1">
        <f>D2903+5</f>
        <v>45961</v>
      </c>
      <c r="F2903">
        <v>8146</v>
      </c>
      <c r="G2903">
        <v>30</v>
      </c>
      <c r="H2903">
        <f t="shared" si="273"/>
        <v>0</v>
      </c>
      <c r="I2903" t="str">
        <f t="shared" si="277"/>
        <v>On Time</v>
      </c>
      <c r="J2903" cm="1">
        <f t="array" ref="J2903">_xlfn.IFS(H2903&lt;30,0,H2903&lt;60,1,H2903&lt;90,2,H2903&lt;120,3)</f>
        <v>0</v>
      </c>
      <c r="M2903" t="str">
        <f t="shared" si="278"/>
        <v>Low</v>
      </c>
      <c r="N2903" t="str">
        <f t="shared" si="275"/>
        <v>Sep</v>
      </c>
      <c r="O2903">
        <f t="shared" si="276"/>
        <v>2025</v>
      </c>
    </row>
    <row r="2904" spans="1:15" x14ac:dyDescent="0.3">
      <c r="A2904">
        <v>201640</v>
      </c>
      <c r="B2904" t="s">
        <v>114</v>
      </c>
      <c r="C2904" s="2">
        <v>45926</v>
      </c>
      <c r="D2904" s="2">
        <f t="shared" si="274"/>
        <v>45956</v>
      </c>
      <c r="E2904" s="1">
        <f>D2904</f>
        <v>45956</v>
      </c>
      <c r="F2904">
        <v>399</v>
      </c>
      <c r="G2904">
        <v>30</v>
      </c>
      <c r="H2904">
        <f t="shared" si="273"/>
        <v>0</v>
      </c>
      <c r="I2904" t="str">
        <f t="shared" si="277"/>
        <v>On Time</v>
      </c>
      <c r="J2904" cm="1">
        <f t="array" ref="J2904">_xlfn.IFS(H2904&lt;30,0,H2904&lt;60,1,H2904&lt;90,2,H2904&lt;120,3)</f>
        <v>0</v>
      </c>
      <c r="M2904" t="str">
        <f t="shared" si="278"/>
        <v>Low</v>
      </c>
      <c r="N2904" t="str">
        <f t="shared" si="275"/>
        <v>Sep</v>
      </c>
      <c r="O2904">
        <f t="shared" si="276"/>
        <v>2025</v>
      </c>
    </row>
    <row r="2905" spans="1:15" x14ac:dyDescent="0.3">
      <c r="A2905">
        <v>201641</v>
      </c>
      <c r="B2905" t="s">
        <v>115</v>
      </c>
      <c r="C2905" s="2">
        <v>45926</v>
      </c>
      <c r="D2905" s="2">
        <f t="shared" si="274"/>
        <v>45956</v>
      </c>
      <c r="E2905" s="1">
        <f>D2905-1</f>
        <v>45955</v>
      </c>
      <c r="F2905">
        <v>5319</v>
      </c>
      <c r="G2905">
        <v>30</v>
      </c>
      <c r="H2905">
        <f t="shared" si="273"/>
        <v>0</v>
      </c>
      <c r="I2905" t="str">
        <f t="shared" si="277"/>
        <v>On Time</v>
      </c>
      <c r="J2905" cm="1">
        <f t="array" ref="J2905">_xlfn.IFS(H2905&lt;30,0,H2905&lt;60,1,H2905&lt;90,2,H2905&lt;120,3)</f>
        <v>0</v>
      </c>
      <c r="M2905" t="str">
        <f t="shared" si="278"/>
        <v>Low</v>
      </c>
      <c r="N2905" t="str">
        <f t="shared" si="275"/>
        <v>Sep</v>
      </c>
      <c r="O2905">
        <f t="shared" si="276"/>
        <v>2025</v>
      </c>
    </row>
    <row r="2906" spans="1:15" x14ac:dyDescent="0.3">
      <c r="A2906">
        <v>201642</v>
      </c>
      <c r="B2906" t="s">
        <v>116</v>
      </c>
      <c r="C2906" s="2">
        <v>45926</v>
      </c>
      <c r="D2906" s="2">
        <f t="shared" si="274"/>
        <v>45956</v>
      </c>
      <c r="E2906" s="1">
        <f>D2906+3</f>
        <v>45959</v>
      </c>
      <c r="F2906">
        <v>4074</v>
      </c>
      <c r="G2906">
        <v>30</v>
      </c>
      <c r="H2906">
        <f t="shared" si="273"/>
        <v>0</v>
      </c>
      <c r="I2906" t="str">
        <f t="shared" si="277"/>
        <v>On Time</v>
      </c>
      <c r="J2906" cm="1">
        <f t="array" ref="J2906">_xlfn.IFS(H2906&lt;30,0,H2906&lt;60,1,H2906&lt;90,2,H2906&lt;120,3)</f>
        <v>0</v>
      </c>
      <c r="M2906" t="str">
        <f t="shared" si="278"/>
        <v>Low</v>
      </c>
      <c r="N2906" t="str">
        <f t="shared" si="275"/>
        <v>Sep</v>
      </c>
      <c r="O2906">
        <f t="shared" si="276"/>
        <v>2025</v>
      </c>
    </row>
    <row r="2907" spans="1:15" x14ac:dyDescent="0.3">
      <c r="A2907">
        <v>201643</v>
      </c>
      <c r="B2907" t="s">
        <v>117</v>
      </c>
      <c r="C2907" s="2">
        <v>45926</v>
      </c>
      <c r="D2907" s="2">
        <f t="shared" si="274"/>
        <v>45956</v>
      </c>
      <c r="E2907" s="1">
        <f>D2907+1</f>
        <v>45957</v>
      </c>
      <c r="F2907">
        <v>4333</v>
      </c>
      <c r="G2907">
        <v>30</v>
      </c>
      <c r="H2907">
        <f t="shared" si="273"/>
        <v>0</v>
      </c>
      <c r="I2907" t="str">
        <f t="shared" si="277"/>
        <v>On Time</v>
      </c>
      <c r="J2907" cm="1">
        <f t="array" ref="J2907">_xlfn.IFS(H2907&lt;30,0,H2907&lt;60,1,H2907&lt;90,2,H2907&lt;120,3)</f>
        <v>0</v>
      </c>
      <c r="M2907" t="str">
        <f t="shared" si="278"/>
        <v>Low</v>
      </c>
      <c r="N2907" t="str">
        <f t="shared" si="275"/>
        <v>Sep</v>
      </c>
      <c r="O2907">
        <f t="shared" si="276"/>
        <v>2025</v>
      </c>
    </row>
    <row r="2908" spans="1:15" x14ac:dyDescent="0.3">
      <c r="A2908">
        <v>201644</v>
      </c>
      <c r="B2908" t="s">
        <v>118</v>
      </c>
      <c r="C2908" s="2">
        <v>45926</v>
      </c>
      <c r="D2908" s="2">
        <f t="shared" si="274"/>
        <v>45956</v>
      </c>
      <c r="E2908" s="1">
        <f>D2908-1</f>
        <v>45955</v>
      </c>
      <c r="F2908">
        <v>3866</v>
      </c>
      <c r="G2908">
        <v>30</v>
      </c>
      <c r="H2908">
        <f t="shared" si="273"/>
        <v>0</v>
      </c>
      <c r="I2908" t="str">
        <f t="shared" si="277"/>
        <v>On Time</v>
      </c>
      <c r="J2908" cm="1">
        <f t="array" ref="J2908">_xlfn.IFS(H2908&lt;30,0,H2908&lt;60,1,H2908&lt;90,2,H2908&lt;120,3)</f>
        <v>0</v>
      </c>
      <c r="M2908" t="str">
        <f t="shared" si="278"/>
        <v>Low</v>
      </c>
      <c r="N2908" t="str">
        <f t="shared" si="275"/>
        <v>Sep</v>
      </c>
      <c r="O2908">
        <f t="shared" si="276"/>
        <v>2025</v>
      </c>
    </row>
    <row r="2909" spans="1:15" x14ac:dyDescent="0.3">
      <c r="A2909">
        <v>201645</v>
      </c>
      <c r="B2909" t="s">
        <v>119</v>
      </c>
      <c r="C2909" s="2">
        <v>45926</v>
      </c>
      <c r="D2909" s="2">
        <f t="shared" si="274"/>
        <v>45956</v>
      </c>
      <c r="E2909" s="1">
        <f>D2909</f>
        <v>45956</v>
      </c>
      <c r="F2909">
        <v>4691</v>
      </c>
      <c r="G2909">
        <v>30</v>
      </c>
      <c r="H2909">
        <f t="shared" si="273"/>
        <v>0</v>
      </c>
      <c r="I2909" t="str">
        <f t="shared" si="277"/>
        <v>On Time</v>
      </c>
      <c r="J2909" cm="1">
        <f t="array" ref="J2909">_xlfn.IFS(H2909&lt;30,0,H2909&lt;60,1,H2909&lt;90,2,H2909&lt;120,3)</f>
        <v>0</v>
      </c>
      <c r="M2909" t="str">
        <f t="shared" si="278"/>
        <v>Low</v>
      </c>
      <c r="N2909" t="str">
        <f t="shared" si="275"/>
        <v>Sep</v>
      </c>
      <c r="O2909">
        <f t="shared" si="276"/>
        <v>2025</v>
      </c>
    </row>
    <row r="2910" spans="1:15" x14ac:dyDescent="0.3">
      <c r="A2910">
        <v>201646</v>
      </c>
      <c r="B2910" t="s">
        <v>31</v>
      </c>
      <c r="C2910" s="2">
        <v>45926</v>
      </c>
      <c r="D2910" s="2">
        <f t="shared" si="274"/>
        <v>45971</v>
      </c>
      <c r="E2910" s="1">
        <f>D2910-5</f>
        <v>45966</v>
      </c>
      <c r="F2910">
        <v>1102</v>
      </c>
      <c r="G2910">
        <v>45</v>
      </c>
      <c r="H2910">
        <f t="shared" si="273"/>
        <v>0</v>
      </c>
      <c r="I2910" t="str">
        <f t="shared" si="277"/>
        <v>On Time</v>
      </c>
      <c r="J2910" cm="1">
        <f t="array" ref="J2910">_xlfn.IFS(H2910&lt;30,0,H2910&lt;60,1,H2910&lt;90,2,H2910&lt;120,3)</f>
        <v>0</v>
      </c>
      <c r="M2910" t="str">
        <f t="shared" si="278"/>
        <v>Low</v>
      </c>
      <c r="N2910" t="str">
        <f t="shared" si="275"/>
        <v>Sep</v>
      </c>
      <c r="O2910">
        <f t="shared" si="276"/>
        <v>2025</v>
      </c>
    </row>
    <row r="2911" spans="1:15" x14ac:dyDescent="0.3">
      <c r="A2911">
        <v>201647</v>
      </c>
      <c r="B2911" t="s">
        <v>32</v>
      </c>
      <c r="C2911" s="2">
        <v>45926</v>
      </c>
      <c r="D2911" s="2">
        <f t="shared" si="274"/>
        <v>45971</v>
      </c>
      <c r="E2911" s="1">
        <f>D2911+35</f>
        <v>46006</v>
      </c>
      <c r="F2911">
        <v>2832</v>
      </c>
      <c r="G2911">
        <v>45</v>
      </c>
      <c r="H2911">
        <f t="shared" si="273"/>
        <v>0</v>
      </c>
      <c r="I2911" t="str">
        <f t="shared" si="277"/>
        <v>On Time</v>
      </c>
      <c r="J2911" cm="1">
        <f t="array" ref="J2911">_xlfn.IFS(H2911&lt;30,0,H2911&lt;60,1,H2911&lt;90,2,H2911&lt;120,3)</f>
        <v>0</v>
      </c>
      <c r="M2911" t="str">
        <f t="shared" si="278"/>
        <v>Low</v>
      </c>
      <c r="N2911" t="str">
        <f t="shared" si="275"/>
        <v>Sep</v>
      </c>
      <c r="O2911">
        <f t="shared" si="276"/>
        <v>2025</v>
      </c>
    </row>
    <row r="2912" spans="1:15" x14ac:dyDescent="0.3">
      <c r="A2912">
        <v>201648</v>
      </c>
      <c r="B2912" t="s">
        <v>33</v>
      </c>
      <c r="C2912" s="2">
        <v>45926</v>
      </c>
      <c r="D2912" s="2">
        <f t="shared" si="274"/>
        <v>45956</v>
      </c>
      <c r="E2912" s="1">
        <f>D2912+92</f>
        <v>46048</v>
      </c>
      <c r="F2912">
        <v>12084</v>
      </c>
      <c r="G2912">
        <v>30</v>
      </c>
      <c r="H2912">
        <f t="shared" si="273"/>
        <v>0</v>
      </c>
      <c r="I2912" t="str">
        <f t="shared" si="277"/>
        <v>On Time</v>
      </c>
      <c r="J2912" cm="1">
        <f t="array" ref="J2912">_xlfn.IFS(H2912&lt;30,0,H2912&lt;60,1,H2912&lt;90,2,H2912&lt;120,3)</f>
        <v>0</v>
      </c>
      <c r="M2912" t="str">
        <f t="shared" si="278"/>
        <v>Low</v>
      </c>
      <c r="N2912" t="str">
        <f t="shared" si="275"/>
        <v>Sep</v>
      </c>
      <c r="O2912">
        <f t="shared" si="276"/>
        <v>2025</v>
      </c>
    </row>
    <row r="2913" spans="1:15" x14ac:dyDescent="0.3">
      <c r="A2913">
        <v>201649</v>
      </c>
      <c r="B2913" t="s">
        <v>34</v>
      </c>
      <c r="C2913" s="2">
        <v>45926</v>
      </c>
      <c r="D2913" s="2">
        <f t="shared" si="274"/>
        <v>45986</v>
      </c>
      <c r="E2913" s="1">
        <f>D2913+5</f>
        <v>45991</v>
      </c>
      <c r="F2913">
        <v>3498</v>
      </c>
      <c r="G2913">
        <v>60</v>
      </c>
      <c r="H2913">
        <f t="shared" si="273"/>
        <v>0</v>
      </c>
      <c r="I2913" t="str">
        <f t="shared" si="277"/>
        <v>On Time</v>
      </c>
      <c r="J2913" cm="1">
        <f t="array" ref="J2913">_xlfn.IFS(H2913&lt;30,0,H2913&lt;60,1,H2913&lt;90,2,H2913&lt;120,3)</f>
        <v>0</v>
      </c>
      <c r="M2913" t="str">
        <f t="shared" si="278"/>
        <v>Low</v>
      </c>
      <c r="N2913" t="str">
        <f t="shared" si="275"/>
        <v>Sep</v>
      </c>
      <c r="O2913">
        <f t="shared" si="276"/>
        <v>2025</v>
      </c>
    </row>
    <row r="2914" spans="1:15" x14ac:dyDescent="0.3">
      <c r="A2914">
        <v>201650</v>
      </c>
      <c r="B2914" t="s">
        <v>35</v>
      </c>
      <c r="C2914" s="2">
        <v>45926</v>
      </c>
      <c r="D2914" s="2">
        <f t="shared" si="274"/>
        <v>45971</v>
      </c>
      <c r="E2914" s="1">
        <f>D2914</f>
        <v>45971</v>
      </c>
      <c r="F2914">
        <v>123</v>
      </c>
      <c r="G2914">
        <v>45</v>
      </c>
      <c r="H2914">
        <f t="shared" si="273"/>
        <v>0</v>
      </c>
      <c r="I2914" t="str">
        <f t="shared" si="277"/>
        <v>On Time</v>
      </c>
      <c r="J2914" cm="1">
        <f t="array" ref="J2914">_xlfn.IFS(H2914&lt;30,0,H2914&lt;60,1,H2914&lt;90,2,H2914&lt;120,3)</f>
        <v>0</v>
      </c>
      <c r="M2914" t="str">
        <f t="shared" si="278"/>
        <v>Low</v>
      </c>
      <c r="N2914" t="str">
        <f t="shared" si="275"/>
        <v>Sep</v>
      </c>
      <c r="O2914">
        <f t="shared" si="276"/>
        <v>2025</v>
      </c>
    </row>
    <row r="2915" spans="1:15" x14ac:dyDescent="0.3">
      <c r="A2915">
        <v>201651</v>
      </c>
      <c r="B2915" t="s">
        <v>36</v>
      </c>
      <c r="C2915" s="2">
        <v>45926</v>
      </c>
      <c r="D2915" s="2">
        <f t="shared" si="274"/>
        <v>45956</v>
      </c>
      <c r="E2915" s="1">
        <f>D2915-1</f>
        <v>45955</v>
      </c>
      <c r="F2915">
        <v>483</v>
      </c>
      <c r="G2915">
        <v>30</v>
      </c>
      <c r="H2915">
        <f t="shared" si="273"/>
        <v>0</v>
      </c>
      <c r="I2915" t="str">
        <f t="shared" si="277"/>
        <v>On Time</v>
      </c>
      <c r="J2915" cm="1">
        <f t="array" ref="J2915">_xlfn.IFS(H2915&lt;30,0,H2915&lt;60,1,H2915&lt;90,2,H2915&lt;120,3)</f>
        <v>0</v>
      </c>
      <c r="M2915" t="str">
        <f t="shared" si="278"/>
        <v>Low</v>
      </c>
      <c r="N2915" t="str">
        <f t="shared" si="275"/>
        <v>Sep</v>
      </c>
      <c r="O2915">
        <f t="shared" si="276"/>
        <v>2025</v>
      </c>
    </row>
    <row r="2916" spans="1:15" x14ac:dyDescent="0.3">
      <c r="A2916">
        <v>201652</v>
      </c>
      <c r="B2916" t="s">
        <v>64</v>
      </c>
      <c r="C2916" s="2">
        <v>45926</v>
      </c>
      <c r="D2916" s="2">
        <f t="shared" si="274"/>
        <v>45956</v>
      </c>
      <c r="E2916" s="1">
        <f>D2916</f>
        <v>45956</v>
      </c>
      <c r="F2916">
        <v>2580</v>
      </c>
      <c r="G2916">
        <v>30</v>
      </c>
      <c r="H2916">
        <f t="shared" si="273"/>
        <v>0</v>
      </c>
      <c r="I2916" t="str">
        <f t="shared" si="277"/>
        <v>On Time</v>
      </c>
      <c r="J2916" cm="1">
        <f t="array" ref="J2916">_xlfn.IFS(H2916&lt;30,0,H2916&lt;60,1,H2916&lt;90,2,H2916&lt;120,3)</f>
        <v>0</v>
      </c>
      <c r="M2916" t="str">
        <f t="shared" si="278"/>
        <v>Low</v>
      </c>
      <c r="N2916" t="str">
        <f t="shared" si="275"/>
        <v>Sep</v>
      </c>
      <c r="O2916">
        <f t="shared" si="276"/>
        <v>2025</v>
      </c>
    </row>
    <row r="2917" spans="1:15" x14ac:dyDescent="0.3">
      <c r="A2917">
        <v>201653</v>
      </c>
      <c r="B2917" t="s">
        <v>25</v>
      </c>
      <c r="C2917" s="2">
        <v>45926</v>
      </c>
      <c r="D2917" s="2">
        <f t="shared" si="274"/>
        <v>45986</v>
      </c>
      <c r="E2917" s="1">
        <f>D2917+32</f>
        <v>46018</v>
      </c>
      <c r="F2917">
        <v>4645</v>
      </c>
      <c r="G2917">
        <v>60</v>
      </c>
      <c r="H2917">
        <f t="shared" si="273"/>
        <v>0</v>
      </c>
      <c r="I2917" t="str">
        <f t="shared" si="277"/>
        <v>On Time</v>
      </c>
      <c r="J2917" cm="1">
        <f t="array" ref="J2917">_xlfn.IFS(H2917&lt;30,0,H2917&lt;60,1,H2917&lt;90,2,H2917&lt;120,3)</f>
        <v>0</v>
      </c>
      <c r="M2917" t="str">
        <f t="shared" si="278"/>
        <v>Low</v>
      </c>
      <c r="N2917" t="str">
        <f t="shared" si="275"/>
        <v>Sep</v>
      </c>
      <c r="O2917">
        <f t="shared" si="276"/>
        <v>2025</v>
      </c>
    </row>
    <row r="2918" spans="1:15" x14ac:dyDescent="0.3">
      <c r="A2918">
        <v>201654</v>
      </c>
      <c r="B2918" t="s">
        <v>26</v>
      </c>
      <c r="C2918" s="2">
        <v>45926</v>
      </c>
      <c r="D2918" s="2">
        <f t="shared" si="274"/>
        <v>45956</v>
      </c>
      <c r="E2918" s="1">
        <f>D2918+15</f>
        <v>45971</v>
      </c>
      <c r="F2918">
        <v>185</v>
      </c>
      <c r="G2918">
        <v>30</v>
      </c>
      <c r="H2918">
        <f t="shared" ref="H2918:H2981" si="279">MAX(0,P2883-D2918)</f>
        <v>0</v>
      </c>
      <c r="I2918" t="str">
        <f t="shared" si="277"/>
        <v>On Time</v>
      </c>
      <c r="J2918" cm="1">
        <f t="array" ref="J2918">_xlfn.IFS(H2918&lt;30,0,H2918&lt;60,1,H2918&lt;90,2,H2918&lt;120,3)</f>
        <v>0</v>
      </c>
      <c r="M2918" t="str">
        <f t="shared" si="278"/>
        <v>Low</v>
      </c>
      <c r="N2918" t="str">
        <f t="shared" si="275"/>
        <v>Sep</v>
      </c>
      <c r="O2918">
        <f t="shared" si="276"/>
        <v>2025</v>
      </c>
    </row>
    <row r="2919" spans="1:15" x14ac:dyDescent="0.3">
      <c r="A2919">
        <v>201622</v>
      </c>
      <c r="B2919" t="s">
        <v>48</v>
      </c>
      <c r="C2919" s="2">
        <v>45925</v>
      </c>
      <c r="D2919" s="2">
        <f t="shared" si="274"/>
        <v>45970</v>
      </c>
      <c r="E2919" s="1">
        <f>D2919</f>
        <v>45970</v>
      </c>
      <c r="F2919">
        <v>4931</v>
      </c>
      <c r="G2919">
        <v>45</v>
      </c>
      <c r="H2919">
        <f t="shared" si="279"/>
        <v>0</v>
      </c>
      <c r="I2919" t="str">
        <f t="shared" si="277"/>
        <v>On Time</v>
      </c>
      <c r="J2919" cm="1">
        <f t="array" ref="J2919">_xlfn.IFS(H2919&lt;30,0,H2919&lt;60,1,H2919&lt;90,2,H2919&lt;120,3)</f>
        <v>0</v>
      </c>
      <c r="M2919" t="str">
        <f t="shared" si="278"/>
        <v>Low</v>
      </c>
      <c r="N2919" t="str">
        <f t="shared" si="275"/>
        <v>Sep</v>
      </c>
      <c r="O2919">
        <f t="shared" si="276"/>
        <v>2025</v>
      </c>
    </row>
    <row r="2920" spans="1:15" x14ac:dyDescent="0.3">
      <c r="A2920">
        <v>201623</v>
      </c>
      <c r="B2920" t="s">
        <v>49</v>
      </c>
      <c r="C2920" s="2">
        <v>45925</v>
      </c>
      <c r="D2920" s="2">
        <f t="shared" si="274"/>
        <v>45955</v>
      </c>
      <c r="E2920" s="1">
        <f>D2920</f>
        <v>45955</v>
      </c>
      <c r="F2920">
        <v>3347</v>
      </c>
      <c r="G2920">
        <v>30</v>
      </c>
      <c r="H2920">
        <f t="shared" si="279"/>
        <v>0</v>
      </c>
      <c r="I2920" t="str">
        <f t="shared" si="277"/>
        <v>On Time</v>
      </c>
      <c r="J2920" cm="1">
        <f t="array" ref="J2920">_xlfn.IFS(H2920&lt;30,0,H2920&lt;60,1,H2920&lt;90,2,H2920&lt;120,3)</f>
        <v>0</v>
      </c>
      <c r="M2920" t="str">
        <f t="shared" si="278"/>
        <v>Low</v>
      </c>
      <c r="N2920" t="str">
        <f t="shared" si="275"/>
        <v>Sep</v>
      </c>
      <c r="O2920">
        <f t="shared" si="276"/>
        <v>2025</v>
      </c>
    </row>
    <row r="2921" spans="1:15" x14ac:dyDescent="0.3">
      <c r="A2921">
        <v>201624</v>
      </c>
      <c r="B2921" t="s">
        <v>50</v>
      </c>
      <c r="C2921" s="2">
        <v>45925</v>
      </c>
      <c r="D2921" s="2">
        <f t="shared" si="274"/>
        <v>45955</v>
      </c>
      <c r="E2921" s="1">
        <f>D2921+5</f>
        <v>45960</v>
      </c>
      <c r="F2921">
        <v>547</v>
      </c>
      <c r="G2921">
        <v>30</v>
      </c>
      <c r="H2921">
        <f t="shared" si="279"/>
        <v>0</v>
      </c>
      <c r="I2921" t="str">
        <f t="shared" si="277"/>
        <v>On Time</v>
      </c>
      <c r="J2921" cm="1">
        <f t="array" ref="J2921">_xlfn.IFS(H2921&lt;30,0,H2921&lt;60,1,H2921&lt;90,2,H2921&lt;120,3)</f>
        <v>0</v>
      </c>
      <c r="M2921" t="str">
        <f t="shared" si="278"/>
        <v>Low</v>
      </c>
      <c r="N2921" t="str">
        <f t="shared" si="275"/>
        <v>Sep</v>
      </c>
      <c r="O2921">
        <f t="shared" si="276"/>
        <v>2025</v>
      </c>
    </row>
    <row r="2922" spans="1:15" x14ac:dyDescent="0.3">
      <c r="A2922">
        <v>201625</v>
      </c>
      <c r="B2922" t="s">
        <v>51</v>
      </c>
      <c r="C2922" s="2">
        <v>45925</v>
      </c>
      <c r="D2922" s="2">
        <f t="shared" si="274"/>
        <v>45955</v>
      </c>
      <c r="E2922" s="1">
        <f>D2922+2</f>
        <v>45957</v>
      </c>
      <c r="F2922">
        <v>2291</v>
      </c>
      <c r="G2922">
        <v>30</v>
      </c>
      <c r="H2922">
        <f t="shared" si="279"/>
        <v>0</v>
      </c>
      <c r="I2922" t="str">
        <f t="shared" si="277"/>
        <v>On Time</v>
      </c>
      <c r="J2922" cm="1">
        <f t="array" ref="J2922">_xlfn.IFS(H2922&lt;30,0,H2922&lt;60,1,H2922&lt;90,2,H2922&lt;120,3)</f>
        <v>0</v>
      </c>
      <c r="M2922" t="str">
        <f t="shared" si="278"/>
        <v>Low</v>
      </c>
      <c r="N2922" t="str">
        <f t="shared" si="275"/>
        <v>Sep</v>
      </c>
      <c r="O2922">
        <f t="shared" si="276"/>
        <v>2025</v>
      </c>
    </row>
    <row r="2923" spans="1:15" x14ac:dyDescent="0.3">
      <c r="A2923">
        <v>201626</v>
      </c>
      <c r="B2923" t="s">
        <v>52</v>
      </c>
      <c r="C2923" s="2">
        <v>45925</v>
      </c>
      <c r="D2923" s="2">
        <f t="shared" si="274"/>
        <v>45955</v>
      </c>
      <c r="E2923" s="1">
        <f>D2923</f>
        <v>45955</v>
      </c>
      <c r="F2923">
        <v>1056</v>
      </c>
      <c r="G2923">
        <v>30</v>
      </c>
      <c r="H2923">
        <f t="shared" si="279"/>
        <v>0</v>
      </c>
      <c r="I2923" t="str">
        <f t="shared" si="277"/>
        <v>On Time</v>
      </c>
      <c r="J2923" cm="1">
        <f t="array" ref="J2923">_xlfn.IFS(H2923&lt;30,0,H2923&lt;60,1,H2923&lt;90,2,H2923&lt;120,3)</f>
        <v>0</v>
      </c>
      <c r="M2923" t="str">
        <f t="shared" si="278"/>
        <v>Low</v>
      </c>
      <c r="N2923" t="str">
        <f t="shared" si="275"/>
        <v>Sep</v>
      </c>
      <c r="O2923">
        <f t="shared" si="276"/>
        <v>2025</v>
      </c>
    </row>
    <row r="2924" spans="1:15" x14ac:dyDescent="0.3">
      <c r="A2924">
        <v>201627</v>
      </c>
      <c r="B2924" t="s">
        <v>53</v>
      </c>
      <c r="C2924" s="2">
        <v>45925</v>
      </c>
      <c r="D2924" s="2">
        <f t="shared" si="274"/>
        <v>45955</v>
      </c>
      <c r="E2924" s="1">
        <f>D2924</f>
        <v>45955</v>
      </c>
      <c r="F2924">
        <v>4239</v>
      </c>
      <c r="G2924">
        <v>30</v>
      </c>
      <c r="H2924">
        <f t="shared" si="279"/>
        <v>0</v>
      </c>
      <c r="I2924" t="str">
        <f t="shared" si="277"/>
        <v>On Time</v>
      </c>
      <c r="J2924" cm="1">
        <f t="array" ref="J2924">_xlfn.IFS(H2924&lt;30,0,H2924&lt;60,1,H2924&lt;90,2,H2924&lt;120,3)</f>
        <v>0</v>
      </c>
      <c r="M2924" t="str">
        <f t="shared" si="278"/>
        <v>Low</v>
      </c>
      <c r="N2924" t="str">
        <f t="shared" si="275"/>
        <v>Sep</v>
      </c>
      <c r="O2924">
        <f t="shared" si="276"/>
        <v>2025</v>
      </c>
    </row>
    <row r="2925" spans="1:15" x14ac:dyDescent="0.3">
      <c r="A2925">
        <v>201628</v>
      </c>
      <c r="B2925" t="s">
        <v>54</v>
      </c>
      <c r="C2925" s="2">
        <v>45925</v>
      </c>
      <c r="D2925" s="2">
        <f t="shared" si="274"/>
        <v>45955</v>
      </c>
      <c r="E2925" s="1">
        <f>D2925</f>
        <v>45955</v>
      </c>
      <c r="F2925">
        <v>1117</v>
      </c>
      <c r="G2925">
        <v>30</v>
      </c>
      <c r="H2925">
        <f t="shared" si="279"/>
        <v>0</v>
      </c>
      <c r="I2925" t="str">
        <f t="shared" si="277"/>
        <v>On Time</v>
      </c>
      <c r="J2925" cm="1">
        <f t="array" ref="J2925">_xlfn.IFS(H2925&lt;30,0,H2925&lt;60,1,H2925&lt;90,2,H2925&lt;120,3)</f>
        <v>0</v>
      </c>
      <c r="M2925" t="str">
        <f t="shared" si="278"/>
        <v>Low</v>
      </c>
      <c r="N2925" t="str">
        <f t="shared" si="275"/>
        <v>Sep</v>
      </c>
      <c r="O2925">
        <f t="shared" si="276"/>
        <v>2025</v>
      </c>
    </row>
    <row r="2926" spans="1:15" x14ac:dyDescent="0.3">
      <c r="A2926">
        <v>201629</v>
      </c>
      <c r="B2926" t="s">
        <v>36</v>
      </c>
      <c r="C2926" s="2">
        <v>45925</v>
      </c>
      <c r="D2926" s="2">
        <f t="shared" si="274"/>
        <v>45955</v>
      </c>
      <c r="E2926" s="1">
        <f>D2926+63</f>
        <v>46018</v>
      </c>
      <c r="F2926">
        <v>10635</v>
      </c>
      <c r="G2926">
        <v>30</v>
      </c>
      <c r="H2926">
        <f t="shared" si="279"/>
        <v>0</v>
      </c>
      <c r="I2926" t="str">
        <f t="shared" si="277"/>
        <v>On Time</v>
      </c>
      <c r="J2926" cm="1">
        <f t="array" ref="J2926">_xlfn.IFS(H2926&lt;30,0,H2926&lt;60,1,H2926&lt;90,2,H2926&lt;120,3)</f>
        <v>0</v>
      </c>
      <c r="M2926" t="str">
        <f t="shared" si="278"/>
        <v>Low</v>
      </c>
      <c r="N2926" t="str">
        <f t="shared" si="275"/>
        <v>Sep</v>
      </c>
      <c r="O2926">
        <f t="shared" si="276"/>
        <v>2025</v>
      </c>
    </row>
    <row r="2927" spans="1:15" x14ac:dyDescent="0.3">
      <c r="A2927">
        <v>201630</v>
      </c>
      <c r="B2927" t="s">
        <v>37</v>
      </c>
      <c r="C2927" s="2">
        <v>45925</v>
      </c>
      <c r="D2927" s="2">
        <f t="shared" si="274"/>
        <v>45955</v>
      </c>
      <c r="E2927" s="1">
        <f>D2927</f>
        <v>45955</v>
      </c>
      <c r="F2927">
        <v>3371</v>
      </c>
      <c r="G2927">
        <v>30</v>
      </c>
      <c r="H2927">
        <f t="shared" si="279"/>
        <v>0</v>
      </c>
      <c r="I2927" t="str">
        <f t="shared" si="277"/>
        <v>On Time</v>
      </c>
      <c r="J2927" cm="1">
        <f t="array" ref="J2927">_xlfn.IFS(H2927&lt;30,0,H2927&lt;60,1,H2927&lt;90,2,H2927&lt;120,3)</f>
        <v>0</v>
      </c>
      <c r="M2927" t="str">
        <f t="shared" si="278"/>
        <v>Low</v>
      </c>
      <c r="N2927" t="str">
        <f t="shared" si="275"/>
        <v>Sep</v>
      </c>
      <c r="O2927">
        <f t="shared" si="276"/>
        <v>2025</v>
      </c>
    </row>
    <row r="2928" spans="1:15" x14ac:dyDescent="0.3">
      <c r="A2928">
        <v>201631</v>
      </c>
      <c r="B2928" t="s">
        <v>38</v>
      </c>
      <c r="C2928" s="2">
        <v>45925</v>
      </c>
      <c r="D2928" s="2">
        <f t="shared" si="274"/>
        <v>45955</v>
      </c>
      <c r="E2928" s="1">
        <f>D2928</f>
        <v>45955</v>
      </c>
      <c r="F2928">
        <v>4280</v>
      </c>
      <c r="G2928">
        <v>30</v>
      </c>
      <c r="H2928">
        <f t="shared" si="279"/>
        <v>0</v>
      </c>
      <c r="I2928" t="str">
        <f t="shared" si="277"/>
        <v>On Time</v>
      </c>
      <c r="J2928" cm="1">
        <f t="array" ref="J2928">_xlfn.IFS(H2928&lt;30,0,H2928&lt;60,1,H2928&lt;90,2,H2928&lt;120,3)</f>
        <v>0</v>
      </c>
      <c r="M2928" t="str">
        <f t="shared" si="278"/>
        <v>Low</v>
      </c>
      <c r="N2928" t="str">
        <f t="shared" si="275"/>
        <v>Sep</v>
      </c>
      <c r="O2928">
        <f t="shared" si="276"/>
        <v>2025</v>
      </c>
    </row>
    <row r="2929" spans="1:15" x14ac:dyDescent="0.3">
      <c r="A2929">
        <v>201632</v>
      </c>
      <c r="B2929" t="s">
        <v>39</v>
      </c>
      <c r="C2929" s="2">
        <v>45925</v>
      </c>
      <c r="D2929" s="2">
        <f t="shared" si="274"/>
        <v>45955</v>
      </c>
      <c r="E2929" s="1">
        <f>D2929+3</f>
        <v>45958</v>
      </c>
      <c r="F2929">
        <v>564</v>
      </c>
      <c r="G2929">
        <v>30</v>
      </c>
      <c r="H2929">
        <f t="shared" si="279"/>
        <v>0</v>
      </c>
      <c r="I2929" t="str">
        <f t="shared" si="277"/>
        <v>On Time</v>
      </c>
      <c r="J2929" cm="1">
        <f t="array" ref="J2929">_xlfn.IFS(H2929&lt;30,0,H2929&lt;60,1,H2929&lt;90,2,H2929&lt;120,3)</f>
        <v>0</v>
      </c>
      <c r="M2929" t="str">
        <f t="shared" si="278"/>
        <v>Low</v>
      </c>
      <c r="N2929" t="str">
        <f t="shared" si="275"/>
        <v>Sep</v>
      </c>
      <c r="O2929">
        <f t="shared" si="276"/>
        <v>2025</v>
      </c>
    </row>
    <row r="2930" spans="1:15" x14ac:dyDescent="0.3">
      <c r="A2930">
        <v>201633</v>
      </c>
      <c r="B2930" t="s">
        <v>40</v>
      </c>
      <c r="C2930" s="2">
        <v>45925</v>
      </c>
      <c r="D2930" s="2">
        <f t="shared" si="274"/>
        <v>45955</v>
      </c>
      <c r="E2930" s="1">
        <f>D2930+1</f>
        <v>45956</v>
      </c>
      <c r="F2930">
        <v>3998</v>
      </c>
      <c r="G2930">
        <v>30</v>
      </c>
      <c r="H2930">
        <f t="shared" si="279"/>
        <v>0</v>
      </c>
      <c r="I2930" t="str">
        <f t="shared" si="277"/>
        <v>On Time</v>
      </c>
      <c r="J2930" cm="1">
        <f t="array" ref="J2930">_xlfn.IFS(H2930&lt;30,0,H2930&lt;60,1,H2930&lt;90,2,H2930&lt;120,3)</f>
        <v>0</v>
      </c>
      <c r="M2930" t="str">
        <f t="shared" si="278"/>
        <v>Low</v>
      </c>
      <c r="N2930" t="str">
        <f t="shared" si="275"/>
        <v>Sep</v>
      </c>
      <c r="O2930">
        <f t="shared" si="276"/>
        <v>2025</v>
      </c>
    </row>
    <row r="2931" spans="1:15" x14ac:dyDescent="0.3">
      <c r="A2931">
        <v>201634</v>
      </c>
      <c r="B2931" t="s">
        <v>41</v>
      </c>
      <c r="C2931" s="2">
        <v>45925</v>
      </c>
      <c r="D2931" s="2">
        <f t="shared" si="274"/>
        <v>45955</v>
      </c>
      <c r="E2931" s="1">
        <f>D2931-1</f>
        <v>45954</v>
      </c>
      <c r="F2931">
        <v>4692</v>
      </c>
      <c r="G2931">
        <v>30</v>
      </c>
      <c r="H2931">
        <f t="shared" si="279"/>
        <v>0</v>
      </c>
      <c r="I2931" t="str">
        <f t="shared" si="277"/>
        <v>On Time</v>
      </c>
      <c r="J2931" cm="1">
        <f t="array" ref="J2931">_xlfn.IFS(H2931&lt;30,0,H2931&lt;60,1,H2931&lt;90,2,H2931&lt;120,3)</f>
        <v>0</v>
      </c>
      <c r="M2931" t="str">
        <f t="shared" si="278"/>
        <v>Low</v>
      </c>
      <c r="N2931" t="str">
        <f t="shared" si="275"/>
        <v>Sep</v>
      </c>
      <c r="O2931">
        <f t="shared" si="276"/>
        <v>2025</v>
      </c>
    </row>
    <row r="2932" spans="1:15" x14ac:dyDescent="0.3">
      <c r="A2932">
        <v>201635</v>
      </c>
      <c r="B2932" t="s">
        <v>42</v>
      </c>
      <c r="C2932" s="2">
        <v>45925</v>
      </c>
      <c r="D2932" s="2">
        <f t="shared" si="274"/>
        <v>45955</v>
      </c>
      <c r="E2932" s="1">
        <f>D2932</f>
        <v>45955</v>
      </c>
      <c r="F2932">
        <v>1547</v>
      </c>
      <c r="G2932">
        <v>30</v>
      </c>
      <c r="H2932">
        <f t="shared" si="279"/>
        <v>0</v>
      </c>
      <c r="I2932" t="str">
        <f t="shared" si="277"/>
        <v>On Time</v>
      </c>
      <c r="J2932" cm="1">
        <f t="array" ref="J2932">_xlfn.IFS(H2932&lt;30,0,H2932&lt;60,1,H2932&lt;90,2,H2932&lt;120,3)</f>
        <v>0</v>
      </c>
      <c r="M2932" t="str">
        <f t="shared" si="278"/>
        <v>Low</v>
      </c>
      <c r="N2932" t="str">
        <f t="shared" si="275"/>
        <v>Sep</v>
      </c>
      <c r="O2932">
        <f t="shared" si="276"/>
        <v>2025</v>
      </c>
    </row>
    <row r="2933" spans="1:15" x14ac:dyDescent="0.3">
      <c r="A2933">
        <v>201636</v>
      </c>
      <c r="B2933" t="s">
        <v>43</v>
      </c>
      <c r="C2933" s="2">
        <v>45925</v>
      </c>
      <c r="D2933" s="2">
        <f t="shared" si="274"/>
        <v>45955</v>
      </c>
      <c r="E2933" s="1">
        <f>D2933+1</f>
        <v>45956</v>
      </c>
      <c r="F2933">
        <v>3679</v>
      </c>
      <c r="G2933">
        <v>30</v>
      </c>
      <c r="H2933">
        <f t="shared" si="279"/>
        <v>0</v>
      </c>
      <c r="I2933" t="str">
        <f t="shared" si="277"/>
        <v>On Time</v>
      </c>
      <c r="J2933" cm="1">
        <f t="array" ref="J2933">_xlfn.IFS(H2933&lt;30,0,H2933&lt;60,1,H2933&lt;90,2,H2933&lt;120,3)</f>
        <v>0</v>
      </c>
      <c r="M2933" t="str">
        <f t="shared" si="278"/>
        <v>Low</v>
      </c>
      <c r="N2933" t="str">
        <f t="shared" si="275"/>
        <v>Sep</v>
      </c>
      <c r="O2933">
        <f t="shared" si="276"/>
        <v>2025</v>
      </c>
    </row>
    <row r="2934" spans="1:15" x14ac:dyDescent="0.3">
      <c r="A2934">
        <v>201637</v>
      </c>
      <c r="B2934" t="s">
        <v>103</v>
      </c>
      <c r="C2934" s="2">
        <v>45925</v>
      </c>
      <c r="D2934" s="2">
        <f t="shared" si="274"/>
        <v>45955</v>
      </c>
      <c r="E2934" s="1">
        <f>D2934+35</f>
        <v>45990</v>
      </c>
      <c r="F2934">
        <v>3247</v>
      </c>
      <c r="G2934">
        <v>30</v>
      </c>
      <c r="H2934">
        <f t="shared" si="279"/>
        <v>0</v>
      </c>
      <c r="I2934" t="str">
        <f t="shared" si="277"/>
        <v>On Time</v>
      </c>
      <c r="J2934" cm="1">
        <f t="array" ref="J2934">_xlfn.IFS(H2934&lt;30,0,H2934&lt;60,1,H2934&lt;90,2,H2934&lt;120,3)</f>
        <v>0</v>
      </c>
      <c r="M2934" t="str">
        <f t="shared" si="278"/>
        <v>Low</v>
      </c>
      <c r="N2934" t="str">
        <f t="shared" si="275"/>
        <v>Sep</v>
      </c>
      <c r="O2934">
        <f t="shared" si="276"/>
        <v>2025</v>
      </c>
    </row>
    <row r="2935" spans="1:15" x14ac:dyDescent="0.3">
      <c r="A2935">
        <v>201638</v>
      </c>
      <c r="B2935" t="s">
        <v>104</v>
      </c>
      <c r="C2935" s="2">
        <v>45925</v>
      </c>
      <c r="D2935" s="2">
        <f t="shared" si="274"/>
        <v>45955</v>
      </c>
      <c r="E2935" s="1">
        <f>D2935+75</f>
        <v>46030</v>
      </c>
      <c r="F2935">
        <v>1706</v>
      </c>
      <c r="G2935">
        <v>30</v>
      </c>
      <c r="H2935">
        <f t="shared" si="279"/>
        <v>0</v>
      </c>
      <c r="I2935" t="str">
        <f t="shared" si="277"/>
        <v>On Time</v>
      </c>
      <c r="J2935" cm="1">
        <f t="array" ref="J2935">_xlfn.IFS(H2935&lt;30,0,H2935&lt;60,1,H2935&lt;90,2,H2935&lt;120,3)</f>
        <v>0</v>
      </c>
      <c r="M2935" t="str">
        <f t="shared" si="278"/>
        <v>Low</v>
      </c>
      <c r="N2935" t="str">
        <f t="shared" si="275"/>
        <v>Sep</v>
      </c>
      <c r="O2935">
        <f t="shared" si="276"/>
        <v>2025</v>
      </c>
    </row>
    <row r="2936" spans="1:15" x14ac:dyDescent="0.3">
      <c r="A2936">
        <v>201604</v>
      </c>
      <c r="B2936" t="s">
        <v>88</v>
      </c>
      <c r="C2936" s="2">
        <v>45924</v>
      </c>
      <c r="D2936" s="2">
        <f t="shared" si="274"/>
        <v>45954</v>
      </c>
      <c r="E2936" s="1">
        <f>D2936+35</f>
        <v>45989</v>
      </c>
      <c r="F2936">
        <v>3456</v>
      </c>
      <c r="G2936">
        <v>30</v>
      </c>
      <c r="H2936">
        <f t="shared" si="279"/>
        <v>0</v>
      </c>
      <c r="I2936" t="str">
        <f t="shared" si="277"/>
        <v>On Time</v>
      </c>
      <c r="J2936" cm="1">
        <f t="array" ref="J2936">_xlfn.IFS(H2936&lt;30,0,H2936&lt;60,1,H2936&lt;90,2,H2936&lt;120,3)</f>
        <v>0</v>
      </c>
      <c r="M2936" t="str">
        <f t="shared" si="278"/>
        <v>Low</v>
      </c>
      <c r="N2936" t="str">
        <f t="shared" si="275"/>
        <v>Sep</v>
      </c>
      <c r="O2936">
        <f t="shared" si="276"/>
        <v>2025</v>
      </c>
    </row>
    <row r="2937" spans="1:15" x14ac:dyDescent="0.3">
      <c r="A2937">
        <v>201605</v>
      </c>
      <c r="B2937" t="s">
        <v>89</v>
      </c>
      <c r="C2937" s="2">
        <v>45924</v>
      </c>
      <c r="D2937" s="2">
        <f t="shared" si="274"/>
        <v>45954</v>
      </c>
      <c r="E2937" s="1">
        <f>D2937+75</f>
        <v>46029</v>
      </c>
      <c r="F2937">
        <v>4699</v>
      </c>
      <c r="G2937">
        <v>30</v>
      </c>
      <c r="H2937">
        <f t="shared" si="279"/>
        <v>0</v>
      </c>
      <c r="I2937" t="str">
        <f t="shared" si="277"/>
        <v>On Time</v>
      </c>
      <c r="J2937" cm="1">
        <f t="array" ref="J2937">_xlfn.IFS(H2937&lt;30,0,H2937&lt;60,1,H2937&lt;90,2,H2937&lt;120,3)</f>
        <v>0</v>
      </c>
      <c r="M2937" t="str">
        <f t="shared" si="278"/>
        <v>Low</v>
      </c>
      <c r="N2937" t="str">
        <f t="shared" si="275"/>
        <v>Sep</v>
      </c>
      <c r="O2937">
        <f t="shared" si="276"/>
        <v>2025</v>
      </c>
    </row>
    <row r="2938" spans="1:15" x14ac:dyDescent="0.3">
      <c r="A2938">
        <v>201606</v>
      </c>
      <c r="B2938" t="s">
        <v>90</v>
      </c>
      <c r="C2938" s="2">
        <v>45924</v>
      </c>
      <c r="D2938" s="2">
        <f t="shared" si="274"/>
        <v>45954</v>
      </c>
      <c r="E2938" s="1">
        <f>D2938+5</f>
        <v>45959</v>
      </c>
      <c r="F2938">
        <v>19624</v>
      </c>
      <c r="G2938">
        <v>30</v>
      </c>
      <c r="H2938">
        <f t="shared" si="279"/>
        <v>0</v>
      </c>
      <c r="I2938" t="str">
        <f t="shared" si="277"/>
        <v>On Time</v>
      </c>
      <c r="J2938" cm="1">
        <f t="array" ref="J2938">_xlfn.IFS(H2938&lt;30,0,H2938&lt;60,1,H2938&lt;90,2,H2938&lt;120,3)</f>
        <v>0</v>
      </c>
      <c r="M2938" t="str">
        <f t="shared" si="278"/>
        <v>Low</v>
      </c>
      <c r="N2938" t="str">
        <f t="shared" si="275"/>
        <v>Sep</v>
      </c>
      <c r="O2938">
        <f t="shared" si="276"/>
        <v>2025</v>
      </c>
    </row>
    <row r="2939" spans="1:15" x14ac:dyDescent="0.3">
      <c r="A2939">
        <v>201607</v>
      </c>
      <c r="B2939" t="s">
        <v>91</v>
      </c>
      <c r="C2939" s="2">
        <v>45924</v>
      </c>
      <c r="D2939" s="2">
        <f t="shared" si="274"/>
        <v>45954</v>
      </c>
      <c r="E2939" s="1">
        <f>D2939</f>
        <v>45954</v>
      </c>
      <c r="F2939">
        <v>5468</v>
      </c>
      <c r="G2939">
        <v>30</v>
      </c>
      <c r="H2939">
        <f t="shared" si="279"/>
        <v>0</v>
      </c>
      <c r="I2939" t="str">
        <f t="shared" si="277"/>
        <v>On Time</v>
      </c>
      <c r="J2939" cm="1">
        <f t="array" ref="J2939">_xlfn.IFS(H2939&lt;30,0,H2939&lt;60,1,H2939&lt;90,2,H2939&lt;120,3)</f>
        <v>0</v>
      </c>
      <c r="M2939" t="str">
        <f t="shared" si="278"/>
        <v>Low</v>
      </c>
      <c r="N2939" t="str">
        <f t="shared" si="275"/>
        <v>Sep</v>
      </c>
      <c r="O2939">
        <f t="shared" si="276"/>
        <v>2025</v>
      </c>
    </row>
    <row r="2940" spans="1:15" x14ac:dyDescent="0.3">
      <c r="A2940">
        <v>201608</v>
      </c>
      <c r="B2940" t="s">
        <v>92</v>
      </c>
      <c r="C2940" s="2">
        <v>45924</v>
      </c>
      <c r="D2940" s="2">
        <f t="shared" si="274"/>
        <v>45954</v>
      </c>
      <c r="E2940" s="1">
        <f>D2940-1</f>
        <v>45953</v>
      </c>
      <c r="F2940">
        <v>3647</v>
      </c>
      <c r="G2940">
        <v>30</v>
      </c>
      <c r="H2940">
        <f t="shared" si="279"/>
        <v>0</v>
      </c>
      <c r="I2940" t="str">
        <f t="shared" si="277"/>
        <v>On Time</v>
      </c>
      <c r="J2940" cm="1">
        <f t="array" ref="J2940">_xlfn.IFS(H2940&lt;30,0,H2940&lt;60,1,H2940&lt;90,2,H2940&lt;120,3)</f>
        <v>0</v>
      </c>
      <c r="M2940" t="str">
        <f t="shared" si="278"/>
        <v>Low</v>
      </c>
      <c r="N2940" t="str">
        <f t="shared" si="275"/>
        <v>Sep</v>
      </c>
      <c r="O2940">
        <f t="shared" si="276"/>
        <v>2025</v>
      </c>
    </row>
    <row r="2941" spans="1:15" x14ac:dyDescent="0.3">
      <c r="A2941">
        <v>201609</v>
      </c>
      <c r="B2941" t="s">
        <v>93</v>
      </c>
      <c r="C2941" s="2">
        <v>45924</v>
      </c>
      <c r="D2941" s="2">
        <f t="shared" si="274"/>
        <v>45954</v>
      </c>
      <c r="E2941" s="1">
        <f>D2941</f>
        <v>45954</v>
      </c>
      <c r="F2941">
        <v>11051</v>
      </c>
      <c r="G2941">
        <v>30</v>
      </c>
      <c r="H2941">
        <f t="shared" si="279"/>
        <v>0</v>
      </c>
      <c r="I2941" t="str">
        <f t="shared" si="277"/>
        <v>On Time</v>
      </c>
      <c r="J2941" cm="1">
        <f t="array" ref="J2941">_xlfn.IFS(H2941&lt;30,0,H2941&lt;60,1,H2941&lt;90,2,H2941&lt;120,3)</f>
        <v>0</v>
      </c>
      <c r="M2941" t="str">
        <f t="shared" si="278"/>
        <v>Low</v>
      </c>
      <c r="N2941" t="str">
        <f t="shared" si="275"/>
        <v>Sep</v>
      </c>
      <c r="O2941">
        <f t="shared" si="276"/>
        <v>2025</v>
      </c>
    </row>
    <row r="2942" spans="1:15" x14ac:dyDescent="0.3">
      <c r="A2942">
        <v>201610</v>
      </c>
      <c r="B2942" t="s">
        <v>94</v>
      </c>
      <c r="C2942" s="2">
        <v>45924</v>
      </c>
      <c r="D2942" s="2">
        <f t="shared" si="274"/>
        <v>45954</v>
      </c>
      <c r="E2942" s="1">
        <f>D2942+32</f>
        <v>45986</v>
      </c>
      <c r="F2942">
        <v>1873</v>
      </c>
      <c r="G2942">
        <v>30</v>
      </c>
      <c r="H2942">
        <f t="shared" si="279"/>
        <v>0</v>
      </c>
      <c r="I2942" t="str">
        <f t="shared" si="277"/>
        <v>On Time</v>
      </c>
      <c r="J2942" cm="1">
        <f t="array" ref="J2942">_xlfn.IFS(H2942&lt;30,0,H2942&lt;60,1,H2942&lt;90,2,H2942&lt;120,3)</f>
        <v>0</v>
      </c>
      <c r="M2942" t="str">
        <f t="shared" si="278"/>
        <v>Low</v>
      </c>
      <c r="N2942" t="str">
        <f t="shared" si="275"/>
        <v>Sep</v>
      </c>
      <c r="O2942">
        <f t="shared" si="276"/>
        <v>2025</v>
      </c>
    </row>
    <row r="2943" spans="1:15" x14ac:dyDescent="0.3">
      <c r="A2943">
        <v>201611</v>
      </c>
      <c r="B2943" t="s">
        <v>95</v>
      </c>
      <c r="C2943" s="2">
        <v>45924</v>
      </c>
      <c r="D2943" s="2">
        <f t="shared" si="274"/>
        <v>45969</v>
      </c>
      <c r="E2943" s="1">
        <f>D2943+15</f>
        <v>45984</v>
      </c>
      <c r="F2943">
        <v>113</v>
      </c>
      <c r="G2943">
        <v>45</v>
      </c>
      <c r="H2943">
        <f t="shared" si="279"/>
        <v>0</v>
      </c>
      <c r="I2943" t="str">
        <f t="shared" si="277"/>
        <v>On Time</v>
      </c>
      <c r="J2943" cm="1">
        <f t="array" ref="J2943">_xlfn.IFS(H2943&lt;30,0,H2943&lt;60,1,H2943&lt;90,2,H2943&lt;120,3)</f>
        <v>0</v>
      </c>
      <c r="M2943" t="str">
        <f t="shared" si="278"/>
        <v>Low</v>
      </c>
      <c r="N2943" t="str">
        <f t="shared" si="275"/>
        <v>Sep</v>
      </c>
      <c r="O2943">
        <f t="shared" si="276"/>
        <v>2025</v>
      </c>
    </row>
    <row r="2944" spans="1:15" x14ac:dyDescent="0.3">
      <c r="A2944">
        <v>201612</v>
      </c>
      <c r="B2944" t="s">
        <v>68</v>
      </c>
      <c r="C2944" s="2">
        <v>45924</v>
      </c>
      <c r="D2944" s="2">
        <f t="shared" si="274"/>
        <v>45954</v>
      </c>
      <c r="E2944" s="1">
        <f>D2944</f>
        <v>45954</v>
      </c>
      <c r="F2944">
        <v>632</v>
      </c>
      <c r="G2944">
        <v>30</v>
      </c>
      <c r="H2944">
        <f t="shared" si="279"/>
        <v>0</v>
      </c>
      <c r="I2944" t="str">
        <f t="shared" si="277"/>
        <v>On Time</v>
      </c>
      <c r="J2944" cm="1">
        <f t="array" ref="J2944">_xlfn.IFS(H2944&lt;30,0,H2944&lt;60,1,H2944&lt;90,2,H2944&lt;120,3)</f>
        <v>0</v>
      </c>
      <c r="M2944" t="str">
        <f t="shared" si="278"/>
        <v>Low</v>
      </c>
      <c r="N2944" t="str">
        <f t="shared" si="275"/>
        <v>Sep</v>
      </c>
      <c r="O2944">
        <f t="shared" si="276"/>
        <v>2025</v>
      </c>
    </row>
    <row r="2945" spans="1:15" x14ac:dyDescent="0.3">
      <c r="A2945">
        <v>201613</v>
      </c>
      <c r="B2945" t="s">
        <v>69</v>
      </c>
      <c r="C2945" s="2">
        <v>45924</v>
      </c>
      <c r="D2945" s="2">
        <f t="shared" si="274"/>
        <v>45954</v>
      </c>
      <c r="E2945" s="1">
        <f>D2945-2</f>
        <v>45952</v>
      </c>
      <c r="F2945">
        <v>2514</v>
      </c>
      <c r="G2945">
        <v>30</v>
      </c>
      <c r="H2945">
        <f t="shared" si="279"/>
        <v>0</v>
      </c>
      <c r="I2945" t="str">
        <f t="shared" si="277"/>
        <v>On Time</v>
      </c>
      <c r="J2945" cm="1">
        <f t="array" ref="J2945">_xlfn.IFS(H2945&lt;30,0,H2945&lt;60,1,H2945&lt;90,2,H2945&lt;120,3)</f>
        <v>0</v>
      </c>
      <c r="M2945" t="str">
        <f t="shared" si="278"/>
        <v>Low</v>
      </c>
      <c r="N2945" t="str">
        <f t="shared" si="275"/>
        <v>Sep</v>
      </c>
      <c r="O2945">
        <f t="shared" si="276"/>
        <v>2025</v>
      </c>
    </row>
    <row r="2946" spans="1:15" x14ac:dyDescent="0.3">
      <c r="A2946">
        <v>201614</v>
      </c>
      <c r="B2946" t="s">
        <v>70</v>
      </c>
      <c r="C2946" s="2">
        <v>45924</v>
      </c>
      <c r="D2946" s="2">
        <f t="shared" ref="D2946:D3009" si="280">C2946+G2946</f>
        <v>45954</v>
      </c>
      <c r="E2946" s="1">
        <f>D2946</f>
        <v>45954</v>
      </c>
      <c r="F2946">
        <v>3826</v>
      </c>
      <c r="G2946">
        <v>30</v>
      </c>
      <c r="H2946">
        <f t="shared" si="279"/>
        <v>0</v>
      </c>
      <c r="I2946" t="str">
        <f t="shared" si="277"/>
        <v>On Time</v>
      </c>
      <c r="J2946" cm="1">
        <f t="array" ref="J2946">_xlfn.IFS(H2946&lt;30,0,H2946&lt;60,1,H2946&lt;90,2,H2946&lt;120,3)</f>
        <v>0</v>
      </c>
      <c r="M2946" t="str">
        <f t="shared" si="278"/>
        <v>Low</v>
      </c>
      <c r="N2946" t="str">
        <f t="shared" ref="N2946:N3009" si="281">TEXT(C2946,"mmm")</f>
        <v>Sep</v>
      </c>
      <c r="O2946">
        <f t="shared" ref="O2946:O3009" si="282">YEAR(C2946)</f>
        <v>2025</v>
      </c>
    </row>
    <row r="2947" spans="1:15" x14ac:dyDescent="0.3">
      <c r="A2947">
        <v>201615</v>
      </c>
      <c r="B2947" t="s">
        <v>71</v>
      </c>
      <c r="C2947" s="2">
        <v>45924</v>
      </c>
      <c r="D2947" s="2">
        <f t="shared" si="280"/>
        <v>45954</v>
      </c>
      <c r="E2947" s="1">
        <f>D2947+2</f>
        <v>45956</v>
      </c>
      <c r="F2947">
        <v>757</v>
      </c>
      <c r="G2947">
        <v>30</v>
      </c>
      <c r="H2947">
        <f t="shared" si="279"/>
        <v>0</v>
      </c>
      <c r="I2947" t="str">
        <f t="shared" si="277"/>
        <v>On Time</v>
      </c>
      <c r="J2947" cm="1">
        <f t="array" ref="J2947">_xlfn.IFS(H2947&lt;30,0,H2947&lt;60,1,H2947&lt;90,2,H2947&lt;120,3)</f>
        <v>0</v>
      </c>
      <c r="M2947" t="str">
        <f t="shared" si="278"/>
        <v>Low</v>
      </c>
      <c r="N2947" t="str">
        <f t="shared" si="281"/>
        <v>Sep</v>
      </c>
      <c r="O2947">
        <f t="shared" si="282"/>
        <v>2025</v>
      </c>
    </row>
    <row r="2948" spans="1:15" x14ac:dyDescent="0.3">
      <c r="A2948">
        <v>201616</v>
      </c>
      <c r="B2948" t="s">
        <v>72</v>
      </c>
      <c r="C2948" s="2">
        <v>45924</v>
      </c>
      <c r="D2948" s="2">
        <f t="shared" si="280"/>
        <v>45954</v>
      </c>
      <c r="E2948" s="1">
        <f>D2948+2</f>
        <v>45956</v>
      </c>
      <c r="F2948">
        <v>3232</v>
      </c>
      <c r="G2948">
        <v>30</v>
      </c>
      <c r="H2948">
        <f t="shared" si="279"/>
        <v>0</v>
      </c>
      <c r="I2948" t="str">
        <f t="shared" si="277"/>
        <v>On Time</v>
      </c>
      <c r="J2948" cm="1">
        <f t="array" ref="J2948">_xlfn.IFS(H2948&lt;30,0,H2948&lt;60,1,H2948&lt;90,2,H2948&lt;120,3)</f>
        <v>0</v>
      </c>
      <c r="M2948" t="str">
        <f t="shared" si="278"/>
        <v>Low</v>
      </c>
      <c r="N2948" t="str">
        <f t="shared" si="281"/>
        <v>Sep</v>
      </c>
      <c r="O2948">
        <f t="shared" si="282"/>
        <v>2025</v>
      </c>
    </row>
    <row r="2949" spans="1:15" x14ac:dyDescent="0.3">
      <c r="A2949">
        <v>201617</v>
      </c>
      <c r="B2949" t="s">
        <v>73</v>
      </c>
      <c r="C2949" s="2">
        <v>45924</v>
      </c>
      <c r="D2949" s="2">
        <f t="shared" si="280"/>
        <v>45969</v>
      </c>
      <c r="E2949" s="1">
        <f>D2949+2</f>
        <v>45971</v>
      </c>
      <c r="F2949">
        <v>3391</v>
      </c>
      <c r="G2949">
        <v>45</v>
      </c>
      <c r="H2949">
        <f t="shared" si="279"/>
        <v>0</v>
      </c>
      <c r="I2949" t="str">
        <f t="shared" si="277"/>
        <v>On Time</v>
      </c>
      <c r="J2949" cm="1">
        <f t="array" ref="J2949">_xlfn.IFS(H2949&lt;30,0,H2949&lt;60,1,H2949&lt;90,2,H2949&lt;120,3)</f>
        <v>0</v>
      </c>
      <c r="M2949" t="str">
        <f t="shared" si="278"/>
        <v>Low</v>
      </c>
      <c r="N2949" t="str">
        <f t="shared" si="281"/>
        <v>Sep</v>
      </c>
      <c r="O2949">
        <f t="shared" si="282"/>
        <v>2025</v>
      </c>
    </row>
    <row r="2950" spans="1:15" x14ac:dyDescent="0.3">
      <c r="A2950">
        <v>201618</v>
      </c>
      <c r="B2950" t="s">
        <v>74</v>
      </c>
      <c r="C2950" s="2">
        <v>45924</v>
      </c>
      <c r="D2950" s="2">
        <f t="shared" si="280"/>
        <v>45969</v>
      </c>
      <c r="E2950" s="1">
        <f>D2950</f>
        <v>45969</v>
      </c>
      <c r="F2950">
        <v>1067</v>
      </c>
      <c r="G2950">
        <v>45</v>
      </c>
      <c r="H2950">
        <f t="shared" si="279"/>
        <v>0</v>
      </c>
      <c r="I2950" t="str">
        <f t="shared" si="277"/>
        <v>On Time</v>
      </c>
      <c r="J2950" cm="1">
        <f t="array" ref="J2950">_xlfn.IFS(H2950&lt;30,0,H2950&lt;60,1,H2950&lt;90,2,H2950&lt;120,3)</f>
        <v>0</v>
      </c>
      <c r="M2950" t="str">
        <f t="shared" si="278"/>
        <v>Low</v>
      </c>
      <c r="N2950" t="str">
        <f t="shared" si="281"/>
        <v>Sep</v>
      </c>
      <c r="O2950">
        <f t="shared" si="282"/>
        <v>2025</v>
      </c>
    </row>
    <row r="2951" spans="1:15" x14ac:dyDescent="0.3">
      <c r="A2951">
        <v>201619</v>
      </c>
      <c r="B2951" t="s">
        <v>45</v>
      </c>
      <c r="C2951" s="2">
        <v>45924</v>
      </c>
      <c r="D2951" s="2">
        <f t="shared" si="280"/>
        <v>45969</v>
      </c>
      <c r="E2951" s="1">
        <f>D2951+20</f>
        <v>45989</v>
      </c>
      <c r="F2951">
        <v>1795</v>
      </c>
      <c r="G2951">
        <v>45</v>
      </c>
      <c r="H2951">
        <f t="shared" si="279"/>
        <v>0</v>
      </c>
      <c r="I2951" t="str">
        <f t="shared" si="277"/>
        <v>On Time</v>
      </c>
      <c r="J2951" cm="1">
        <f t="array" ref="J2951">_xlfn.IFS(H2951&lt;30,0,H2951&lt;60,1,H2951&lt;90,2,H2951&lt;120,3)</f>
        <v>0</v>
      </c>
      <c r="M2951" t="str">
        <f t="shared" si="278"/>
        <v>Low</v>
      </c>
      <c r="N2951" t="str">
        <f t="shared" si="281"/>
        <v>Sep</v>
      </c>
      <c r="O2951">
        <f t="shared" si="282"/>
        <v>2025</v>
      </c>
    </row>
    <row r="2952" spans="1:15" x14ac:dyDescent="0.3">
      <c r="A2952">
        <v>201620</v>
      </c>
      <c r="B2952" t="s">
        <v>46</v>
      </c>
      <c r="C2952" s="2">
        <v>45924</v>
      </c>
      <c r="D2952" s="2">
        <f t="shared" si="280"/>
        <v>45984</v>
      </c>
      <c r="E2952" s="1">
        <f>D2952</f>
        <v>45984</v>
      </c>
      <c r="F2952">
        <v>2948</v>
      </c>
      <c r="G2952">
        <v>60</v>
      </c>
      <c r="H2952">
        <f t="shared" si="279"/>
        <v>0</v>
      </c>
      <c r="I2952" t="str">
        <f t="shared" si="277"/>
        <v>On Time</v>
      </c>
      <c r="J2952" cm="1">
        <f t="array" ref="J2952">_xlfn.IFS(H2952&lt;30,0,H2952&lt;60,1,H2952&lt;90,2,H2952&lt;120,3)</f>
        <v>0</v>
      </c>
      <c r="M2952" t="str">
        <f t="shared" si="278"/>
        <v>Low</v>
      </c>
      <c r="N2952" t="str">
        <f t="shared" si="281"/>
        <v>Sep</v>
      </c>
      <c r="O2952">
        <f t="shared" si="282"/>
        <v>2025</v>
      </c>
    </row>
    <row r="2953" spans="1:15" x14ac:dyDescent="0.3">
      <c r="A2953">
        <v>201621</v>
      </c>
      <c r="B2953" t="s">
        <v>47</v>
      </c>
      <c r="C2953" s="2">
        <v>45924</v>
      </c>
      <c r="D2953" s="2">
        <f t="shared" si="280"/>
        <v>45984</v>
      </c>
      <c r="E2953" s="1">
        <f>D2953+1</f>
        <v>45985</v>
      </c>
      <c r="F2953">
        <v>17671</v>
      </c>
      <c r="G2953">
        <v>60</v>
      </c>
      <c r="H2953">
        <f t="shared" si="279"/>
        <v>0</v>
      </c>
      <c r="I2953" t="str">
        <f t="shared" si="277"/>
        <v>On Time</v>
      </c>
      <c r="J2953" cm="1">
        <f t="array" ref="J2953">_xlfn.IFS(H2953&lt;30,0,H2953&lt;60,1,H2953&lt;90,2,H2953&lt;120,3)</f>
        <v>0</v>
      </c>
      <c r="M2953" t="str">
        <f t="shared" si="278"/>
        <v>Low</v>
      </c>
      <c r="N2953" t="str">
        <f t="shared" si="281"/>
        <v>Sep</v>
      </c>
      <c r="O2953">
        <f t="shared" si="282"/>
        <v>2025</v>
      </c>
    </row>
    <row r="2954" spans="1:15" x14ac:dyDescent="0.3">
      <c r="A2954">
        <v>201587</v>
      </c>
      <c r="B2954" t="s">
        <v>64</v>
      </c>
      <c r="C2954" s="2">
        <v>45923</v>
      </c>
      <c r="D2954" s="2">
        <f t="shared" si="280"/>
        <v>45953</v>
      </c>
      <c r="E2954" s="1">
        <f>D2954</f>
        <v>45953</v>
      </c>
      <c r="F2954">
        <v>6505</v>
      </c>
      <c r="G2954">
        <v>30</v>
      </c>
      <c r="H2954">
        <f t="shared" si="279"/>
        <v>0</v>
      </c>
      <c r="I2954" t="str">
        <f t="shared" si="277"/>
        <v>On Time</v>
      </c>
      <c r="J2954" cm="1">
        <f t="array" ref="J2954">_xlfn.IFS(H2954&lt;30,0,H2954&lt;60,1,H2954&lt;90,2,H2954&lt;120,3)</f>
        <v>0</v>
      </c>
      <c r="M2954" t="str">
        <f t="shared" si="278"/>
        <v>Low</v>
      </c>
      <c r="N2954" t="str">
        <f t="shared" si="281"/>
        <v>Sep</v>
      </c>
      <c r="O2954">
        <f t="shared" si="282"/>
        <v>2025</v>
      </c>
    </row>
    <row r="2955" spans="1:15" x14ac:dyDescent="0.3">
      <c r="A2955">
        <v>201588</v>
      </c>
      <c r="B2955" t="s">
        <v>45</v>
      </c>
      <c r="C2955" s="2">
        <v>45923</v>
      </c>
      <c r="D2955" s="2">
        <f t="shared" si="280"/>
        <v>45968</v>
      </c>
      <c r="E2955" s="1">
        <f>D2955</f>
        <v>45968</v>
      </c>
      <c r="F2955">
        <v>13349</v>
      </c>
      <c r="G2955">
        <v>45</v>
      </c>
      <c r="H2955">
        <f t="shared" si="279"/>
        <v>0</v>
      </c>
      <c r="I2955" t="str">
        <f t="shared" si="277"/>
        <v>On Time</v>
      </c>
      <c r="J2955" cm="1">
        <f t="array" ref="J2955">_xlfn.IFS(H2955&lt;30,0,H2955&lt;60,1,H2955&lt;90,2,H2955&lt;120,3)</f>
        <v>0</v>
      </c>
      <c r="M2955" t="str">
        <f t="shared" si="278"/>
        <v>Low</v>
      </c>
      <c r="N2955" t="str">
        <f t="shared" si="281"/>
        <v>Sep</v>
      </c>
      <c r="O2955">
        <f t="shared" si="282"/>
        <v>2025</v>
      </c>
    </row>
    <row r="2956" spans="1:15" x14ac:dyDescent="0.3">
      <c r="A2956">
        <v>201589</v>
      </c>
      <c r="B2956" t="s">
        <v>46</v>
      </c>
      <c r="C2956" s="2">
        <v>45923</v>
      </c>
      <c r="D2956" s="2">
        <f t="shared" si="280"/>
        <v>45983</v>
      </c>
      <c r="E2956" s="1">
        <f>D2956+3</f>
        <v>45986</v>
      </c>
      <c r="F2956">
        <v>1970</v>
      </c>
      <c r="G2956">
        <v>60</v>
      </c>
      <c r="H2956">
        <f t="shared" si="279"/>
        <v>0</v>
      </c>
      <c r="I2956" t="str">
        <f t="shared" si="277"/>
        <v>On Time</v>
      </c>
      <c r="J2956" cm="1">
        <f t="array" ref="J2956">_xlfn.IFS(H2956&lt;30,0,H2956&lt;60,1,H2956&lt;90,2,H2956&lt;120,3)</f>
        <v>0</v>
      </c>
      <c r="M2956" t="str">
        <f t="shared" si="278"/>
        <v>Low</v>
      </c>
      <c r="N2956" t="str">
        <f t="shared" si="281"/>
        <v>Sep</v>
      </c>
      <c r="O2956">
        <f t="shared" si="282"/>
        <v>2025</v>
      </c>
    </row>
    <row r="2957" spans="1:15" x14ac:dyDescent="0.3">
      <c r="A2957">
        <v>201590</v>
      </c>
      <c r="B2957" t="s">
        <v>114</v>
      </c>
      <c r="C2957" s="2">
        <v>45923</v>
      </c>
      <c r="D2957" s="2">
        <f t="shared" si="280"/>
        <v>45953</v>
      </c>
      <c r="E2957" s="1">
        <f>D2957+1</f>
        <v>45954</v>
      </c>
      <c r="F2957">
        <v>2582</v>
      </c>
      <c r="G2957">
        <v>30</v>
      </c>
      <c r="H2957">
        <f t="shared" si="279"/>
        <v>0</v>
      </c>
      <c r="I2957" t="str">
        <f t="shared" si="277"/>
        <v>On Time</v>
      </c>
      <c r="J2957" cm="1">
        <f t="array" ref="J2957">_xlfn.IFS(H2957&lt;30,0,H2957&lt;60,1,H2957&lt;90,2,H2957&lt;120,3)</f>
        <v>0</v>
      </c>
      <c r="M2957" t="str">
        <f t="shared" si="278"/>
        <v>Low</v>
      </c>
      <c r="N2957" t="str">
        <f t="shared" si="281"/>
        <v>Sep</v>
      </c>
      <c r="O2957">
        <f t="shared" si="282"/>
        <v>2025</v>
      </c>
    </row>
    <row r="2958" spans="1:15" x14ac:dyDescent="0.3">
      <c r="A2958">
        <v>201591</v>
      </c>
      <c r="B2958" t="s">
        <v>115</v>
      </c>
      <c r="C2958" s="2">
        <v>45923</v>
      </c>
      <c r="D2958" s="2">
        <f t="shared" si="280"/>
        <v>45953</v>
      </c>
      <c r="E2958" s="1">
        <f>D2958-1</f>
        <v>45952</v>
      </c>
      <c r="F2958">
        <v>1528</v>
      </c>
      <c r="G2958">
        <v>30</v>
      </c>
      <c r="H2958">
        <f t="shared" si="279"/>
        <v>0</v>
      </c>
      <c r="I2958" t="str">
        <f t="shared" si="277"/>
        <v>On Time</v>
      </c>
      <c r="J2958" cm="1">
        <f t="array" ref="J2958">_xlfn.IFS(H2958&lt;30,0,H2958&lt;60,1,H2958&lt;90,2,H2958&lt;120,3)</f>
        <v>0</v>
      </c>
      <c r="M2958" t="str">
        <f t="shared" si="278"/>
        <v>Low</v>
      </c>
      <c r="N2958" t="str">
        <f t="shared" si="281"/>
        <v>Sep</v>
      </c>
      <c r="O2958">
        <f t="shared" si="282"/>
        <v>2025</v>
      </c>
    </row>
    <row r="2959" spans="1:15" x14ac:dyDescent="0.3">
      <c r="A2959">
        <v>201592</v>
      </c>
      <c r="B2959" t="s">
        <v>116</v>
      </c>
      <c r="C2959" s="2">
        <v>45923</v>
      </c>
      <c r="D2959" s="2">
        <f t="shared" si="280"/>
        <v>45953</v>
      </c>
      <c r="E2959" s="1">
        <f>D2959</f>
        <v>45953</v>
      </c>
      <c r="F2959">
        <v>1428</v>
      </c>
      <c r="G2959">
        <v>30</v>
      </c>
      <c r="H2959">
        <f t="shared" si="279"/>
        <v>0</v>
      </c>
      <c r="I2959" t="str">
        <f t="shared" si="277"/>
        <v>On Time</v>
      </c>
      <c r="J2959" cm="1">
        <f t="array" ref="J2959">_xlfn.IFS(H2959&lt;30,0,H2959&lt;60,1,H2959&lt;90,2,H2959&lt;120,3)</f>
        <v>0</v>
      </c>
      <c r="M2959" t="str">
        <f t="shared" si="278"/>
        <v>Low</v>
      </c>
      <c r="N2959" t="str">
        <f t="shared" si="281"/>
        <v>Sep</v>
      </c>
      <c r="O2959">
        <f t="shared" si="282"/>
        <v>2025</v>
      </c>
    </row>
    <row r="2960" spans="1:15" x14ac:dyDescent="0.3">
      <c r="A2960">
        <v>201593</v>
      </c>
      <c r="B2960" t="s">
        <v>117</v>
      </c>
      <c r="C2960" s="2">
        <v>45923</v>
      </c>
      <c r="D2960" s="2">
        <f t="shared" si="280"/>
        <v>45953</v>
      </c>
      <c r="E2960" s="1">
        <f>D2960+1</f>
        <v>45954</v>
      </c>
      <c r="F2960">
        <v>5188</v>
      </c>
      <c r="G2960">
        <v>30</v>
      </c>
      <c r="H2960">
        <f t="shared" si="279"/>
        <v>0</v>
      </c>
      <c r="I2960" t="str">
        <f t="shared" si="277"/>
        <v>On Time</v>
      </c>
      <c r="J2960" cm="1">
        <f t="array" ref="J2960">_xlfn.IFS(H2960&lt;30,0,H2960&lt;60,1,H2960&lt;90,2,H2960&lt;120,3)</f>
        <v>0</v>
      </c>
      <c r="M2960" t="str">
        <f t="shared" si="278"/>
        <v>Low</v>
      </c>
      <c r="N2960" t="str">
        <f t="shared" si="281"/>
        <v>Sep</v>
      </c>
      <c r="O2960">
        <f t="shared" si="282"/>
        <v>2025</v>
      </c>
    </row>
    <row r="2961" spans="1:15" x14ac:dyDescent="0.3">
      <c r="A2961">
        <v>201594</v>
      </c>
      <c r="B2961" t="s">
        <v>118</v>
      </c>
      <c r="C2961" s="2">
        <v>45923</v>
      </c>
      <c r="D2961" s="2">
        <f t="shared" si="280"/>
        <v>45953</v>
      </c>
      <c r="E2961" s="1">
        <f>D2961+35</f>
        <v>45988</v>
      </c>
      <c r="F2961">
        <v>1412</v>
      </c>
      <c r="G2961">
        <v>30</v>
      </c>
      <c r="H2961">
        <f t="shared" si="279"/>
        <v>0</v>
      </c>
      <c r="I2961" t="str">
        <f t="shared" si="277"/>
        <v>On Time</v>
      </c>
      <c r="J2961" cm="1">
        <f t="array" ref="J2961">_xlfn.IFS(H2961&lt;30,0,H2961&lt;60,1,H2961&lt;90,2,H2961&lt;120,3)</f>
        <v>0</v>
      </c>
      <c r="M2961" t="str">
        <f t="shared" si="278"/>
        <v>Low</v>
      </c>
      <c r="N2961" t="str">
        <f t="shared" si="281"/>
        <v>Sep</v>
      </c>
      <c r="O2961">
        <f t="shared" si="282"/>
        <v>2025</v>
      </c>
    </row>
    <row r="2962" spans="1:15" x14ac:dyDescent="0.3">
      <c r="A2962">
        <v>201595</v>
      </c>
      <c r="B2962" t="s">
        <v>119</v>
      </c>
      <c r="C2962" s="2">
        <v>45923</v>
      </c>
      <c r="D2962" s="2">
        <f t="shared" si="280"/>
        <v>45953</v>
      </c>
      <c r="E2962" s="1">
        <f>D2962+75</f>
        <v>46028</v>
      </c>
      <c r="F2962">
        <v>4250</v>
      </c>
      <c r="G2962">
        <v>30</v>
      </c>
      <c r="H2962">
        <f t="shared" si="279"/>
        <v>0</v>
      </c>
      <c r="I2962" t="str">
        <f t="shared" si="277"/>
        <v>On Time</v>
      </c>
      <c r="J2962" cm="1">
        <f t="array" ref="J2962">_xlfn.IFS(H2962&lt;30,0,H2962&lt;60,1,H2962&lt;90,2,H2962&lt;120,3)</f>
        <v>0</v>
      </c>
      <c r="M2962" t="str">
        <f t="shared" si="278"/>
        <v>Low</v>
      </c>
      <c r="N2962" t="str">
        <f t="shared" si="281"/>
        <v>Sep</v>
      </c>
      <c r="O2962">
        <f t="shared" si="282"/>
        <v>2025</v>
      </c>
    </row>
    <row r="2963" spans="1:15" x14ac:dyDescent="0.3">
      <c r="A2963">
        <v>201596</v>
      </c>
      <c r="B2963" t="s">
        <v>100</v>
      </c>
      <c r="C2963" s="2">
        <v>45923</v>
      </c>
      <c r="D2963" s="2">
        <f t="shared" si="280"/>
        <v>45953</v>
      </c>
      <c r="E2963" s="1">
        <f>D2963+5</f>
        <v>45958</v>
      </c>
      <c r="F2963">
        <v>17928</v>
      </c>
      <c r="G2963">
        <v>30</v>
      </c>
      <c r="H2963">
        <f t="shared" si="279"/>
        <v>0</v>
      </c>
      <c r="I2963" t="str">
        <f t="shared" si="277"/>
        <v>On Time</v>
      </c>
      <c r="J2963" cm="1">
        <f t="array" ref="J2963">_xlfn.IFS(H2963&lt;30,0,H2963&lt;60,1,H2963&lt;90,2,H2963&lt;120,3)</f>
        <v>0</v>
      </c>
      <c r="M2963" t="str">
        <f t="shared" si="278"/>
        <v>Low</v>
      </c>
      <c r="N2963" t="str">
        <f t="shared" si="281"/>
        <v>Sep</v>
      </c>
      <c r="O2963">
        <f t="shared" si="282"/>
        <v>2025</v>
      </c>
    </row>
    <row r="2964" spans="1:15" x14ac:dyDescent="0.3">
      <c r="A2964">
        <v>201597</v>
      </c>
      <c r="B2964" t="s">
        <v>101</v>
      </c>
      <c r="C2964" s="2">
        <v>45923</v>
      </c>
      <c r="D2964" s="2">
        <f t="shared" si="280"/>
        <v>45953</v>
      </c>
      <c r="E2964" s="1">
        <f>D2964</f>
        <v>45953</v>
      </c>
      <c r="F2964">
        <v>2323</v>
      </c>
      <c r="G2964">
        <v>30</v>
      </c>
      <c r="H2964">
        <f t="shared" si="279"/>
        <v>0</v>
      </c>
      <c r="I2964" t="str">
        <f t="shared" si="277"/>
        <v>On Time</v>
      </c>
      <c r="J2964" cm="1">
        <f t="array" ref="J2964">_xlfn.IFS(H2964&lt;30,0,H2964&lt;60,1,H2964&lt;90,2,H2964&lt;120,3)</f>
        <v>0</v>
      </c>
      <c r="M2964" t="str">
        <f t="shared" si="278"/>
        <v>Low</v>
      </c>
      <c r="N2964" t="str">
        <f t="shared" si="281"/>
        <v>Sep</v>
      </c>
      <c r="O2964">
        <f t="shared" si="282"/>
        <v>2025</v>
      </c>
    </row>
    <row r="2965" spans="1:15" x14ac:dyDescent="0.3">
      <c r="A2965">
        <v>201598</v>
      </c>
      <c r="B2965" t="s">
        <v>102</v>
      </c>
      <c r="C2965" s="2">
        <v>45923</v>
      </c>
      <c r="D2965" s="2">
        <f t="shared" si="280"/>
        <v>45953</v>
      </c>
      <c r="E2965" s="1">
        <f>D2965-1</f>
        <v>45952</v>
      </c>
      <c r="F2965">
        <v>909</v>
      </c>
      <c r="G2965">
        <v>30</v>
      </c>
      <c r="H2965">
        <f t="shared" si="279"/>
        <v>0</v>
      </c>
      <c r="I2965" t="str">
        <f t="shared" si="277"/>
        <v>On Time</v>
      </c>
      <c r="J2965" cm="1">
        <f t="array" ref="J2965">_xlfn.IFS(H2965&lt;30,0,H2965&lt;60,1,H2965&lt;90,2,H2965&lt;120,3)</f>
        <v>0</v>
      </c>
      <c r="M2965" t="str">
        <f t="shared" si="278"/>
        <v>Low</v>
      </c>
      <c r="N2965" t="str">
        <f t="shared" si="281"/>
        <v>Sep</v>
      </c>
      <c r="O2965">
        <f t="shared" si="282"/>
        <v>2025</v>
      </c>
    </row>
    <row r="2966" spans="1:15" x14ac:dyDescent="0.3">
      <c r="A2966">
        <v>201599</v>
      </c>
      <c r="B2966" t="s">
        <v>103</v>
      </c>
      <c r="C2966" s="2">
        <v>45923</v>
      </c>
      <c r="D2966" s="2">
        <f t="shared" si="280"/>
        <v>45953</v>
      </c>
      <c r="E2966" s="1">
        <f>D2966+3</f>
        <v>45956</v>
      </c>
      <c r="F2966">
        <v>1852</v>
      </c>
      <c r="G2966">
        <v>30</v>
      </c>
      <c r="H2966">
        <f t="shared" si="279"/>
        <v>0</v>
      </c>
      <c r="I2966" t="str">
        <f t="shared" ref="I2966:I3029" si="283">IF(H2966=0,"On Time",IF(H2966&lt;=15,"Paid Late","Seriously Late"))</f>
        <v>On Time</v>
      </c>
      <c r="J2966" cm="1">
        <f t="array" ref="J2966">_xlfn.IFS(H2966&lt;30,0,H2966&lt;60,1,H2966&lt;90,2,H2966&lt;120,3)</f>
        <v>0</v>
      </c>
      <c r="M2966" t="str">
        <f t="shared" ref="M2966:M3029" si="284">IF(H2966&gt;30,"High",IF(H2966&gt;10,"Medium","Low"))</f>
        <v>Low</v>
      </c>
      <c r="N2966" t="str">
        <f t="shared" si="281"/>
        <v>Sep</v>
      </c>
      <c r="O2966">
        <f t="shared" si="282"/>
        <v>2025</v>
      </c>
    </row>
    <row r="2967" spans="1:15" x14ac:dyDescent="0.3">
      <c r="A2967">
        <v>201600</v>
      </c>
      <c r="B2967" t="s">
        <v>104</v>
      </c>
      <c r="C2967" s="2">
        <v>45923</v>
      </c>
      <c r="D2967" s="2">
        <f t="shared" si="280"/>
        <v>45953</v>
      </c>
      <c r="E2967" s="1">
        <f>D2967+1</f>
        <v>45954</v>
      </c>
      <c r="F2967">
        <v>3748</v>
      </c>
      <c r="G2967">
        <v>30</v>
      </c>
      <c r="H2967">
        <f t="shared" si="279"/>
        <v>0</v>
      </c>
      <c r="I2967" t="str">
        <f t="shared" si="283"/>
        <v>On Time</v>
      </c>
      <c r="J2967" cm="1">
        <f t="array" ref="J2967">_xlfn.IFS(H2967&lt;30,0,H2967&lt;60,1,H2967&lt;90,2,H2967&lt;120,3)</f>
        <v>0</v>
      </c>
      <c r="M2967" t="str">
        <f t="shared" si="284"/>
        <v>Low</v>
      </c>
      <c r="N2967" t="str">
        <f t="shared" si="281"/>
        <v>Sep</v>
      </c>
      <c r="O2967">
        <f t="shared" si="282"/>
        <v>2025</v>
      </c>
    </row>
    <row r="2968" spans="1:15" x14ac:dyDescent="0.3">
      <c r="A2968">
        <v>201601</v>
      </c>
      <c r="B2968" t="s">
        <v>105</v>
      </c>
      <c r="C2968" s="2">
        <v>45923</v>
      </c>
      <c r="D2968" s="2">
        <f t="shared" si="280"/>
        <v>45953</v>
      </c>
      <c r="E2968" s="1">
        <f>D2968-1</f>
        <v>45952</v>
      </c>
      <c r="F2968">
        <v>3802</v>
      </c>
      <c r="G2968">
        <v>30</v>
      </c>
      <c r="H2968">
        <f t="shared" si="279"/>
        <v>0</v>
      </c>
      <c r="I2968" t="str">
        <f t="shared" si="283"/>
        <v>On Time</v>
      </c>
      <c r="J2968" cm="1">
        <f t="array" ref="J2968">_xlfn.IFS(H2968&lt;30,0,H2968&lt;60,1,H2968&lt;90,2,H2968&lt;120,3)</f>
        <v>0</v>
      </c>
      <c r="M2968" t="str">
        <f t="shared" si="284"/>
        <v>Low</v>
      </c>
      <c r="N2968" t="str">
        <f t="shared" si="281"/>
        <v>Sep</v>
      </c>
      <c r="O2968">
        <f t="shared" si="282"/>
        <v>2025</v>
      </c>
    </row>
    <row r="2969" spans="1:15" x14ac:dyDescent="0.3">
      <c r="A2969">
        <v>201602</v>
      </c>
      <c r="B2969" t="s">
        <v>86</v>
      </c>
      <c r="C2969" s="2">
        <v>45923</v>
      </c>
      <c r="D2969" s="2">
        <f t="shared" si="280"/>
        <v>45953</v>
      </c>
      <c r="E2969" s="1">
        <f>D2969</f>
        <v>45953</v>
      </c>
      <c r="F2969">
        <v>3541</v>
      </c>
      <c r="G2969">
        <v>30</v>
      </c>
      <c r="H2969">
        <f t="shared" si="279"/>
        <v>0</v>
      </c>
      <c r="I2969" t="str">
        <f t="shared" si="283"/>
        <v>On Time</v>
      </c>
      <c r="J2969" cm="1">
        <f t="array" ref="J2969">_xlfn.IFS(H2969&lt;30,0,H2969&lt;60,1,H2969&lt;90,2,H2969&lt;120,3)</f>
        <v>0</v>
      </c>
      <c r="M2969" t="str">
        <f t="shared" si="284"/>
        <v>Low</v>
      </c>
      <c r="N2969" t="str">
        <f t="shared" si="281"/>
        <v>Sep</v>
      </c>
      <c r="O2969">
        <f t="shared" si="282"/>
        <v>2025</v>
      </c>
    </row>
    <row r="2970" spans="1:15" x14ac:dyDescent="0.3">
      <c r="A2970">
        <v>201603</v>
      </c>
      <c r="B2970" t="s">
        <v>87</v>
      </c>
      <c r="C2970" s="2">
        <v>45923</v>
      </c>
      <c r="D2970" s="2">
        <f t="shared" si="280"/>
        <v>45953</v>
      </c>
      <c r="E2970" s="1">
        <f>D2970-5</f>
        <v>45948</v>
      </c>
      <c r="F2970">
        <v>653</v>
      </c>
      <c r="G2970">
        <v>30</v>
      </c>
      <c r="H2970">
        <f t="shared" si="279"/>
        <v>0</v>
      </c>
      <c r="I2970" t="str">
        <f t="shared" si="283"/>
        <v>On Time</v>
      </c>
      <c r="J2970" cm="1">
        <f t="array" ref="J2970">_xlfn.IFS(H2970&lt;30,0,H2970&lt;60,1,H2970&lt;90,2,H2970&lt;120,3)</f>
        <v>0</v>
      </c>
      <c r="M2970" t="str">
        <f t="shared" si="284"/>
        <v>Low</v>
      </c>
      <c r="N2970" t="str">
        <f t="shared" si="281"/>
        <v>Sep</v>
      </c>
      <c r="O2970">
        <f t="shared" si="282"/>
        <v>2025</v>
      </c>
    </row>
    <row r="2971" spans="1:15" x14ac:dyDescent="0.3">
      <c r="A2971">
        <v>201570</v>
      </c>
      <c r="B2971" t="s">
        <v>101</v>
      </c>
      <c r="C2971" s="2">
        <v>45922</v>
      </c>
      <c r="D2971" s="2">
        <f t="shared" si="280"/>
        <v>45952</v>
      </c>
      <c r="E2971" s="1">
        <f>D2971-2</f>
        <v>45950</v>
      </c>
      <c r="F2971">
        <v>4048</v>
      </c>
      <c r="G2971">
        <v>30</v>
      </c>
      <c r="H2971">
        <f t="shared" si="279"/>
        <v>0</v>
      </c>
      <c r="I2971" t="str">
        <f t="shared" si="283"/>
        <v>On Time</v>
      </c>
      <c r="J2971" cm="1">
        <f t="array" ref="J2971">_xlfn.IFS(H2971&lt;30,0,H2971&lt;60,1,H2971&lt;90,2,H2971&lt;120,3)</f>
        <v>0</v>
      </c>
      <c r="M2971" t="str">
        <f t="shared" si="284"/>
        <v>Low</v>
      </c>
      <c r="N2971" t="str">
        <f t="shared" si="281"/>
        <v>Sep</v>
      </c>
      <c r="O2971">
        <f t="shared" si="282"/>
        <v>2025</v>
      </c>
    </row>
    <row r="2972" spans="1:15" x14ac:dyDescent="0.3">
      <c r="A2972">
        <v>201571</v>
      </c>
      <c r="B2972" t="s">
        <v>102</v>
      </c>
      <c r="C2972" s="2">
        <v>45922</v>
      </c>
      <c r="D2972" s="2">
        <f t="shared" si="280"/>
        <v>45952</v>
      </c>
      <c r="E2972" s="1">
        <f>D2972</f>
        <v>45952</v>
      </c>
      <c r="F2972">
        <v>1447</v>
      </c>
      <c r="G2972">
        <v>30</v>
      </c>
      <c r="H2972">
        <f t="shared" si="279"/>
        <v>0</v>
      </c>
      <c r="I2972" t="str">
        <f t="shared" si="283"/>
        <v>On Time</v>
      </c>
      <c r="J2972" cm="1">
        <f t="array" ref="J2972">_xlfn.IFS(H2972&lt;30,0,H2972&lt;60,1,H2972&lt;90,2,H2972&lt;120,3)</f>
        <v>0</v>
      </c>
      <c r="M2972" t="str">
        <f t="shared" si="284"/>
        <v>Low</v>
      </c>
      <c r="N2972" t="str">
        <f t="shared" si="281"/>
        <v>Sep</v>
      </c>
      <c r="O2972">
        <f t="shared" si="282"/>
        <v>2025</v>
      </c>
    </row>
    <row r="2973" spans="1:15" x14ac:dyDescent="0.3">
      <c r="A2973">
        <v>201572</v>
      </c>
      <c r="B2973" t="s">
        <v>103</v>
      </c>
      <c r="C2973" s="2">
        <v>45922</v>
      </c>
      <c r="D2973" s="2">
        <f t="shared" si="280"/>
        <v>45952</v>
      </c>
      <c r="E2973" s="1">
        <f>D2973+2</f>
        <v>45954</v>
      </c>
      <c r="F2973">
        <v>538</v>
      </c>
      <c r="G2973">
        <v>30</v>
      </c>
      <c r="H2973">
        <f t="shared" si="279"/>
        <v>0</v>
      </c>
      <c r="I2973" t="str">
        <f t="shared" si="283"/>
        <v>On Time</v>
      </c>
      <c r="J2973" cm="1">
        <f t="array" ref="J2973">_xlfn.IFS(H2973&lt;30,0,H2973&lt;60,1,H2973&lt;90,2,H2973&lt;120,3)</f>
        <v>0</v>
      </c>
      <c r="M2973" t="str">
        <f t="shared" si="284"/>
        <v>Low</v>
      </c>
      <c r="N2973" t="str">
        <f t="shared" si="281"/>
        <v>Sep</v>
      </c>
      <c r="O2973">
        <f t="shared" si="282"/>
        <v>2025</v>
      </c>
    </row>
    <row r="2974" spans="1:15" x14ac:dyDescent="0.3">
      <c r="A2974">
        <v>201573</v>
      </c>
      <c r="B2974" t="s">
        <v>104</v>
      </c>
      <c r="C2974" s="2">
        <v>45922</v>
      </c>
      <c r="D2974" s="2">
        <f t="shared" si="280"/>
        <v>45952</v>
      </c>
      <c r="E2974" s="1">
        <f>D2974+2</f>
        <v>45954</v>
      </c>
      <c r="F2974">
        <v>7382</v>
      </c>
      <c r="G2974">
        <v>30</v>
      </c>
      <c r="H2974">
        <f t="shared" si="279"/>
        <v>0</v>
      </c>
      <c r="I2974" t="str">
        <f t="shared" si="283"/>
        <v>On Time</v>
      </c>
      <c r="J2974" cm="1">
        <f t="array" ref="J2974">_xlfn.IFS(H2974&lt;30,0,H2974&lt;60,1,H2974&lt;90,2,H2974&lt;120,3)</f>
        <v>0</v>
      </c>
      <c r="M2974" t="str">
        <f t="shared" si="284"/>
        <v>Low</v>
      </c>
      <c r="N2974" t="str">
        <f t="shared" si="281"/>
        <v>Sep</v>
      </c>
      <c r="O2974">
        <f t="shared" si="282"/>
        <v>2025</v>
      </c>
    </row>
    <row r="2975" spans="1:15" x14ac:dyDescent="0.3">
      <c r="A2975">
        <v>201574</v>
      </c>
      <c r="B2975" t="s">
        <v>105</v>
      </c>
      <c r="C2975" s="2">
        <v>45922</v>
      </c>
      <c r="D2975" s="2">
        <f t="shared" si="280"/>
        <v>45952</v>
      </c>
      <c r="E2975" s="1">
        <f>D2975+2</f>
        <v>45954</v>
      </c>
      <c r="F2975">
        <v>6847</v>
      </c>
      <c r="G2975">
        <v>30</v>
      </c>
      <c r="H2975">
        <f t="shared" si="279"/>
        <v>0</v>
      </c>
      <c r="I2975" t="str">
        <f t="shared" si="283"/>
        <v>On Time</v>
      </c>
      <c r="J2975" cm="1">
        <f t="array" ref="J2975">_xlfn.IFS(H2975&lt;30,0,H2975&lt;60,1,H2975&lt;90,2,H2975&lt;120,3)</f>
        <v>0</v>
      </c>
      <c r="M2975" t="str">
        <f t="shared" si="284"/>
        <v>Low</v>
      </c>
      <c r="N2975" t="str">
        <f t="shared" si="281"/>
        <v>Sep</v>
      </c>
      <c r="O2975">
        <f t="shared" si="282"/>
        <v>2025</v>
      </c>
    </row>
    <row r="2976" spans="1:15" x14ac:dyDescent="0.3">
      <c r="A2976">
        <v>201575</v>
      </c>
      <c r="B2976" t="s">
        <v>114</v>
      </c>
      <c r="C2976" s="2">
        <v>45922</v>
      </c>
      <c r="D2976" s="2">
        <f t="shared" si="280"/>
        <v>45952</v>
      </c>
      <c r="E2976" s="1">
        <f>D2976</f>
        <v>45952</v>
      </c>
      <c r="F2976">
        <v>1425</v>
      </c>
      <c r="G2976">
        <v>30</v>
      </c>
      <c r="H2976">
        <f t="shared" si="279"/>
        <v>0</v>
      </c>
      <c r="I2976" t="str">
        <f t="shared" si="283"/>
        <v>On Time</v>
      </c>
      <c r="J2976" cm="1">
        <f t="array" ref="J2976">_xlfn.IFS(H2976&lt;30,0,H2976&lt;60,1,H2976&lt;90,2,H2976&lt;120,3)</f>
        <v>0</v>
      </c>
      <c r="M2976" t="str">
        <f t="shared" si="284"/>
        <v>Low</v>
      </c>
      <c r="N2976" t="str">
        <f t="shared" si="281"/>
        <v>Sep</v>
      </c>
      <c r="O2976">
        <f t="shared" si="282"/>
        <v>2025</v>
      </c>
    </row>
    <row r="2977" spans="1:15" x14ac:dyDescent="0.3">
      <c r="A2977">
        <v>201576</v>
      </c>
      <c r="B2977" t="s">
        <v>115</v>
      </c>
      <c r="C2977" s="2">
        <v>45922</v>
      </c>
      <c r="D2977" s="2">
        <f t="shared" si="280"/>
        <v>45952</v>
      </c>
      <c r="E2977" s="1">
        <f>D2977+20</f>
        <v>45972</v>
      </c>
      <c r="F2977">
        <v>3337</v>
      </c>
      <c r="G2977">
        <v>30</v>
      </c>
      <c r="H2977">
        <f t="shared" si="279"/>
        <v>0</v>
      </c>
      <c r="I2977" t="str">
        <f t="shared" si="283"/>
        <v>On Time</v>
      </c>
      <c r="J2977" cm="1">
        <f t="array" ref="J2977">_xlfn.IFS(H2977&lt;30,0,H2977&lt;60,1,H2977&lt;90,2,H2977&lt;120,3)</f>
        <v>0</v>
      </c>
      <c r="M2977" t="str">
        <f t="shared" si="284"/>
        <v>Low</v>
      </c>
      <c r="N2977" t="str">
        <f t="shared" si="281"/>
        <v>Sep</v>
      </c>
      <c r="O2977">
        <f t="shared" si="282"/>
        <v>2025</v>
      </c>
    </row>
    <row r="2978" spans="1:15" x14ac:dyDescent="0.3">
      <c r="A2978">
        <v>201577</v>
      </c>
      <c r="B2978" t="s">
        <v>116</v>
      </c>
      <c r="C2978" s="2">
        <v>45922</v>
      </c>
      <c r="D2978" s="2">
        <f t="shared" si="280"/>
        <v>45952</v>
      </c>
      <c r="E2978" s="1">
        <f>D2978</f>
        <v>45952</v>
      </c>
      <c r="F2978">
        <v>457</v>
      </c>
      <c r="G2978">
        <v>30</v>
      </c>
      <c r="H2978">
        <f t="shared" si="279"/>
        <v>0</v>
      </c>
      <c r="I2978" t="str">
        <f t="shared" si="283"/>
        <v>On Time</v>
      </c>
      <c r="J2978" cm="1">
        <f t="array" ref="J2978">_xlfn.IFS(H2978&lt;30,0,H2978&lt;60,1,H2978&lt;90,2,H2978&lt;120,3)</f>
        <v>0</v>
      </c>
      <c r="M2978" t="str">
        <f t="shared" si="284"/>
        <v>Low</v>
      </c>
      <c r="N2978" t="str">
        <f t="shared" si="281"/>
        <v>Sep</v>
      </c>
      <c r="O2978">
        <f t="shared" si="282"/>
        <v>2025</v>
      </c>
    </row>
    <row r="2979" spans="1:15" x14ac:dyDescent="0.3">
      <c r="A2979">
        <v>201578</v>
      </c>
      <c r="B2979" t="s">
        <v>117</v>
      </c>
      <c r="C2979" s="2">
        <v>45922</v>
      </c>
      <c r="D2979" s="2">
        <f t="shared" si="280"/>
        <v>45952</v>
      </c>
      <c r="E2979" s="1">
        <f>D2979+1</f>
        <v>45953</v>
      </c>
      <c r="F2979">
        <v>1614</v>
      </c>
      <c r="G2979">
        <v>30</v>
      </c>
      <c r="H2979">
        <f t="shared" si="279"/>
        <v>0</v>
      </c>
      <c r="I2979" t="str">
        <f t="shared" si="283"/>
        <v>On Time</v>
      </c>
      <c r="J2979" cm="1">
        <f t="array" ref="J2979">_xlfn.IFS(H2979&lt;30,0,H2979&lt;60,1,H2979&lt;90,2,H2979&lt;120,3)</f>
        <v>0</v>
      </c>
      <c r="M2979" t="str">
        <f t="shared" si="284"/>
        <v>Low</v>
      </c>
      <c r="N2979" t="str">
        <f t="shared" si="281"/>
        <v>Sep</v>
      </c>
      <c r="O2979">
        <f t="shared" si="282"/>
        <v>2025</v>
      </c>
    </row>
    <row r="2980" spans="1:15" x14ac:dyDescent="0.3">
      <c r="A2980">
        <v>201579</v>
      </c>
      <c r="B2980" t="s">
        <v>118</v>
      </c>
      <c r="C2980" s="2">
        <v>45922</v>
      </c>
      <c r="D2980" s="2">
        <f t="shared" si="280"/>
        <v>45952</v>
      </c>
      <c r="E2980" s="1">
        <f>D2980</f>
        <v>45952</v>
      </c>
      <c r="F2980">
        <v>1874</v>
      </c>
      <c r="G2980">
        <v>30</v>
      </c>
      <c r="H2980">
        <f t="shared" si="279"/>
        <v>0</v>
      </c>
      <c r="I2980" t="str">
        <f t="shared" si="283"/>
        <v>On Time</v>
      </c>
      <c r="J2980" cm="1">
        <f t="array" ref="J2980">_xlfn.IFS(H2980&lt;30,0,H2980&lt;60,1,H2980&lt;90,2,H2980&lt;120,3)</f>
        <v>0</v>
      </c>
      <c r="M2980" t="str">
        <f t="shared" si="284"/>
        <v>Low</v>
      </c>
      <c r="N2980" t="str">
        <f t="shared" si="281"/>
        <v>Sep</v>
      </c>
      <c r="O2980">
        <f t="shared" si="282"/>
        <v>2025</v>
      </c>
    </row>
    <row r="2981" spans="1:15" x14ac:dyDescent="0.3">
      <c r="A2981">
        <v>201580</v>
      </c>
      <c r="B2981" t="s">
        <v>119</v>
      </c>
      <c r="C2981" s="2">
        <v>45922</v>
      </c>
      <c r="D2981" s="2">
        <f t="shared" si="280"/>
        <v>45952</v>
      </c>
      <c r="E2981" s="1">
        <f>D2981</f>
        <v>45952</v>
      </c>
      <c r="F2981">
        <v>1328</v>
      </c>
      <c r="G2981">
        <v>30</v>
      </c>
      <c r="H2981">
        <f t="shared" si="279"/>
        <v>0</v>
      </c>
      <c r="I2981" t="str">
        <f t="shared" si="283"/>
        <v>On Time</v>
      </c>
      <c r="J2981" cm="1">
        <f t="array" ref="J2981">_xlfn.IFS(H2981&lt;30,0,H2981&lt;60,1,H2981&lt;90,2,H2981&lt;120,3)</f>
        <v>0</v>
      </c>
      <c r="M2981" t="str">
        <f t="shared" si="284"/>
        <v>Low</v>
      </c>
      <c r="N2981" t="str">
        <f t="shared" si="281"/>
        <v>Sep</v>
      </c>
      <c r="O2981">
        <f t="shared" si="282"/>
        <v>2025</v>
      </c>
    </row>
    <row r="2982" spans="1:15" x14ac:dyDescent="0.3">
      <c r="A2982">
        <v>201581</v>
      </c>
      <c r="B2982" t="s">
        <v>31</v>
      </c>
      <c r="C2982" s="2">
        <v>45922</v>
      </c>
      <c r="D2982" s="2">
        <f t="shared" si="280"/>
        <v>45967</v>
      </c>
      <c r="E2982" s="1">
        <f>D2982+5</f>
        <v>45972</v>
      </c>
      <c r="F2982">
        <v>217</v>
      </c>
      <c r="G2982">
        <v>45</v>
      </c>
      <c r="H2982">
        <f t="shared" ref="H2982:H3045" si="285">MAX(0,P2947-D2982)</f>
        <v>0</v>
      </c>
      <c r="I2982" t="str">
        <f t="shared" si="283"/>
        <v>On Time</v>
      </c>
      <c r="J2982" cm="1">
        <f t="array" ref="J2982">_xlfn.IFS(H2982&lt;30,0,H2982&lt;60,1,H2982&lt;90,2,H2982&lt;120,3)</f>
        <v>0</v>
      </c>
      <c r="M2982" t="str">
        <f t="shared" si="284"/>
        <v>Low</v>
      </c>
      <c r="N2982" t="str">
        <f t="shared" si="281"/>
        <v>Sep</v>
      </c>
      <c r="O2982">
        <f t="shared" si="282"/>
        <v>2025</v>
      </c>
    </row>
    <row r="2983" spans="1:15" x14ac:dyDescent="0.3">
      <c r="A2983">
        <v>201582</v>
      </c>
      <c r="B2983" t="s">
        <v>32</v>
      </c>
      <c r="C2983" s="2">
        <v>45922</v>
      </c>
      <c r="D2983" s="2">
        <f t="shared" si="280"/>
        <v>45967</v>
      </c>
      <c r="E2983" s="1">
        <f>D2983+2</f>
        <v>45969</v>
      </c>
      <c r="F2983">
        <v>3519</v>
      </c>
      <c r="G2983">
        <v>45</v>
      </c>
      <c r="H2983">
        <f t="shared" si="285"/>
        <v>0</v>
      </c>
      <c r="I2983" t="str">
        <f t="shared" si="283"/>
        <v>On Time</v>
      </c>
      <c r="J2983" cm="1">
        <f t="array" ref="J2983">_xlfn.IFS(H2983&lt;30,0,H2983&lt;60,1,H2983&lt;90,2,H2983&lt;120,3)</f>
        <v>0</v>
      </c>
      <c r="M2983" t="str">
        <f t="shared" si="284"/>
        <v>Low</v>
      </c>
      <c r="N2983" t="str">
        <f t="shared" si="281"/>
        <v>Sep</v>
      </c>
      <c r="O2983">
        <f t="shared" si="282"/>
        <v>2025</v>
      </c>
    </row>
    <row r="2984" spans="1:15" x14ac:dyDescent="0.3">
      <c r="A2984">
        <v>201583</v>
      </c>
      <c r="B2984" t="s">
        <v>33</v>
      </c>
      <c r="C2984" s="2">
        <v>45922</v>
      </c>
      <c r="D2984" s="2">
        <f t="shared" si="280"/>
        <v>45952</v>
      </c>
      <c r="E2984" s="1">
        <f>D2984</f>
        <v>45952</v>
      </c>
      <c r="F2984">
        <v>12188</v>
      </c>
      <c r="G2984">
        <v>30</v>
      </c>
      <c r="H2984">
        <f t="shared" si="285"/>
        <v>0</v>
      </c>
      <c r="I2984" t="str">
        <f t="shared" si="283"/>
        <v>On Time</v>
      </c>
      <c r="J2984" cm="1">
        <f t="array" ref="J2984">_xlfn.IFS(H2984&lt;30,0,H2984&lt;60,1,H2984&lt;90,2,H2984&lt;120,3)</f>
        <v>0</v>
      </c>
      <c r="M2984" t="str">
        <f t="shared" si="284"/>
        <v>Low</v>
      </c>
      <c r="N2984" t="str">
        <f t="shared" si="281"/>
        <v>Sep</v>
      </c>
      <c r="O2984">
        <f t="shared" si="282"/>
        <v>2025</v>
      </c>
    </row>
    <row r="2985" spans="1:15" x14ac:dyDescent="0.3">
      <c r="A2985">
        <v>201584</v>
      </c>
      <c r="B2985" t="s">
        <v>34</v>
      </c>
      <c r="C2985" s="2">
        <v>45922</v>
      </c>
      <c r="D2985" s="2">
        <f t="shared" si="280"/>
        <v>45982</v>
      </c>
      <c r="E2985" s="1">
        <f>D2985</f>
        <v>45982</v>
      </c>
      <c r="F2985">
        <v>5001</v>
      </c>
      <c r="G2985">
        <v>60</v>
      </c>
      <c r="H2985">
        <f t="shared" si="285"/>
        <v>0</v>
      </c>
      <c r="I2985" t="str">
        <f t="shared" si="283"/>
        <v>On Time</v>
      </c>
      <c r="J2985" cm="1">
        <f t="array" ref="J2985">_xlfn.IFS(H2985&lt;30,0,H2985&lt;60,1,H2985&lt;90,2,H2985&lt;120,3)</f>
        <v>0</v>
      </c>
      <c r="M2985" t="str">
        <f t="shared" si="284"/>
        <v>Low</v>
      </c>
      <c r="N2985" t="str">
        <f t="shared" si="281"/>
        <v>Sep</v>
      </c>
      <c r="O2985">
        <f t="shared" si="282"/>
        <v>2025</v>
      </c>
    </row>
    <row r="2986" spans="1:15" x14ac:dyDescent="0.3">
      <c r="A2986">
        <v>201585</v>
      </c>
      <c r="B2986" t="s">
        <v>35</v>
      </c>
      <c r="C2986" s="2">
        <v>45922</v>
      </c>
      <c r="D2986" s="2">
        <f t="shared" si="280"/>
        <v>45967</v>
      </c>
      <c r="E2986" s="1">
        <f>D2986</f>
        <v>45967</v>
      </c>
      <c r="F2986">
        <v>1262</v>
      </c>
      <c r="G2986">
        <v>45</v>
      </c>
      <c r="H2986">
        <f t="shared" si="285"/>
        <v>0</v>
      </c>
      <c r="I2986" t="str">
        <f t="shared" si="283"/>
        <v>On Time</v>
      </c>
      <c r="J2986" cm="1">
        <f t="array" ref="J2986">_xlfn.IFS(H2986&lt;30,0,H2986&lt;60,1,H2986&lt;90,2,H2986&lt;120,3)</f>
        <v>0</v>
      </c>
      <c r="M2986" t="str">
        <f t="shared" si="284"/>
        <v>Low</v>
      </c>
      <c r="N2986" t="str">
        <f t="shared" si="281"/>
        <v>Sep</v>
      </c>
      <c r="O2986">
        <f t="shared" si="282"/>
        <v>2025</v>
      </c>
    </row>
    <row r="2987" spans="1:15" x14ac:dyDescent="0.3">
      <c r="A2987">
        <v>201586</v>
      </c>
      <c r="B2987" t="s">
        <v>36</v>
      </c>
      <c r="C2987" s="2">
        <v>45922</v>
      </c>
      <c r="D2987" s="2">
        <f t="shared" si="280"/>
        <v>45952</v>
      </c>
      <c r="E2987" s="1">
        <f>D2987+60</f>
        <v>46012</v>
      </c>
      <c r="F2987">
        <v>3445</v>
      </c>
      <c r="G2987">
        <v>30</v>
      </c>
      <c r="H2987">
        <f t="shared" si="285"/>
        <v>0</v>
      </c>
      <c r="I2987" t="str">
        <f t="shared" si="283"/>
        <v>On Time</v>
      </c>
      <c r="J2987" cm="1">
        <f t="array" ref="J2987">_xlfn.IFS(H2987&lt;30,0,H2987&lt;60,1,H2987&lt;90,2,H2987&lt;120,3)</f>
        <v>0</v>
      </c>
      <c r="M2987" t="str">
        <f t="shared" si="284"/>
        <v>Low</v>
      </c>
      <c r="N2987" t="str">
        <f t="shared" si="281"/>
        <v>Sep</v>
      </c>
      <c r="O2987">
        <f t="shared" si="282"/>
        <v>2025</v>
      </c>
    </row>
    <row r="2988" spans="1:15" x14ac:dyDescent="0.3">
      <c r="A2988">
        <v>201554</v>
      </c>
      <c r="B2988" t="s">
        <v>31</v>
      </c>
      <c r="C2988" s="2">
        <v>45919</v>
      </c>
      <c r="D2988" s="2">
        <f t="shared" si="280"/>
        <v>45964</v>
      </c>
      <c r="E2988" s="1">
        <f>D2988</f>
        <v>45964</v>
      </c>
      <c r="F2988">
        <v>2792</v>
      </c>
      <c r="G2988">
        <v>45</v>
      </c>
      <c r="H2988">
        <f t="shared" si="285"/>
        <v>0</v>
      </c>
      <c r="I2988" t="str">
        <f t="shared" si="283"/>
        <v>On Time</v>
      </c>
      <c r="J2988" cm="1">
        <f t="array" ref="J2988">_xlfn.IFS(H2988&lt;30,0,H2988&lt;60,1,H2988&lt;90,2,H2988&lt;120,3)</f>
        <v>0</v>
      </c>
      <c r="M2988" t="str">
        <f t="shared" si="284"/>
        <v>Low</v>
      </c>
      <c r="N2988" t="str">
        <f t="shared" si="281"/>
        <v>Sep</v>
      </c>
      <c r="O2988">
        <f t="shared" si="282"/>
        <v>2025</v>
      </c>
    </row>
    <row r="2989" spans="1:15" x14ac:dyDescent="0.3">
      <c r="A2989">
        <v>201555</v>
      </c>
      <c r="B2989" t="s">
        <v>32</v>
      </c>
      <c r="C2989" s="2">
        <v>45919</v>
      </c>
      <c r="D2989" s="2">
        <f t="shared" si="280"/>
        <v>45964</v>
      </c>
      <c r="F2989">
        <v>949</v>
      </c>
      <c r="G2989">
        <v>45</v>
      </c>
      <c r="H2989">
        <f t="shared" si="285"/>
        <v>0</v>
      </c>
      <c r="I2989" t="str">
        <f t="shared" si="283"/>
        <v>On Time</v>
      </c>
      <c r="J2989" cm="1">
        <f t="array" ref="J2989">_xlfn.IFS(H2989&lt;30,0,H2989&lt;60,1,H2989&lt;90,2,H2989&lt;120,3)</f>
        <v>0</v>
      </c>
      <c r="M2989" t="str">
        <f t="shared" si="284"/>
        <v>Low</v>
      </c>
      <c r="N2989" t="str">
        <f t="shared" si="281"/>
        <v>Sep</v>
      </c>
      <c r="O2989">
        <f t="shared" si="282"/>
        <v>2025</v>
      </c>
    </row>
    <row r="2990" spans="1:15" x14ac:dyDescent="0.3">
      <c r="A2990">
        <v>201556</v>
      </c>
      <c r="B2990" t="s">
        <v>33</v>
      </c>
      <c r="C2990" s="2">
        <v>45919</v>
      </c>
      <c r="D2990" s="2">
        <f t="shared" si="280"/>
        <v>45949</v>
      </c>
      <c r="E2990" s="1">
        <f>D2990+3</f>
        <v>45952</v>
      </c>
      <c r="F2990">
        <v>14589</v>
      </c>
      <c r="G2990">
        <v>30</v>
      </c>
      <c r="H2990">
        <f t="shared" si="285"/>
        <v>0</v>
      </c>
      <c r="I2990" t="str">
        <f t="shared" si="283"/>
        <v>On Time</v>
      </c>
      <c r="J2990" cm="1">
        <f t="array" ref="J2990">_xlfn.IFS(H2990&lt;30,0,H2990&lt;60,1,H2990&lt;90,2,H2990&lt;120,3)</f>
        <v>0</v>
      </c>
      <c r="M2990" t="str">
        <f t="shared" si="284"/>
        <v>Low</v>
      </c>
      <c r="N2990" t="str">
        <f t="shared" si="281"/>
        <v>Sep</v>
      </c>
      <c r="O2990">
        <f t="shared" si="282"/>
        <v>2025</v>
      </c>
    </row>
    <row r="2991" spans="1:15" x14ac:dyDescent="0.3">
      <c r="A2991">
        <v>201557</v>
      </c>
      <c r="B2991" t="s">
        <v>34</v>
      </c>
      <c r="C2991" s="2">
        <v>45919</v>
      </c>
      <c r="D2991" s="2">
        <f t="shared" si="280"/>
        <v>45979</v>
      </c>
      <c r="E2991" s="1">
        <f>D2991+1</f>
        <v>45980</v>
      </c>
      <c r="F2991">
        <v>3196</v>
      </c>
      <c r="G2991">
        <v>60</v>
      </c>
      <c r="H2991">
        <f t="shared" si="285"/>
        <v>0</v>
      </c>
      <c r="I2991" t="str">
        <f t="shared" si="283"/>
        <v>On Time</v>
      </c>
      <c r="J2991" cm="1">
        <f t="array" ref="J2991">_xlfn.IFS(H2991&lt;30,0,H2991&lt;60,1,H2991&lt;90,2,H2991&lt;120,3)</f>
        <v>0</v>
      </c>
      <c r="M2991" t="str">
        <f t="shared" si="284"/>
        <v>Low</v>
      </c>
      <c r="N2991" t="str">
        <f t="shared" si="281"/>
        <v>Sep</v>
      </c>
      <c r="O2991">
        <f t="shared" si="282"/>
        <v>2025</v>
      </c>
    </row>
    <row r="2992" spans="1:15" x14ac:dyDescent="0.3">
      <c r="A2992">
        <v>201558</v>
      </c>
      <c r="B2992" t="s">
        <v>35</v>
      </c>
      <c r="C2992" s="2">
        <v>45919</v>
      </c>
      <c r="D2992" s="2">
        <f t="shared" si="280"/>
        <v>45964</v>
      </c>
      <c r="E2992" s="1">
        <f>D2992-1</f>
        <v>45963</v>
      </c>
      <c r="F2992">
        <v>2046</v>
      </c>
      <c r="G2992">
        <v>45</v>
      </c>
      <c r="H2992">
        <f t="shared" si="285"/>
        <v>0</v>
      </c>
      <c r="I2992" t="str">
        <f t="shared" si="283"/>
        <v>On Time</v>
      </c>
      <c r="J2992" cm="1">
        <f t="array" ref="J2992">_xlfn.IFS(H2992&lt;30,0,H2992&lt;60,1,H2992&lt;90,2,H2992&lt;120,3)</f>
        <v>0</v>
      </c>
      <c r="M2992" t="str">
        <f t="shared" si="284"/>
        <v>Low</v>
      </c>
      <c r="N2992" t="str">
        <f t="shared" si="281"/>
        <v>Sep</v>
      </c>
      <c r="O2992">
        <f t="shared" si="282"/>
        <v>2025</v>
      </c>
    </row>
    <row r="2993" spans="1:15" x14ac:dyDescent="0.3">
      <c r="A2993">
        <v>201559</v>
      </c>
      <c r="B2993" t="s">
        <v>36</v>
      </c>
      <c r="C2993" s="2">
        <v>45919</v>
      </c>
      <c r="D2993" s="2">
        <f t="shared" si="280"/>
        <v>45949</v>
      </c>
      <c r="E2993" s="1">
        <f>D2993</f>
        <v>45949</v>
      </c>
      <c r="F2993">
        <v>2134</v>
      </c>
      <c r="G2993">
        <v>30</v>
      </c>
      <c r="H2993">
        <f t="shared" si="285"/>
        <v>0</v>
      </c>
      <c r="I2993" t="str">
        <f t="shared" si="283"/>
        <v>On Time</v>
      </c>
      <c r="J2993" cm="1">
        <f t="array" ref="J2993">_xlfn.IFS(H2993&lt;30,0,H2993&lt;60,1,H2993&lt;90,2,H2993&lt;120,3)</f>
        <v>0</v>
      </c>
      <c r="M2993" t="str">
        <f t="shared" si="284"/>
        <v>Low</v>
      </c>
      <c r="N2993" t="str">
        <f t="shared" si="281"/>
        <v>Sep</v>
      </c>
      <c r="O2993">
        <f t="shared" si="282"/>
        <v>2025</v>
      </c>
    </row>
    <row r="2994" spans="1:15" x14ac:dyDescent="0.3">
      <c r="A2994">
        <v>201560</v>
      </c>
      <c r="B2994" t="s">
        <v>64</v>
      </c>
      <c r="C2994" s="2">
        <v>45919</v>
      </c>
      <c r="D2994" s="2">
        <f t="shared" si="280"/>
        <v>45949</v>
      </c>
      <c r="E2994" s="1">
        <f>D2994-5</f>
        <v>45944</v>
      </c>
      <c r="F2994">
        <v>2582</v>
      </c>
      <c r="G2994">
        <v>30</v>
      </c>
      <c r="H2994">
        <f t="shared" si="285"/>
        <v>0</v>
      </c>
      <c r="I2994" t="str">
        <f t="shared" si="283"/>
        <v>On Time</v>
      </c>
      <c r="J2994" cm="1">
        <f t="array" ref="J2994">_xlfn.IFS(H2994&lt;30,0,H2994&lt;60,1,H2994&lt;90,2,H2994&lt;120,3)</f>
        <v>0</v>
      </c>
      <c r="M2994" t="str">
        <f t="shared" si="284"/>
        <v>Low</v>
      </c>
      <c r="N2994" t="str">
        <f t="shared" si="281"/>
        <v>Sep</v>
      </c>
      <c r="O2994">
        <f t="shared" si="282"/>
        <v>2025</v>
      </c>
    </row>
    <row r="2995" spans="1:15" x14ac:dyDescent="0.3">
      <c r="A2995">
        <v>201561</v>
      </c>
      <c r="B2995" t="s">
        <v>65</v>
      </c>
      <c r="C2995" s="2">
        <v>45919</v>
      </c>
      <c r="D2995" s="2">
        <f t="shared" si="280"/>
        <v>45964</v>
      </c>
      <c r="E2995" s="1">
        <f>D2995+35</f>
        <v>45999</v>
      </c>
      <c r="F2995">
        <v>15403</v>
      </c>
      <c r="G2995">
        <v>45</v>
      </c>
      <c r="H2995">
        <f t="shared" si="285"/>
        <v>0</v>
      </c>
      <c r="I2995" t="str">
        <f t="shared" si="283"/>
        <v>On Time</v>
      </c>
      <c r="J2995" cm="1">
        <f t="array" ref="J2995">_xlfn.IFS(H2995&lt;30,0,H2995&lt;60,1,H2995&lt;90,2,H2995&lt;120,3)</f>
        <v>0</v>
      </c>
      <c r="M2995" t="str">
        <f t="shared" si="284"/>
        <v>Low</v>
      </c>
      <c r="N2995" t="str">
        <f t="shared" si="281"/>
        <v>Sep</v>
      </c>
      <c r="O2995">
        <f t="shared" si="282"/>
        <v>2025</v>
      </c>
    </row>
    <row r="2996" spans="1:15" x14ac:dyDescent="0.3">
      <c r="A2996">
        <v>201562</v>
      </c>
      <c r="B2996" t="s">
        <v>66</v>
      </c>
      <c r="C2996" s="2">
        <v>45919</v>
      </c>
      <c r="D2996" s="2">
        <f t="shared" si="280"/>
        <v>45979</v>
      </c>
      <c r="E2996" s="1">
        <f>D2996+75</f>
        <v>46054</v>
      </c>
      <c r="F2996">
        <v>1650</v>
      </c>
      <c r="G2996">
        <v>60</v>
      </c>
      <c r="H2996">
        <f t="shared" si="285"/>
        <v>0</v>
      </c>
      <c r="I2996" t="str">
        <f t="shared" si="283"/>
        <v>On Time</v>
      </c>
      <c r="J2996" cm="1">
        <f t="array" ref="J2996">_xlfn.IFS(H2996&lt;30,0,H2996&lt;60,1,H2996&lt;90,2,H2996&lt;120,3)</f>
        <v>0</v>
      </c>
      <c r="M2996" t="str">
        <f t="shared" si="284"/>
        <v>Low</v>
      </c>
      <c r="N2996" t="str">
        <f t="shared" si="281"/>
        <v>Sep</v>
      </c>
      <c r="O2996">
        <f t="shared" si="282"/>
        <v>2025</v>
      </c>
    </row>
    <row r="2997" spans="1:15" x14ac:dyDescent="0.3">
      <c r="A2997">
        <v>201563</v>
      </c>
      <c r="B2997" t="s">
        <v>67</v>
      </c>
      <c r="C2997" s="2">
        <v>45919</v>
      </c>
      <c r="D2997" s="2">
        <f t="shared" si="280"/>
        <v>45949</v>
      </c>
      <c r="E2997" s="1">
        <f>D2997+5</f>
        <v>45954</v>
      </c>
      <c r="F2997">
        <v>920</v>
      </c>
      <c r="G2997">
        <v>30</v>
      </c>
      <c r="H2997">
        <f t="shared" si="285"/>
        <v>0</v>
      </c>
      <c r="I2997" t="str">
        <f t="shared" si="283"/>
        <v>On Time</v>
      </c>
      <c r="J2997" cm="1">
        <f t="array" ref="J2997">_xlfn.IFS(H2997&lt;30,0,H2997&lt;60,1,H2997&lt;90,2,H2997&lt;120,3)</f>
        <v>0</v>
      </c>
      <c r="M2997" t="str">
        <f t="shared" si="284"/>
        <v>Low</v>
      </c>
      <c r="N2997" t="str">
        <f t="shared" si="281"/>
        <v>Sep</v>
      </c>
      <c r="O2997">
        <f t="shared" si="282"/>
        <v>2025</v>
      </c>
    </row>
    <row r="2998" spans="1:15" x14ac:dyDescent="0.3">
      <c r="A2998">
        <v>201564</v>
      </c>
      <c r="B2998" t="s">
        <v>68</v>
      </c>
      <c r="C2998" s="2">
        <v>45919</v>
      </c>
      <c r="D2998" s="2">
        <f t="shared" si="280"/>
        <v>45949</v>
      </c>
      <c r="E2998" s="1">
        <f>D2998</f>
        <v>45949</v>
      </c>
      <c r="F2998">
        <v>963</v>
      </c>
      <c r="G2998">
        <v>30</v>
      </c>
      <c r="H2998">
        <f t="shared" si="285"/>
        <v>0</v>
      </c>
      <c r="I2998" t="str">
        <f t="shared" si="283"/>
        <v>On Time</v>
      </c>
      <c r="J2998" cm="1">
        <f t="array" ref="J2998">_xlfn.IFS(H2998&lt;30,0,H2998&lt;60,1,H2998&lt;90,2,H2998&lt;120,3)</f>
        <v>0</v>
      </c>
      <c r="M2998" t="str">
        <f t="shared" si="284"/>
        <v>Low</v>
      </c>
      <c r="N2998" t="str">
        <f t="shared" si="281"/>
        <v>Sep</v>
      </c>
      <c r="O2998">
        <f t="shared" si="282"/>
        <v>2025</v>
      </c>
    </row>
    <row r="2999" spans="1:15" x14ac:dyDescent="0.3">
      <c r="A2999">
        <v>201565</v>
      </c>
      <c r="B2999" t="s">
        <v>69</v>
      </c>
      <c r="C2999" s="2">
        <v>45919</v>
      </c>
      <c r="D2999" s="2">
        <f t="shared" si="280"/>
        <v>45949</v>
      </c>
      <c r="E2999" s="1">
        <f>D2999-1</f>
        <v>45948</v>
      </c>
      <c r="F2999">
        <v>1634</v>
      </c>
      <c r="G2999">
        <v>30</v>
      </c>
      <c r="H2999">
        <f t="shared" si="285"/>
        <v>0</v>
      </c>
      <c r="I2999" t="str">
        <f t="shared" si="283"/>
        <v>On Time</v>
      </c>
      <c r="J2999" cm="1">
        <f t="array" ref="J2999">_xlfn.IFS(H2999&lt;30,0,H2999&lt;60,1,H2999&lt;90,2,H2999&lt;120,3)</f>
        <v>0</v>
      </c>
      <c r="M2999" t="str">
        <f t="shared" si="284"/>
        <v>Low</v>
      </c>
      <c r="N2999" t="str">
        <f t="shared" si="281"/>
        <v>Sep</v>
      </c>
      <c r="O2999">
        <f t="shared" si="282"/>
        <v>2025</v>
      </c>
    </row>
    <row r="3000" spans="1:15" x14ac:dyDescent="0.3">
      <c r="A3000">
        <v>201566</v>
      </c>
      <c r="B3000" t="s">
        <v>70</v>
      </c>
      <c r="C3000" s="2">
        <v>45919</v>
      </c>
      <c r="D3000" s="2">
        <f t="shared" si="280"/>
        <v>45949</v>
      </c>
      <c r="E3000" s="1">
        <f>D3000</f>
        <v>45949</v>
      </c>
      <c r="F3000">
        <v>2761</v>
      </c>
      <c r="G3000">
        <v>30</v>
      </c>
      <c r="H3000">
        <f t="shared" si="285"/>
        <v>0</v>
      </c>
      <c r="I3000" t="str">
        <f t="shared" si="283"/>
        <v>On Time</v>
      </c>
      <c r="J3000" cm="1">
        <f t="array" ref="J3000">_xlfn.IFS(H3000&lt;30,0,H3000&lt;60,1,H3000&lt;90,2,H3000&lt;120,3)</f>
        <v>0</v>
      </c>
      <c r="M3000" t="str">
        <f t="shared" si="284"/>
        <v>Low</v>
      </c>
      <c r="N3000" t="str">
        <f t="shared" si="281"/>
        <v>Sep</v>
      </c>
      <c r="O3000">
        <f t="shared" si="282"/>
        <v>2025</v>
      </c>
    </row>
    <row r="3001" spans="1:15" x14ac:dyDescent="0.3">
      <c r="A3001">
        <v>201567</v>
      </c>
      <c r="B3001" t="s">
        <v>71</v>
      </c>
      <c r="C3001" s="2">
        <v>45919</v>
      </c>
      <c r="D3001" s="2">
        <f t="shared" si="280"/>
        <v>45949</v>
      </c>
      <c r="E3001" s="1">
        <f>D3001+32</f>
        <v>45981</v>
      </c>
      <c r="F3001">
        <v>1123</v>
      </c>
      <c r="G3001">
        <v>30</v>
      </c>
      <c r="H3001">
        <f t="shared" si="285"/>
        <v>0</v>
      </c>
      <c r="I3001" t="str">
        <f t="shared" si="283"/>
        <v>On Time</v>
      </c>
      <c r="J3001" cm="1">
        <f t="array" ref="J3001">_xlfn.IFS(H3001&lt;30,0,H3001&lt;60,1,H3001&lt;90,2,H3001&lt;120,3)</f>
        <v>0</v>
      </c>
      <c r="M3001" t="str">
        <f t="shared" si="284"/>
        <v>Low</v>
      </c>
      <c r="N3001" t="str">
        <f t="shared" si="281"/>
        <v>Sep</v>
      </c>
      <c r="O3001">
        <f t="shared" si="282"/>
        <v>2025</v>
      </c>
    </row>
    <row r="3002" spans="1:15" x14ac:dyDescent="0.3">
      <c r="A3002">
        <v>201568</v>
      </c>
      <c r="B3002" t="s">
        <v>72</v>
      </c>
      <c r="C3002" s="2">
        <v>45919</v>
      </c>
      <c r="D3002" s="2">
        <f t="shared" si="280"/>
        <v>45949</v>
      </c>
      <c r="E3002" s="1">
        <f>D3002+15</f>
        <v>45964</v>
      </c>
      <c r="F3002">
        <v>3241</v>
      </c>
      <c r="G3002">
        <v>30</v>
      </c>
      <c r="H3002">
        <f t="shared" si="285"/>
        <v>0</v>
      </c>
      <c r="I3002" t="str">
        <f t="shared" si="283"/>
        <v>On Time</v>
      </c>
      <c r="J3002" cm="1">
        <f t="array" ref="J3002">_xlfn.IFS(H3002&lt;30,0,H3002&lt;60,1,H3002&lt;90,2,H3002&lt;120,3)</f>
        <v>0</v>
      </c>
      <c r="M3002" t="str">
        <f t="shared" si="284"/>
        <v>Low</v>
      </c>
      <c r="N3002" t="str">
        <f t="shared" si="281"/>
        <v>Sep</v>
      </c>
      <c r="O3002">
        <f t="shared" si="282"/>
        <v>2025</v>
      </c>
    </row>
    <row r="3003" spans="1:15" x14ac:dyDescent="0.3">
      <c r="A3003">
        <v>201569</v>
      </c>
      <c r="B3003" t="s">
        <v>73</v>
      </c>
      <c r="C3003" s="2">
        <v>45919</v>
      </c>
      <c r="D3003" s="2">
        <f t="shared" si="280"/>
        <v>45964</v>
      </c>
      <c r="E3003" s="1">
        <f>D3003</f>
        <v>45964</v>
      </c>
      <c r="F3003">
        <v>2571</v>
      </c>
      <c r="G3003">
        <v>45</v>
      </c>
      <c r="H3003">
        <f t="shared" si="285"/>
        <v>0</v>
      </c>
      <c r="I3003" t="str">
        <f t="shared" si="283"/>
        <v>On Time</v>
      </c>
      <c r="J3003" cm="1">
        <f t="array" ref="J3003">_xlfn.IFS(H3003&lt;30,0,H3003&lt;60,1,H3003&lt;90,2,H3003&lt;120,3)</f>
        <v>0</v>
      </c>
      <c r="M3003" t="str">
        <f t="shared" si="284"/>
        <v>Low</v>
      </c>
      <c r="N3003" t="str">
        <f t="shared" si="281"/>
        <v>Sep</v>
      </c>
      <c r="O3003">
        <f t="shared" si="282"/>
        <v>2025</v>
      </c>
    </row>
    <row r="3004" spans="1:15" x14ac:dyDescent="0.3">
      <c r="A3004">
        <v>201534</v>
      </c>
      <c r="B3004" t="s">
        <v>64</v>
      </c>
      <c r="C3004" s="2">
        <v>45918</v>
      </c>
      <c r="D3004" s="2">
        <f t="shared" si="280"/>
        <v>45948</v>
      </c>
      <c r="E3004" s="1">
        <f>D3004+32</f>
        <v>45980</v>
      </c>
      <c r="F3004">
        <v>362</v>
      </c>
      <c r="G3004">
        <v>30</v>
      </c>
      <c r="H3004">
        <f t="shared" si="285"/>
        <v>0</v>
      </c>
      <c r="I3004" t="str">
        <f t="shared" si="283"/>
        <v>On Time</v>
      </c>
      <c r="J3004" cm="1">
        <f t="array" ref="J3004">_xlfn.IFS(H3004&lt;30,0,H3004&lt;60,1,H3004&lt;90,2,H3004&lt;120,3)</f>
        <v>0</v>
      </c>
      <c r="M3004" t="str">
        <f t="shared" si="284"/>
        <v>Low</v>
      </c>
      <c r="N3004" t="str">
        <f t="shared" si="281"/>
        <v>Sep</v>
      </c>
      <c r="O3004">
        <f t="shared" si="282"/>
        <v>2025</v>
      </c>
    </row>
    <row r="3005" spans="1:15" x14ac:dyDescent="0.3">
      <c r="A3005">
        <v>201535</v>
      </c>
      <c r="B3005" t="s">
        <v>65</v>
      </c>
      <c r="C3005" s="2">
        <v>45918</v>
      </c>
      <c r="D3005" s="2">
        <f t="shared" si="280"/>
        <v>45963</v>
      </c>
      <c r="E3005" s="1">
        <f>D3005+15</f>
        <v>45978</v>
      </c>
      <c r="F3005">
        <v>2623</v>
      </c>
      <c r="G3005">
        <v>45</v>
      </c>
      <c r="H3005">
        <f t="shared" si="285"/>
        <v>0</v>
      </c>
      <c r="I3005" t="str">
        <f t="shared" si="283"/>
        <v>On Time</v>
      </c>
      <c r="J3005" cm="1">
        <f t="array" ref="J3005">_xlfn.IFS(H3005&lt;30,0,H3005&lt;60,1,H3005&lt;90,2,H3005&lt;120,3)</f>
        <v>0</v>
      </c>
      <c r="M3005" t="str">
        <f t="shared" si="284"/>
        <v>Low</v>
      </c>
      <c r="N3005" t="str">
        <f t="shared" si="281"/>
        <v>Sep</v>
      </c>
      <c r="O3005">
        <f t="shared" si="282"/>
        <v>2025</v>
      </c>
    </row>
    <row r="3006" spans="1:15" x14ac:dyDescent="0.3">
      <c r="A3006">
        <v>201536</v>
      </c>
      <c r="B3006" t="s">
        <v>94</v>
      </c>
      <c r="C3006" s="2">
        <v>45918</v>
      </c>
      <c r="D3006" s="2">
        <f t="shared" si="280"/>
        <v>45948</v>
      </c>
      <c r="E3006" s="1">
        <f>D3006-2</f>
        <v>45946</v>
      </c>
      <c r="F3006">
        <v>2769</v>
      </c>
      <c r="G3006">
        <v>30</v>
      </c>
      <c r="H3006">
        <f t="shared" si="285"/>
        <v>0</v>
      </c>
      <c r="I3006" t="str">
        <f t="shared" si="283"/>
        <v>On Time</v>
      </c>
      <c r="J3006" cm="1">
        <f t="array" ref="J3006">_xlfn.IFS(H3006&lt;30,0,H3006&lt;60,1,H3006&lt;90,2,H3006&lt;120,3)</f>
        <v>0</v>
      </c>
      <c r="M3006" t="str">
        <f t="shared" si="284"/>
        <v>Low</v>
      </c>
      <c r="N3006" t="str">
        <f t="shared" si="281"/>
        <v>Sep</v>
      </c>
      <c r="O3006">
        <f t="shared" si="282"/>
        <v>2025</v>
      </c>
    </row>
    <row r="3007" spans="1:15" x14ac:dyDescent="0.3">
      <c r="A3007">
        <v>201537</v>
      </c>
      <c r="B3007" t="s">
        <v>95</v>
      </c>
      <c r="C3007" s="2">
        <v>45918</v>
      </c>
      <c r="D3007" s="2">
        <f t="shared" si="280"/>
        <v>45963</v>
      </c>
      <c r="E3007" s="1">
        <f>D3007-2</f>
        <v>45961</v>
      </c>
      <c r="F3007">
        <v>3395</v>
      </c>
      <c r="G3007">
        <v>45</v>
      </c>
      <c r="H3007">
        <f t="shared" si="285"/>
        <v>0</v>
      </c>
      <c r="I3007" t="str">
        <f t="shared" si="283"/>
        <v>On Time</v>
      </c>
      <c r="J3007" cm="1">
        <f t="array" ref="J3007">_xlfn.IFS(H3007&lt;30,0,H3007&lt;60,1,H3007&lt;90,2,H3007&lt;120,3)</f>
        <v>0</v>
      </c>
      <c r="M3007" t="str">
        <f t="shared" si="284"/>
        <v>Low</v>
      </c>
      <c r="N3007" t="str">
        <f t="shared" si="281"/>
        <v>Sep</v>
      </c>
      <c r="O3007">
        <f t="shared" si="282"/>
        <v>2025</v>
      </c>
    </row>
    <row r="3008" spans="1:15" x14ac:dyDescent="0.3">
      <c r="A3008">
        <v>201538</v>
      </c>
      <c r="B3008" t="s">
        <v>96</v>
      </c>
      <c r="C3008" s="2">
        <v>45918</v>
      </c>
      <c r="D3008" s="2">
        <f t="shared" si="280"/>
        <v>45978</v>
      </c>
      <c r="E3008" s="1">
        <f>D3008</f>
        <v>45978</v>
      </c>
      <c r="F3008">
        <v>2971</v>
      </c>
      <c r="G3008">
        <v>60</v>
      </c>
      <c r="H3008">
        <f t="shared" si="285"/>
        <v>0</v>
      </c>
      <c r="I3008" t="str">
        <f t="shared" si="283"/>
        <v>On Time</v>
      </c>
      <c r="J3008" cm="1">
        <f t="array" ref="J3008">_xlfn.IFS(H3008&lt;30,0,H3008&lt;60,1,H3008&lt;90,2,H3008&lt;120,3)</f>
        <v>0</v>
      </c>
      <c r="M3008" t="str">
        <f t="shared" si="284"/>
        <v>Low</v>
      </c>
      <c r="N3008" t="str">
        <f t="shared" si="281"/>
        <v>Sep</v>
      </c>
      <c r="O3008">
        <f t="shared" si="282"/>
        <v>2025</v>
      </c>
    </row>
    <row r="3009" spans="1:15" x14ac:dyDescent="0.3">
      <c r="A3009">
        <v>201539</v>
      </c>
      <c r="B3009" t="s">
        <v>97</v>
      </c>
      <c r="C3009" s="2">
        <v>45918</v>
      </c>
      <c r="D3009" s="2">
        <f t="shared" si="280"/>
        <v>45948</v>
      </c>
      <c r="E3009" s="1">
        <f>D3009+2</f>
        <v>45950</v>
      </c>
      <c r="F3009">
        <v>2559</v>
      </c>
      <c r="G3009">
        <v>30</v>
      </c>
      <c r="H3009">
        <f t="shared" si="285"/>
        <v>0</v>
      </c>
      <c r="I3009" t="str">
        <f t="shared" si="283"/>
        <v>On Time</v>
      </c>
      <c r="J3009" cm="1">
        <f t="array" ref="J3009">_xlfn.IFS(H3009&lt;30,0,H3009&lt;60,1,H3009&lt;90,2,H3009&lt;120,3)</f>
        <v>0</v>
      </c>
      <c r="M3009" t="str">
        <f t="shared" si="284"/>
        <v>Low</v>
      </c>
      <c r="N3009" t="str">
        <f t="shared" si="281"/>
        <v>Sep</v>
      </c>
      <c r="O3009">
        <f t="shared" si="282"/>
        <v>2025</v>
      </c>
    </row>
    <row r="3010" spans="1:15" x14ac:dyDescent="0.3">
      <c r="A3010">
        <v>201540</v>
      </c>
      <c r="B3010" t="s">
        <v>98</v>
      </c>
      <c r="C3010" s="2">
        <v>45918</v>
      </c>
      <c r="D3010" s="2">
        <f t="shared" ref="D3010:D3073" si="286">C3010+G3010</f>
        <v>45948</v>
      </c>
      <c r="E3010" s="1">
        <f>D3010+2</f>
        <v>45950</v>
      </c>
      <c r="F3010">
        <v>4784</v>
      </c>
      <c r="G3010">
        <v>30</v>
      </c>
      <c r="H3010">
        <f t="shared" si="285"/>
        <v>0</v>
      </c>
      <c r="I3010" t="str">
        <f t="shared" si="283"/>
        <v>On Time</v>
      </c>
      <c r="J3010" cm="1">
        <f t="array" ref="J3010">_xlfn.IFS(H3010&lt;30,0,H3010&lt;60,1,H3010&lt;90,2,H3010&lt;120,3)</f>
        <v>0</v>
      </c>
      <c r="M3010" t="str">
        <f t="shared" si="284"/>
        <v>Low</v>
      </c>
      <c r="N3010" t="str">
        <f t="shared" ref="N3010:N3073" si="287">TEXT(C3010,"mmm")</f>
        <v>Sep</v>
      </c>
      <c r="O3010">
        <f t="shared" ref="O3010:O3073" si="288">YEAR(C3010)</f>
        <v>2025</v>
      </c>
    </row>
    <row r="3011" spans="1:15" x14ac:dyDescent="0.3">
      <c r="A3011">
        <v>201541</v>
      </c>
      <c r="B3011" t="s">
        <v>99</v>
      </c>
      <c r="C3011" s="2">
        <v>45918</v>
      </c>
      <c r="D3011" s="2">
        <f t="shared" si="286"/>
        <v>45948</v>
      </c>
      <c r="E3011" s="1">
        <f>D3011+2</f>
        <v>45950</v>
      </c>
      <c r="F3011">
        <v>2277</v>
      </c>
      <c r="G3011">
        <v>30</v>
      </c>
      <c r="H3011">
        <f t="shared" si="285"/>
        <v>0</v>
      </c>
      <c r="I3011" t="str">
        <f t="shared" si="283"/>
        <v>On Time</v>
      </c>
      <c r="J3011" cm="1">
        <f t="array" ref="J3011">_xlfn.IFS(H3011&lt;30,0,H3011&lt;60,1,H3011&lt;90,2,H3011&lt;120,3)</f>
        <v>0</v>
      </c>
      <c r="M3011" t="str">
        <f t="shared" si="284"/>
        <v>Low</v>
      </c>
      <c r="N3011" t="str">
        <f t="shared" si="287"/>
        <v>Sep</v>
      </c>
      <c r="O3011">
        <f t="shared" si="288"/>
        <v>2025</v>
      </c>
    </row>
    <row r="3012" spans="1:15" x14ac:dyDescent="0.3">
      <c r="A3012">
        <v>201542</v>
      </c>
      <c r="B3012" t="s">
        <v>100</v>
      </c>
      <c r="C3012" s="2">
        <v>45918</v>
      </c>
      <c r="D3012" s="2">
        <f t="shared" si="286"/>
        <v>45948</v>
      </c>
      <c r="E3012" s="1">
        <f>D3012</f>
        <v>45948</v>
      </c>
      <c r="F3012">
        <v>4112</v>
      </c>
      <c r="G3012">
        <v>30</v>
      </c>
      <c r="H3012">
        <f t="shared" si="285"/>
        <v>0</v>
      </c>
      <c r="I3012" t="str">
        <f t="shared" si="283"/>
        <v>On Time</v>
      </c>
      <c r="J3012" cm="1">
        <f t="array" ref="J3012">_xlfn.IFS(H3012&lt;30,0,H3012&lt;60,1,H3012&lt;90,2,H3012&lt;120,3)</f>
        <v>0</v>
      </c>
      <c r="M3012" t="str">
        <f t="shared" si="284"/>
        <v>Low</v>
      </c>
      <c r="N3012" t="str">
        <f t="shared" si="287"/>
        <v>Sep</v>
      </c>
      <c r="O3012">
        <f t="shared" si="288"/>
        <v>2025</v>
      </c>
    </row>
    <row r="3013" spans="1:15" x14ac:dyDescent="0.3">
      <c r="A3013">
        <v>201543</v>
      </c>
      <c r="B3013" t="s">
        <v>101</v>
      </c>
      <c r="C3013" s="2">
        <v>45918</v>
      </c>
      <c r="D3013" s="2">
        <f t="shared" si="286"/>
        <v>45948</v>
      </c>
      <c r="E3013" s="1">
        <f>D3013+20</f>
        <v>45968</v>
      </c>
      <c r="F3013">
        <v>3075</v>
      </c>
      <c r="G3013">
        <v>30</v>
      </c>
      <c r="H3013">
        <f t="shared" si="285"/>
        <v>0</v>
      </c>
      <c r="I3013" t="str">
        <f t="shared" si="283"/>
        <v>On Time</v>
      </c>
      <c r="J3013" cm="1">
        <f t="array" ref="J3013">_xlfn.IFS(H3013&lt;30,0,H3013&lt;60,1,H3013&lt;90,2,H3013&lt;120,3)</f>
        <v>0</v>
      </c>
      <c r="M3013" t="str">
        <f t="shared" si="284"/>
        <v>Low</v>
      </c>
      <c r="N3013" t="str">
        <f t="shared" si="287"/>
        <v>Sep</v>
      </c>
      <c r="O3013">
        <f t="shared" si="288"/>
        <v>2025</v>
      </c>
    </row>
    <row r="3014" spans="1:15" x14ac:dyDescent="0.3">
      <c r="A3014">
        <v>201544</v>
      </c>
      <c r="B3014" t="s">
        <v>102</v>
      </c>
      <c r="C3014" s="2">
        <v>45918</v>
      </c>
      <c r="D3014" s="2">
        <f t="shared" si="286"/>
        <v>45948</v>
      </c>
      <c r="E3014" s="1">
        <f>D3014</f>
        <v>45948</v>
      </c>
      <c r="F3014">
        <v>1703</v>
      </c>
      <c r="G3014">
        <v>30</v>
      </c>
      <c r="H3014">
        <f t="shared" si="285"/>
        <v>0</v>
      </c>
      <c r="I3014" t="str">
        <f t="shared" si="283"/>
        <v>On Time</v>
      </c>
      <c r="J3014" cm="1">
        <f t="array" ref="J3014">_xlfn.IFS(H3014&lt;30,0,H3014&lt;60,1,H3014&lt;90,2,H3014&lt;120,3)</f>
        <v>0</v>
      </c>
      <c r="M3014" t="str">
        <f t="shared" si="284"/>
        <v>Low</v>
      </c>
      <c r="N3014" t="str">
        <f t="shared" si="287"/>
        <v>Sep</v>
      </c>
      <c r="O3014">
        <f t="shared" si="288"/>
        <v>2025</v>
      </c>
    </row>
    <row r="3015" spans="1:15" x14ac:dyDescent="0.3">
      <c r="A3015">
        <v>201545</v>
      </c>
      <c r="B3015" t="s">
        <v>103</v>
      </c>
      <c r="C3015" s="2">
        <v>45918</v>
      </c>
      <c r="D3015" s="2">
        <f t="shared" si="286"/>
        <v>45948</v>
      </c>
      <c r="E3015" s="1">
        <f>D3015+1</f>
        <v>45949</v>
      </c>
      <c r="F3015">
        <v>101</v>
      </c>
      <c r="G3015">
        <v>30</v>
      </c>
      <c r="H3015">
        <f t="shared" si="285"/>
        <v>0</v>
      </c>
      <c r="I3015" t="str">
        <f t="shared" si="283"/>
        <v>On Time</v>
      </c>
      <c r="J3015" cm="1">
        <f t="array" ref="J3015">_xlfn.IFS(H3015&lt;30,0,H3015&lt;60,1,H3015&lt;90,2,H3015&lt;120,3)</f>
        <v>0</v>
      </c>
      <c r="M3015" t="str">
        <f t="shared" si="284"/>
        <v>Low</v>
      </c>
      <c r="N3015" t="str">
        <f t="shared" si="287"/>
        <v>Sep</v>
      </c>
      <c r="O3015">
        <f t="shared" si="288"/>
        <v>2025</v>
      </c>
    </row>
    <row r="3016" spans="1:15" x14ac:dyDescent="0.3">
      <c r="A3016">
        <v>201546</v>
      </c>
      <c r="B3016" t="s">
        <v>104</v>
      </c>
      <c r="C3016" s="2">
        <v>45918</v>
      </c>
      <c r="D3016" s="2">
        <f t="shared" si="286"/>
        <v>45948</v>
      </c>
      <c r="E3016" s="1">
        <f>D3016</f>
        <v>45948</v>
      </c>
      <c r="F3016">
        <v>4428</v>
      </c>
      <c r="G3016">
        <v>30</v>
      </c>
      <c r="H3016">
        <f t="shared" si="285"/>
        <v>0</v>
      </c>
      <c r="I3016" t="str">
        <f t="shared" si="283"/>
        <v>On Time</v>
      </c>
      <c r="J3016" cm="1">
        <f t="array" ref="J3016">_xlfn.IFS(H3016&lt;30,0,H3016&lt;60,1,H3016&lt;90,2,H3016&lt;120,3)</f>
        <v>0</v>
      </c>
      <c r="M3016" t="str">
        <f t="shared" si="284"/>
        <v>Low</v>
      </c>
      <c r="N3016" t="str">
        <f t="shared" si="287"/>
        <v>Sep</v>
      </c>
      <c r="O3016">
        <f t="shared" si="288"/>
        <v>2025</v>
      </c>
    </row>
    <row r="3017" spans="1:15" x14ac:dyDescent="0.3">
      <c r="A3017">
        <v>201547</v>
      </c>
      <c r="B3017" t="s">
        <v>105</v>
      </c>
      <c r="C3017" s="2">
        <v>45918</v>
      </c>
      <c r="D3017" s="2">
        <f t="shared" si="286"/>
        <v>45948</v>
      </c>
      <c r="E3017" s="1">
        <f>D3017</f>
        <v>45948</v>
      </c>
      <c r="F3017">
        <v>1852</v>
      </c>
      <c r="G3017">
        <v>30</v>
      </c>
      <c r="H3017">
        <f t="shared" si="285"/>
        <v>0</v>
      </c>
      <c r="I3017" t="str">
        <f t="shared" si="283"/>
        <v>On Time</v>
      </c>
      <c r="J3017" cm="1">
        <f t="array" ref="J3017">_xlfn.IFS(H3017&lt;30,0,H3017&lt;60,1,H3017&lt;90,2,H3017&lt;120,3)</f>
        <v>0</v>
      </c>
      <c r="M3017" t="str">
        <f t="shared" si="284"/>
        <v>Low</v>
      </c>
      <c r="N3017" t="str">
        <f t="shared" si="287"/>
        <v>Sep</v>
      </c>
      <c r="O3017">
        <f t="shared" si="288"/>
        <v>2025</v>
      </c>
    </row>
    <row r="3018" spans="1:15" x14ac:dyDescent="0.3">
      <c r="A3018">
        <v>201548</v>
      </c>
      <c r="B3018" t="s">
        <v>114</v>
      </c>
      <c r="C3018" s="2">
        <v>45918</v>
      </c>
      <c r="D3018" s="2">
        <f t="shared" si="286"/>
        <v>45948</v>
      </c>
      <c r="E3018" s="1">
        <f>D3018+5</f>
        <v>45953</v>
      </c>
      <c r="F3018">
        <v>4937</v>
      </c>
      <c r="G3018">
        <v>30</v>
      </c>
      <c r="H3018">
        <f t="shared" si="285"/>
        <v>0</v>
      </c>
      <c r="I3018" t="str">
        <f t="shared" si="283"/>
        <v>On Time</v>
      </c>
      <c r="J3018" cm="1">
        <f t="array" ref="J3018">_xlfn.IFS(H3018&lt;30,0,H3018&lt;60,1,H3018&lt;90,2,H3018&lt;120,3)</f>
        <v>0</v>
      </c>
      <c r="M3018" t="str">
        <f t="shared" si="284"/>
        <v>Low</v>
      </c>
      <c r="N3018" t="str">
        <f t="shared" si="287"/>
        <v>Sep</v>
      </c>
      <c r="O3018">
        <f t="shared" si="288"/>
        <v>2025</v>
      </c>
    </row>
    <row r="3019" spans="1:15" x14ac:dyDescent="0.3">
      <c r="A3019">
        <v>201549</v>
      </c>
      <c r="B3019" t="s">
        <v>115</v>
      </c>
      <c r="C3019" s="2">
        <v>45918</v>
      </c>
      <c r="D3019" s="2">
        <f t="shared" si="286"/>
        <v>45948</v>
      </c>
      <c r="E3019" s="1">
        <f>D3019+2</f>
        <v>45950</v>
      </c>
      <c r="F3019">
        <v>4047</v>
      </c>
      <c r="G3019">
        <v>30</v>
      </c>
      <c r="H3019">
        <f t="shared" si="285"/>
        <v>0</v>
      </c>
      <c r="I3019" t="str">
        <f t="shared" si="283"/>
        <v>On Time</v>
      </c>
      <c r="J3019" cm="1">
        <f t="array" ref="J3019">_xlfn.IFS(H3019&lt;30,0,H3019&lt;60,1,H3019&lt;90,2,H3019&lt;120,3)</f>
        <v>0</v>
      </c>
      <c r="M3019" t="str">
        <f t="shared" si="284"/>
        <v>Low</v>
      </c>
      <c r="N3019" t="str">
        <f t="shared" si="287"/>
        <v>Sep</v>
      </c>
      <c r="O3019">
        <f t="shared" si="288"/>
        <v>2025</v>
      </c>
    </row>
    <row r="3020" spans="1:15" x14ac:dyDescent="0.3">
      <c r="A3020">
        <v>201550</v>
      </c>
      <c r="B3020" t="s">
        <v>116</v>
      </c>
      <c r="C3020" s="2">
        <v>45918</v>
      </c>
      <c r="D3020" s="2">
        <f t="shared" si="286"/>
        <v>45948</v>
      </c>
      <c r="E3020" s="1">
        <f>D3020+5</f>
        <v>45953</v>
      </c>
      <c r="F3020">
        <v>15820</v>
      </c>
      <c r="G3020">
        <v>30</v>
      </c>
      <c r="H3020">
        <f t="shared" si="285"/>
        <v>0</v>
      </c>
      <c r="I3020" t="str">
        <f t="shared" si="283"/>
        <v>On Time</v>
      </c>
      <c r="J3020" cm="1">
        <f t="array" ref="J3020">_xlfn.IFS(H3020&lt;30,0,H3020&lt;60,1,H3020&lt;90,2,H3020&lt;120,3)</f>
        <v>0</v>
      </c>
      <c r="M3020" t="str">
        <f t="shared" si="284"/>
        <v>Low</v>
      </c>
      <c r="N3020" t="str">
        <f t="shared" si="287"/>
        <v>Sep</v>
      </c>
      <c r="O3020">
        <f t="shared" si="288"/>
        <v>2025</v>
      </c>
    </row>
    <row r="3021" spans="1:15" x14ac:dyDescent="0.3">
      <c r="A3021">
        <v>201551</v>
      </c>
      <c r="B3021" t="s">
        <v>117</v>
      </c>
      <c r="C3021" s="2">
        <v>45918</v>
      </c>
      <c r="D3021" s="2">
        <f t="shared" si="286"/>
        <v>45948</v>
      </c>
      <c r="E3021" s="1">
        <f>D3021</f>
        <v>45948</v>
      </c>
      <c r="F3021">
        <v>3393</v>
      </c>
      <c r="G3021">
        <v>30</v>
      </c>
      <c r="H3021">
        <f t="shared" si="285"/>
        <v>0</v>
      </c>
      <c r="I3021" t="str">
        <f t="shared" si="283"/>
        <v>On Time</v>
      </c>
      <c r="J3021" cm="1">
        <f t="array" ref="J3021">_xlfn.IFS(H3021&lt;30,0,H3021&lt;60,1,H3021&lt;90,2,H3021&lt;120,3)</f>
        <v>0</v>
      </c>
      <c r="M3021" t="str">
        <f t="shared" si="284"/>
        <v>Low</v>
      </c>
      <c r="N3021" t="str">
        <f t="shared" si="287"/>
        <v>Sep</v>
      </c>
      <c r="O3021">
        <f t="shared" si="288"/>
        <v>2025</v>
      </c>
    </row>
    <row r="3022" spans="1:15" x14ac:dyDescent="0.3">
      <c r="A3022">
        <v>201552</v>
      </c>
      <c r="B3022" t="s">
        <v>118</v>
      </c>
      <c r="C3022" s="2">
        <v>45918</v>
      </c>
      <c r="D3022" s="2">
        <f t="shared" si="286"/>
        <v>45948</v>
      </c>
      <c r="E3022" s="1">
        <f>D3022</f>
        <v>45948</v>
      </c>
      <c r="F3022">
        <v>18552</v>
      </c>
      <c r="G3022">
        <v>30</v>
      </c>
      <c r="H3022">
        <f t="shared" si="285"/>
        <v>0</v>
      </c>
      <c r="I3022" t="str">
        <f t="shared" si="283"/>
        <v>On Time</v>
      </c>
      <c r="J3022" cm="1">
        <f t="array" ref="J3022">_xlfn.IFS(H3022&lt;30,0,H3022&lt;60,1,H3022&lt;90,2,H3022&lt;120,3)</f>
        <v>0</v>
      </c>
      <c r="M3022" t="str">
        <f t="shared" si="284"/>
        <v>Low</v>
      </c>
      <c r="N3022" t="str">
        <f t="shared" si="287"/>
        <v>Sep</v>
      </c>
      <c r="O3022">
        <f t="shared" si="288"/>
        <v>2025</v>
      </c>
    </row>
    <row r="3023" spans="1:15" x14ac:dyDescent="0.3">
      <c r="A3023">
        <v>201553</v>
      </c>
      <c r="B3023" t="s">
        <v>119</v>
      </c>
      <c r="C3023" s="2">
        <v>45918</v>
      </c>
      <c r="D3023" s="2">
        <f t="shared" si="286"/>
        <v>45948</v>
      </c>
      <c r="E3023" s="1">
        <f>D3023+60</f>
        <v>46008</v>
      </c>
      <c r="F3023">
        <v>3116</v>
      </c>
      <c r="G3023">
        <v>30</v>
      </c>
      <c r="H3023">
        <f t="shared" si="285"/>
        <v>0</v>
      </c>
      <c r="I3023" t="str">
        <f t="shared" si="283"/>
        <v>On Time</v>
      </c>
      <c r="J3023" cm="1">
        <f t="array" ref="J3023">_xlfn.IFS(H3023&lt;30,0,H3023&lt;60,1,H3023&lt;90,2,H3023&lt;120,3)</f>
        <v>0</v>
      </c>
      <c r="M3023" t="str">
        <f t="shared" si="284"/>
        <v>Low</v>
      </c>
      <c r="N3023" t="str">
        <f t="shared" si="287"/>
        <v>Sep</v>
      </c>
      <c r="O3023">
        <f t="shared" si="288"/>
        <v>2025</v>
      </c>
    </row>
    <row r="3024" spans="1:15" x14ac:dyDescent="0.3">
      <c r="A3024">
        <v>201518</v>
      </c>
      <c r="B3024" t="s">
        <v>26</v>
      </c>
      <c r="C3024" s="2">
        <v>45917</v>
      </c>
      <c r="D3024" s="2">
        <f t="shared" si="286"/>
        <v>45947</v>
      </c>
      <c r="E3024" s="1">
        <f>D3024</f>
        <v>45947</v>
      </c>
      <c r="F3024">
        <v>371</v>
      </c>
      <c r="G3024">
        <v>30</v>
      </c>
      <c r="H3024">
        <f t="shared" si="285"/>
        <v>0</v>
      </c>
      <c r="I3024" t="str">
        <f t="shared" si="283"/>
        <v>On Time</v>
      </c>
      <c r="J3024" cm="1">
        <f t="array" ref="J3024">_xlfn.IFS(H3024&lt;30,0,H3024&lt;60,1,H3024&lt;90,2,H3024&lt;120,3)</f>
        <v>0</v>
      </c>
      <c r="M3024" t="str">
        <f t="shared" si="284"/>
        <v>Low</v>
      </c>
      <c r="N3024" t="str">
        <f t="shared" si="287"/>
        <v>Sep</v>
      </c>
      <c r="O3024">
        <f t="shared" si="288"/>
        <v>2025</v>
      </c>
    </row>
    <row r="3025" spans="1:15" x14ac:dyDescent="0.3">
      <c r="A3025">
        <v>201519</v>
      </c>
      <c r="B3025" t="s">
        <v>27</v>
      </c>
      <c r="C3025" s="2">
        <v>45917</v>
      </c>
      <c r="D3025" s="2">
        <f t="shared" si="286"/>
        <v>45977</v>
      </c>
      <c r="E3025" s="1">
        <f>D3025</f>
        <v>45977</v>
      </c>
      <c r="F3025">
        <v>3380</v>
      </c>
      <c r="G3025">
        <v>60</v>
      </c>
      <c r="H3025">
        <f t="shared" si="285"/>
        <v>0</v>
      </c>
      <c r="I3025" t="str">
        <f t="shared" si="283"/>
        <v>On Time</v>
      </c>
      <c r="J3025" cm="1">
        <f t="array" ref="J3025">_xlfn.IFS(H3025&lt;30,0,H3025&lt;60,1,H3025&lt;90,2,H3025&lt;120,3)</f>
        <v>0</v>
      </c>
      <c r="M3025" t="str">
        <f t="shared" si="284"/>
        <v>Low</v>
      </c>
      <c r="N3025" t="str">
        <f t="shared" si="287"/>
        <v>Sep</v>
      </c>
      <c r="O3025">
        <f t="shared" si="288"/>
        <v>2025</v>
      </c>
    </row>
    <row r="3026" spans="1:15" x14ac:dyDescent="0.3">
      <c r="A3026">
        <v>201520</v>
      </c>
      <c r="B3026" t="s">
        <v>28</v>
      </c>
      <c r="C3026" s="2">
        <v>45917</v>
      </c>
      <c r="D3026" s="2">
        <f t="shared" si="286"/>
        <v>45947</v>
      </c>
      <c r="E3026" s="1">
        <f>D3026+60</f>
        <v>46007</v>
      </c>
      <c r="F3026">
        <v>15577</v>
      </c>
      <c r="G3026">
        <v>30</v>
      </c>
      <c r="H3026">
        <f t="shared" si="285"/>
        <v>0</v>
      </c>
      <c r="I3026" t="str">
        <f t="shared" si="283"/>
        <v>On Time</v>
      </c>
      <c r="J3026" cm="1">
        <f t="array" ref="J3026">_xlfn.IFS(H3026&lt;30,0,H3026&lt;60,1,H3026&lt;90,2,H3026&lt;120,3)</f>
        <v>0</v>
      </c>
      <c r="M3026" t="str">
        <f t="shared" si="284"/>
        <v>Low</v>
      </c>
      <c r="N3026" t="str">
        <f t="shared" si="287"/>
        <v>Sep</v>
      </c>
      <c r="O3026">
        <f t="shared" si="288"/>
        <v>2025</v>
      </c>
    </row>
    <row r="3027" spans="1:15" x14ac:dyDescent="0.3">
      <c r="A3027">
        <v>201521</v>
      </c>
      <c r="B3027" t="s">
        <v>29</v>
      </c>
      <c r="C3027" s="2">
        <v>45917</v>
      </c>
      <c r="D3027" s="2">
        <f t="shared" si="286"/>
        <v>45947</v>
      </c>
      <c r="E3027" s="1">
        <f>D3027</f>
        <v>45947</v>
      </c>
      <c r="F3027">
        <v>2782</v>
      </c>
      <c r="G3027">
        <v>30</v>
      </c>
      <c r="H3027">
        <f t="shared" si="285"/>
        <v>0</v>
      </c>
      <c r="I3027" t="str">
        <f t="shared" si="283"/>
        <v>On Time</v>
      </c>
      <c r="J3027" cm="1">
        <f t="array" ref="J3027">_xlfn.IFS(H3027&lt;30,0,H3027&lt;60,1,H3027&lt;90,2,H3027&lt;120,3)</f>
        <v>0</v>
      </c>
      <c r="M3027" t="str">
        <f t="shared" si="284"/>
        <v>Low</v>
      </c>
      <c r="N3027" t="str">
        <f t="shared" si="287"/>
        <v>Sep</v>
      </c>
      <c r="O3027">
        <f t="shared" si="288"/>
        <v>2025</v>
      </c>
    </row>
    <row r="3028" spans="1:15" x14ac:dyDescent="0.3">
      <c r="A3028">
        <v>201522</v>
      </c>
      <c r="B3028" t="s">
        <v>30</v>
      </c>
      <c r="C3028" s="2">
        <v>45917</v>
      </c>
      <c r="D3028" s="2">
        <f t="shared" si="286"/>
        <v>45947</v>
      </c>
      <c r="E3028" s="1">
        <f>D3028</f>
        <v>45947</v>
      </c>
      <c r="F3028">
        <v>4385</v>
      </c>
      <c r="G3028">
        <v>30</v>
      </c>
      <c r="H3028">
        <f t="shared" si="285"/>
        <v>0</v>
      </c>
      <c r="I3028" t="str">
        <f t="shared" si="283"/>
        <v>On Time</v>
      </c>
      <c r="J3028" cm="1">
        <f t="array" ref="J3028">_xlfn.IFS(H3028&lt;30,0,H3028&lt;60,1,H3028&lt;90,2,H3028&lt;120,3)</f>
        <v>0</v>
      </c>
      <c r="M3028" t="str">
        <f t="shared" si="284"/>
        <v>Low</v>
      </c>
      <c r="N3028" t="str">
        <f t="shared" si="287"/>
        <v>Sep</v>
      </c>
      <c r="O3028">
        <f t="shared" si="288"/>
        <v>2025</v>
      </c>
    </row>
    <row r="3029" spans="1:15" x14ac:dyDescent="0.3">
      <c r="A3029">
        <v>201523</v>
      </c>
      <c r="B3029" t="s">
        <v>31</v>
      </c>
      <c r="C3029" s="2">
        <v>45917</v>
      </c>
      <c r="D3029" s="2">
        <f t="shared" si="286"/>
        <v>45962</v>
      </c>
      <c r="E3029" s="1">
        <f>D3029+3</f>
        <v>45965</v>
      </c>
      <c r="F3029">
        <v>3497</v>
      </c>
      <c r="G3029">
        <v>45</v>
      </c>
      <c r="H3029">
        <f t="shared" si="285"/>
        <v>0</v>
      </c>
      <c r="I3029" t="str">
        <f t="shared" si="283"/>
        <v>On Time</v>
      </c>
      <c r="J3029" cm="1">
        <f t="array" ref="J3029">_xlfn.IFS(H3029&lt;30,0,H3029&lt;60,1,H3029&lt;90,2,H3029&lt;120,3)</f>
        <v>0</v>
      </c>
      <c r="M3029" t="str">
        <f t="shared" si="284"/>
        <v>Low</v>
      </c>
      <c r="N3029" t="str">
        <f t="shared" si="287"/>
        <v>Sep</v>
      </c>
      <c r="O3029">
        <f t="shared" si="288"/>
        <v>2025</v>
      </c>
    </row>
    <row r="3030" spans="1:15" x14ac:dyDescent="0.3">
      <c r="A3030">
        <v>201524</v>
      </c>
      <c r="B3030" t="s">
        <v>54</v>
      </c>
      <c r="C3030" s="2">
        <v>45917</v>
      </c>
      <c r="D3030" s="2">
        <f t="shared" si="286"/>
        <v>45947</v>
      </c>
      <c r="E3030" s="1">
        <f>D3030+1</f>
        <v>45948</v>
      </c>
      <c r="F3030">
        <v>3972</v>
      </c>
      <c r="G3030">
        <v>30</v>
      </c>
      <c r="H3030">
        <f t="shared" si="285"/>
        <v>0</v>
      </c>
      <c r="I3030" t="str">
        <f t="shared" ref="I3030:I3093" si="289">IF(H3030=0,"On Time",IF(H3030&lt;=15,"Paid Late","Seriously Late"))</f>
        <v>On Time</v>
      </c>
      <c r="J3030" cm="1">
        <f t="array" ref="J3030">_xlfn.IFS(H3030&lt;30,0,H3030&lt;60,1,H3030&lt;90,2,H3030&lt;120,3)</f>
        <v>0</v>
      </c>
      <c r="M3030" t="str">
        <f t="shared" ref="M3030:M3093" si="290">IF(H3030&gt;30,"High",IF(H3030&gt;10,"Medium","Low"))</f>
        <v>Low</v>
      </c>
      <c r="N3030" t="str">
        <f t="shared" si="287"/>
        <v>Sep</v>
      </c>
      <c r="O3030">
        <f t="shared" si="288"/>
        <v>2025</v>
      </c>
    </row>
    <row r="3031" spans="1:15" x14ac:dyDescent="0.3">
      <c r="A3031">
        <v>201525</v>
      </c>
      <c r="B3031" t="s">
        <v>55</v>
      </c>
      <c r="C3031" s="2">
        <v>45917</v>
      </c>
      <c r="D3031" s="2">
        <f t="shared" si="286"/>
        <v>45947</v>
      </c>
      <c r="E3031" s="1">
        <f>D3031-1</f>
        <v>45946</v>
      </c>
      <c r="F3031">
        <v>3530</v>
      </c>
      <c r="G3031">
        <v>30</v>
      </c>
      <c r="H3031">
        <f t="shared" si="285"/>
        <v>0</v>
      </c>
      <c r="I3031" t="str">
        <f t="shared" si="289"/>
        <v>On Time</v>
      </c>
      <c r="J3031" cm="1">
        <f t="array" ref="J3031">_xlfn.IFS(H3031&lt;30,0,H3031&lt;60,1,H3031&lt;90,2,H3031&lt;120,3)</f>
        <v>0</v>
      </c>
      <c r="M3031" t="str">
        <f t="shared" si="290"/>
        <v>Low</v>
      </c>
      <c r="N3031" t="str">
        <f t="shared" si="287"/>
        <v>Sep</v>
      </c>
      <c r="O3031">
        <f t="shared" si="288"/>
        <v>2025</v>
      </c>
    </row>
    <row r="3032" spans="1:15" x14ac:dyDescent="0.3">
      <c r="A3032">
        <v>201526</v>
      </c>
      <c r="B3032" t="s">
        <v>56</v>
      </c>
      <c r="C3032" s="2">
        <v>45917</v>
      </c>
      <c r="D3032" s="2">
        <f t="shared" si="286"/>
        <v>45962</v>
      </c>
      <c r="E3032" s="1">
        <f>D3032</f>
        <v>45962</v>
      </c>
      <c r="F3032">
        <v>4500</v>
      </c>
      <c r="G3032">
        <v>45</v>
      </c>
      <c r="H3032">
        <f t="shared" si="285"/>
        <v>0</v>
      </c>
      <c r="I3032" t="str">
        <f t="shared" si="289"/>
        <v>On Time</v>
      </c>
      <c r="J3032" cm="1">
        <f t="array" ref="J3032">_xlfn.IFS(H3032&lt;30,0,H3032&lt;60,1,H3032&lt;90,2,H3032&lt;120,3)</f>
        <v>0</v>
      </c>
      <c r="M3032" t="str">
        <f t="shared" si="290"/>
        <v>Low</v>
      </c>
      <c r="N3032" t="str">
        <f t="shared" si="287"/>
        <v>Sep</v>
      </c>
      <c r="O3032">
        <f t="shared" si="288"/>
        <v>2025</v>
      </c>
    </row>
    <row r="3033" spans="1:15" x14ac:dyDescent="0.3">
      <c r="A3033">
        <v>201527</v>
      </c>
      <c r="B3033" t="s">
        <v>57</v>
      </c>
      <c r="C3033" s="2">
        <v>45917</v>
      </c>
      <c r="D3033" s="2">
        <f t="shared" si="286"/>
        <v>45977</v>
      </c>
      <c r="E3033" s="1">
        <f>D3033+1</f>
        <v>45978</v>
      </c>
      <c r="F3033">
        <v>2320</v>
      </c>
      <c r="G3033">
        <v>60</v>
      </c>
      <c r="H3033">
        <f t="shared" si="285"/>
        <v>0</v>
      </c>
      <c r="I3033" t="str">
        <f t="shared" si="289"/>
        <v>On Time</v>
      </c>
      <c r="J3033" cm="1">
        <f t="array" ref="J3033">_xlfn.IFS(H3033&lt;30,0,H3033&lt;60,1,H3033&lt;90,2,H3033&lt;120,3)</f>
        <v>0</v>
      </c>
      <c r="M3033" t="str">
        <f t="shared" si="290"/>
        <v>Low</v>
      </c>
      <c r="N3033" t="str">
        <f t="shared" si="287"/>
        <v>Sep</v>
      </c>
      <c r="O3033">
        <f t="shared" si="288"/>
        <v>2025</v>
      </c>
    </row>
    <row r="3034" spans="1:15" x14ac:dyDescent="0.3">
      <c r="A3034">
        <v>201528</v>
      </c>
      <c r="B3034" t="s">
        <v>58</v>
      </c>
      <c r="C3034" s="2">
        <v>45917</v>
      </c>
      <c r="D3034" s="2">
        <f t="shared" si="286"/>
        <v>45947</v>
      </c>
      <c r="E3034" s="1">
        <f>D3034+35</f>
        <v>45982</v>
      </c>
      <c r="F3034">
        <v>3609</v>
      </c>
      <c r="G3034">
        <v>30</v>
      </c>
      <c r="H3034">
        <f t="shared" si="285"/>
        <v>0</v>
      </c>
      <c r="I3034" t="str">
        <f t="shared" si="289"/>
        <v>On Time</v>
      </c>
      <c r="J3034" cm="1">
        <f t="array" ref="J3034">_xlfn.IFS(H3034&lt;30,0,H3034&lt;60,1,H3034&lt;90,2,H3034&lt;120,3)</f>
        <v>0</v>
      </c>
      <c r="M3034" t="str">
        <f t="shared" si="290"/>
        <v>Low</v>
      </c>
      <c r="N3034" t="str">
        <f t="shared" si="287"/>
        <v>Sep</v>
      </c>
      <c r="O3034">
        <f t="shared" si="288"/>
        <v>2025</v>
      </c>
    </row>
    <row r="3035" spans="1:15" x14ac:dyDescent="0.3">
      <c r="A3035">
        <v>201529</v>
      </c>
      <c r="B3035" t="s">
        <v>59</v>
      </c>
      <c r="C3035" s="2">
        <v>45917</v>
      </c>
      <c r="D3035" s="2">
        <f t="shared" si="286"/>
        <v>45947</v>
      </c>
      <c r="E3035" s="1">
        <f>D3035+78</f>
        <v>46025</v>
      </c>
      <c r="F3035">
        <v>2391</v>
      </c>
      <c r="G3035">
        <v>30</v>
      </c>
      <c r="H3035">
        <f t="shared" si="285"/>
        <v>0</v>
      </c>
      <c r="I3035" t="str">
        <f t="shared" si="289"/>
        <v>On Time</v>
      </c>
      <c r="J3035" cm="1">
        <f t="array" ref="J3035">_xlfn.IFS(H3035&lt;30,0,H3035&lt;60,1,H3035&lt;90,2,H3035&lt;120,3)</f>
        <v>0</v>
      </c>
      <c r="M3035" t="str">
        <f t="shared" si="290"/>
        <v>Low</v>
      </c>
      <c r="N3035" t="str">
        <f t="shared" si="287"/>
        <v>Sep</v>
      </c>
      <c r="O3035">
        <f t="shared" si="288"/>
        <v>2025</v>
      </c>
    </row>
    <row r="3036" spans="1:15" x14ac:dyDescent="0.3">
      <c r="A3036">
        <v>201530</v>
      </c>
      <c r="B3036" t="s">
        <v>60</v>
      </c>
      <c r="C3036" s="2">
        <v>45917</v>
      </c>
      <c r="D3036" s="2">
        <f t="shared" si="286"/>
        <v>45947</v>
      </c>
      <c r="E3036" s="1">
        <f>D3036+5</f>
        <v>45952</v>
      </c>
      <c r="F3036">
        <v>1969</v>
      </c>
      <c r="G3036">
        <v>30</v>
      </c>
      <c r="H3036">
        <f t="shared" si="285"/>
        <v>0</v>
      </c>
      <c r="I3036" t="str">
        <f t="shared" si="289"/>
        <v>On Time</v>
      </c>
      <c r="J3036" cm="1">
        <f t="array" ref="J3036">_xlfn.IFS(H3036&lt;30,0,H3036&lt;60,1,H3036&lt;90,2,H3036&lt;120,3)</f>
        <v>0</v>
      </c>
      <c r="M3036" t="str">
        <f t="shared" si="290"/>
        <v>Low</v>
      </c>
      <c r="N3036" t="str">
        <f t="shared" si="287"/>
        <v>Sep</v>
      </c>
      <c r="O3036">
        <f t="shared" si="288"/>
        <v>2025</v>
      </c>
    </row>
    <row r="3037" spans="1:15" x14ac:dyDescent="0.3">
      <c r="A3037">
        <v>201531</v>
      </c>
      <c r="B3037" t="s">
        <v>61</v>
      </c>
      <c r="C3037" s="2">
        <v>45917</v>
      </c>
      <c r="D3037" s="2">
        <f t="shared" si="286"/>
        <v>45947</v>
      </c>
      <c r="E3037" s="1">
        <f>D3037</f>
        <v>45947</v>
      </c>
      <c r="F3037">
        <v>4070</v>
      </c>
      <c r="G3037">
        <v>30</v>
      </c>
      <c r="H3037">
        <f t="shared" si="285"/>
        <v>0</v>
      </c>
      <c r="I3037" t="str">
        <f t="shared" si="289"/>
        <v>On Time</v>
      </c>
      <c r="J3037" cm="1">
        <f t="array" ref="J3037">_xlfn.IFS(H3037&lt;30,0,H3037&lt;60,1,H3037&lt;90,2,H3037&lt;120,3)</f>
        <v>0</v>
      </c>
      <c r="M3037" t="str">
        <f t="shared" si="290"/>
        <v>Low</v>
      </c>
      <c r="N3037" t="str">
        <f t="shared" si="287"/>
        <v>Sep</v>
      </c>
      <c r="O3037">
        <f t="shared" si="288"/>
        <v>2025</v>
      </c>
    </row>
    <row r="3038" spans="1:15" x14ac:dyDescent="0.3">
      <c r="A3038">
        <v>201532</v>
      </c>
      <c r="B3038" t="s">
        <v>62</v>
      </c>
      <c r="C3038" s="2">
        <v>45917</v>
      </c>
      <c r="D3038" s="2">
        <f t="shared" si="286"/>
        <v>45947</v>
      </c>
      <c r="E3038" s="1">
        <f>D3038-1</f>
        <v>45946</v>
      </c>
      <c r="F3038">
        <v>1251</v>
      </c>
      <c r="G3038">
        <v>30</v>
      </c>
      <c r="H3038">
        <f t="shared" si="285"/>
        <v>0</v>
      </c>
      <c r="I3038" t="str">
        <f t="shared" si="289"/>
        <v>On Time</v>
      </c>
      <c r="J3038" cm="1">
        <f t="array" ref="J3038">_xlfn.IFS(H3038&lt;30,0,H3038&lt;60,1,H3038&lt;90,2,H3038&lt;120,3)</f>
        <v>0</v>
      </c>
      <c r="M3038" t="str">
        <f t="shared" si="290"/>
        <v>Low</v>
      </c>
      <c r="N3038" t="str">
        <f t="shared" si="287"/>
        <v>Sep</v>
      </c>
      <c r="O3038">
        <f t="shared" si="288"/>
        <v>2025</v>
      </c>
    </row>
    <row r="3039" spans="1:15" x14ac:dyDescent="0.3">
      <c r="A3039">
        <v>201533</v>
      </c>
      <c r="B3039" t="s">
        <v>63</v>
      </c>
      <c r="C3039" s="2">
        <v>45917</v>
      </c>
      <c r="D3039" s="2">
        <f t="shared" si="286"/>
        <v>45947</v>
      </c>
      <c r="E3039" s="1">
        <f>D3039</f>
        <v>45947</v>
      </c>
      <c r="F3039">
        <v>1804</v>
      </c>
      <c r="G3039">
        <v>30</v>
      </c>
      <c r="H3039">
        <f t="shared" si="285"/>
        <v>0</v>
      </c>
      <c r="I3039" t="str">
        <f t="shared" si="289"/>
        <v>On Time</v>
      </c>
      <c r="J3039" cm="1">
        <f t="array" ref="J3039">_xlfn.IFS(H3039&lt;30,0,H3039&lt;60,1,H3039&lt;90,2,H3039&lt;120,3)</f>
        <v>0</v>
      </c>
      <c r="M3039" t="str">
        <f t="shared" si="290"/>
        <v>Low</v>
      </c>
      <c r="N3039" t="str">
        <f t="shared" si="287"/>
        <v>Sep</v>
      </c>
      <c r="O3039">
        <f t="shared" si="288"/>
        <v>2025</v>
      </c>
    </row>
    <row r="3040" spans="1:15" x14ac:dyDescent="0.3">
      <c r="A3040">
        <v>201503</v>
      </c>
      <c r="B3040" t="s">
        <v>108</v>
      </c>
      <c r="C3040" s="2">
        <v>45916</v>
      </c>
      <c r="D3040" s="2">
        <f t="shared" si="286"/>
        <v>45946</v>
      </c>
      <c r="E3040" s="1">
        <f>D3040</f>
        <v>45946</v>
      </c>
      <c r="F3040">
        <v>2535</v>
      </c>
      <c r="G3040">
        <v>30</v>
      </c>
      <c r="H3040">
        <f t="shared" si="285"/>
        <v>0</v>
      </c>
      <c r="I3040" t="str">
        <f t="shared" si="289"/>
        <v>On Time</v>
      </c>
      <c r="J3040" cm="1">
        <f t="array" ref="J3040">_xlfn.IFS(H3040&lt;30,0,H3040&lt;60,1,H3040&lt;90,2,H3040&lt;120,3)</f>
        <v>0</v>
      </c>
      <c r="M3040" t="str">
        <f t="shared" si="290"/>
        <v>Low</v>
      </c>
      <c r="N3040" t="str">
        <f t="shared" si="287"/>
        <v>Sep</v>
      </c>
      <c r="O3040">
        <f t="shared" si="288"/>
        <v>2025</v>
      </c>
    </row>
    <row r="3041" spans="1:15" x14ac:dyDescent="0.3">
      <c r="A3041">
        <v>201504</v>
      </c>
      <c r="B3041" t="s">
        <v>109</v>
      </c>
      <c r="C3041" s="2">
        <v>45916</v>
      </c>
      <c r="D3041" s="2">
        <f t="shared" si="286"/>
        <v>45946</v>
      </c>
      <c r="E3041" s="1">
        <f>D3041-2</f>
        <v>45944</v>
      </c>
      <c r="F3041">
        <v>581</v>
      </c>
      <c r="G3041">
        <v>30</v>
      </c>
      <c r="H3041">
        <f t="shared" si="285"/>
        <v>0</v>
      </c>
      <c r="I3041" t="str">
        <f t="shared" si="289"/>
        <v>On Time</v>
      </c>
      <c r="J3041" cm="1">
        <f t="array" ref="J3041">_xlfn.IFS(H3041&lt;30,0,H3041&lt;60,1,H3041&lt;90,2,H3041&lt;120,3)</f>
        <v>0</v>
      </c>
      <c r="M3041" t="str">
        <f t="shared" si="290"/>
        <v>Low</v>
      </c>
      <c r="N3041" t="str">
        <f t="shared" si="287"/>
        <v>Sep</v>
      </c>
      <c r="O3041">
        <f t="shared" si="288"/>
        <v>2025</v>
      </c>
    </row>
    <row r="3042" spans="1:15" x14ac:dyDescent="0.3">
      <c r="A3042">
        <v>201505</v>
      </c>
      <c r="B3042" t="s">
        <v>110</v>
      </c>
      <c r="C3042" s="2">
        <v>45916</v>
      </c>
      <c r="D3042" s="2">
        <f t="shared" si="286"/>
        <v>45961</v>
      </c>
      <c r="E3042" s="1">
        <f>D3042</f>
        <v>45961</v>
      </c>
      <c r="F3042">
        <v>19602</v>
      </c>
      <c r="G3042">
        <v>45</v>
      </c>
      <c r="H3042">
        <f t="shared" si="285"/>
        <v>0</v>
      </c>
      <c r="I3042" t="str">
        <f t="shared" si="289"/>
        <v>On Time</v>
      </c>
      <c r="J3042" cm="1">
        <f t="array" ref="J3042">_xlfn.IFS(H3042&lt;30,0,H3042&lt;60,1,H3042&lt;90,2,H3042&lt;120,3)</f>
        <v>0</v>
      </c>
      <c r="M3042" t="str">
        <f t="shared" si="290"/>
        <v>Low</v>
      </c>
      <c r="N3042" t="str">
        <f t="shared" si="287"/>
        <v>Sep</v>
      </c>
      <c r="O3042">
        <f t="shared" si="288"/>
        <v>2025</v>
      </c>
    </row>
    <row r="3043" spans="1:15" x14ac:dyDescent="0.3">
      <c r="A3043">
        <v>201506</v>
      </c>
      <c r="B3043" t="s">
        <v>111</v>
      </c>
      <c r="C3043" s="2">
        <v>45916</v>
      </c>
      <c r="D3043" s="2">
        <f t="shared" si="286"/>
        <v>45976</v>
      </c>
      <c r="E3043" s="1">
        <f>D3043+2</f>
        <v>45978</v>
      </c>
      <c r="F3043">
        <v>2517</v>
      </c>
      <c r="G3043">
        <v>60</v>
      </c>
      <c r="H3043">
        <f t="shared" si="285"/>
        <v>0</v>
      </c>
      <c r="I3043" t="str">
        <f t="shared" si="289"/>
        <v>On Time</v>
      </c>
      <c r="J3043" cm="1">
        <f t="array" ref="J3043">_xlfn.IFS(H3043&lt;30,0,H3043&lt;60,1,H3043&lt;90,2,H3043&lt;120,3)</f>
        <v>0</v>
      </c>
      <c r="M3043" t="str">
        <f t="shared" si="290"/>
        <v>Low</v>
      </c>
      <c r="N3043" t="str">
        <f t="shared" si="287"/>
        <v>Sep</v>
      </c>
      <c r="O3043">
        <f t="shared" si="288"/>
        <v>2025</v>
      </c>
    </row>
    <row r="3044" spans="1:15" x14ac:dyDescent="0.3">
      <c r="A3044">
        <v>201507</v>
      </c>
      <c r="B3044" t="s">
        <v>112</v>
      </c>
      <c r="C3044" s="2">
        <v>45916</v>
      </c>
      <c r="D3044" s="2">
        <f t="shared" si="286"/>
        <v>45961</v>
      </c>
      <c r="E3044" s="1">
        <f>D3044+2</f>
        <v>45963</v>
      </c>
      <c r="F3044">
        <v>4712</v>
      </c>
      <c r="G3044">
        <v>45</v>
      </c>
      <c r="H3044">
        <f t="shared" si="285"/>
        <v>0</v>
      </c>
      <c r="I3044" t="str">
        <f t="shared" si="289"/>
        <v>On Time</v>
      </c>
      <c r="J3044" cm="1">
        <f t="array" ref="J3044">_xlfn.IFS(H3044&lt;30,0,H3044&lt;60,1,H3044&lt;90,2,H3044&lt;120,3)</f>
        <v>0</v>
      </c>
      <c r="M3044" t="str">
        <f t="shared" si="290"/>
        <v>Low</v>
      </c>
      <c r="N3044" t="str">
        <f t="shared" si="287"/>
        <v>Sep</v>
      </c>
      <c r="O3044">
        <f t="shared" si="288"/>
        <v>2025</v>
      </c>
    </row>
    <row r="3045" spans="1:15" x14ac:dyDescent="0.3">
      <c r="A3045">
        <v>201508</v>
      </c>
      <c r="B3045" t="s">
        <v>113</v>
      </c>
      <c r="C3045" s="2">
        <v>45916</v>
      </c>
      <c r="D3045" s="2">
        <f t="shared" si="286"/>
        <v>45961</v>
      </c>
      <c r="E3045" s="1">
        <f>D3045+2</f>
        <v>45963</v>
      </c>
      <c r="F3045">
        <v>1257</v>
      </c>
      <c r="G3045">
        <v>45</v>
      </c>
      <c r="H3045">
        <f t="shared" si="285"/>
        <v>0</v>
      </c>
      <c r="I3045" t="str">
        <f t="shared" si="289"/>
        <v>On Time</v>
      </c>
      <c r="J3045" cm="1">
        <f t="array" ref="J3045">_xlfn.IFS(H3045&lt;30,0,H3045&lt;60,1,H3045&lt;90,2,H3045&lt;120,3)</f>
        <v>0</v>
      </c>
      <c r="M3045" t="str">
        <f t="shared" si="290"/>
        <v>Low</v>
      </c>
      <c r="N3045" t="str">
        <f t="shared" si="287"/>
        <v>Sep</v>
      </c>
      <c r="O3045">
        <f t="shared" si="288"/>
        <v>2025</v>
      </c>
    </row>
    <row r="3046" spans="1:15" x14ac:dyDescent="0.3">
      <c r="A3046">
        <v>201509</v>
      </c>
      <c r="B3046" t="s">
        <v>114</v>
      </c>
      <c r="C3046" s="2">
        <v>45916</v>
      </c>
      <c r="D3046" s="2">
        <f t="shared" si="286"/>
        <v>45946</v>
      </c>
      <c r="E3046" s="1">
        <f>D3046</f>
        <v>45946</v>
      </c>
      <c r="F3046">
        <v>4005</v>
      </c>
      <c r="G3046">
        <v>30</v>
      </c>
      <c r="H3046">
        <f t="shared" ref="H3046:H3109" si="291">MAX(0,P3011-D3046)</f>
        <v>0</v>
      </c>
      <c r="I3046" t="str">
        <f t="shared" si="289"/>
        <v>On Time</v>
      </c>
      <c r="J3046" cm="1">
        <f t="array" ref="J3046">_xlfn.IFS(H3046&lt;30,0,H3046&lt;60,1,H3046&lt;90,2,H3046&lt;120,3)</f>
        <v>0</v>
      </c>
      <c r="M3046" t="str">
        <f t="shared" si="290"/>
        <v>Low</v>
      </c>
      <c r="N3046" t="str">
        <f t="shared" si="287"/>
        <v>Sep</v>
      </c>
      <c r="O3046">
        <f t="shared" si="288"/>
        <v>2025</v>
      </c>
    </row>
    <row r="3047" spans="1:15" x14ac:dyDescent="0.3">
      <c r="A3047">
        <v>201510</v>
      </c>
      <c r="B3047" t="s">
        <v>115</v>
      </c>
      <c r="C3047" s="2">
        <v>45916</v>
      </c>
      <c r="D3047" s="2">
        <f t="shared" si="286"/>
        <v>45946</v>
      </c>
      <c r="E3047" s="1">
        <f>D3047+20</f>
        <v>45966</v>
      </c>
      <c r="F3047">
        <v>1565</v>
      </c>
      <c r="G3047">
        <v>30</v>
      </c>
      <c r="H3047">
        <f t="shared" si="291"/>
        <v>0</v>
      </c>
      <c r="I3047" t="str">
        <f t="shared" si="289"/>
        <v>On Time</v>
      </c>
      <c r="J3047" cm="1">
        <f t="array" ref="J3047">_xlfn.IFS(H3047&lt;30,0,H3047&lt;60,1,H3047&lt;90,2,H3047&lt;120,3)</f>
        <v>0</v>
      </c>
      <c r="M3047" t="str">
        <f t="shared" si="290"/>
        <v>Low</v>
      </c>
      <c r="N3047" t="str">
        <f t="shared" si="287"/>
        <v>Sep</v>
      </c>
      <c r="O3047">
        <f t="shared" si="288"/>
        <v>2025</v>
      </c>
    </row>
    <row r="3048" spans="1:15" x14ac:dyDescent="0.3">
      <c r="A3048">
        <v>201511</v>
      </c>
      <c r="B3048" t="s">
        <v>116</v>
      </c>
      <c r="C3048" s="2">
        <v>45916</v>
      </c>
      <c r="D3048" s="2">
        <f t="shared" si="286"/>
        <v>45946</v>
      </c>
      <c r="E3048" s="1">
        <f>D3048</f>
        <v>45946</v>
      </c>
      <c r="F3048">
        <v>416</v>
      </c>
      <c r="G3048">
        <v>30</v>
      </c>
      <c r="H3048">
        <f t="shared" si="291"/>
        <v>0</v>
      </c>
      <c r="I3048" t="str">
        <f t="shared" si="289"/>
        <v>On Time</v>
      </c>
      <c r="J3048" cm="1">
        <f t="array" ref="J3048">_xlfn.IFS(H3048&lt;30,0,H3048&lt;60,1,H3048&lt;90,2,H3048&lt;120,3)</f>
        <v>0</v>
      </c>
      <c r="M3048" t="str">
        <f t="shared" si="290"/>
        <v>Low</v>
      </c>
      <c r="N3048" t="str">
        <f t="shared" si="287"/>
        <v>Sep</v>
      </c>
      <c r="O3048">
        <f t="shared" si="288"/>
        <v>2025</v>
      </c>
    </row>
    <row r="3049" spans="1:15" x14ac:dyDescent="0.3">
      <c r="A3049">
        <v>201512</v>
      </c>
      <c r="B3049" t="s">
        <v>20</v>
      </c>
      <c r="C3049" s="2">
        <v>45916</v>
      </c>
      <c r="D3049" s="2">
        <f t="shared" si="286"/>
        <v>45946</v>
      </c>
      <c r="E3049" s="1">
        <f>D3049+1</f>
        <v>45947</v>
      </c>
      <c r="F3049">
        <v>12315</v>
      </c>
      <c r="G3049">
        <v>30</v>
      </c>
      <c r="H3049">
        <f t="shared" si="291"/>
        <v>0</v>
      </c>
      <c r="I3049" t="str">
        <f t="shared" si="289"/>
        <v>On Time</v>
      </c>
      <c r="J3049" cm="1">
        <f t="array" ref="J3049">_xlfn.IFS(H3049&lt;30,0,H3049&lt;60,1,H3049&lt;90,2,H3049&lt;120,3)</f>
        <v>0</v>
      </c>
      <c r="M3049" t="str">
        <f t="shared" si="290"/>
        <v>Low</v>
      </c>
      <c r="N3049" t="str">
        <f t="shared" si="287"/>
        <v>Sep</v>
      </c>
      <c r="O3049">
        <f t="shared" si="288"/>
        <v>2025</v>
      </c>
    </row>
    <row r="3050" spans="1:15" x14ac:dyDescent="0.3">
      <c r="A3050">
        <v>201513</v>
      </c>
      <c r="B3050" t="s">
        <v>21</v>
      </c>
      <c r="C3050" s="2">
        <v>45916</v>
      </c>
      <c r="D3050" s="2">
        <f t="shared" si="286"/>
        <v>45946</v>
      </c>
      <c r="E3050" s="1">
        <f>D3050</f>
        <v>45946</v>
      </c>
      <c r="F3050">
        <v>1911</v>
      </c>
      <c r="G3050">
        <v>30</v>
      </c>
      <c r="H3050">
        <f t="shared" si="291"/>
        <v>0</v>
      </c>
      <c r="I3050" t="str">
        <f t="shared" si="289"/>
        <v>On Time</v>
      </c>
      <c r="J3050" cm="1">
        <f t="array" ref="J3050">_xlfn.IFS(H3050&lt;30,0,H3050&lt;60,1,H3050&lt;90,2,H3050&lt;120,3)</f>
        <v>0</v>
      </c>
      <c r="M3050" t="str">
        <f t="shared" si="290"/>
        <v>Low</v>
      </c>
      <c r="N3050" t="str">
        <f t="shared" si="287"/>
        <v>Sep</v>
      </c>
      <c r="O3050">
        <f t="shared" si="288"/>
        <v>2025</v>
      </c>
    </row>
    <row r="3051" spans="1:15" x14ac:dyDescent="0.3">
      <c r="A3051">
        <v>201514</v>
      </c>
      <c r="B3051" t="s">
        <v>22</v>
      </c>
      <c r="C3051" s="2">
        <v>45916</v>
      </c>
      <c r="D3051" s="2">
        <f t="shared" si="286"/>
        <v>45946</v>
      </c>
      <c r="E3051" s="1">
        <f>D3051</f>
        <v>45946</v>
      </c>
      <c r="F3051">
        <v>3742</v>
      </c>
      <c r="G3051">
        <v>30</v>
      </c>
      <c r="H3051">
        <f t="shared" si="291"/>
        <v>0</v>
      </c>
      <c r="I3051" t="str">
        <f t="shared" si="289"/>
        <v>On Time</v>
      </c>
      <c r="J3051" cm="1">
        <f t="array" ref="J3051">_xlfn.IFS(H3051&lt;30,0,H3051&lt;60,1,H3051&lt;90,2,H3051&lt;120,3)</f>
        <v>0</v>
      </c>
      <c r="M3051" t="str">
        <f t="shared" si="290"/>
        <v>Low</v>
      </c>
      <c r="N3051" t="str">
        <f t="shared" si="287"/>
        <v>Sep</v>
      </c>
      <c r="O3051">
        <f t="shared" si="288"/>
        <v>2025</v>
      </c>
    </row>
    <row r="3052" spans="1:15" x14ac:dyDescent="0.3">
      <c r="A3052">
        <v>201515</v>
      </c>
      <c r="B3052" t="s">
        <v>23</v>
      </c>
      <c r="C3052" s="2">
        <v>45916</v>
      </c>
      <c r="D3052" s="2">
        <f t="shared" si="286"/>
        <v>45961</v>
      </c>
      <c r="E3052" s="1">
        <f>D3052+5</f>
        <v>45966</v>
      </c>
      <c r="F3052">
        <v>762</v>
      </c>
      <c r="G3052">
        <v>45</v>
      </c>
      <c r="H3052">
        <f t="shared" si="291"/>
        <v>0</v>
      </c>
      <c r="I3052" t="str">
        <f t="shared" si="289"/>
        <v>On Time</v>
      </c>
      <c r="J3052" cm="1">
        <f t="array" ref="J3052">_xlfn.IFS(H3052&lt;30,0,H3052&lt;60,1,H3052&lt;90,2,H3052&lt;120,3)</f>
        <v>0</v>
      </c>
      <c r="M3052" t="str">
        <f t="shared" si="290"/>
        <v>Low</v>
      </c>
      <c r="N3052" t="str">
        <f t="shared" si="287"/>
        <v>Sep</v>
      </c>
      <c r="O3052">
        <f t="shared" si="288"/>
        <v>2025</v>
      </c>
    </row>
    <row r="3053" spans="1:15" x14ac:dyDescent="0.3">
      <c r="A3053">
        <v>201516</v>
      </c>
      <c r="B3053" t="s">
        <v>24</v>
      </c>
      <c r="C3053" s="2">
        <v>45916</v>
      </c>
      <c r="D3053" s="2">
        <f t="shared" si="286"/>
        <v>45961</v>
      </c>
      <c r="E3053" s="1">
        <f>D3053+2</f>
        <v>45963</v>
      </c>
      <c r="F3053">
        <v>1598</v>
      </c>
      <c r="G3053">
        <v>45</v>
      </c>
      <c r="H3053">
        <f t="shared" si="291"/>
        <v>0</v>
      </c>
      <c r="I3053" t="str">
        <f t="shared" si="289"/>
        <v>On Time</v>
      </c>
      <c r="J3053" cm="1">
        <f t="array" ref="J3053">_xlfn.IFS(H3053&lt;30,0,H3053&lt;60,1,H3053&lt;90,2,H3053&lt;120,3)</f>
        <v>0</v>
      </c>
      <c r="M3053" t="str">
        <f t="shared" si="290"/>
        <v>Low</v>
      </c>
      <c r="N3053" t="str">
        <f t="shared" si="287"/>
        <v>Sep</v>
      </c>
      <c r="O3053">
        <f t="shared" si="288"/>
        <v>2025</v>
      </c>
    </row>
    <row r="3054" spans="1:15" x14ac:dyDescent="0.3">
      <c r="A3054">
        <v>201517</v>
      </c>
      <c r="B3054" t="s">
        <v>25</v>
      </c>
      <c r="C3054" s="2">
        <v>45916</v>
      </c>
      <c r="D3054" s="2">
        <f t="shared" si="286"/>
        <v>45976</v>
      </c>
      <c r="E3054" s="1">
        <f>D3054</f>
        <v>45976</v>
      </c>
      <c r="F3054">
        <v>4571</v>
      </c>
      <c r="G3054">
        <v>60</v>
      </c>
      <c r="H3054">
        <f t="shared" si="291"/>
        <v>0</v>
      </c>
      <c r="I3054" t="str">
        <f t="shared" si="289"/>
        <v>On Time</v>
      </c>
      <c r="J3054" cm="1">
        <f t="array" ref="J3054">_xlfn.IFS(H3054&lt;30,0,H3054&lt;60,1,H3054&lt;90,2,H3054&lt;120,3)</f>
        <v>0</v>
      </c>
      <c r="M3054" t="str">
        <f t="shared" si="290"/>
        <v>Low</v>
      </c>
      <c r="N3054" t="str">
        <f t="shared" si="287"/>
        <v>Sep</v>
      </c>
      <c r="O3054">
        <f t="shared" si="288"/>
        <v>2025</v>
      </c>
    </row>
    <row r="3055" spans="1:15" x14ac:dyDescent="0.3">
      <c r="A3055">
        <v>201486</v>
      </c>
      <c r="B3055" t="s">
        <v>102</v>
      </c>
      <c r="C3055" s="2">
        <v>45915</v>
      </c>
      <c r="D3055" s="2">
        <f t="shared" si="286"/>
        <v>45945</v>
      </c>
      <c r="E3055" s="1">
        <f>D3055</f>
        <v>45945</v>
      </c>
      <c r="F3055">
        <v>2477</v>
      </c>
      <c r="G3055">
        <v>30</v>
      </c>
      <c r="H3055">
        <f t="shared" si="291"/>
        <v>0</v>
      </c>
      <c r="I3055" t="str">
        <f t="shared" si="289"/>
        <v>On Time</v>
      </c>
      <c r="J3055" cm="1">
        <f t="array" ref="J3055">_xlfn.IFS(H3055&lt;30,0,H3055&lt;60,1,H3055&lt;90,2,H3055&lt;120,3)</f>
        <v>0</v>
      </c>
      <c r="M3055" t="str">
        <f t="shared" si="290"/>
        <v>Low</v>
      </c>
      <c r="N3055" t="str">
        <f t="shared" si="287"/>
        <v>Sep</v>
      </c>
      <c r="O3055">
        <f t="shared" si="288"/>
        <v>2025</v>
      </c>
    </row>
    <row r="3056" spans="1:15" x14ac:dyDescent="0.3">
      <c r="A3056">
        <v>201487</v>
      </c>
      <c r="B3056" t="s">
        <v>103</v>
      </c>
      <c r="C3056" s="2">
        <v>45915</v>
      </c>
      <c r="D3056" s="2">
        <f t="shared" si="286"/>
        <v>45945</v>
      </c>
      <c r="E3056" s="1">
        <f>D3056+60</f>
        <v>46005</v>
      </c>
      <c r="F3056">
        <v>2935</v>
      </c>
      <c r="G3056">
        <v>30</v>
      </c>
      <c r="H3056">
        <f t="shared" si="291"/>
        <v>0</v>
      </c>
      <c r="I3056" t="str">
        <f t="shared" si="289"/>
        <v>On Time</v>
      </c>
      <c r="J3056" cm="1">
        <f t="array" ref="J3056">_xlfn.IFS(H3056&lt;30,0,H3056&lt;60,1,H3056&lt;90,2,H3056&lt;120,3)</f>
        <v>0</v>
      </c>
      <c r="M3056" t="str">
        <f t="shared" si="290"/>
        <v>Low</v>
      </c>
      <c r="N3056" t="str">
        <f t="shared" si="287"/>
        <v>Sep</v>
      </c>
      <c r="O3056">
        <f t="shared" si="288"/>
        <v>2025</v>
      </c>
    </row>
    <row r="3057" spans="1:15" x14ac:dyDescent="0.3">
      <c r="A3057">
        <v>201488</v>
      </c>
      <c r="B3057" t="s">
        <v>104</v>
      </c>
      <c r="C3057" s="2">
        <v>45915</v>
      </c>
      <c r="D3057" s="2">
        <f t="shared" si="286"/>
        <v>45945</v>
      </c>
      <c r="E3057" s="1">
        <f>D3057</f>
        <v>45945</v>
      </c>
      <c r="F3057">
        <v>4246</v>
      </c>
      <c r="G3057">
        <v>30</v>
      </c>
      <c r="H3057">
        <f t="shared" si="291"/>
        <v>0</v>
      </c>
      <c r="I3057" t="str">
        <f t="shared" si="289"/>
        <v>On Time</v>
      </c>
      <c r="J3057" cm="1">
        <f t="array" ref="J3057">_xlfn.IFS(H3057&lt;30,0,H3057&lt;60,1,H3057&lt;90,2,H3057&lt;120,3)</f>
        <v>0</v>
      </c>
      <c r="M3057" t="str">
        <f t="shared" si="290"/>
        <v>Low</v>
      </c>
      <c r="N3057" t="str">
        <f t="shared" si="287"/>
        <v>Sep</v>
      </c>
      <c r="O3057">
        <f t="shared" si="288"/>
        <v>2025</v>
      </c>
    </row>
    <row r="3058" spans="1:15" x14ac:dyDescent="0.3">
      <c r="A3058">
        <v>201489</v>
      </c>
      <c r="B3058" t="s">
        <v>105</v>
      </c>
      <c r="C3058" s="2">
        <v>45915</v>
      </c>
      <c r="D3058" s="2">
        <f t="shared" si="286"/>
        <v>45945</v>
      </c>
      <c r="F3058">
        <v>4937</v>
      </c>
      <c r="G3058">
        <v>30</v>
      </c>
      <c r="H3058">
        <f t="shared" si="291"/>
        <v>0</v>
      </c>
      <c r="I3058" t="str">
        <f t="shared" si="289"/>
        <v>On Time</v>
      </c>
      <c r="J3058" cm="1">
        <f t="array" ref="J3058">_xlfn.IFS(H3058&lt;30,0,H3058&lt;60,1,H3058&lt;90,2,H3058&lt;120,3)</f>
        <v>0</v>
      </c>
      <c r="M3058" t="str">
        <f t="shared" si="290"/>
        <v>Low</v>
      </c>
      <c r="N3058" t="str">
        <f t="shared" si="287"/>
        <v>Sep</v>
      </c>
      <c r="O3058">
        <f t="shared" si="288"/>
        <v>2025</v>
      </c>
    </row>
    <row r="3059" spans="1:15" x14ac:dyDescent="0.3">
      <c r="A3059">
        <v>201490</v>
      </c>
      <c r="B3059" t="s">
        <v>106</v>
      </c>
      <c r="C3059" s="2">
        <v>45915</v>
      </c>
      <c r="D3059" s="2">
        <f t="shared" si="286"/>
        <v>45945</v>
      </c>
      <c r="E3059" s="1">
        <f>D3059+3</f>
        <v>45948</v>
      </c>
      <c r="F3059">
        <v>4838</v>
      </c>
      <c r="G3059">
        <v>30</v>
      </c>
      <c r="H3059">
        <f t="shared" si="291"/>
        <v>0</v>
      </c>
      <c r="I3059" t="str">
        <f t="shared" si="289"/>
        <v>On Time</v>
      </c>
      <c r="J3059" cm="1">
        <f t="array" ref="J3059">_xlfn.IFS(H3059&lt;30,0,H3059&lt;60,1,H3059&lt;90,2,H3059&lt;120,3)</f>
        <v>0</v>
      </c>
      <c r="M3059" t="str">
        <f t="shared" si="290"/>
        <v>Low</v>
      </c>
      <c r="N3059" t="str">
        <f t="shared" si="287"/>
        <v>Sep</v>
      </c>
      <c r="O3059">
        <f t="shared" si="288"/>
        <v>2025</v>
      </c>
    </row>
    <row r="3060" spans="1:15" x14ac:dyDescent="0.3">
      <c r="A3060">
        <v>201491</v>
      </c>
      <c r="B3060" t="s">
        <v>107</v>
      </c>
      <c r="C3060" s="2">
        <v>45915</v>
      </c>
      <c r="D3060" s="2">
        <f t="shared" si="286"/>
        <v>45945</v>
      </c>
      <c r="E3060" s="1">
        <f>D3060+1</f>
        <v>45946</v>
      </c>
      <c r="F3060">
        <v>2272</v>
      </c>
      <c r="G3060">
        <v>30</v>
      </c>
      <c r="H3060">
        <f t="shared" si="291"/>
        <v>0</v>
      </c>
      <c r="I3060" t="str">
        <f t="shared" si="289"/>
        <v>On Time</v>
      </c>
      <c r="J3060" cm="1">
        <f t="array" ref="J3060">_xlfn.IFS(H3060&lt;30,0,H3060&lt;60,1,H3060&lt;90,2,H3060&lt;120,3)</f>
        <v>0</v>
      </c>
      <c r="M3060" t="str">
        <f t="shared" si="290"/>
        <v>Low</v>
      </c>
      <c r="N3060" t="str">
        <f t="shared" si="287"/>
        <v>Sep</v>
      </c>
      <c r="O3060">
        <f t="shared" si="288"/>
        <v>2025</v>
      </c>
    </row>
    <row r="3061" spans="1:15" x14ac:dyDescent="0.3">
      <c r="A3061">
        <v>201492</v>
      </c>
      <c r="B3061" t="s">
        <v>56</v>
      </c>
      <c r="C3061" s="2">
        <v>45915</v>
      </c>
      <c r="D3061" s="2">
        <f t="shared" si="286"/>
        <v>45960</v>
      </c>
      <c r="E3061" s="1">
        <f>D3061-1</f>
        <v>45959</v>
      </c>
      <c r="F3061">
        <v>2581</v>
      </c>
      <c r="G3061">
        <v>45</v>
      </c>
      <c r="H3061">
        <f t="shared" si="291"/>
        <v>0</v>
      </c>
      <c r="I3061" t="str">
        <f t="shared" si="289"/>
        <v>On Time</v>
      </c>
      <c r="J3061" cm="1">
        <f t="array" ref="J3061">_xlfn.IFS(H3061&lt;30,0,H3061&lt;60,1,H3061&lt;90,2,H3061&lt;120,3)</f>
        <v>0</v>
      </c>
      <c r="M3061" t="str">
        <f t="shared" si="290"/>
        <v>Low</v>
      </c>
      <c r="N3061" t="str">
        <f t="shared" si="287"/>
        <v>Sep</v>
      </c>
      <c r="O3061">
        <f t="shared" si="288"/>
        <v>2025</v>
      </c>
    </row>
    <row r="3062" spans="1:15" x14ac:dyDescent="0.3">
      <c r="A3062">
        <v>201493</v>
      </c>
      <c r="B3062" t="s">
        <v>57</v>
      </c>
      <c r="C3062" s="2">
        <v>45915</v>
      </c>
      <c r="D3062" s="2">
        <f t="shared" si="286"/>
        <v>45975</v>
      </c>
      <c r="E3062" s="1">
        <f>D3062</f>
        <v>45975</v>
      </c>
      <c r="F3062">
        <v>3060</v>
      </c>
      <c r="G3062">
        <v>60</v>
      </c>
      <c r="H3062">
        <f t="shared" si="291"/>
        <v>0</v>
      </c>
      <c r="I3062" t="str">
        <f t="shared" si="289"/>
        <v>On Time</v>
      </c>
      <c r="J3062" cm="1">
        <f t="array" ref="J3062">_xlfn.IFS(H3062&lt;30,0,H3062&lt;60,1,H3062&lt;90,2,H3062&lt;120,3)</f>
        <v>0</v>
      </c>
      <c r="M3062" t="str">
        <f t="shared" si="290"/>
        <v>Low</v>
      </c>
      <c r="N3062" t="str">
        <f t="shared" si="287"/>
        <v>Sep</v>
      </c>
      <c r="O3062">
        <f t="shared" si="288"/>
        <v>2025</v>
      </c>
    </row>
    <row r="3063" spans="1:15" x14ac:dyDescent="0.3">
      <c r="A3063">
        <v>201494</v>
      </c>
      <c r="B3063" t="s">
        <v>58</v>
      </c>
      <c r="C3063" s="2">
        <v>45915</v>
      </c>
      <c r="D3063" s="2">
        <f t="shared" si="286"/>
        <v>45945</v>
      </c>
      <c r="E3063" s="1">
        <f>D3063-5</f>
        <v>45940</v>
      </c>
      <c r="F3063">
        <v>2972</v>
      </c>
      <c r="G3063">
        <v>30</v>
      </c>
      <c r="H3063">
        <f t="shared" si="291"/>
        <v>0</v>
      </c>
      <c r="I3063" t="str">
        <f t="shared" si="289"/>
        <v>On Time</v>
      </c>
      <c r="J3063" cm="1">
        <f t="array" ref="J3063">_xlfn.IFS(H3063&lt;30,0,H3063&lt;60,1,H3063&lt;90,2,H3063&lt;120,3)</f>
        <v>0</v>
      </c>
      <c r="M3063" t="str">
        <f t="shared" si="290"/>
        <v>Low</v>
      </c>
      <c r="N3063" t="str">
        <f t="shared" si="287"/>
        <v>Sep</v>
      </c>
      <c r="O3063">
        <f t="shared" si="288"/>
        <v>2025</v>
      </c>
    </row>
    <row r="3064" spans="1:15" x14ac:dyDescent="0.3">
      <c r="A3064">
        <v>201495</v>
      </c>
      <c r="B3064" t="s">
        <v>59</v>
      </c>
      <c r="C3064" s="2">
        <v>45915</v>
      </c>
      <c r="D3064" s="2">
        <f t="shared" si="286"/>
        <v>45945</v>
      </c>
      <c r="E3064" s="1">
        <f>D3064+35</f>
        <v>45980</v>
      </c>
      <c r="F3064">
        <v>4547</v>
      </c>
      <c r="G3064">
        <v>30</v>
      </c>
      <c r="H3064">
        <f t="shared" si="291"/>
        <v>0</v>
      </c>
      <c r="I3064" t="str">
        <f t="shared" si="289"/>
        <v>On Time</v>
      </c>
      <c r="J3064" cm="1">
        <f t="array" ref="J3064">_xlfn.IFS(H3064&lt;30,0,H3064&lt;60,1,H3064&lt;90,2,H3064&lt;120,3)</f>
        <v>0</v>
      </c>
      <c r="M3064" t="str">
        <f t="shared" si="290"/>
        <v>Low</v>
      </c>
      <c r="N3064" t="str">
        <f t="shared" si="287"/>
        <v>Sep</v>
      </c>
      <c r="O3064">
        <f t="shared" si="288"/>
        <v>2025</v>
      </c>
    </row>
    <row r="3065" spans="1:15" x14ac:dyDescent="0.3">
      <c r="A3065">
        <v>201496</v>
      </c>
      <c r="B3065" t="s">
        <v>60</v>
      </c>
      <c r="C3065" s="2">
        <v>45915</v>
      </c>
      <c r="D3065" s="2">
        <f t="shared" si="286"/>
        <v>45945</v>
      </c>
      <c r="E3065" s="1">
        <f>D3065+75</f>
        <v>46020</v>
      </c>
      <c r="F3065">
        <v>236</v>
      </c>
      <c r="G3065">
        <v>30</v>
      </c>
      <c r="H3065">
        <f t="shared" si="291"/>
        <v>0</v>
      </c>
      <c r="I3065" t="str">
        <f t="shared" si="289"/>
        <v>On Time</v>
      </c>
      <c r="J3065" cm="1">
        <f t="array" ref="J3065">_xlfn.IFS(H3065&lt;30,0,H3065&lt;60,1,H3065&lt;90,2,H3065&lt;120,3)</f>
        <v>0</v>
      </c>
      <c r="M3065" t="str">
        <f t="shared" si="290"/>
        <v>Low</v>
      </c>
      <c r="N3065" t="str">
        <f t="shared" si="287"/>
        <v>Sep</v>
      </c>
      <c r="O3065">
        <f t="shared" si="288"/>
        <v>2025</v>
      </c>
    </row>
    <row r="3066" spans="1:15" x14ac:dyDescent="0.3">
      <c r="A3066">
        <v>201497</v>
      </c>
      <c r="B3066" t="s">
        <v>61</v>
      </c>
      <c r="C3066" s="2">
        <v>45915</v>
      </c>
      <c r="D3066" s="2">
        <f t="shared" si="286"/>
        <v>45945</v>
      </c>
      <c r="E3066" s="1">
        <f>D3066+5</f>
        <v>45950</v>
      </c>
      <c r="F3066">
        <v>1861</v>
      </c>
      <c r="G3066">
        <v>30</v>
      </c>
      <c r="H3066">
        <f t="shared" si="291"/>
        <v>0</v>
      </c>
      <c r="I3066" t="str">
        <f t="shared" si="289"/>
        <v>On Time</v>
      </c>
      <c r="J3066" cm="1">
        <f t="array" ref="J3066">_xlfn.IFS(H3066&lt;30,0,H3066&lt;60,1,H3066&lt;90,2,H3066&lt;120,3)</f>
        <v>0</v>
      </c>
      <c r="M3066" t="str">
        <f t="shared" si="290"/>
        <v>Low</v>
      </c>
      <c r="N3066" t="str">
        <f t="shared" si="287"/>
        <v>Sep</v>
      </c>
      <c r="O3066">
        <f t="shared" si="288"/>
        <v>2025</v>
      </c>
    </row>
    <row r="3067" spans="1:15" x14ac:dyDescent="0.3">
      <c r="A3067">
        <v>201498</v>
      </c>
      <c r="B3067" t="s">
        <v>62</v>
      </c>
      <c r="C3067" s="2">
        <v>45915</v>
      </c>
      <c r="D3067" s="2">
        <f t="shared" si="286"/>
        <v>45945</v>
      </c>
      <c r="E3067" s="1">
        <f>D3067</f>
        <v>45945</v>
      </c>
      <c r="F3067">
        <v>3061</v>
      </c>
      <c r="G3067">
        <v>30</v>
      </c>
      <c r="H3067">
        <f t="shared" si="291"/>
        <v>0</v>
      </c>
      <c r="I3067" t="str">
        <f t="shared" si="289"/>
        <v>On Time</v>
      </c>
      <c r="J3067" cm="1">
        <f t="array" ref="J3067">_xlfn.IFS(H3067&lt;30,0,H3067&lt;60,1,H3067&lt;90,2,H3067&lt;120,3)</f>
        <v>0</v>
      </c>
      <c r="M3067" t="str">
        <f t="shared" si="290"/>
        <v>Low</v>
      </c>
      <c r="N3067" t="str">
        <f t="shared" si="287"/>
        <v>Sep</v>
      </c>
      <c r="O3067">
        <f t="shared" si="288"/>
        <v>2025</v>
      </c>
    </row>
    <row r="3068" spans="1:15" x14ac:dyDescent="0.3">
      <c r="A3068">
        <v>201499</v>
      </c>
      <c r="B3068" t="s">
        <v>63</v>
      </c>
      <c r="C3068" s="2">
        <v>45915</v>
      </c>
      <c r="D3068" s="2">
        <f t="shared" si="286"/>
        <v>45945</v>
      </c>
      <c r="E3068" s="1">
        <f>D3068-1</f>
        <v>45944</v>
      </c>
      <c r="F3068">
        <v>2425</v>
      </c>
      <c r="G3068">
        <v>30</v>
      </c>
      <c r="H3068">
        <f t="shared" si="291"/>
        <v>0</v>
      </c>
      <c r="I3068" t="str">
        <f t="shared" si="289"/>
        <v>On Time</v>
      </c>
      <c r="J3068" cm="1">
        <f t="array" ref="J3068">_xlfn.IFS(H3068&lt;30,0,H3068&lt;60,1,H3068&lt;90,2,H3068&lt;120,3)</f>
        <v>0</v>
      </c>
      <c r="M3068" t="str">
        <f t="shared" si="290"/>
        <v>Low</v>
      </c>
      <c r="N3068" t="str">
        <f t="shared" si="287"/>
        <v>Sep</v>
      </c>
      <c r="O3068">
        <f t="shared" si="288"/>
        <v>2025</v>
      </c>
    </row>
    <row r="3069" spans="1:15" x14ac:dyDescent="0.3">
      <c r="A3069">
        <v>201500</v>
      </c>
      <c r="B3069" t="s">
        <v>64</v>
      </c>
      <c r="C3069" s="2">
        <v>45915</v>
      </c>
      <c r="D3069" s="2">
        <f t="shared" si="286"/>
        <v>45945</v>
      </c>
      <c r="E3069" s="1">
        <f>D3069</f>
        <v>45945</v>
      </c>
      <c r="F3069">
        <v>3804</v>
      </c>
      <c r="G3069">
        <v>30</v>
      </c>
      <c r="H3069">
        <f t="shared" si="291"/>
        <v>0</v>
      </c>
      <c r="I3069" t="str">
        <f t="shared" si="289"/>
        <v>On Time</v>
      </c>
      <c r="J3069" cm="1">
        <f t="array" ref="J3069">_xlfn.IFS(H3069&lt;30,0,H3069&lt;60,1,H3069&lt;90,2,H3069&lt;120,3)</f>
        <v>0</v>
      </c>
      <c r="M3069" t="str">
        <f t="shared" si="290"/>
        <v>Low</v>
      </c>
      <c r="N3069" t="str">
        <f t="shared" si="287"/>
        <v>Sep</v>
      </c>
      <c r="O3069">
        <f t="shared" si="288"/>
        <v>2025</v>
      </c>
    </row>
    <row r="3070" spans="1:15" x14ac:dyDescent="0.3">
      <c r="A3070">
        <v>201501</v>
      </c>
      <c r="B3070" t="s">
        <v>65</v>
      </c>
      <c r="C3070" s="2">
        <v>45915</v>
      </c>
      <c r="D3070" s="2">
        <f t="shared" si="286"/>
        <v>45960</v>
      </c>
      <c r="E3070" s="1">
        <f>D3070+32</f>
        <v>45992</v>
      </c>
      <c r="F3070">
        <v>852</v>
      </c>
      <c r="G3070">
        <v>45</v>
      </c>
      <c r="H3070">
        <f t="shared" si="291"/>
        <v>0</v>
      </c>
      <c r="I3070" t="str">
        <f t="shared" si="289"/>
        <v>On Time</v>
      </c>
      <c r="J3070" cm="1">
        <f t="array" ref="J3070">_xlfn.IFS(H3070&lt;30,0,H3070&lt;60,1,H3070&lt;90,2,H3070&lt;120,3)</f>
        <v>0</v>
      </c>
      <c r="M3070" t="str">
        <f t="shared" si="290"/>
        <v>Low</v>
      </c>
      <c r="N3070" t="str">
        <f t="shared" si="287"/>
        <v>Sep</v>
      </c>
      <c r="O3070">
        <f t="shared" si="288"/>
        <v>2025</v>
      </c>
    </row>
    <row r="3071" spans="1:15" x14ac:dyDescent="0.3">
      <c r="A3071">
        <v>201502</v>
      </c>
      <c r="B3071" t="s">
        <v>66</v>
      </c>
      <c r="C3071" s="2">
        <v>45915</v>
      </c>
      <c r="D3071" s="2">
        <f t="shared" si="286"/>
        <v>45975</v>
      </c>
      <c r="E3071" s="1">
        <f>D3071+15</f>
        <v>45990</v>
      </c>
      <c r="F3071">
        <v>4673</v>
      </c>
      <c r="G3071">
        <v>60</v>
      </c>
      <c r="H3071">
        <f t="shared" si="291"/>
        <v>0</v>
      </c>
      <c r="I3071" t="str">
        <f t="shared" si="289"/>
        <v>On Time</v>
      </c>
      <c r="J3071" cm="1">
        <f t="array" ref="J3071">_xlfn.IFS(H3071&lt;30,0,H3071&lt;60,1,H3071&lt;90,2,H3071&lt;120,3)</f>
        <v>0</v>
      </c>
      <c r="M3071" t="str">
        <f t="shared" si="290"/>
        <v>Low</v>
      </c>
      <c r="N3071" t="str">
        <f t="shared" si="287"/>
        <v>Sep</v>
      </c>
      <c r="O3071">
        <f t="shared" si="288"/>
        <v>2025</v>
      </c>
    </row>
    <row r="3072" spans="1:15" x14ac:dyDescent="0.3">
      <c r="A3072">
        <v>201470</v>
      </c>
      <c r="B3072" t="s">
        <v>100</v>
      </c>
      <c r="C3072" s="2">
        <v>45912</v>
      </c>
      <c r="D3072" s="2">
        <f t="shared" si="286"/>
        <v>45942</v>
      </c>
      <c r="E3072" s="1">
        <f>D3072-2</f>
        <v>45940</v>
      </c>
      <c r="F3072">
        <v>4091</v>
      </c>
      <c r="G3072">
        <v>30</v>
      </c>
      <c r="H3072">
        <f t="shared" si="291"/>
        <v>0</v>
      </c>
      <c r="I3072" t="str">
        <f t="shared" si="289"/>
        <v>On Time</v>
      </c>
      <c r="J3072" cm="1">
        <f t="array" ref="J3072">_xlfn.IFS(H3072&lt;30,0,H3072&lt;60,1,H3072&lt;90,2,H3072&lt;120,3)</f>
        <v>0</v>
      </c>
      <c r="M3072" t="str">
        <f t="shared" si="290"/>
        <v>Low</v>
      </c>
      <c r="N3072" t="str">
        <f t="shared" si="287"/>
        <v>Sep</v>
      </c>
      <c r="O3072">
        <f t="shared" si="288"/>
        <v>2025</v>
      </c>
    </row>
    <row r="3073" spans="1:15" x14ac:dyDescent="0.3">
      <c r="A3073">
        <v>201471</v>
      </c>
      <c r="B3073" t="s">
        <v>101</v>
      </c>
      <c r="C3073" s="2">
        <v>45912</v>
      </c>
      <c r="D3073" s="2">
        <f t="shared" si="286"/>
        <v>45942</v>
      </c>
      <c r="E3073" s="1">
        <f>D3073-2</f>
        <v>45940</v>
      </c>
      <c r="F3073">
        <v>241</v>
      </c>
      <c r="G3073">
        <v>30</v>
      </c>
      <c r="H3073">
        <f t="shared" si="291"/>
        <v>0</v>
      </c>
      <c r="I3073" t="str">
        <f t="shared" si="289"/>
        <v>On Time</v>
      </c>
      <c r="J3073" cm="1">
        <f t="array" ref="J3073">_xlfn.IFS(H3073&lt;30,0,H3073&lt;60,1,H3073&lt;90,2,H3073&lt;120,3)</f>
        <v>0</v>
      </c>
      <c r="M3073" t="str">
        <f t="shared" si="290"/>
        <v>Low</v>
      </c>
      <c r="N3073" t="str">
        <f t="shared" si="287"/>
        <v>Sep</v>
      </c>
      <c r="O3073">
        <f t="shared" si="288"/>
        <v>2025</v>
      </c>
    </row>
    <row r="3074" spans="1:15" x14ac:dyDescent="0.3">
      <c r="A3074">
        <v>201472</v>
      </c>
      <c r="B3074" t="s">
        <v>102</v>
      </c>
      <c r="C3074" s="2">
        <v>45912</v>
      </c>
      <c r="D3074" s="2">
        <f t="shared" ref="D3074:D3137" si="292">C3074+G3074</f>
        <v>45942</v>
      </c>
      <c r="E3074" s="1">
        <f>D3074</f>
        <v>45942</v>
      </c>
      <c r="F3074">
        <v>17281</v>
      </c>
      <c r="G3074">
        <v>30</v>
      </c>
      <c r="H3074">
        <f t="shared" si="291"/>
        <v>0</v>
      </c>
      <c r="I3074" t="str">
        <f t="shared" si="289"/>
        <v>On Time</v>
      </c>
      <c r="J3074" cm="1">
        <f t="array" ref="J3074">_xlfn.IFS(H3074&lt;30,0,H3074&lt;60,1,H3074&lt;90,2,H3074&lt;120,3)</f>
        <v>0</v>
      </c>
      <c r="M3074" t="str">
        <f t="shared" si="290"/>
        <v>Low</v>
      </c>
      <c r="N3074" t="str">
        <f t="shared" ref="N3074:N3137" si="293">TEXT(C3074,"mmm")</f>
        <v>Sep</v>
      </c>
      <c r="O3074">
        <f t="shared" ref="O3074:O3137" si="294">YEAR(C3074)</f>
        <v>2025</v>
      </c>
    </row>
    <row r="3075" spans="1:15" x14ac:dyDescent="0.3">
      <c r="A3075">
        <v>201473</v>
      </c>
      <c r="B3075" t="s">
        <v>38</v>
      </c>
      <c r="C3075" s="2">
        <v>45912</v>
      </c>
      <c r="D3075" s="2">
        <f t="shared" si="292"/>
        <v>45942</v>
      </c>
      <c r="E3075" s="1">
        <f>D3075+2</f>
        <v>45944</v>
      </c>
      <c r="F3075">
        <v>127</v>
      </c>
      <c r="G3075">
        <v>30</v>
      </c>
      <c r="H3075">
        <f t="shared" si="291"/>
        <v>0</v>
      </c>
      <c r="I3075" t="str">
        <f t="shared" si="289"/>
        <v>On Time</v>
      </c>
      <c r="J3075" cm="1">
        <f t="array" ref="J3075">_xlfn.IFS(H3075&lt;30,0,H3075&lt;60,1,H3075&lt;90,2,H3075&lt;120,3)</f>
        <v>0</v>
      </c>
      <c r="M3075" t="str">
        <f t="shared" si="290"/>
        <v>Low</v>
      </c>
      <c r="N3075" t="str">
        <f t="shared" si="293"/>
        <v>Sep</v>
      </c>
      <c r="O3075">
        <f t="shared" si="294"/>
        <v>2025</v>
      </c>
    </row>
    <row r="3076" spans="1:15" x14ac:dyDescent="0.3">
      <c r="A3076">
        <v>201474</v>
      </c>
      <c r="B3076" t="s">
        <v>39</v>
      </c>
      <c r="C3076" s="2">
        <v>45912</v>
      </c>
      <c r="D3076" s="2">
        <f t="shared" si="292"/>
        <v>45942</v>
      </c>
      <c r="E3076" s="1">
        <f>D3076+2</f>
        <v>45944</v>
      </c>
      <c r="F3076">
        <v>4852</v>
      </c>
      <c r="G3076">
        <v>30</v>
      </c>
      <c r="H3076">
        <f t="shared" si="291"/>
        <v>0</v>
      </c>
      <c r="I3076" t="str">
        <f t="shared" si="289"/>
        <v>On Time</v>
      </c>
      <c r="J3076" cm="1">
        <f t="array" ref="J3076">_xlfn.IFS(H3076&lt;30,0,H3076&lt;60,1,H3076&lt;90,2,H3076&lt;120,3)</f>
        <v>0</v>
      </c>
      <c r="M3076" t="str">
        <f t="shared" si="290"/>
        <v>Low</v>
      </c>
      <c r="N3076" t="str">
        <f t="shared" si="293"/>
        <v>Sep</v>
      </c>
      <c r="O3076">
        <f t="shared" si="294"/>
        <v>2025</v>
      </c>
    </row>
    <row r="3077" spans="1:15" x14ac:dyDescent="0.3">
      <c r="A3077">
        <v>201475</v>
      </c>
      <c r="B3077" t="s">
        <v>40</v>
      </c>
      <c r="C3077" s="2">
        <v>45912</v>
      </c>
      <c r="D3077" s="2">
        <f t="shared" si="292"/>
        <v>45942</v>
      </c>
      <c r="E3077" s="1">
        <f>D3077+2</f>
        <v>45944</v>
      </c>
      <c r="F3077">
        <v>1476</v>
      </c>
      <c r="G3077">
        <v>30</v>
      </c>
      <c r="H3077">
        <f t="shared" si="291"/>
        <v>0</v>
      </c>
      <c r="I3077" t="str">
        <f t="shared" si="289"/>
        <v>On Time</v>
      </c>
      <c r="J3077" cm="1">
        <f t="array" ref="J3077">_xlfn.IFS(H3077&lt;30,0,H3077&lt;60,1,H3077&lt;90,2,H3077&lt;120,3)</f>
        <v>0</v>
      </c>
      <c r="M3077" t="str">
        <f t="shared" si="290"/>
        <v>Low</v>
      </c>
      <c r="N3077" t="str">
        <f t="shared" si="293"/>
        <v>Sep</v>
      </c>
      <c r="O3077">
        <f t="shared" si="294"/>
        <v>2025</v>
      </c>
    </row>
    <row r="3078" spans="1:15" x14ac:dyDescent="0.3">
      <c r="A3078">
        <v>201476</v>
      </c>
      <c r="B3078" t="s">
        <v>41</v>
      </c>
      <c r="C3078" s="2">
        <v>45912</v>
      </c>
      <c r="D3078" s="2">
        <f t="shared" si="292"/>
        <v>45942</v>
      </c>
      <c r="E3078" s="1">
        <f>D3078</f>
        <v>45942</v>
      </c>
      <c r="F3078">
        <v>816</v>
      </c>
      <c r="G3078">
        <v>30</v>
      </c>
      <c r="H3078">
        <f t="shared" si="291"/>
        <v>0</v>
      </c>
      <c r="I3078" t="str">
        <f t="shared" si="289"/>
        <v>On Time</v>
      </c>
      <c r="J3078" cm="1">
        <f t="array" ref="J3078">_xlfn.IFS(H3078&lt;30,0,H3078&lt;60,1,H3078&lt;90,2,H3078&lt;120,3)</f>
        <v>0</v>
      </c>
      <c r="M3078" t="str">
        <f t="shared" si="290"/>
        <v>Low</v>
      </c>
      <c r="N3078" t="str">
        <f t="shared" si="293"/>
        <v>Sep</v>
      </c>
      <c r="O3078">
        <f t="shared" si="294"/>
        <v>2025</v>
      </c>
    </row>
    <row r="3079" spans="1:15" x14ac:dyDescent="0.3">
      <c r="A3079">
        <v>201477</v>
      </c>
      <c r="B3079" t="s">
        <v>42</v>
      </c>
      <c r="C3079" s="2">
        <v>45912</v>
      </c>
      <c r="D3079" s="2">
        <f t="shared" si="292"/>
        <v>45942</v>
      </c>
      <c r="E3079" s="1">
        <f>D3079+20</f>
        <v>45962</v>
      </c>
      <c r="F3079">
        <v>2459</v>
      </c>
      <c r="G3079">
        <v>30</v>
      </c>
      <c r="H3079">
        <f t="shared" si="291"/>
        <v>0</v>
      </c>
      <c r="I3079" t="str">
        <f t="shared" si="289"/>
        <v>On Time</v>
      </c>
      <c r="J3079" cm="1">
        <f t="array" ref="J3079">_xlfn.IFS(H3079&lt;30,0,H3079&lt;60,1,H3079&lt;90,2,H3079&lt;120,3)</f>
        <v>0</v>
      </c>
      <c r="M3079" t="str">
        <f t="shared" si="290"/>
        <v>Low</v>
      </c>
      <c r="N3079" t="str">
        <f t="shared" si="293"/>
        <v>Sep</v>
      </c>
      <c r="O3079">
        <f t="shared" si="294"/>
        <v>2025</v>
      </c>
    </row>
    <row r="3080" spans="1:15" x14ac:dyDescent="0.3">
      <c r="A3080">
        <v>201478</v>
      </c>
      <c r="B3080" t="s">
        <v>43</v>
      </c>
      <c r="C3080" s="2">
        <v>45912</v>
      </c>
      <c r="D3080" s="2">
        <f t="shared" si="292"/>
        <v>45942</v>
      </c>
      <c r="E3080" s="1">
        <f>D3080</f>
        <v>45942</v>
      </c>
      <c r="F3080">
        <v>12400</v>
      </c>
      <c r="G3080">
        <v>30</v>
      </c>
      <c r="H3080">
        <f t="shared" si="291"/>
        <v>0</v>
      </c>
      <c r="I3080" t="str">
        <f t="shared" si="289"/>
        <v>On Time</v>
      </c>
      <c r="J3080" cm="1">
        <f t="array" ref="J3080">_xlfn.IFS(H3080&lt;30,0,H3080&lt;60,1,H3080&lt;90,2,H3080&lt;120,3)</f>
        <v>0</v>
      </c>
      <c r="M3080" t="str">
        <f t="shared" si="290"/>
        <v>Low</v>
      </c>
      <c r="N3080" t="str">
        <f t="shared" si="293"/>
        <v>Sep</v>
      </c>
      <c r="O3080">
        <f t="shared" si="294"/>
        <v>2025</v>
      </c>
    </row>
    <row r="3081" spans="1:15" x14ac:dyDescent="0.3">
      <c r="A3081">
        <v>201479</v>
      </c>
      <c r="B3081" t="s">
        <v>44</v>
      </c>
      <c r="C3081" s="2">
        <v>45912</v>
      </c>
      <c r="D3081" s="2">
        <f t="shared" si="292"/>
        <v>45957</v>
      </c>
      <c r="E3081" s="1">
        <f>D3081+1</f>
        <v>45958</v>
      </c>
      <c r="F3081">
        <v>980</v>
      </c>
      <c r="G3081">
        <v>45</v>
      </c>
      <c r="H3081">
        <f t="shared" si="291"/>
        <v>0</v>
      </c>
      <c r="I3081" t="str">
        <f t="shared" si="289"/>
        <v>On Time</v>
      </c>
      <c r="J3081" cm="1">
        <f t="array" ref="J3081">_xlfn.IFS(H3081&lt;30,0,H3081&lt;60,1,H3081&lt;90,2,H3081&lt;120,3)</f>
        <v>0</v>
      </c>
      <c r="M3081" t="str">
        <f t="shared" si="290"/>
        <v>Low</v>
      </c>
      <c r="N3081" t="str">
        <f t="shared" si="293"/>
        <v>Sep</v>
      </c>
      <c r="O3081">
        <f t="shared" si="294"/>
        <v>2025</v>
      </c>
    </row>
    <row r="3082" spans="1:15" x14ac:dyDescent="0.3">
      <c r="A3082">
        <v>201480</v>
      </c>
      <c r="B3082" t="s">
        <v>96</v>
      </c>
      <c r="C3082" s="2">
        <v>45912</v>
      </c>
      <c r="D3082" s="2">
        <f t="shared" si="292"/>
        <v>45972</v>
      </c>
      <c r="E3082" s="1">
        <f>D3082</f>
        <v>45972</v>
      </c>
      <c r="F3082">
        <v>1880</v>
      </c>
      <c r="G3082">
        <v>60</v>
      </c>
      <c r="H3082">
        <f t="shared" si="291"/>
        <v>0</v>
      </c>
      <c r="I3082" t="str">
        <f t="shared" si="289"/>
        <v>On Time</v>
      </c>
      <c r="J3082" cm="1">
        <f t="array" ref="J3082">_xlfn.IFS(H3082&lt;30,0,H3082&lt;60,1,H3082&lt;90,2,H3082&lt;120,3)</f>
        <v>0</v>
      </c>
      <c r="M3082" t="str">
        <f t="shared" si="290"/>
        <v>Low</v>
      </c>
      <c r="N3082" t="str">
        <f t="shared" si="293"/>
        <v>Sep</v>
      </c>
      <c r="O3082">
        <f t="shared" si="294"/>
        <v>2025</v>
      </c>
    </row>
    <row r="3083" spans="1:15" x14ac:dyDescent="0.3">
      <c r="A3083">
        <v>201481</v>
      </c>
      <c r="B3083" t="s">
        <v>97</v>
      </c>
      <c r="C3083" s="2">
        <v>45912</v>
      </c>
      <c r="D3083" s="2">
        <f t="shared" si="292"/>
        <v>45942</v>
      </c>
      <c r="E3083" s="1">
        <f>D3083</f>
        <v>45942</v>
      </c>
      <c r="F3083">
        <v>3837</v>
      </c>
      <c r="G3083">
        <v>30</v>
      </c>
      <c r="H3083">
        <f t="shared" si="291"/>
        <v>0</v>
      </c>
      <c r="I3083" t="str">
        <f t="shared" si="289"/>
        <v>On Time</v>
      </c>
      <c r="J3083" cm="1">
        <f t="array" ref="J3083">_xlfn.IFS(H3083&lt;30,0,H3083&lt;60,1,H3083&lt;90,2,H3083&lt;120,3)</f>
        <v>0</v>
      </c>
      <c r="M3083" t="str">
        <f t="shared" si="290"/>
        <v>Low</v>
      </c>
      <c r="N3083" t="str">
        <f t="shared" si="293"/>
        <v>Sep</v>
      </c>
      <c r="O3083">
        <f t="shared" si="294"/>
        <v>2025</v>
      </c>
    </row>
    <row r="3084" spans="1:15" x14ac:dyDescent="0.3">
      <c r="A3084">
        <v>201482</v>
      </c>
      <c r="B3084" t="s">
        <v>98</v>
      </c>
      <c r="C3084" s="2">
        <v>45912</v>
      </c>
      <c r="D3084" s="2">
        <f t="shared" si="292"/>
        <v>45942</v>
      </c>
      <c r="E3084" s="1">
        <f>D3084+5</f>
        <v>45947</v>
      </c>
      <c r="F3084">
        <v>5028</v>
      </c>
      <c r="G3084">
        <v>30</v>
      </c>
      <c r="H3084">
        <f t="shared" si="291"/>
        <v>0</v>
      </c>
      <c r="I3084" t="str">
        <f t="shared" si="289"/>
        <v>On Time</v>
      </c>
      <c r="J3084" cm="1">
        <f t="array" ref="J3084">_xlfn.IFS(H3084&lt;30,0,H3084&lt;60,1,H3084&lt;90,2,H3084&lt;120,3)</f>
        <v>0</v>
      </c>
      <c r="M3084" t="str">
        <f t="shared" si="290"/>
        <v>Low</v>
      </c>
      <c r="N3084" t="str">
        <f t="shared" si="293"/>
        <v>Sep</v>
      </c>
      <c r="O3084">
        <f t="shared" si="294"/>
        <v>2025</v>
      </c>
    </row>
    <row r="3085" spans="1:15" x14ac:dyDescent="0.3">
      <c r="A3085">
        <v>201483</v>
      </c>
      <c r="B3085" t="s">
        <v>99</v>
      </c>
      <c r="C3085" s="2">
        <v>45912</v>
      </c>
      <c r="D3085" s="2">
        <f t="shared" si="292"/>
        <v>45942</v>
      </c>
      <c r="E3085" s="1">
        <f>D3085+2</f>
        <v>45944</v>
      </c>
      <c r="F3085">
        <v>3247</v>
      </c>
      <c r="G3085">
        <v>30</v>
      </c>
      <c r="H3085">
        <f t="shared" si="291"/>
        <v>0</v>
      </c>
      <c r="I3085" t="str">
        <f t="shared" si="289"/>
        <v>On Time</v>
      </c>
      <c r="J3085" cm="1">
        <f t="array" ref="J3085">_xlfn.IFS(H3085&lt;30,0,H3085&lt;60,1,H3085&lt;90,2,H3085&lt;120,3)</f>
        <v>0</v>
      </c>
      <c r="M3085" t="str">
        <f t="shared" si="290"/>
        <v>Low</v>
      </c>
      <c r="N3085" t="str">
        <f t="shared" si="293"/>
        <v>Sep</v>
      </c>
      <c r="O3085">
        <f t="shared" si="294"/>
        <v>2025</v>
      </c>
    </row>
    <row r="3086" spans="1:15" x14ac:dyDescent="0.3">
      <c r="A3086">
        <v>201484</v>
      </c>
      <c r="B3086" t="s">
        <v>100</v>
      </c>
      <c r="C3086" s="2">
        <v>45912</v>
      </c>
      <c r="D3086" s="2">
        <f t="shared" si="292"/>
        <v>45942</v>
      </c>
      <c r="E3086" s="1">
        <f>D3086+5</f>
        <v>45947</v>
      </c>
      <c r="F3086">
        <v>3471</v>
      </c>
      <c r="G3086">
        <v>30</v>
      </c>
      <c r="H3086">
        <f t="shared" si="291"/>
        <v>0</v>
      </c>
      <c r="I3086" t="str">
        <f t="shared" si="289"/>
        <v>On Time</v>
      </c>
      <c r="J3086" cm="1">
        <f t="array" ref="J3086">_xlfn.IFS(H3086&lt;30,0,H3086&lt;60,1,H3086&lt;90,2,H3086&lt;120,3)</f>
        <v>0</v>
      </c>
      <c r="M3086" t="str">
        <f t="shared" si="290"/>
        <v>Low</v>
      </c>
      <c r="N3086" t="str">
        <f t="shared" si="293"/>
        <v>Sep</v>
      </c>
      <c r="O3086">
        <f t="shared" si="294"/>
        <v>2025</v>
      </c>
    </row>
    <row r="3087" spans="1:15" x14ac:dyDescent="0.3">
      <c r="A3087">
        <v>201485</v>
      </c>
      <c r="B3087" t="s">
        <v>101</v>
      </c>
      <c r="C3087" s="2">
        <v>45912</v>
      </c>
      <c r="D3087" s="2">
        <f t="shared" si="292"/>
        <v>45942</v>
      </c>
      <c r="E3087" s="1">
        <f>D3087</f>
        <v>45942</v>
      </c>
      <c r="F3087">
        <v>264</v>
      </c>
      <c r="G3087">
        <v>30</v>
      </c>
      <c r="H3087">
        <f t="shared" si="291"/>
        <v>0</v>
      </c>
      <c r="I3087" t="str">
        <f t="shared" si="289"/>
        <v>On Time</v>
      </c>
      <c r="J3087" cm="1">
        <f t="array" ref="J3087">_xlfn.IFS(H3087&lt;30,0,H3087&lt;60,1,H3087&lt;90,2,H3087&lt;120,3)</f>
        <v>0</v>
      </c>
      <c r="M3087" t="str">
        <f t="shared" si="290"/>
        <v>Low</v>
      </c>
      <c r="N3087" t="str">
        <f t="shared" si="293"/>
        <v>Sep</v>
      </c>
      <c r="O3087">
        <f t="shared" si="294"/>
        <v>2025</v>
      </c>
    </row>
    <row r="3088" spans="1:15" x14ac:dyDescent="0.3">
      <c r="A3088">
        <v>201453</v>
      </c>
      <c r="B3088" t="s">
        <v>76</v>
      </c>
      <c r="C3088" s="2">
        <v>45911</v>
      </c>
      <c r="D3088" s="2">
        <f t="shared" si="292"/>
        <v>45941</v>
      </c>
      <c r="E3088" s="1">
        <f>D3088</f>
        <v>45941</v>
      </c>
      <c r="F3088">
        <v>668</v>
      </c>
      <c r="G3088">
        <v>30</v>
      </c>
      <c r="H3088">
        <f t="shared" si="291"/>
        <v>0</v>
      </c>
      <c r="I3088" t="str">
        <f t="shared" si="289"/>
        <v>On Time</v>
      </c>
      <c r="J3088" cm="1">
        <f t="array" ref="J3088">_xlfn.IFS(H3088&lt;30,0,H3088&lt;60,1,H3088&lt;90,2,H3088&lt;120,3)</f>
        <v>0</v>
      </c>
      <c r="M3088" t="str">
        <f t="shared" si="290"/>
        <v>Low</v>
      </c>
      <c r="N3088" t="str">
        <f t="shared" si="293"/>
        <v>Sep</v>
      </c>
      <c r="O3088">
        <f t="shared" si="294"/>
        <v>2025</v>
      </c>
    </row>
    <row r="3089" spans="1:15" x14ac:dyDescent="0.3">
      <c r="A3089">
        <v>201454</v>
      </c>
      <c r="B3089" t="s">
        <v>77</v>
      </c>
      <c r="C3089" s="2">
        <v>45911</v>
      </c>
      <c r="D3089" s="2">
        <f t="shared" si="292"/>
        <v>45941</v>
      </c>
      <c r="E3089" s="1">
        <f>D3089+60</f>
        <v>46001</v>
      </c>
      <c r="F3089">
        <v>1997</v>
      </c>
      <c r="G3089">
        <v>30</v>
      </c>
      <c r="H3089">
        <f t="shared" si="291"/>
        <v>0</v>
      </c>
      <c r="I3089" t="str">
        <f t="shared" si="289"/>
        <v>On Time</v>
      </c>
      <c r="J3089" cm="1">
        <f t="array" ref="J3089">_xlfn.IFS(H3089&lt;30,0,H3089&lt;60,1,H3089&lt;90,2,H3089&lt;120,3)</f>
        <v>0</v>
      </c>
      <c r="M3089" t="str">
        <f t="shared" si="290"/>
        <v>Low</v>
      </c>
      <c r="N3089" t="str">
        <f t="shared" si="293"/>
        <v>Sep</v>
      </c>
      <c r="O3089">
        <f t="shared" si="294"/>
        <v>2025</v>
      </c>
    </row>
    <row r="3090" spans="1:15" x14ac:dyDescent="0.3">
      <c r="A3090">
        <v>201455</v>
      </c>
      <c r="B3090" t="s">
        <v>78</v>
      </c>
      <c r="C3090" s="2">
        <v>45911</v>
      </c>
      <c r="D3090" s="2">
        <f t="shared" si="292"/>
        <v>45941</v>
      </c>
      <c r="E3090" s="1">
        <f>D3090</f>
        <v>45941</v>
      </c>
      <c r="F3090">
        <v>4660</v>
      </c>
      <c r="G3090">
        <v>30</v>
      </c>
      <c r="H3090">
        <f t="shared" si="291"/>
        <v>0</v>
      </c>
      <c r="I3090" t="str">
        <f t="shared" si="289"/>
        <v>On Time</v>
      </c>
      <c r="J3090" cm="1">
        <f t="array" ref="J3090">_xlfn.IFS(H3090&lt;30,0,H3090&lt;60,1,H3090&lt;90,2,H3090&lt;120,3)</f>
        <v>0</v>
      </c>
      <c r="M3090" t="str">
        <f t="shared" si="290"/>
        <v>Low</v>
      </c>
      <c r="N3090" t="str">
        <f t="shared" si="293"/>
        <v>Sep</v>
      </c>
      <c r="O3090">
        <f t="shared" si="294"/>
        <v>2025</v>
      </c>
    </row>
    <row r="3091" spans="1:15" x14ac:dyDescent="0.3">
      <c r="A3091">
        <v>201456</v>
      </c>
      <c r="B3091" t="s">
        <v>79</v>
      </c>
      <c r="C3091" s="2">
        <v>45911</v>
      </c>
      <c r="D3091" s="2">
        <f t="shared" si="292"/>
        <v>45941</v>
      </c>
      <c r="E3091" s="1">
        <f>D3091</f>
        <v>45941</v>
      </c>
      <c r="F3091">
        <v>3305</v>
      </c>
      <c r="G3091">
        <v>30</v>
      </c>
      <c r="H3091">
        <f t="shared" si="291"/>
        <v>0</v>
      </c>
      <c r="I3091" t="str">
        <f t="shared" si="289"/>
        <v>On Time</v>
      </c>
      <c r="J3091" cm="1">
        <f t="array" ref="J3091">_xlfn.IFS(H3091&lt;30,0,H3091&lt;60,1,H3091&lt;90,2,H3091&lt;120,3)</f>
        <v>0</v>
      </c>
      <c r="M3091" t="str">
        <f t="shared" si="290"/>
        <v>Low</v>
      </c>
      <c r="N3091" t="str">
        <f t="shared" si="293"/>
        <v>Sep</v>
      </c>
      <c r="O3091">
        <f t="shared" si="294"/>
        <v>2025</v>
      </c>
    </row>
    <row r="3092" spans="1:15" x14ac:dyDescent="0.3">
      <c r="A3092">
        <v>201457</v>
      </c>
      <c r="B3092" t="s">
        <v>80</v>
      </c>
      <c r="C3092" s="2">
        <v>45911</v>
      </c>
      <c r="D3092" s="2">
        <f t="shared" si="292"/>
        <v>45941</v>
      </c>
      <c r="E3092" s="1">
        <f>D3092+3</f>
        <v>45944</v>
      </c>
      <c r="F3092">
        <v>4924</v>
      </c>
      <c r="G3092">
        <v>30</v>
      </c>
      <c r="H3092">
        <f t="shared" si="291"/>
        <v>0</v>
      </c>
      <c r="I3092" t="str">
        <f t="shared" si="289"/>
        <v>On Time</v>
      </c>
      <c r="J3092" cm="1">
        <f t="array" ref="J3092">_xlfn.IFS(H3092&lt;30,0,H3092&lt;60,1,H3092&lt;90,2,H3092&lt;120,3)</f>
        <v>0</v>
      </c>
      <c r="M3092" t="str">
        <f t="shared" si="290"/>
        <v>Low</v>
      </c>
      <c r="N3092" t="str">
        <f t="shared" si="293"/>
        <v>Sep</v>
      </c>
      <c r="O3092">
        <f t="shared" si="294"/>
        <v>2025</v>
      </c>
    </row>
    <row r="3093" spans="1:15" x14ac:dyDescent="0.3">
      <c r="A3093">
        <v>201458</v>
      </c>
      <c r="B3093" t="s">
        <v>81</v>
      </c>
      <c r="C3093" s="2">
        <v>45911</v>
      </c>
      <c r="D3093" s="2">
        <f t="shared" si="292"/>
        <v>45941</v>
      </c>
      <c r="E3093" s="1">
        <f>D3093+1</f>
        <v>45942</v>
      </c>
      <c r="F3093">
        <v>4086</v>
      </c>
      <c r="G3093">
        <v>30</v>
      </c>
      <c r="H3093">
        <f t="shared" si="291"/>
        <v>0</v>
      </c>
      <c r="I3093" t="str">
        <f t="shared" si="289"/>
        <v>On Time</v>
      </c>
      <c r="J3093" cm="1">
        <f t="array" ref="J3093">_xlfn.IFS(H3093&lt;30,0,H3093&lt;60,1,H3093&lt;90,2,H3093&lt;120,3)</f>
        <v>0</v>
      </c>
      <c r="M3093" t="str">
        <f t="shared" si="290"/>
        <v>Low</v>
      </c>
      <c r="N3093" t="str">
        <f t="shared" si="293"/>
        <v>Sep</v>
      </c>
      <c r="O3093">
        <f t="shared" si="294"/>
        <v>2025</v>
      </c>
    </row>
    <row r="3094" spans="1:15" x14ac:dyDescent="0.3">
      <c r="A3094">
        <v>201459</v>
      </c>
      <c r="B3094" t="s">
        <v>82</v>
      </c>
      <c r="C3094" s="2">
        <v>45911</v>
      </c>
      <c r="D3094" s="2">
        <f t="shared" si="292"/>
        <v>45956</v>
      </c>
      <c r="E3094" s="1">
        <f>D3094-1</f>
        <v>45955</v>
      </c>
      <c r="F3094">
        <v>4681</v>
      </c>
      <c r="G3094">
        <v>45</v>
      </c>
      <c r="H3094">
        <f t="shared" si="291"/>
        <v>0</v>
      </c>
      <c r="I3094" t="str">
        <f t="shared" ref="I3094:I3157" si="295">IF(H3094=0,"On Time",IF(H3094&lt;=15,"Paid Late","Seriously Late"))</f>
        <v>On Time</v>
      </c>
      <c r="J3094" cm="1">
        <f t="array" ref="J3094">_xlfn.IFS(H3094&lt;30,0,H3094&lt;60,1,H3094&lt;90,2,H3094&lt;120,3)</f>
        <v>0</v>
      </c>
      <c r="M3094" t="str">
        <f t="shared" ref="M3094:M3157" si="296">IF(H3094&gt;30,"High",IF(H3094&gt;10,"Medium","Low"))</f>
        <v>Low</v>
      </c>
      <c r="N3094" t="str">
        <f t="shared" si="293"/>
        <v>Sep</v>
      </c>
      <c r="O3094">
        <f t="shared" si="294"/>
        <v>2025</v>
      </c>
    </row>
    <row r="3095" spans="1:15" x14ac:dyDescent="0.3">
      <c r="A3095">
        <v>201460</v>
      </c>
      <c r="B3095" t="s">
        <v>83</v>
      </c>
      <c r="C3095" s="2">
        <v>45911</v>
      </c>
      <c r="D3095" s="2">
        <f t="shared" si="292"/>
        <v>45956</v>
      </c>
      <c r="E3095" s="1">
        <f>D3095</f>
        <v>45956</v>
      </c>
      <c r="F3095">
        <v>2959</v>
      </c>
      <c r="G3095">
        <v>45</v>
      </c>
      <c r="H3095">
        <f t="shared" si="291"/>
        <v>0</v>
      </c>
      <c r="I3095" t="str">
        <f t="shared" si="295"/>
        <v>On Time</v>
      </c>
      <c r="J3095" cm="1">
        <f t="array" ref="J3095">_xlfn.IFS(H3095&lt;30,0,H3095&lt;60,1,H3095&lt;90,2,H3095&lt;120,3)</f>
        <v>0</v>
      </c>
      <c r="M3095" t="str">
        <f t="shared" si="296"/>
        <v>Low</v>
      </c>
      <c r="N3095" t="str">
        <f t="shared" si="293"/>
        <v>Sep</v>
      </c>
      <c r="O3095">
        <f t="shared" si="294"/>
        <v>2025</v>
      </c>
    </row>
    <row r="3096" spans="1:15" x14ac:dyDescent="0.3">
      <c r="A3096">
        <v>201461</v>
      </c>
      <c r="B3096" t="s">
        <v>84</v>
      </c>
      <c r="C3096" s="2">
        <v>45911</v>
      </c>
      <c r="D3096" s="2">
        <f t="shared" si="292"/>
        <v>45971</v>
      </c>
      <c r="E3096" s="1">
        <f>D3096+1</f>
        <v>45972</v>
      </c>
      <c r="F3096">
        <v>2951</v>
      </c>
      <c r="G3096">
        <v>60</v>
      </c>
      <c r="H3096">
        <f t="shared" si="291"/>
        <v>0</v>
      </c>
      <c r="I3096" t="str">
        <f t="shared" si="295"/>
        <v>On Time</v>
      </c>
      <c r="J3096" cm="1">
        <f t="array" ref="J3096">_xlfn.IFS(H3096&lt;30,0,H3096&lt;60,1,H3096&lt;90,2,H3096&lt;120,3)</f>
        <v>0</v>
      </c>
      <c r="M3096" t="str">
        <f t="shared" si="296"/>
        <v>Low</v>
      </c>
      <c r="N3096" t="str">
        <f t="shared" si="293"/>
        <v>Sep</v>
      </c>
      <c r="O3096">
        <f t="shared" si="294"/>
        <v>2025</v>
      </c>
    </row>
    <row r="3097" spans="1:15" x14ac:dyDescent="0.3">
      <c r="A3097">
        <v>201462</v>
      </c>
      <c r="B3097" t="s">
        <v>92</v>
      </c>
      <c r="C3097" s="2">
        <v>45911</v>
      </c>
      <c r="D3097" s="2">
        <f t="shared" si="292"/>
        <v>45941</v>
      </c>
      <c r="E3097" s="1">
        <f>D3097+35</f>
        <v>45976</v>
      </c>
      <c r="F3097">
        <v>1019</v>
      </c>
      <c r="G3097">
        <v>30</v>
      </c>
      <c r="H3097">
        <f t="shared" si="291"/>
        <v>0</v>
      </c>
      <c r="I3097" t="str">
        <f t="shared" si="295"/>
        <v>On Time</v>
      </c>
      <c r="J3097" cm="1">
        <f t="array" ref="J3097">_xlfn.IFS(H3097&lt;30,0,H3097&lt;60,1,H3097&lt;90,2,H3097&lt;120,3)</f>
        <v>0</v>
      </c>
      <c r="M3097" t="str">
        <f t="shared" si="296"/>
        <v>Low</v>
      </c>
      <c r="N3097" t="str">
        <f t="shared" si="293"/>
        <v>Sep</v>
      </c>
      <c r="O3097">
        <f t="shared" si="294"/>
        <v>2025</v>
      </c>
    </row>
    <row r="3098" spans="1:15" x14ac:dyDescent="0.3">
      <c r="A3098">
        <v>201463</v>
      </c>
      <c r="B3098" t="s">
        <v>93</v>
      </c>
      <c r="C3098" s="2">
        <v>45911</v>
      </c>
      <c r="D3098" s="2">
        <f t="shared" si="292"/>
        <v>45941</v>
      </c>
      <c r="E3098" s="1">
        <f>D3098+75</f>
        <v>46016</v>
      </c>
      <c r="F3098">
        <v>3862</v>
      </c>
      <c r="G3098">
        <v>30</v>
      </c>
      <c r="H3098">
        <f t="shared" si="291"/>
        <v>0</v>
      </c>
      <c r="I3098" t="str">
        <f t="shared" si="295"/>
        <v>On Time</v>
      </c>
      <c r="J3098" cm="1">
        <f t="array" ref="J3098">_xlfn.IFS(H3098&lt;30,0,H3098&lt;60,1,H3098&lt;90,2,H3098&lt;120,3)</f>
        <v>0</v>
      </c>
      <c r="M3098" t="str">
        <f t="shared" si="296"/>
        <v>Low</v>
      </c>
      <c r="N3098" t="str">
        <f t="shared" si="293"/>
        <v>Sep</v>
      </c>
      <c r="O3098">
        <f t="shared" si="294"/>
        <v>2025</v>
      </c>
    </row>
    <row r="3099" spans="1:15" x14ac:dyDescent="0.3">
      <c r="A3099">
        <v>201464</v>
      </c>
      <c r="B3099" t="s">
        <v>94</v>
      </c>
      <c r="C3099" s="2">
        <v>45911</v>
      </c>
      <c r="D3099" s="2">
        <f t="shared" si="292"/>
        <v>45941</v>
      </c>
      <c r="E3099" s="1">
        <f>D3099+5</f>
        <v>45946</v>
      </c>
      <c r="F3099">
        <v>1269</v>
      </c>
      <c r="G3099">
        <v>30</v>
      </c>
      <c r="H3099">
        <f t="shared" si="291"/>
        <v>0</v>
      </c>
      <c r="I3099" t="str">
        <f t="shared" si="295"/>
        <v>On Time</v>
      </c>
      <c r="J3099" cm="1">
        <f t="array" ref="J3099">_xlfn.IFS(H3099&lt;30,0,H3099&lt;60,1,H3099&lt;90,2,H3099&lt;120,3)</f>
        <v>0</v>
      </c>
      <c r="M3099" t="str">
        <f t="shared" si="296"/>
        <v>Low</v>
      </c>
      <c r="N3099" t="str">
        <f t="shared" si="293"/>
        <v>Sep</v>
      </c>
      <c r="O3099">
        <f t="shared" si="294"/>
        <v>2025</v>
      </c>
    </row>
    <row r="3100" spans="1:15" x14ac:dyDescent="0.3">
      <c r="A3100">
        <v>201465</v>
      </c>
      <c r="B3100" t="s">
        <v>95</v>
      </c>
      <c r="C3100" s="2">
        <v>45911</v>
      </c>
      <c r="D3100" s="2">
        <f t="shared" si="292"/>
        <v>45956</v>
      </c>
      <c r="E3100" s="1">
        <f>D3100</f>
        <v>45956</v>
      </c>
      <c r="F3100">
        <v>693</v>
      </c>
      <c r="G3100">
        <v>45</v>
      </c>
      <c r="H3100">
        <f t="shared" si="291"/>
        <v>0</v>
      </c>
      <c r="I3100" t="str">
        <f t="shared" si="295"/>
        <v>On Time</v>
      </c>
      <c r="J3100" cm="1">
        <f t="array" ref="J3100">_xlfn.IFS(H3100&lt;30,0,H3100&lt;60,1,H3100&lt;90,2,H3100&lt;120,3)</f>
        <v>0</v>
      </c>
      <c r="M3100" t="str">
        <f t="shared" si="296"/>
        <v>Low</v>
      </c>
      <c r="N3100" t="str">
        <f t="shared" si="293"/>
        <v>Sep</v>
      </c>
      <c r="O3100">
        <f t="shared" si="294"/>
        <v>2025</v>
      </c>
    </row>
    <row r="3101" spans="1:15" x14ac:dyDescent="0.3">
      <c r="A3101">
        <v>201466</v>
      </c>
      <c r="B3101" t="s">
        <v>96</v>
      </c>
      <c r="C3101" s="2">
        <v>45911</v>
      </c>
      <c r="D3101" s="2">
        <f t="shared" si="292"/>
        <v>45971</v>
      </c>
      <c r="E3101" s="1">
        <f>D3101-1</f>
        <v>45970</v>
      </c>
      <c r="F3101">
        <v>2864</v>
      </c>
      <c r="G3101">
        <v>60</v>
      </c>
      <c r="H3101">
        <f t="shared" si="291"/>
        <v>0</v>
      </c>
      <c r="I3101" t="str">
        <f t="shared" si="295"/>
        <v>On Time</v>
      </c>
      <c r="J3101" cm="1">
        <f t="array" ref="J3101">_xlfn.IFS(H3101&lt;30,0,H3101&lt;60,1,H3101&lt;90,2,H3101&lt;120,3)</f>
        <v>0</v>
      </c>
      <c r="M3101" t="str">
        <f t="shared" si="296"/>
        <v>Low</v>
      </c>
      <c r="N3101" t="str">
        <f t="shared" si="293"/>
        <v>Sep</v>
      </c>
      <c r="O3101">
        <f t="shared" si="294"/>
        <v>2025</v>
      </c>
    </row>
    <row r="3102" spans="1:15" x14ac:dyDescent="0.3">
      <c r="A3102">
        <v>201467</v>
      </c>
      <c r="B3102" t="s">
        <v>97</v>
      </c>
      <c r="C3102" s="2">
        <v>45911</v>
      </c>
      <c r="D3102" s="2">
        <f t="shared" si="292"/>
        <v>45941</v>
      </c>
      <c r="E3102" s="1">
        <f>D3102</f>
        <v>45941</v>
      </c>
      <c r="F3102">
        <v>4014</v>
      </c>
      <c r="G3102">
        <v>30</v>
      </c>
      <c r="H3102">
        <f t="shared" si="291"/>
        <v>0</v>
      </c>
      <c r="I3102" t="str">
        <f t="shared" si="295"/>
        <v>On Time</v>
      </c>
      <c r="J3102" cm="1">
        <f t="array" ref="J3102">_xlfn.IFS(H3102&lt;30,0,H3102&lt;60,1,H3102&lt;90,2,H3102&lt;120,3)</f>
        <v>0</v>
      </c>
      <c r="M3102" t="str">
        <f t="shared" si="296"/>
        <v>Low</v>
      </c>
      <c r="N3102" t="str">
        <f t="shared" si="293"/>
        <v>Sep</v>
      </c>
      <c r="O3102">
        <f t="shared" si="294"/>
        <v>2025</v>
      </c>
    </row>
    <row r="3103" spans="1:15" x14ac:dyDescent="0.3">
      <c r="A3103">
        <v>201468</v>
      </c>
      <c r="B3103" t="s">
        <v>98</v>
      </c>
      <c r="C3103" s="2">
        <v>45911</v>
      </c>
      <c r="D3103" s="2">
        <f t="shared" si="292"/>
        <v>45941</v>
      </c>
      <c r="E3103" s="1">
        <f>D3103+32</f>
        <v>45973</v>
      </c>
      <c r="F3103">
        <v>204</v>
      </c>
      <c r="G3103">
        <v>30</v>
      </c>
      <c r="H3103">
        <f t="shared" si="291"/>
        <v>0</v>
      </c>
      <c r="I3103" t="str">
        <f t="shared" si="295"/>
        <v>On Time</v>
      </c>
      <c r="J3103" cm="1">
        <f t="array" ref="J3103">_xlfn.IFS(H3103&lt;30,0,H3103&lt;60,1,H3103&lt;90,2,H3103&lt;120,3)</f>
        <v>0</v>
      </c>
      <c r="M3103" t="str">
        <f t="shared" si="296"/>
        <v>Low</v>
      </c>
      <c r="N3103" t="str">
        <f t="shared" si="293"/>
        <v>Sep</v>
      </c>
      <c r="O3103">
        <f t="shared" si="294"/>
        <v>2025</v>
      </c>
    </row>
    <row r="3104" spans="1:15" x14ac:dyDescent="0.3">
      <c r="A3104">
        <v>201469</v>
      </c>
      <c r="B3104" t="s">
        <v>99</v>
      </c>
      <c r="C3104" s="2">
        <v>45911</v>
      </c>
      <c r="D3104" s="2">
        <f t="shared" si="292"/>
        <v>45941</v>
      </c>
      <c r="E3104" s="1">
        <f>D3104+15</f>
        <v>45956</v>
      </c>
      <c r="F3104">
        <v>3883</v>
      </c>
      <c r="G3104">
        <v>30</v>
      </c>
      <c r="H3104">
        <f t="shared" si="291"/>
        <v>0</v>
      </c>
      <c r="I3104" t="str">
        <f t="shared" si="295"/>
        <v>On Time</v>
      </c>
      <c r="J3104" cm="1">
        <f t="array" ref="J3104">_xlfn.IFS(H3104&lt;30,0,H3104&lt;60,1,H3104&lt;90,2,H3104&lt;120,3)</f>
        <v>0</v>
      </c>
      <c r="M3104" t="str">
        <f t="shared" si="296"/>
        <v>Low</v>
      </c>
      <c r="N3104" t="str">
        <f t="shared" si="293"/>
        <v>Sep</v>
      </c>
      <c r="O3104">
        <f t="shared" si="294"/>
        <v>2025</v>
      </c>
    </row>
    <row r="3105" spans="1:15" x14ac:dyDescent="0.3">
      <c r="A3105">
        <v>201436</v>
      </c>
      <c r="B3105" t="s">
        <v>39</v>
      </c>
      <c r="C3105" s="2">
        <v>45910</v>
      </c>
      <c r="D3105" s="2">
        <f t="shared" si="292"/>
        <v>45940</v>
      </c>
      <c r="E3105" s="1">
        <f>D3105+15</f>
        <v>45955</v>
      </c>
      <c r="F3105">
        <v>563</v>
      </c>
      <c r="G3105">
        <v>30</v>
      </c>
      <c r="H3105">
        <f t="shared" si="291"/>
        <v>0</v>
      </c>
      <c r="I3105" t="str">
        <f t="shared" si="295"/>
        <v>On Time</v>
      </c>
      <c r="J3105" cm="1">
        <f t="array" ref="J3105">_xlfn.IFS(H3105&lt;30,0,H3105&lt;60,1,H3105&lt;90,2,H3105&lt;120,3)</f>
        <v>0</v>
      </c>
      <c r="M3105" t="str">
        <f t="shared" si="296"/>
        <v>Low</v>
      </c>
      <c r="N3105" t="str">
        <f t="shared" si="293"/>
        <v>Sep</v>
      </c>
      <c r="O3105">
        <f t="shared" si="294"/>
        <v>2025</v>
      </c>
    </row>
    <row r="3106" spans="1:15" x14ac:dyDescent="0.3">
      <c r="A3106">
        <v>201437</v>
      </c>
      <c r="B3106" t="s">
        <v>40</v>
      </c>
      <c r="C3106" s="2">
        <v>45910</v>
      </c>
      <c r="D3106" s="2">
        <f t="shared" si="292"/>
        <v>45940</v>
      </c>
      <c r="E3106" s="1">
        <f>D3106</f>
        <v>45940</v>
      </c>
      <c r="F3106">
        <v>1145</v>
      </c>
      <c r="G3106">
        <v>30</v>
      </c>
      <c r="H3106">
        <f t="shared" si="291"/>
        <v>0</v>
      </c>
      <c r="I3106" t="str">
        <f t="shared" si="295"/>
        <v>On Time</v>
      </c>
      <c r="J3106" cm="1">
        <f t="array" ref="J3106">_xlfn.IFS(H3106&lt;30,0,H3106&lt;60,1,H3106&lt;90,2,H3106&lt;120,3)</f>
        <v>0</v>
      </c>
      <c r="M3106" t="str">
        <f t="shared" si="296"/>
        <v>Low</v>
      </c>
      <c r="N3106" t="str">
        <f t="shared" si="293"/>
        <v>Sep</v>
      </c>
      <c r="O3106">
        <f t="shared" si="294"/>
        <v>2025</v>
      </c>
    </row>
    <row r="3107" spans="1:15" x14ac:dyDescent="0.3">
      <c r="A3107">
        <v>201438</v>
      </c>
      <c r="B3107" t="s">
        <v>41</v>
      </c>
      <c r="C3107" s="2">
        <v>45910</v>
      </c>
      <c r="D3107" s="2">
        <f t="shared" si="292"/>
        <v>45940</v>
      </c>
      <c r="E3107" s="1">
        <f>D3107-2</f>
        <v>45938</v>
      </c>
      <c r="F3107">
        <v>4106</v>
      </c>
      <c r="G3107">
        <v>30</v>
      </c>
      <c r="H3107">
        <f t="shared" si="291"/>
        <v>0</v>
      </c>
      <c r="I3107" t="str">
        <f t="shared" si="295"/>
        <v>On Time</v>
      </c>
      <c r="J3107" cm="1">
        <f t="array" ref="J3107">_xlfn.IFS(H3107&lt;30,0,H3107&lt;60,1,H3107&lt;90,2,H3107&lt;120,3)</f>
        <v>0</v>
      </c>
      <c r="M3107" t="str">
        <f t="shared" si="296"/>
        <v>Low</v>
      </c>
      <c r="N3107" t="str">
        <f t="shared" si="293"/>
        <v>Sep</v>
      </c>
      <c r="O3107">
        <f t="shared" si="294"/>
        <v>2025</v>
      </c>
    </row>
    <row r="3108" spans="1:15" x14ac:dyDescent="0.3">
      <c r="A3108">
        <v>201439</v>
      </c>
      <c r="B3108" t="s">
        <v>42</v>
      </c>
      <c r="C3108" s="2">
        <v>45910</v>
      </c>
      <c r="D3108" s="2">
        <f t="shared" si="292"/>
        <v>45940</v>
      </c>
      <c r="E3108" s="1">
        <f>D3108</f>
        <v>45940</v>
      </c>
      <c r="F3108">
        <v>14839</v>
      </c>
      <c r="G3108">
        <v>30</v>
      </c>
      <c r="H3108">
        <f t="shared" si="291"/>
        <v>0</v>
      </c>
      <c r="I3108" t="str">
        <f t="shared" si="295"/>
        <v>On Time</v>
      </c>
      <c r="J3108" cm="1">
        <f t="array" ref="J3108">_xlfn.IFS(H3108&lt;30,0,H3108&lt;60,1,H3108&lt;90,2,H3108&lt;120,3)</f>
        <v>0</v>
      </c>
      <c r="M3108" t="str">
        <f t="shared" si="296"/>
        <v>Low</v>
      </c>
      <c r="N3108" t="str">
        <f t="shared" si="293"/>
        <v>Sep</v>
      </c>
      <c r="O3108">
        <f t="shared" si="294"/>
        <v>2025</v>
      </c>
    </row>
    <row r="3109" spans="1:15" x14ac:dyDescent="0.3">
      <c r="A3109">
        <v>201440</v>
      </c>
      <c r="B3109" t="s">
        <v>43</v>
      </c>
      <c r="C3109" s="2">
        <v>45910</v>
      </c>
      <c r="D3109" s="2">
        <f t="shared" si="292"/>
        <v>45940</v>
      </c>
      <c r="E3109" s="1">
        <f>D3109+2</f>
        <v>45942</v>
      </c>
      <c r="F3109">
        <v>4211</v>
      </c>
      <c r="G3109">
        <v>30</v>
      </c>
      <c r="H3109">
        <f t="shared" si="291"/>
        <v>0</v>
      </c>
      <c r="I3109" t="str">
        <f t="shared" si="295"/>
        <v>On Time</v>
      </c>
      <c r="J3109" cm="1">
        <f t="array" ref="J3109">_xlfn.IFS(H3109&lt;30,0,H3109&lt;60,1,H3109&lt;90,2,H3109&lt;120,3)</f>
        <v>0</v>
      </c>
      <c r="M3109" t="str">
        <f t="shared" si="296"/>
        <v>Low</v>
      </c>
      <c r="N3109" t="str">
        <f t="shared" si="293"/>
        <v>Sep</v>
      </c>
      <c r="O3109">
        <f t="shared" si="294"/>
        <v>2025</v>
      </c>
    </row>
    <row r="3110" spans="1:15" x14ac:dyDescent="0.3">
      <c r="A3110">
        <v>201441</v>
      </c>
      <c r="B3110" t="s">
        <v>44</v>
      </c>
      <c r="C3110" s="2">
        <v>45910</v>
      </c>
      <c r="D3110" s="2">
        <f t="shared" si="292"/>
        <v>45955</v>
      </c>
      <c r="E3110" s="1">
        <f>D3110+2</f>
        <v>45957</v>
      </c>
      <c r="F3110">
        <v>3307</v>
      </c>
      <c r="G3110">
        <v>45</v>
      </c>
      <c r="H3110">
        <f t="shared" ref="H3110:H3173" si="297">MAX(0,P3075-D3110)</f>
        <v>0</v>
      </c>
      <c r="I3110" t="str">
        <f t="shared" si="295"/>
        <v>On Time</v>
      </c>
      <c r="J3110" cm="1">
        <f t="array" ref="J3110">_xlfn.IFS(H3110&lt;30,0,H3110&lt;60,1,H3110&lt;90,2,H3110&lt;120,3)</f>
        <v>0</v>
      </c>
      <c r="M3110" t="str">
        <f t="shared" si="296"/>
        <v>Low</v>
      </c>
      <c r="N3110" t="str">
        <f t="shared" si="293"/>
        <v>Sep</v>
      </c>
      <c r="O3110">
        <f t="shared" si="294"/>
        <v>2025</v>
      </c>
    </row>
    <row r="3111" spans="1:15" x14ac:dyDescent="0.3">
      <c r="A3111">
        <v>201442</v>
      </c>
      <c r="B3111" t="s">
        <v>20</v>
      </c>
      <c r="C3111" s="2">
        <v>45910</v>
      </c>
      <c r="D3111" s="2">
        <f t="shared" si="292"/>
        <v>45940</v>
      </c>
      <c r="E3111" s="1">
        <f>D3111+2</f>
        <v>45942</v>
      </c>
      <c r="F3111">
        <v>388</v>
      </c>
      <c r="G3111">
        <v>30</v>
      </c>
      <c r="H3111">
        <f t="shared" si="297"/>
        <v>0</v>
      </c>
      <c r="I3111" t="str">
        <f t="shared" si="295"/>
        <v>On Time</v>
      </c>
      <c r="J3111" cm="1">
        <f t="array" ref="J3111">_xlfn.IFS(H3111&lt;30,0,H3111&lt;60,1,H3111&lt;90,2,H3111&lt;120,3)</f>
        <v>0</v>
      </c>
      <c r="M3111" t="str">
        <f t="shared" si="296"/>
        <v>Low</v>
      </c>
      <c r="N3111" t="str">
        <f t="shared" si="293"/>
        <v>Sep</v>
      </c>
      <c r="O3111">
        <f t="shared" si="294"/>
        <v>2025</v>
      </c>
    </row>
    <row r="3112" spans="1:15" x14ac:dyDescent="0.3">
      <c r="A3112">
        <v>201443</v>
      </c>
      <c r="B3112" t="s">
        <v>21</v>
      </c>
      <c r="C3112" s="2">
        <v>45910</v>
      </c>
      <c r="D3112" s="2">
        <f t="shared" si="292"/>
        <v>45940</v>
      </c>
      <c r="E3112" s="1">
        <f>D3112</f>
        <v>45940</v>
      </c>
      <c r="F3112">
        <v>964</v>
      </c>
      <c r="G3112">
        <v>30</v>
      </c>
      <c r="H3112">
        <f t="shared" si="297"/>
        <v>0</v>
      </c>
      <c r="I3112" t="str">
        <f t="shared" si="295"/>
        <v>On Time</v>
      </c>
      <c r="J3112" cm="1">
        <f t="array" ref="J3112">_xlfn.IFS(H3112&lt;30,0,H3112&lt;60,1,H3112&lt;90,2,H3112&lt;120,3)</f>
        <v>0</v>
      </c>
      <c r="M3112" t="str">
        <f t="shared" si="296"/>
        <v>Low</v>
      </c>
      <c r="N3112" t="str">
        <f t="shared" si="293"/>
        <v>Sep</v>
      </c>
      <c r="O3112">
        <f t="shared" si="294"/>
        <v>2025</v>
      </c>
    </row>
    <row r="3113" spans="1:15" x14ac:dyDescent="0.3">
      <c r="A3113">
        <v>201444</v>
      </c>
      <c r="B3113" t="s">
        <v>22</v>
      </c>
      <c r="C3113" s="2">
        <v>45910</v>
      </c>
      <c r="D3113" s="2">
        <f t="shared" si="292"/>
        <v>45940</v>
      </c>
      <c r="E3113" s="1">
        <f>D3113+20</f>
        <v>45960</v>
      </c>
      <c r="F3113">
        <v>945</v>
      </c>
      <c r="G3113">
        <v>30</v>
      </c>
      <c r="H3113">
        <f t="shared" si="297"/>
        <v>0</v>
      </c>
      <c r="I3113" t="str">
        <f t="shared" si="295"/>
        <v>On Time</v>
      </c>
      <c r="J3113" cm="1">
        <f t="array" ref="J3113">_xlfn.IFS(H3113&lt;30,0,H3113&lt;60,1,H3113&lt;90,2,H3113&lt;120,3)</f>
        <v>0</v>
      </c>
      <c r="M3113" t="str">
        <f t="shared" si="296"/>
        <v>Low</v>
      </c>
      <c r="N3113" t="str">
        <f t="shared" si="293"/>
        <v>Sep</v>
      </c>
      <c r="O3113">
        <f t="shared" si="294"/>
        <v>2025</v>
      </c>
    </row>
    <row r="3114" spans="1:15" x14ac:dyDescent="0.3">
      <c r="A3114">
        <v>201445</v>
      </c>
      <c r="B3114" t="s">
        <v>23</v>
      </c>
      <c r="C3114" s="2">
        <v>45910</v>
      </c>
      <c r="D3114" s="2">
        <f t="shared" si="292"/>
        <v>45955</v>
      </c>
      <c r="E3114" s="1">
        <f>D3114</f>
        <v>45955</v>
      </c>
      <c r="F3114">
        <v>3137</v>
      </c>
      <c r="G3114">
        <v>45</v>
      </c>
      <c r="H3114">
        <f t="shared" si="297"/>
        <v>0</v>
      </c>
      <c r="I3114" t="str">
        <f t="shared" si="295"/>
        <v>On Time</v>
      </c>
      <c r="J3114" cm="1">
        <f t="array" ref="J3114">_xlfn.IFS(H3114&lt;30,0,H3114&lt;60,1,H3114&lt;90,2,H3114&lt;120,3)</f>
        <v>0</v>
      </c>
      <c r="M3114" t="str">
        <f t="shared" si="296"/>
        <v>Low</v>
      </c>
      <c r="N3114" t="str">
        <f t="shared" si="293"/>
        <v>Sep</v>
      </c>
      <c r="O3114">
        <f t="shared" si="294"/>
        <v>2025</v>
      </c>
    </row>
    <row r="3115" spans="1:15" x14ac:dyDescent="0.3">
      <c r="A3115">
        <v>201446</v>
      </c>
      <c r="B3115" t="s">
        <v>24</v>
      </c>
      <c r="C3115" s="2">
        <v>45910</v>
      </c>
      <c r="D3115" s="2">
        <f t="shared" si="292"/>
        <v>45955</v>
      </c>
      <c r="E3115" s="1">
        <f>D3115+1</f>
        <v>45956</v>
      </c>
      <c r="F3115">
        <v>4536</v>
      </c>
      <c r="G3115">
        <v>45</v>
      </c>
      <c r="H3115">
        <f t="shared" si="297"/>
        <v>0</v>
      </c>
      <c r="I3115" t="str">
        <f t="shared" si="295"/>
        <v>On Time</v>
      </c>
      <c r="J3115" cm="1">
        <f t="array" ref="J3115">_xlfn.IFS(H3115&lt;30,0,H3115&lt;60,1,H3115&lt;90,2,H3115&lt;120,3)</f>
        <v>0</v>
      </c>
      <c r="M3115" t="str">
        <f t="shared" si="296"/>
        <v>Low</v>
      </c>
      <c r="N3115" t="str">
        <f t="shared" si="293"/>
        <v>Sep</v>
      </c>
      <c r="O3115">
        <f t="shared" si="294"/>
        <v>2025</v>
      </c>
    </row>
    <row r="3116" spans="1:15" x14ac:dyDescent="0.3">
      <c r="A3116">
        <v>201447</v>
      </c>
      <c r="B3116" t="s">
        <v>25</v>
      </c>
      <c r="C3116" s="2">
        <v>45910</v>
      </c>
      <c r="D3116" s="2">
        <f t="shared" si="292"/>
        <v>45970</v>
      </c>
      <c r="E3116" s="1">
        <f>D3116</f>
        <v>45970</v>
      </c>
      <c r="F3116">
        <v>4991</v>
      </c>
      <c r="G3116">
        <v>60</v>
      </c>
      <c r="H3116">
        <f t="shared" si="297"/>
        <v>0</v>
      </c>
      <c r="I3116" t="str">
        <f t="shared" si="295"/>
        <v>On Time</v>
      </c>
      <c r="J3116" cm="1">
        <f t="array" ref="J3116">_xlfn.IFS(H3116&lt;30,0,H3116&lt;60,1,H3116&lt;90,2,H3116&lt;120,3)</f>
        <v>0</v>
      </c>
      <c r="M3116" t="str">
        <f t="shared" si="296"/>
        <v>Low</v>
      </c>
      <c r="N3116" t="str">
        <f t="shared" si="293"/>
        <v>Sep</v>
      </c>
      <c r="O3116">
        <f t="shared" si="294"/>
        <v>2025</v>
      </c>
    </row>
    <row r="3117" spans="1:15" x14ac:dyDescent="0.3">
      <c r="A3117">
        <v>201448</v>
      </c>
      <c r="B3117" t="s">
        <v>26</v>
      </c>
      <c r="C3117" s="2">
        <v>45910</v>
      </c>
      <c r="D3117" s="2">
        <f t="shared" si="292"/>
        <v>45940</v>
      </c>
      <c r="E3117" s="1">
        <f>D3117</f>
        <v>45940</v>
      </c>
      <c r="F3117">
        <v>2849</v>
      </c>
      <c r="G3117">
        <v>30</v>
      </c>
      <c r="H3117">
        <f t="shared" si="297"/>
        <v>0</v>
      </c>
      <c r="I3117" t="str">
        <f t="shared" si="295"/>
        <v>On Time</v>
      </c>
      <c r="J3117" cm="1">
        <f t="array" ref="J3117">_xlfn.IFS(H3117&lt;30,0,H3117&lt;60,1,H3117&lt;90,2,H3117&lt;120,3)</f>
        <v>0</v>
      </c>
      <c r="M3117" t="str">
        <f t="shared" si="296"/>
        <v>Low</v>
      </c>
      <c r="N3117" t="str">
        <f t="shared" si="293"/>
        <v>Sep</v>
      </c>
      <c r="O3117">
        <f t="shared" si="294"/>
        <v>2025</v>
      </c>
    </row>
    <row r="3118" spans="1:15" x14ac:dyDescent="0.3">
      <c r="A3118">
        <v>201449</v>
      </c>
      <c r="B3118" t="s">
        <v>27</v>
      </c>
      <c r="C3118" s="2">
        <v>45910</v>
      </c>
      <c r="D3118" s="2">
        <f t="shared" si="292"/>
        <v>45970</v>
      </c>
      <c r="E3118" s="1">
        <f>D3118+5</f>
        <v>45975</v>
      </c>
      <c r="F3118">
        <v>246</v>
      </c>
      <c r="G3118">
        <v>60</v>
      </c>
      <c r="H3118">
        <f t="shared" si="297"/>
        <v>0</v>
      </c>
      <c r="I3118" t="str">
        <f t="shared" si="295"/>
        <v>On Time</v>
      </c>
      <c r="J3118" cm="1">
        <f t="array" ref="J3118">_xlfn.IFS(H3118&lt;30,0,H3118&lt;60,1,H3118&lt;90,2,H3118&lt;120,3)</f>
        <v>0</v>
      </c>
      <c r="M3118" t="str">
        <f t="shared" si="296"/>
        <v>Low</v>
      </c>
      <c r="N3118" t="str">
        <f t="shared" si="293"/>
        <v>Sep</v>
      </c>
      <c r="O3118">
        <f t="shared" si="294"/>
        <v>2025</v>
      </c>
    </row>
    <row r="3119" spans="1:15" x14ac:dyDescent="0.3">
      <c r="A3119">
        <v>201450</v>
      </c>
      <c r="B3119" t="s">
        <v>28</v>
      </c>
      <c r="C3119" s="2">
        <v>45910</v>
      </c>
      <c r="D3119" s="2">
        <f t="shared" si="292"/>
        <v>45940</v>
      </c>
      <c r="E3119" s="1">
        <f>D3119+2</f>
        <v>45942</v>
      </c>
      <c r="F3119">
        <v>4240</v>
      </c>
      <c r="G3119">
        <v>30</v>
      </c>
      <c r="H3119">
        <f t="shared" si="297"/>
        <v>0</v>
      </c>
      <c r="I3119" t="str">
        <f t="shared" si="295"/>
        <v>On Time</v>
      </c>
      <c r="J3119" cm="1">
        <f t="array" ref="J3119">_xlfn.IFS(H3119&lt;30,0,H3119&lt;60,1,H3119&lt;90,2,H3119&lt;120,3)</f>
        <v>0</v>
      </c>
      <c r="M3119" t="str">
        <f t="shared" si="296"/>
        <v>Low</v>
      </c>
      <c r="N3119" t="str">
        <f t="shared" si="293"/>
        <v>Sep</v>
      </c>
      <c r="O3119">
        <f t="shared" si="294"/>
        <v>2025</v>
      </c>
    </row>
    <row r="3120" spans="1:15" x14ac:dyDescent="0.3">
      <c r="A3120">
        <v>201451</v>
      </c>
      <c r="B3120" t="s">
        <v>29</v>
      </c>
      <c r="C3120" s="2">
        <v>45910</v>
      </c>
      <c r="D3120" s="2">
        <f t="shared" si="292"/>
        <v>45940</v>
      </c>
      <c r="E3120" s="1">
        <f>D3120</f>
        <v>45940</v>
      </c>
      <c r="F3120">
        <v>6087</v>
      </c>
      <c r="G3120">
        <v>30</v>
      </c>
      <c r="H3120">
        <f t="shared" si="297"/>
        <v>0</v>
      </c>
      <c r="I3120" t="str">
        <f t="shared" si="295"/>
        <v>On Time</v>
      </c>
      <c r="J3120" cm="1">
        <f t="array" ref="J3120">_xlfn.IFS(H3120&lt;30,0,H3120&lt;60,1,H3120&lt;90,2,H3120&lt;120,3)</f>
        <v>0</v>
      </c>
      <c r="M3120" t="str">
        <f t="shared" si="296"/>
        <v>Low</v>
      </c>
      <c r="N3120" t="str">
        <f t="shared" si="293"/>
        <v>Sep</v>
      </c>
      <c r="O3120">
        <f t="shared" si="294"/>
        <v>2025</v>
      </c>
    </row>
    <row r="3121" spans="1:15" x14ac:dyDescent="0.3">
      <c r="A3121">
        <v>201452</v>
      </c>
      <c r="B3121" t="s">
        <v>75</v>
      </c>
      <c r="C3121" s="2">
        <v>45910</v>
      </c>
      <c r="D3121" s="2">
        <f t="shared" si="292"/>
        <v>45970</v>
      </c>
      <c r="E3121" s="1">
        <f>D3121</f>
        <v>45970</v>
      </c>
      <c r="F3121">
        <v>2978</v>
      </c>
      <c r="G3121">
        <v>60</v>
      </c>
      <c r="H3121">
        <f t="shared" si="297"/>
        <v>0</v>
      </c>
      <c r="I3121" t="str">
        <f t="shared" si="295"/>
        <v>On Time</v>
      </c>
      <c r="J3121" cm="1">
        <f t="array" ref="J3121">_xlfn.IFS(H3121&lt;30,0,H3121&lt;60,1,H3121&lt;90,2,H3121&lt;120,3)</f>
        <v>0</v>
      </c>
      <c r="M3121" t="str">
        <f t="shared" si="296"/>
        <v>Low</v>
      </c>
      <c r="N3121" t="str">
        <f t="shared" si="293"/>
        <v>Sep</v>
      </c>
      <c r="O3121">
        <f t="shared" si="294"/>
        <v>2025</v>
      </c>
    </row>
    <row r="3122" spans="1:15" x14ac:dyDescent="0.3">
      <c r="A3122">
        <v>201418</v>
      </c>
      <c r="B3122" t="s">
        <v>73</v>
      </c>
      <c r="C3122" s="2">
        <v>45909</v>
      </c>
      <c r="D3122" s="2">
        <f t="shared" si="292"/>
        <v>45954</v>
      </c>
      <c r="E3122" s="1">
        <f>D3122+5</f>
        <v>45959</v>
      </c>
      <c r="F3122">
        <v>1565</v>
      </c>
      <c r="G3122">
        <v>45</v>
      </c>
      <c r="H3122">
        <f t="shared" si="297"/>
        <v>0</v>
      </c>
      <c r="I3122" t="str">
        <f t="shared" si="295"/>
        <v>On Time</v>
      </c>
      <c r="J3122" cm="1">
        <f t="array" ref="J3122">_xlfn.IFS(H3122&lt;30,0,H3122&lt;60,1,H3122&lt;90,2,H3122&lt;120,3)</f>
        <v>0</v>
      </c>
      <c r="M3122" t="str">
        <f t="shared" si="296"/>
        <v>Low</v>
      </c>
      <c r="N3122" t="str">
        <f t="shared" si="293"/>
        <v>Sep</v>
      </c>
      <c r="O3122">
        <f t="shared" si="294"/>
        <v>2025</v>
      </c>
    </row>
    <row r="3123" spans="1:15" x14ac:dyDescent="0.3">
      <c r="A3123">
        <v>201419</v>
      </c>
      <c r="B3123" t="s">
        <v>74</v>
      </c>
      <c r="C3123" s="2">
        <v>45909</v>
      </c>
      <c r="D3123" s="2">
        <f t="shared" si="292"/>
        <v>45954</v>
      </c>
      <c r="E3123" s="1">
        <f>D3123</f>
        <v>45954</v>
      </c>
      <c r="F3123">
        <v>2344</v>
      </c>
      <c r="G3123">
        <v>45</v>
      </c>
      <c r="H3123">
        <f t="shared" si="297"/>
        <v>0</v>
      </c>
      <c r="I3123" t="str">
        <f t="shared" si="295"/>
        <v>On Time</v>
      </c>
      <c r="J3123" cm="1">
        <f t="array" ref="J3123">_xlfn.IFS(H3123&lt;30,0,H3123&lt;60,1,H3123&lt;90,2,H3123&lt;120,3)</f>
        <v>0</v>
      </c>
      <c r="M3123" t="str">
        <f t="shared" si="296"/>
        <v>Low</v>
      </c>
      <c r="N3123" t="str">
        <f t="shared" si="293"/>
        <v>Sep</v>
      </c>
      <c r="O3123">
        <f t="shared" si="294"/>
        <v>2025</v>
      </c>
    </row>
    <row r="3124" spans="1:15" x14ac:dyDescent="0.3">
      <c r="A3124">
        <v>201420</v>
      </c>
      <c r="B3124" t="s">
        <v>75</v>
      </c>
      <c r="C3124" s="2">
        <v>45909</v>
      </c>
      <c r="D3124" s="2">
        <f t="shared" si="292"/>
        <v>45969</v>
      </c>
      <c r="E3124" s="1">
        <f>D3124</f>
        <v>45969</v>
      </c>
      <c r="F3124">
        <v>3857</v>
      </c>
      <c r="G3124">
        <v>60</v>
      </c>
      <c r="H3124">
        <f t="shared" si="297"/>
        <v>0</v>
      </c>
      <c r="I3124" t="str">
        <f t="shared" si="295"/>
        <v>On Time</v>
      </c>
      <c r="J3124" cm="1">
        <f t="array" ref="J3124">_xlfn.IFS(H3124&lt;30,0,H3124&lt;60,1,H3124&lt;90,2,H3124&lt;120,3)</f>
        <v>0</v>
      </c>
      <c r="M3124" t="str">
        <f t="shared" si="296"/>
        <v>Low</v>
      </c>
      <c r="N3124" t="str">
        <f t="shared" si="293"/>
        <v>Sep</v>
      </c>
      <c r="O3124">
        <f t="shared" si="294"/>
        <v>2025</v>
      </c>
    </row>
    <row r="3125" spans="1:15" x14ac:dyDescent="0.3">
      <c r="A3125">
        <v>201421</v>
      </c>
      <c r="B3125" t="s">
        <v>76</v>
      </c>
      <c r="C3125" s="2">
        <v>45909</v>
      </c>
      <c r="D3125" s="2">
        <f t="shared" si="292"/>
        <v>45939</v>
      </c>
      <c r="E3125" s="1">
        <f>D3125+60</f>
        <v>45999</v>
      </c>
      <c r="F3125">
        <v>2783</v>
      </c>
      <c r="G3125">
        <v>30</v>
      </c>
      <c r="H3125">
        <f t="shared" si="297"/>
        <v>0</v>
      </c>
      <c r="I3125" t="str">
        <f t="shared" si="295"/>
        <v>On Time</v>
      </c>
      <c r="J3125" cm="1">
        <f t="array" ref="J3125">_xlfn.IFS(H3125&lt;30,0,H3125&lt;60,1,H3125&lt;90,2,H3125&lt;120,3)</f>
        <v>0</v>
      </c>
      <c r="M3125" t="str">
        <f t="shared" si="296"/>
        <v>Low</v>
      </c>
      <c r="N3125" t="str">
        <f t="shared" si="293"/>
        <v>Sep</v>
      </c>
      <c r="O3125">
        <f t="shared" si="294"/>
        <v>2025</v>
      </c>
    </row>
    <row r="3126" spans="1:15" x14ac:dyDescent="0.3">
      <c r="A3126">
        <v>201422</v>
      </c>
      <c r="B3126" t="s">
        <v>44</v>
      </c>
      <c r="C3126" s="2">
        <v>45909</v>
      </c>
      <c r="D3126" s="2">
        <f t="shared" si="292"/>
        <v>45954</v>
      </c>
      <c r="E3126" s="1">
        <f>D3126</f>
        <v>45954</v>
      </c>
      <c r="F3126">
        <v>4983</v>
      </c>
      <c r="G3126">
        <v>45</v>
      </c>
      <c r="H3126">
        <f t="shared" si="297"/>
        <v>0</v>
      </c>
      <c r="I3126" t="str">
        <f t="shared" si="295"/>
        <v>On Time</v>
      </c>
      <c r="J3126" cm="1">
        <f t="array" ref="J3126">_xlfn.IFS(H3126&lt;30,0,H3126&lt;60,1,H3126&lt;90,2,H3126&lt;120,3)</f>
        <v>0</v>
      </c>
      <c r="M3126" t="str">
        <f t="shared" si="296"/>
        <v>Low</v>
      </c>
      <c r="N3126" t="str">
        <f t="shared" si="293"/>
        <v>Sep</v>
      </c>
      <c r="O3126">
        <f t="shared" si="294"/>
        <v>2025</v>
      </c>
    </row>
    <row r="3127" spans="1:15" x14ac:dyDescent="0.3">
      <c r="A3127">
        <v>201423</v>
      </c>
      <c r="B3127" t="s">
        <v>45</v>
      </c>
      <c r="C3127" s="2">
        <v>45909</v>
      </c>
      <c r="D3127" s="2">
        <f t="shared" si="292"/>
        <v>45954</v>
      </c>
      <c r="F3127">
        <v>2775</v>
      </c>
      <c r="G3127">
        <v>45</v>
      </c>
      <c r="H3127">
        <f t="shared" si="297"/>
        <v>0</v>
      </c>
      <c r="I3127" t="str">
        <f t="shared" si="295"/>
        <v>On Time</v>
      </c>
      <c r="J3127" cm="1">
        <f t="array" ref="J3127">_xlfn.IFS(H3127&lt;30,0,H3127&lt;60,1,H3127&lt;90,2,H3127&lt;120,3)</f>
        <v>0</v>
      </c>
      <c r="M3127" t="str">
        <f t="shared" si="296"/>
        <v>Low</v>
      </c>
      <c r="N3127" t="str">
        <f t="shared" si="293"/>
        <v>Sep</v>
      </c>
      <c r="O3127">
        <f t="shared" si="294"/>
        <v>2025</v>
      </c>
    </row>
    <row r="3128" spans="1:15" x14ac:dyDescent="0.3">
      <c r="A3128">
        <v>201424</v>
      </c>
      <c r="B3128" t="s">
        <v>46</v>
      </c>
      <c r="C3128" s="2">
        <v>45909</v>
      </c>
      <c r="D3128" s="2">
        <f t="shared" si="292"/>
        <v>45969</v>
      </c>
      <c r="E3128" s="1">
        <f>D3128+3</f>
        <v>45972</v>
      </c>
      <c r="F3128">
        <v>4309</v>
      </c>
      <c r="G3128">
        <v>60</v>
      </c>
      <c r="H3128">
        <f t="shared" si="297"/>
        <v>0</v>
      </c>
      <c r="I3128" t="str">
        <f t="shared" si="295"/>
        <v>On Time</v>
      </c>
      <c r="J3128" cm="1">
        <f t="array" ref="J3128">_xlfn.IFS(H3128&lt;30,0,H3128&lt;60,1,H3128&lt;90,2,H3128&lt;120,3)</f>
        <v>0</v>
      </c>
      <c r="M3128" t="str">
        <f t="shared" si="296"/>
        <v>Low</v>
      </c>
      <c r="N3128" t="str">
        <f t="shared" si="293"/>
        <v>Sep</v>
      </c>
      <c r="O3128">
        <f t="shared" si="294"/>
        <v>2025</v>
      </c>
    </row>
    <row r="3129" spans="1:15" x14ac:dyDescent="0.3">
      <c r="A3129">
        <v>201425</v>
      </c>
      <c r="B3129" t="s">
        <v>47</v>
      </c>
      <c r="C3129" s="2">
        <v>45909</v>
      </c>
      <c r="D3129" s="2">
        <f t="shared" si="292"/>
        <v>45969</v>
      </c>
      <c r="E3129" s="1">
        <f>D3129+1</f>
        <v>45970</v>
      </c>
      <c r="F3129">
        <v>1636</v>
      </c>
      <c r="G3129">
        <v>60</v>
      </c>
      <c r="H3129">
        <f t="shared" si="297"/>
        <v>0</v>
      </c>
      <c r="I3129" t="str">
        <f t="shared" si="295"/>
        <v>On Time</v>
      </c>
      <c r="J3129" cm="1">
        <f t="array" ref="J3129">_xlfn.IFS(H3129&lt;30,0,H3129&lt;60,1,H3129&lt;90,2,H3129&lt;120,3)</f>
        <v>0</v>
      </c>
      <c r="M3129" t="str">
        <f t="shared" si="296"/>
        <v>Low</v>
      </c>
      <c r="N3129" t="str">
        <f t="shared" si="293"/>
        <v>Sep</v>
      </c>
      <c r="O3129">
        <f t="shared" si="294"/>
        <v>2025</v>
      </c>
    </row>
    <row r="3130" spans="1:15" x14ac:dyDescent="0.3">
      <c r="A3130">
        <v>201426</v>
      </c>
      <c r="B3130" t="s">
        <v>48</v>
      </c>
      <c r="C3130" s="2">
        <v>45909</v>
      </c>
      <c r="D3130" s="2">
        <f t="shared" si="292"/>
        <v>45954</v>
      </c>
      <c r="E3130" s="1">
        <f>D3130-1</f>
        <v>45953</v>
      </c>
      <c r="F3130">
        <v>925</v>
      </c>
      <c r="G3130">
        <v>45</v>
      </c>
      <c r="H3130">
        <f t="shared" si="297"/>
        <v>0</v>
      </c>
      <c r="I3130" t="str">
        <f t="shared" si="295"/>
        <v>On Time</v>
      </c>
      <c r="J3130" cm="1">
        <f t="array" ref="J3130">_xlfn.IFS(H3130&lt;30,0,H3130&lt;60,1,H3130&lt;90,2,H3130&lt;120,3)</f>
        <v>0</v>
      </c>
      <c r="M3130" t="str">
        <f t="shared" si="296"/>
        <v>Low</v>
      </c>
      <c r="N3130" t="str">
        <f t="shared" si="293"/>
        <v>Sep</v>
      </c>
      <c r="O3130">
        <f t="shared" si="294"/>
        <v>2025</v>
      </c>
    </row>
    <row r="3131" spans="1:15" x14ac:dyDescent="0.3">
      <c r="A3131">
        <v>201427</v>
      </c>
      <c r="B3131" t="s">
        <v>49</v>
      </c>
      <c r="C3131" s="2">
        <v>45909</v>
      </c>
      <c r="D3131" s="2">
        <f t="shared" si="292"/>
        <v>45939</v>
      </c>
      <c r="E3131" s="1">
        <f>D3131</f>
        <v>45939</v>
      </c>
      <c r="F3131">
        <v>4967</v>
      </c>
      <c r="G3131">
        <v>30</v>
      </c>
      <c r="H3131">
        <f t="shared" si="297"/>
        <v>0</v>
      </c>
      <c r="I3131" t="str">
        <f t="shared" si="295"/>
        <v>On Time</v>
      </c>
      <c r="J3131" cm="1">
        <f t="array" ref="J3131">_xlfn.IFS(H3131&lt;30,0,H3131&lt;60,1,H3131&lt;90,2,H3131&lt;120,3)</f>
        <v>0</v>
      </c>
      <c r="M3131" t="str">
        <f t="shared" si="296"/>
        <v>Low</v>
      </c>
      <c r="N3131" t="str">
        <f t="shared" si="293"/>
        <v>Sep</v>
      </c>
      <c r="O3131">
        <f t="shared" si="294"/>
        <v>2025</v>
      </c>
    </row>
    <row r="3132" spans="1:15" x14ac:dyDescent="0.3">
      <c r="A3132">
        <v>201428</v>
      </c>
      <c r="B3132" t="s">
        <v>50</v>
      </c>
      <c r="C3132" s="2">
        <v>45909</v>
      </c>
      <c r="D3132" s="2">
        <f t="shared" si="292"/>
        <v>45939</v>
      </c>
      <c r="E3132" s="1">
        <f>D3132-5</f>
        <v>45934</v>
      </c>
      <c r="F3132">
        <v>1993</v>
      </c>
      <c r="G3132">
        <v>30</v>
      </c>
      <c r="H3132">
        <f t="shared" si="297"/>
        <v>0</v>
      </c>
      <c r="I3132" t="str">
        <f t="shared" si="295"/>
        <v>On Time</v>
      </c>
      <c r="J3132" cm="1">
        <f t="array" ref="J3132">_xlfn.IFS(H3132&lt;30,0,H3132&lt;60,1,H3132&lt;90,2,H3132&lt;120,3)</f>
        <v>0</v>
      </c>
      <c r="M3132" t="str">
        <f t="shared" si="296"/>
        <v>Low</v>
      </c>
      <c r="N3132" t="str">
        <f t="shared" si="293"/>
        <v>Sep</v>
      </c>
      <c r="O3132">
        <f t="shared" si="294"/>
        <v>2025</v>
      </c>
    </row>
    <row r="3133" spans="1:15" x14ac:dyDescent="0.3">
      <c r="A3133">
        <v>201429</v>
      </c>
      <c r="B3133" t="s">
        <v>51</v>
      </c>
      <c r="C3133" s="2">
        <v>45909</v>
      </c>
      <c r="D3133" s="2">
        <f t="shared" si="292"/>
        <v>45939</v>
      </c>
      <c r="E3133" s="1">
        <f>D3133+35</f>
        <v>45974</v>
      </c>
      <c r="F3133">
        <v>331</v>
      </c>
      <c r="G3133">
        <v>30</v>
      </c>
      <c r="H3133">
        <f t="shared" si="297"/>
        <v>0</v>
      </c>
      <c r="I3133" t="str">
        <f t="shared" si="295"/>
        <v>On Time</v>
      </c>
      <c r="J3133" cm="1">
        <f t="array" ref="J3133">_xlfn.IFS(H3133&lt;30,0,H3133&lt;60,1,H3133&lt;90,2,H3133&lt;120,3)</f>
        <v>0</v>
      </c>
      <c r="M3133" t="str">
        <f t="shared" si="296"/>
        <v>Low</v>
      </c>
      <c r="N3133" t="str">
        <f t="shared" si="293"/>
        <v>Sep</v>
      </c>
      <c r="O3133">
        <f t="shared" si="294"/>
        <v>2025</v>
      </c>
    </row>
    <row r="3134" spans="1:15" x14ac:dyDescent="0.3">
      <c r="A3134">
        <v>201430</v>
      </c>
      <c r="B3134" t="s">
        <v>52</v>
      </c>
      <c r="C3134" s="2">
        <v>45909</v>
      </c>
      <c r="D3134" s="2">
        <f t="shared" si="292"/>
        <v>45939</v>
      </c>
      <c r="E3134" s="1">
        <f>D3134+75</f>
        <v>46014</v>
      </c>
      <c r="F3134">
        <v>2979</v>
      </c>
      <c r="G3134">
        <v>30</v>
      </c>
      <c r="H3134">
        <f t="shared" si="297"/>
        <v>0</v>
      </c>
      <c r="I3134" t="str">
        <f t="shared" si="295"/>
        <v>On Time</v>
      </c>
      <c r="J3134" cm="1">
        <f t="array" ref="J3134">_xlfn.IFS(H3134&lt;30,0,H3134&lt;60,1,H3134&lt;90,2,H3134&lt;120,3)</f>
        <v>0</v>
      </c>
      <c r="M3134" t="str">
        <f t="shared" si="296"/>
        <v>Low</v>
      </c>
      <c r="N3134" t="str">
        <f t="shared" si="293"/>
        <v>Sep</v>
      </c>
      <c r="O3134">
        <f t="shared" si="294"/>
        <v>2025</v>
      </c>
    </row>
    <row r="3135" spans="1:15" x14ac:dyDescent="0.3">
      <c r="A3135">
        <v>201431</v>
      </c>
      <c r="B3135" t="s">
        <v>53</v>
      </c>
      <c r="C3135" s="2">
        <v>45909</v>
      </c>
      <c r="D3135" s="2">
        <f t="shared" si="292"/>
        <v>45939</v>
      </c>
      <c r="E3135" s="1">
        <f>D3135+5</f>
        <v>45944</v>
      </c>
      <c r="F3135">
        <v>3224</v>
      </c>
      <c r="G3135">
        <v>30</v>
      </c>
      <c r="H3135">
        <f t="shared" si="297"/>
        <v>0</v>
      </c>
      <c r="I3135" t="str">
        <f t="shared" si="295"/>
        <v>On Time</v>
      </c>
      <c r="J3135" cm="1">
        <f t="array" ref="J3135">_xlfn.IFS(H3135&lt;30,0,H3135&lt;60,1,H3135&lt;90,2,H3135&lt;120,3)</f>
        <v>0</v>
      </c>
      <c r="M3135" t="str">
        <f t="shared" si="296"/>
        <v>Low</v>
      </c>
      <c r="N3135" t="str">
        <f t="shared" si="293"/>
        <v>Sep</v>
      </c>
      <c r="O3135">
        <f t="shared" si="294"/>
        <v>2025</v>
      </c>
    </row>
    <row r="3136" spans="1:15" x14ac:dyDescent="0.3">
      <c r="A3136">
        <v>201432</v>
      </c>
      <c r="B3136" t="s">
        <v>54</v>
      </c>
      <c r="C3136" s="2">
        <v>45909</v>
      </c>
      <c r="D3136" s="2">
        <f t="shared" si="292"/>
        <v>45939</v>
      </c>
      <c r="E3136" s="1">
        <f>D3136</f>
        <v>45939</v>
      </c>
      <c r="F3136">
        <v>4501</v>
      </c>
      <c r="G3136">
        <v>30</v>
      </c>
      <c r="H3136">
        <f t="shared" si="297"/>
        <v>0</v>
      </c>
      <c r="I3136" t="str">
        <f t="shared" si="295"/>
        <v>On Time</v>
      </c>
      <c r="J3136" cm="1">
        <f t="array" ref="J3136">_xlfn.IFS(H3136&lt;30,0,H3136&lt;60,1,H3136&lt;90,2,H3136&lt;120,3)</f>
        <v>0</v>
      </c>
      <c r="M3136" t="str">
        <f t="shared" si="296"/>
        <v>Low</v>
      </c>
      <c r="N3136" t="str">
        <f t="shared" si="293"/>
        <v>Sep</v>
      </c>
      <c r="O3136">
        <f t="shared" si="294"/>
        <v>2025</v>
      </c>
    </row>
    <row r="3137" spans="1:15" x14ac:dyDescent="0.3">
      <c r="A3137">
        <v>201433</v>
      </c>
      <c r="B3137" t="s">
        <v>36</v>
      </c>
      <c r="C3137" s="2">
        <v>45909</v>
      </c>
      <c r="D3137" s="2">
        <f t="shared" si="292"/>
        <v>45939</v>
      </c>
      <c r="E3137" s="1">
        <f>D3137-1</f>
        <v>45938</v>
      </c>
      <c r="F3137">
        <v>3400</v>
      </c>
      <c r="G3137">
        <v>30</v>
      </c>
      <c r="H3137">
        <f t="shared" si="297"/>
        <v>0</v>
      </c>
      <c r="I3137" t="str">
        <f t="shared" si="295"/>
        <v>On Time</v>
      </c>
      <c r="J3137" cm="1">
        <f t="array" ref="J3137">_xlfn.IFS(H3137&lt;30,0,H3137&lt;60,1,H3137&lt;90,2,H3137&lt;120,3)</f>
        <v>0</v>
      </c>
      <c r="M3137" t="str">
        <f t="shared" si="296"/>
        <v>Low</v>
      </c>
      <c r="N3137" t="str">
        <f t="shared" si="293"/>
        <v>Sep</v>
      </c>
      <c r="O3137">
        <f t="shared" si="294"/>
        <v>2025</v>
      </c>
    </row>
    <row r="3138" spans="1:15" x14ac:dyDescent="0.3">
      <c r="A3138">
        <v>201434</v>
      </c>
      <c r="B3138" t="s">
        <v>37</v>
      </c>
      <c r="C3138" s="2">
        <v>45909</v>
      </c>
      <c r="D3138" s="2">
        <f t="shared" ref="D3138:D3201" si="298">C3138+G3138</f>
        <v>45939</v>
      </c>
      <c r="E3138" s="1">
        <f>D3138</f>
        <v>45939</v>
      </c>
      <c r="F3138">
        <v>3018</v>
      </c>
      <c r="G3138">
        <v>30</v>
      </c>
      <c r="H3138">
        <f t="shared" si="297"/>
        <v>0</v>
      </c>
      <c r="I3138" t="str">
        <f t="shared" si="295"/>
        <v>On Time</v>
      </c>
      <c r="J3138" cm="1">
        <f t="array" ref="J3138">_xlfn.IFS(H3138&lt;30,0,H3138&lt;60,1,H3138&lt;90,2,H3138&lt;120,3)</f>
        <v>0</v>
      </c>
      <c r="M3138" t="str">
        <f t="shared" si="296"/>
        <v>Low</v>
      </c>
      <c r="N3138" t="str">
        <f t="shared" ref="N3138:N3201" si="299">TEXT(C3138,"mmm")</f>
        <v>Sep</v>
      </c>
      <c r="O3138">
        <f t="shared" ref="O3138:O3201" si="300">YEAR(C3138)</f>
        <v>2025</v>
      </c>
    </row>
    <row r="3139" spans="1:15" x14ac:dyDescent="0.3">
      <c r="A3139">
        <v>201435</v>
      </c>
      <c r="B3139" t="s">
        <v>38</v>
      </c>
      <c r="C3139" s="2">
        <v>45909</v>
      </c>
      <c r="D3139" s="2">
        <f t="shared" si="298"/>
        <v>45939</v>
      </c>
      <c r="E3139" s="1">
        <f>D3139+32</f>
        <v>45971</v>
      </c>
      <c r="F3139">
        <v>2031</v>
      </c>
      <c r="G3139">
        <v>30</v>
      </c>
      <c r="H3139">
        <f t="shared" si="297"/>
        <v>0</v>
      </c>
      <c r="I3139" t="str">
        <f t="shared" si="295"/>
        <v>On Time</v>
      </c>
      <c r="J3139" cm="1">
        <f t="array" ref="J3139">_xlfn.IFS(H3139&lt;30,0,H3139&lt;60,1,H3139&lt;90,2,H3139&lt;120,3)</f>
        <v>0</v>
      </c>
      <c r="M3139" t="str">
        <f t="shared" si="296"/>
        <v>Low</v>
      </c>
      <c r="N3139" t="str">
        <f t="shared" si="299"/>
        <v>Sep</v>
      </c>
      <c r="O3139">
        <f t="shared" si="300"/>
        <v>2025</v>
      </c>
    </row>
    <row r="3140" spans="1:15" x14ac:dyDescent="0.3">
      <c r="A3140">
        <v>201403</v>
      </c>
      <c r="B3140" t="s">
        <v>86</v>
      </c>
      <c r="C3140" s="2">
        <v>45908</v>
      </c>
      <c r="D3140" s="2">
        <f t="shared" si="298"/>
        <v>45938</v>
      </c>
      <c r="E3140" s="1">
        <f>D3140+15</f>
        <v>45953</v>
      </c>
      <c r="F3140">
        <v>2758</v>
      </c>
      <c r="G3140">
        <v>30</v>
      </c>
      <c r="H3140">
        <f t="shared" si="297"/>
        <v>0</v>
      </c>
      <c r="I3140" t="str">
        <f t="shared" si="295"/>
        <v>On Time</v>
      </c>
      <c r="J3140" cm="1">
        <f t="array" ref="J3140">_xlfn.IFS(H3140&lt;30,0,H3140&lt;60,1,H3140&lt;90,2,H3140&lt;120,3)</f>
        <v>0</v>
      </c>
      <c r="M3140" t="str">
        <f t="shared" si="296"/>
        <v>Low</v>
      </c>
      <c r="N3140" t="str">
        <f t="shared" si="299"/>
        <v>Sep</v>
      </c>
      <c r="O3140">
        <f t="shared" si="300"/>
        <v>2025</v>
      </c>
    </row>
    <row r="3141" spans="1:15" x14ac:dyDescent="0.3">
      <c r="A3141">
        <v>201404</v>
      </c>
      <c r="B3141" t="s">
        <v>87</v>
      </c>
      <c r="C3141" s="2">
        <v>45908</v>
      </c>
      <c r="D3141" s="2">
        <f t="shared" si="298"/>
        <v>45938</v>
      </c>
      <c r="E3141" s="1">
        <f>D3141-2</f>
        <v>45936</v>
      </c>
      <c r="F3141">
        <v>4354</v>
      </c>
      <c r="G3141">
        <v>30</v>
      </c>
      <c r="H3141">
        <f t="shared" si="297"/>
        <v>0</v>
      </c>
      <c r="I3141" t="str">
        <f t="shared" si="295"/>
        <v>On Time</v>
      </c>
      <c r="J3141" cm="1">
        <f t="array" ref="J3141">_xlfn.IFS(H3141&lt;30,0,H3141&lt;60,1,H3141&lt;90,2,H3141&lt;120,3)</f>
        <v>0</v>
      </c>
      <c r="M3141" t="str">
        <f t="shared" si="296"/>
        <v>Low</v>
      </c>
      <c r="N3141" t="str">
        <f t="shared" si="299"/>
        <v>Sep</v>
      </c>
      <c r="O3141">
        <f t="shared" si="300"/>
        <v>2025</v>
      </c>
    </row>
    <row r="3142" spans="1:15" x14ac:dyDescent="0.3">
      <c r="A3142">
        <v>201405</v>
      </c>
      <c r="B3142" t="s">
        <v>88</v>
      </c>
      <c r="C3142" s="2">
        <v>45908</v>
      </c>
      <c r="D3142" s="2">
        <f t="shared" si="298"/>
        <v>45938</v>
      </c>
      <c r="E3142" s="1">
        <f>D3142-2</f>
        <v>45936</v>
      </c>
      <c r="F3142">
        <v>2506</v>
      </c>
      <c r="G3142">
        <v>30</v>
      </c>
      <c r="H3142">
        <f t="shared" si="297"/>
        <v>0</v>
      </c>
      <c r="I3142" t="str">
        <f t="shared" si="295"/>
        <v>On Time</v>
      </c>
      <c r="J3142" cm="1">
        <f t="array" ref="J3142">_xlfn.IFS(H3142&lt;30,0,H3142&lt;60,1,H3142&lt;90,2,H3142&lt;120,3)</f>
        <v>0</v>
      </c>
      <c r="M3142" t="str">
        <f t="shared" si="296"/>
        <v>Low</v>
      </c>
      <c r="N3142" t="str">
        <f t="shared" si="299"/>
        <v>Sep</v>
      </c>
      <c r="O3142">
        <f t="shared" si="300"/>
        <v>2025</v>
      </c>
    </row>
    <row r="3143" spans="1:15" x14ac:dyDescent="0.3">
      <c r="A3143">
        <v>201406</v>
      </c>
      <c r="B3143" t="s">
        <v>89</v>
      </c>
      <c r="C3143" s="2">
        <v>45908</v>
      </c>
      <c r="D3143" s="2">
        <f t="shared" si="298"/>
        <v>45938</v>
      </c>
      <c r="E3143" s="1">
        <f>D3143</f>
        <v>45938</v>
      </c>
      <c r="F3143">
        <v>400</v>
      </c>
      <c r="G3143">
        <v>30</v>
      </c>
      <c r="H3143">
        <f t="shared" si="297"/>
        <v>0</v>
      </c>
      <c r="I3143" t="str">
        <f t="shared" si="295"/>
        <v>On Time</v>
      </c>
      <c r="J3143" cm="1">
        <f t="array" ref="J3143">_xlfn.IFS(H3143&lt;30,0,H3143&lt;60,1,H3143&lt;90,2,H3143&lt;120,3)</f>
        <v>0</v>
      </c>
      <c r="M3143" t="str">
        <f t="shared" si="296"/>
        <v>Low</v>
      </c>
      <c r="N3143" t="str">
        <f t="shared" si="299"/>
        <v>Sep</v>
      </c>
      <c r="O3143">
        <f t="shared" si="300"/>
        <v>2025</v>
      </c>
    </row>
    <row r="3144" spans="1:15" x14ac:dyDescent="0.3">
      <c r="A3144">
        <v>201407</v>
      </c>
      <c r="B3144" t="s">
        <v>90</v>
      </c>
      <c r="C3144" s="2">
        <v>45908</v>
      </c>
      <c r="D3144" s="2">
        <f t="shared" si="298"/>
        <v>45938</v>
      </c>
      <c r="E3144" s="1">
        <f>D3144+2</f>
        <v>45940</v>
      </c>
      <c r="F3144">
        <v>3311</v>
      </c>
      <c r="G3144">
        <v>30</v>
      </c>
      <c r="H3144">
        <f t="shared" si="297"/>
        <v>0</v>
      </c>
      <c r="I3144" t="str">
        <f t="shared" si="295"/>
        <v>On Time</v>
      </c>
      <c r="J3144" cm="1">
        <f t="array" ref="J3144">_xlfn.IFS(H3144&lt;30,0,H3144&lt;60,1,H3144&lt;90,2,H3144&lt;120,3)</f>
        <v>0</v>
      </c>
      <c r="M3144" t="str">
        <f t="shared" si="296"/>
        <v>Low</v>
      </c>
      <c r="N3144" t="str">
        <f t="shared" si="299"/>
        <v>Sep</v>
      </c>
      <c r="O3144">
        <f t="shared" si="300"/>
        <v>2025</v>
      </c>
    </row>
    <row r="3145" spans="1:15" x14ac:dyDescent="0.3">
      <c r="A3145">
        <v>201408</v>
      </c>
      <c r="B3145" t="s">
        <v>91</v>
      </c>
      <c r="C3145" s="2">
        <v>45908</v>
      </c>
      <c r="D3145" s="2">
        <f t="shared" si="298"/>
        <v>45938</v>
      </c>
      <c r="E3145" s="1">
        <f>D3145+2</f>
        <v>45940</v>
      </c>
      <c r="F3145">
        <v>13801</v>
      </c>
      <c r="G3145">
        <v>30</v>
      </c>
      <c r="H3145">
        <f t="shared" si="297"/>
        <v>0</v>
      </c>
      <c r="I3145" t="str">
        <f t="shared" si="295"/>
        <v>On Time</v>
      </c>
      <c r="J3145" cm="1">
        <f t="array" ref="J3145">_xlfn.IFS(H3145&lt;30,0,H3145&lt;60,1,H3145&lt;90,2,H3145&lt;120,3)</f>
        <v>0</v>
      </c>
      <c r="M3145" t="str">
        <f t="shared" si="296"/>
        <v>Low</v>
      </c>
      <c r="N3145" t="str">
        <f t="shared" si="299"/>
        <v>Sep</v>
      </c>
      <c r="O3145">
        <f t="shared" si="300"/>
        <v>2025</v>
      </c>
    </row>
    <row r="3146" spans="1:15" x14ac:dyDescent="0.3">
      <c r="A3146">
        <v>201409</v>
      </c>
      <c r="B3146" t="s">
        <v>92</v>
      </c>
      <c r="C3146" s="2">
        <v>45908</v>
      </c>
      <c r="D3146" s="2">
        <f t="shared" si="298"/>
        <v>45938</v>
      </c>
      <c r="E3146" s="1">
        <f>D3146+2</f>
        <v>45940</v>
      </c>
      <c r="F3146">
        <v>5913</v>
      </c>
      <c r="G3146">
        <v>30</v>
      </c>
      <c r="H3146">
        <f t="shared" si="297"/>
        <v>0</v>
      </c>
      <c r="I3146" t="str">
        <f t="shared" si="295"/>
        <v>On Time</v>
      </c>
      <c r="J3146" cm="1">
        <f t="array" ref="J3146">_xlfn.IFS(H3146&lt;30,0,H3146&lt;60,1,H3146&lt;90,2,H3146&lt;120,3)</f>
        <v>0</v>
      </c>
      <c r="M3146" t="str">
        <f t="shared" si="296"/>
        <v>Low</v>
      </c>
      <c r="N3146" t="str">
        <f t="shared" si="299"/>
        <v>Sep</v>
      </c>
      <c r="O3146">
        <f t="shared" si="300"/>
        <v>2025</v>
      </c>
    </row>
    <row r="3147" spans="1:15" x14ac:dyDescent="0.3">
      <c r="A3147">
        <v>201410</v>
      </c>
      <c r="B3147" t="s">
        <v>93</v>
      </c>
      <c r="C3147" s="2">
        <v>45908</v>
      </c>
      <c r="D3147" s="2">
        <f t="shared" si="298"/>
        <v>45938</v>
      </c>
      <c r="E3147" s="1">
        <f>D3147</f>
        <v>45938</v>
      </c>
      <c r="F3147">
        <v>1133</v>
      </c>
      <c r="G3147">
        <v>30</v>
      </c>
      <c r="H3147">
        <f t="shared" si="297"/>
        <v>0</v>
      </c>
      <c r="I3147" t="str">
        <f t="shared" si="295"/>
        <v>On Time</v>
      </c>
      <c r="J3147" cm="1">
        <f t="array" ref="J3147">_xlfn.IFS(H3147&lt;30,0,H3147&lt;60,1,H3147&lt;90,2,H3147&lt;120,3)</f>
        <v>0</v>
      </c>
      <c r="M3147" t="str">
        <f t="shared" si="296"/>
        <v>Low</v>
      </c>
      <c r="N3147" t="str">
        <f t="shared" si="299"/>
        <v>Sep</v>
      </c>
      <c r="O3147">
        <f t="shared" si="300"/>
        <v>2025</v>
      </c>
    </row>
    <row r="3148" spans="1:15" x14ac:dyDescent="0.3">
      <c r="A3148">
        <v>201411</v>
      </c>
      <c r="B3148" t="s">
        <v>94</v>
      </c>
      <c r="C3148" s="2">
        <v>45908</v>
      </c>
      <c r="D3148" s="2">
        <f t="shared" si="298"/>
        <v>45938</v>
      </c>
      <c r="E3148" s="1">
        <f>D3148+20</f>
        <v>45958</v>
      </c>
      <c r="F3148">
        <v>4424</v>
      </c>
      <c r="G3148">
        <v>30</v>
      </c>
      <c r="H3148">
        <f t="shared" si="297"/>
        <v>0</v>
      </c>
      <c r="I3148" t="str">
        <f t="shared" si="295"/>
        <v>On Time</v>
      </c>
      <c r="J3148" cm="1">
        <f t="array" ref="J3148">_xlfn.IFS(H3148&lt;30,0,H3148&lt;60,1,H3148&lt;90,2,H3148&lt;120,3)</f>
        <v>0</v>
      </c>
      <c r="M3148" t="str">
        <f t="shared" si="296"/>
        <v>Low</v>
      </c>
      <c r="N3148" t="str">
        <f t="shared" si="299"/>
        <v>Sep</v>
      </c>
      <c r="O3148">
        <f t="shared" si="300"/>
        <v>2025</v>
      </c>
    </row>
    <row r="3149" spans="1:15" x14ac:dyDescent="0.3">
      <c r="A3149">
        <v>201412</v>
      </c>
      <c r="B3149" t="s">
        <v>95</v>
      </c>
      <c r="C3149" s="2">
        <v>45908</v>
      </c>
      <c r="D3149" s="2">
        <f t="shared" si="298"/>
        <v>45953</v>
      </c>
      <c r="E3149" s="1">
        <f>D3149</f>
        <v>45953</v>
      </c>
      <c r="F3149">
        <v>3963</v>
      </c>
      <c r="G3149">
        <v>45</v>
      </c>
      <c r="H3149">
        <f t="shared" si="297"/>
        <v>0</v>
      </c>
      <c r="I3149" t="str">
        <f t="shared" si="295"/>
        <v>On Time</v>
      </c>
      <c r="J3149" cm="1">
        <f t="array" ref="J3149">_xlfn.IFS(H3149&lt;30,0,H3149&lt;60,1,H3149&lt;90,2,H3149&lt;120,3)</f>
        <v>0</v>
      </c>
      <c r="M3149" t="str">
        <f t="shared" si="296"/>
        <v>Low</v>
      </c>
      <c r="N3149" t="str">
        <f t="shared" si="299"/>
        <v>Sep</v>
      </c>
      <c r="O3149">
        <f t="shared" si="300"/>
        <v>2025</v>
      </c>
    </row>
    <row r="3150" spans="1:15" x14ac:dyDescent="0.3">
      <c r="A3150">
        <v>201413</v>
      </c>
      <c r="B3150" t="s">
        <v>68</v>
      </c>
      <c r="C3150" s="2">
        <v>45908</v>
      </c>
      <c r="D3150" s="2">
        <f t="shared" si="298"/>
        <v>45938</v>
      </c>
      <c r="E3150" s="1">
        <f>D3150+1</f>
        <v>45939</v>
      </c>
      <c r="F3150">
        <v>3052</v>
      </c>
      <c r="G3150">
        <v>30</v>
      </c>
      <c r="H3150">
        <f t="shared" si="297"/>
        <v>0</v>
      </c>
      <c r="I3150" t="str">
        <f t="shared" si="295"/>
        <v>On Time</v>
      </c>
      <c r="J3150" cm="1">
        <f t="array" ref="J3150">_xlfn.IFS(H3150&lt;30,0,H3150&lt;60,1,H3150&lt;90,2,H3150&lt;120,3)</f>
        <v>0</v>
      </c>
      <c r="M3150" t="str">
        <f t="shared" si="296"/>
        <v>Low</v>
      </c>
      <c r="N3150" t="str">
        <f t="shared" si="299"/>
        <v>Sep</v>
      </c>
      <c r="O3150">
        <f t="shared" si="300"/>
        <v>2025</v>
      </c>
    </row>
    <row r="3151" spans="1:15" x14ac:dyDescent="0.3">
      <c r="A3151">
        <v>201414</v>
      </c>
      <c r="B3151" t="s">
        <v>69</v>
      </c>
      <c r="C3151" s="2">
        <v>45908</v>
      </c>
      <c r="D3151" s="2">
        <f t="shared" si="298"/>
        <v>45938</v>
      </c>
      <c r="E3151" s="1">
        <f>D3151</f>
        <v>45938</v>
      </c>
      <c r="F3151">
        <v>2131</v>
      </c>
      <c r="G3151">
        <v>30</v>
      </c>
      <c r="H3151">
        <f t="shared" si="297"/>
        <v>0</v>
      </c>
      <c r="I3151" t="str">
        <f t="shared" si="295"/>
        <v>On Time</v>
      </c>
      <c r="J3151" cm="1">
        <f t="array" ref="J3151">_xlfn.IFS(H3151&lt;30,0,H3151&lt;60,1,H3151&lt;90,2,H3151&lt;120,3)</f>
        <v>0</v>
      </c>
      <c r="M3151" t="str">
        <f t="shared" si="296"/>
        <v>Low</v>
      </c>
      <c r="N3151" t="str">
        <f t="shared" si="299"/>
        <v>Sep</v>
      </c>
      <c r="O3151">
        <f t="shared" si="300"/>
        <v>2025</v>
      </c>
    </row>
    <row r="3152" spans="1:15" x14ac:dyDescent="0.3">
      <c r="A3152">
        <v>201415</v>
      </c>
      <c r="B3152" t="s">
        <v>70</v>
      </c>
      <c r="C3152" s="2">
        <v>45908</v>
      </c>
      <c r="D3152" s="2">
        <f t="shared" si="298"/>
        <v>45938</v>
      </c>
      <c r="E3152" s="1">
        <f>D3152</f>
        <v>45938</v>
      </c>
      <c r="F3152">
        <v>3522</v>
      </c>
      <c r="G3152">
        <v>30</v>
      </c>
      <c r="H3152">
        <f t="shared" si="297"/>
        <v>0</v>
      </c>
      <c r="I3152" t="str">
        <f t="shared" si="295"/>
        <v>On Time</v>
      </c>
      <c r="J3152" cm="1">
        <f t="array" ref="J3152">_xlfn.IFS(H3152&lt;30,0,H3152&lt;60,1,H3152&lt;90,2,H3152&lt;120,3)</f>
        <v>0</v>
      </c>
      <c r="M3152" t="str">
        <f t="shared" si="296"/>
        <v>Low</v>
      </c>
      <c r="N3152" t="str">
        <f t="shared" si="299"/>
        <v>Sep</v>
      </c>
      <c r="O3152">
        <f t="shared" si="300"/>
        <v>2025</v>
      </c>
    </row>
    <row r="3153" spans="1:15" x14ac:dyDescent="0.3">
      <c r="A3153">
        <v>201416</v>
      </c>
      <c r="B3153" t="s">
        <v>71</v>
      </c>
      <c r="C3153" s="2">
        <v>45908</v>
      </c>
      <c r="D3153" s="2">
        <f t="shared" si="298"/>
        <v>45938</v>
      </c>
      <c r="E3153" s="1">
        <f>D3153+5</f>
        <v>45943</v>
      </c>
      <c r="F3153">
        <v>3389</v>
      </c>
      <c r="G3153">
        <v>30</v>
      </c>
      <c r="H3153">
        <f t="shared" si="297"/>
        <v>0</v>
      </c>
      <c r="I3153" t="str">
        <f t="shared" si="295"/>
        <v>On Time</v>
      </c>
      <c r="J3153" cm="1">
        <f t="array" ref="J3153">_xlfn.IFS(H3153&lt;30,0,H3153&lt;60,1,H3153&lt;90,2,H3153&lt;120,3)</f>
        <v>0</v>
      </c>
      <c r="M3153" t="str">
        <f t="shared" si="296"/>
        <v>Low</v>
      </c>
      <c r="N3153" t="str">
        <f t="shared" si="299"/>
        <v>Sep</v>
      </c>
      <c r="O3153">
        <f t="shared" si="300"/>
        <v>2025</v>
      </c>
    </row>
    <row r="3154" spans="1:15" x14ac:dyDescent="0.3">
      <c r="A3154">
        <v>201417</v>
      </c>
      <c r="B3154" t="s">
        <v>72</v>
      </c>
      <c r="C3154" s="2">
        <v>45908</v>
      </c>
      <c r="D3154" s="2">
        <f t="shared" si="298"/>
        <v>45938</v>
      </c>
      <c r="E3154" s="1">
        <f>D3154+2</f>
        <v>45940</v>
      </c>
      <c r="F3154">
        <v>14590</v>
      </c>
      <c r="G3154">
        <v>30</v>
      </c>
      <c r="H3154">
        <f t="shared" si="297"/>
        <v>0</v>
      </c>
      <c r="I3154" t="str">
        <f t="shared" si="295"/>
        <v>On Time</v>
      </c>
      <c r="J3154" cm="1">
        <f t="array" ref="J3154">_xlfn.IFS(H3154&lt;30,0,H3154&lt;60,1,H3154&lt;90,2,H3154&lt;120,3)</f>
        <v>0</v>
      </c>
      <c r="M3154" t="str">
        <f t="shared" si="296"/>
        <v>Low</v>
      </c>
      <c r="N3154" t="str">
        <f t="shared" si="299"/>
        <v>Sep</v>
      </c>
      <c r="O3154">
        <f t="shared" si="300"/>
        <v>2025</v>
      </c>
    </row>
    <row r="3155" spans="1:15" x14ac:dyDescent="0.3">
      <c r="A3155">
        <v>201386</v>
      </c>
      <c r="B3155" t="s">
        <v>46</v>
      </c>
      <c r="C3155" s="2">
        <v>45905</v>
      </c>
      <c r="D3155" s="2">
        <f t="shared" si="298"/>
        <v>45965</v>
      </c>
      <c r="E3155" s="1">
        <f>D3155</f>
        <v>45965</v>
      </c>
      <c r="F3155">
        <v>2074</v>
      </c>
      <c r="G3155">
        <v>60</v>
      </c>
      <c r="H3155">
        <f t="shared" si="297"/>
        <v>0</v>
      </c>
      <c r="I3155" t="str">
        <f t="shared" si="295"/>
        <v>On Time</v>
      </c>
      <c r="J3155" cm="1">
        <f t="array" ref="J3155">_xlfn.IFS(H3155&lt;30,0,H3155&lt;60,1,H3155&lt;90,2,H3155&lt;120,3)</f>
        <v>0</v>
      </c>
      <c r="M3155" t="str">
        <f t="shared" si="296"/>
        <v>Low</v>
      </c>
      <c r="N3155" t="str">
        <f t="shared" si="299"/>
        <v>Sep</v>
      </c>
      <c r="O3155">
        <f t="shared" si="300"/>
        <v>2025</v>
      </c>
    </row>
    <row r="3156" spans="1:15" x14ac:dyDescent="0.3">
      <c r="A3156">
        <v>201387</v>
      </c>
      <c r="B3156" t="s">
        <v>114</v>
      </c>
      <c r="C3156" s="2">
        <v>45905</v>
      </c>
      <c r="D3156" s="2">
        <f t="shared" si="298"/>
        <v>45935</v>
      </c>
      <c r="E3156" s="1">
        <f>D3156</f>
        <v>45935</v>
      </c>
      <c r="F3156">
        <v>14081</v>
      </c>
      <c r="G3156">
        <v>30</v>
      </c>
      <c r="H3156">
        <f t="shared" si="297"/>
        <v>0</v>
      </c>
      <c r="I3156" t="str">
        <f t="shared" si="295"/>
        <v>On Time</v>
      </c>
      <c r="J3156" cm="1">
        <f t="array" ref="J3156">_xlfn.IFS(H3156&lt;30,0,H3156&lt;60,1,H3156&lt;90,2,H3156&lt;120,3)</f>
        <v>0</v>
      </c>
      <c r="M3156" t="str">
        <f t="shared" si="296"/>
        <v>Low</v>
      </c>
      <c r="N3156" t="str">
        <f t="shared" si="299"/>
        <v>Sep</v>
      </c>
      <c r="O3156">
        <f t="shared" si="300"/>
        <v>2025</v>
      </c>
    </row>
    <row r="3157" spans="1:15" x14ac:dyDescent="0.3">
      <c r="A3157">
        <v>201388</v>
      </c>
      <c r="B3157" t="s">
        <v>115</v>
      </c>
      <c r="C3157" s="2">
        <v>45905</v>
      </c>
      <c r="D3157" s="2">
        <f t="shared" si="298"/>
        <v>45935</v>
      </c>
      <c r="E3157" s="1">
        <f>D3157+64</f>
        <v>45999</v>
      </c>
      <c r="F3157">
        <v>11613</v>
      </c>
      <c r="G3157">
        <v>30</v>
      </c>
      <c r="H3157">
        <f t="shared" si="297"/>
        <v>0</v>
      </c>
      <c r="I3157" t="str">
        <f t="shared" si="295"/>
        <v>On Time</v>
      </c>
      <c r="J3157" cm="1">
        <f t="array" ref="J3157">_xlfn.IFS(H3157&lt;30,0,H3157&lt;60,1,H3157&lt;90,2,H3157&lt;120,3)</f>
        <v>0</v>
      </c>
      <c r="M3157" t="str">
        <f t="shared" si="296"/>
        <v>Low</v>
      </c>
      <c r="N3157" t="str">
        <f t="shared" si="299"/>
        <v>Sep</v>
      </c>
      <c r="O3157">
        <f t="shared" si="300"/>
        <v>2025</v>
      </c>
    </row>
    <row r="3158" spans="1:15" x14ac:dyDescent="0.3">
      <c r="A3158">
        <v>201389</v>
      </c>
      <c r="B3158" t="s">
        <v>116</v>
      </c>
      <c r="C3158" s="2">
        <v>45905</v>
      </c>
      <c r="D3158" s="2">
        <f t="shared" si="298"/>
        <v>45935</v>
      </c>
      <c r="E3158" s="1">
        <f>D3158</f>
        <v>45935</v>
      </c>
      <c r="F3158">
        <v>4330</v>
      </c>
      <c r="G3158">
        <v>30</v>
      </c>
      <c r="H3158">
        <f t="shared" si="297"/>
        <v>0</v>
      </c>
      <c r="I3158" t="str">
        <f t="shared" ref="I3158:I3221" si="301">IF(H3158=0,"On Time",IF(H3158&lt;=15,"Paid Late","Seriously Late"))</f>
        <v>On Time</v>
      </c>
      <c r="J3158" cm="1">
        <f t="array" ref="J3158">_xlfn.IFS(H3158&lt;30,0,H3158&lt;60,1,H3158&lt;90,2,H3158&lt;120,3)</f>
        <v>0</v>
      </c>
      <c r="M3158" t="str">
        <f t="shared" ref="M3158:M3221" si="302">IF(H3158&gt;30,"High",IF(H3158&gt;10,"Medium","Low"))</f>
        <v>Low</v>
      </c>
      <c r="N3158" t="str">
        <f t="shared" si="299"/>
        <v>Sep</v>
      </c>
      <c r="O3158">
        <f t="shared" si="300"/>
        <v>2025</v>
      </c>
    </row>
    <row r="3159" spans="1:15" x14ac:dyDescent="0.3">
      <c r="A3159">
        <v>201390</v>
      </c>
      <c r="B3159" t="s">
        <v>117</v>
      </c>
      <c r="C3159" s="2">
        <v>45905</v>
      </c>
      <c r="D3159" s="2">
        <f t="shared" si="298"/>
        <v>45935</v>
      </c>
      <c r="E3159" s="1">
        <f>D3159</f>
        <v>45935</v>
      </c>
      <c r="F3159">
        <v>2656</v>
      </c>
      <c r="G3159">
        <v>30</v>
      </c>
      <c r="H3159">
        <f t="shared" si="297"/>
        <v>0</v>
      </c>
      <c r="I3159" t="str">
        <f t="shared" si="301"/>
        <v>On Time</v>
      </c>
      <c r="J3159" cm="1">
        <f t="array" ref="J3159">_xlfn.IFS(H3159&lt;30,0,H3159&lt;60,1,H3159&lt;90,2,H3159&lt;120,3)</f>
        <v>0</v>
      </c>
      <c r="M3159" t="str">
        <f t="shared" si="302"/>
        <v>Low</v>
      </c>
      <c r="N3159" t="str">
        <f t="shared" si="299"/>
        <v>Sep</v>
      </c>
      <c r="O3159">
        <f t="shared" si="300"/>
        <v>2025</v>
      </c>
    </row>
    <row r="3160" spans="1:15" x14ac:dyDescent="0.3">
      <c r="A3160">
        <v>201391</v>
      </c>
      <c r="B3160" t="s">
        <v>118</v>
      </c>
      <c r="C3160" s="2">
        <v>45905</v>
      </c>
      <c r="D3160" s="2">
        <f t="shared" si="298"/>
        <v>45935</v>
      </c>
      <c r="E3160" s="1">
        <f>D3160+3</f>
        <v>45938</v>
      </c>
      <c r="F3160">
        <v>2973</v>
      </c>
      <c r="G3160">
        <v>30</v>
      </c>
      <c r="H3160">
        <f t="shared" si="297"/>
        <v>0</v>
      </c>
      <c r="I3160" t="str">
        <f t="shared" si="301"/>
        <v>On Time</v>
      </c>
      <c r="J3160" cm="1">
        <f t="array" ref="J3160">_xlfn.IFS(H3160&lt;30,0,H3160&lt;60,1,H3160&lt;90,2,H3160&lt;120,3)</f>
        <v>0</v>
      </c>
      <c r="M3160" t="str">
        <f t="shared" si="302"/>
        <v>Low</v>
      </c>
      <c r="N3160" t="str">
        <f t="shared" si="299"/>
        <v>Sep</v>
      </c>
      <c r="O3160">
        <f t="shared" si="300"/>
        <v>2025</v>
      </c>
    </row>
    <row r="3161" spans="1:15" x14ac:dyDescent="0.3">
      <c r="A3161">
        <v>201392</v>
      </c>
      <c r="B3161" t="s">
        <v>119</v>
      </c>
      <c r="C3161" s="2">
        <v>45905</v>
      </c>
      <c r="D3161" s="2">
        <f t="shared" si="298"/>
        <v>45935</v>
      </c>
      <c r="E3161" s="1">
        <f>D3161+1</f>
        <v>45936</v>
      </c>
      <c r="F3161">
        <v>964</v>
      </c>
      <c r="G3161">
        <v>30</v>
      </c>
      <c r="H3161">
        <f t="shared" si="297"/>
        <v>0</v>
      </c>
      <c r="I3161" t="str">
        <f t="shared" si="301"/>
        <v>On Time</v>
      </c>
      <c r="J3161" cm="1">
        <f t="array" ref="J3161">_xlfn.IFS(H3161&lt;30,0,H3161&lt;60,1,H3161&lt;90,2,H3161&lt;120,3)</f>
        <v>0</v>
      </c>
      <c r="M3161" t="str">
        <f t="shared" si="302"/>
        <v>Low</v>
      </c>
      <c r="N3161" t="str">
        <f t="shared" si="299"/>
        <v>Sep</v>
      </c>
      <c r="O3161">
        <f t="shared" si="300"/>
        <v>2025</v>
      </c>
    </row>
    <row r="3162" spans="1:15" x14ac:dyDescent="0.3">
      <c r="A3162">
        <v>201393</v>
      </c>
      <c r="B3162" t="s">
        <v>100</v>
      </c>
      <c r="C3162" s="2">
        <v>45905</v>
      </c>
      <c r="D3162" s="2">
        <f t="shared" si="298"/>
        <v>45935</v>
      </c>
      <c r="E3162" s="1">
        <f>D3162-1</f>
        <v>45934</v>
      </c>
      <c r="F3162">
        <v>4632</v>
      </c>
      <c r="G3162">
        <v>30</v>
      </c>
      <c r="H3162">
        <f t="shared" si="297"/>
        <v>0</v>
      </c>
      <c r="I3162" t="str">
        <f t="shared" si="301"/>
        <v>On Time</v>
      </c>
      <c r="J3162" cm="1">
        <f t="array" ref="J3162">_xlfn.IFS(H3162&lt;30,0,H3162&lt;60,1,H3162&lt;90,2,H3162&lt;120,3)</f>
        <v>0</v>
      </c>
      <c r="M3162" t="str">
        <f t="shared" si="302"/>
        <v>Low</v>
      </c>
      <c r="N3162" t="str">
        <f t="shared" si="299"/>
        <v>Sep</v>
      </c>
      <c r="O3162">
        <f t="shared" si="300"/>
        <v>2025</v>
      </c>
    </row>
    <row r="3163" spans="1:15" x14ac:dyDescent="0.3">
      <c r="A3163">
        <v>201394</v>
      </c>
      <c r="B3163" t="s">
        <v>101</v>
      </c>
      <c r="C3163" s="2">
        <v>45905</v>
      </c>
      <c r="D3163" s="2">
        <f t="shared" si="298"/>
        <v>45935</v>
      </c>
      <c r="E3163" s="1">
        <f>D3163</f>
        <v>45935</v>
      </c>
      <c r="F3163">
        <v>2308</v>
      </c>
      <c r="G3163">
        <v>30</v>
      </c>
      <c r="H3163">
        <f t="shared" si="297"/>
        <v>0</v>
      </c>
      <c r="I3163" t="str">
        <f t="shared" si="301"/>
        <v>On Time</v>
      </c>
      <c r="J3163" cm="1">
        <f t="array" ref="J3163">_xlfn.IFS(H3163&lt;30,0,H3163&lt;60,1,H3163&lt;90,2,H3163&lt;120,3)</f>
        <v>0</v>
      </c>
      <c r="M3163" t="str">
        <f t="shared" si="302"/>
        <v>Low</v>
      </c>
      <c r="N3163" t="str">
        <f t="shared" si="299"/>
        <v>Sep</v>
      </c>
      <c r="O3163">
        <f t="shared" si="300"/>
        <v>2025</v>
      </c>
    </row>
    <row r="3164" spans="1:15" x14ac:dyDescent="0.3">
      <c r="A3164">
        <v>201395</v>
      </c>
      <c r="B3164" t="s">
        <v>102</v>
      </c>
      <c r="C3164" s="2">
        <v>45905</v>
      </c>
      <c r="D3164" s="2">
        <f t="shared" si="298"/>
        <v>45935</v>
      </c>
      <c r="E3164" s="1">
        <f>D3164+1</f>
        <v>45936</v>
      </c>
      <c r="F3164">
        <v>2644</v>
      </c>
      <c r="G3164">
        <v>30</v>
      </c>
      <c r="H3164">
        <f t="shared" si="297"/>
        <v>0</v>
      </c>
      <c r="I3164" t="str">
        <f t="shared" si="301"/>
        <v>On Time</v>
      </c>
      <c r="J3164" cm="1">
        <f t="array" ref="J3164">_xlfn.IFS(H3164&lt;30,0,H3164&lt;60,1,H3164&lt;90,2,H3164&lt;120,3)</f>
        <v>0</v>
      </c>
      <c r="M3164" t="str">
        <f t="shared" si="302"/>
        <v>Low</v>
      </c>
      <c r="N3164" t="str">
        <f t="shared" si="299"/>
        <v>Sep</v>
      </c>
      <c r="O3164">
        <f t="shared" si="300"/>
        <v>2025</v>
      </c>
    </row>
    <row r="3165" spans="1:15" x14ac:dyDescent="0.3">
      <c r="A3165">
        <v>201396</v>
      </c>
      <c r="B3165" t="s">
        <v>103</v>
      </c>
      <c r="C3165" s="2">
        <v>45905</v>
      </c>
      <c r="D3165" s="2">
        <f t="shared" si="298"/>
        <v>45935</v>
      </c>
      <c r="E3165" s="1">
        <f>D3165+35</f>
        <v>45970</v>
      </c>
      <c r="F3165">
        <v>2464</v>
      </c>
      <c r="G3165">
        <v>30</v>
      </c>
      <c r="H3165">
        <f t="shared" si="297"/>
        <v>0</v>
      </c>
      <c r="I3165" t="str">
        <f t="shared" si="301"/>
        <v>On Time</v>
      </c>
      <c r="J3165" cm="1">
        <f t="array" ref="J3165">_xlfn.IFS(H3165&lt;30,0,H3165&lt;60,1,H3165&lt;90,2,H3165&lt;120,3)</f>
        <v>0</v>
      </c>
      <c r="M3165" t="str">
        <f t="shared" si="302"/>
        <v>Low</v>
      </c>
      <c r="N3165" t="str">
        <f t="shared" si="299"/>
        <v>Sep</v>
      </c>
      <c r="O3165">
        <f t="shared" si="300"/>
        <v>2025</v>
      </c>
    </row>
    <row r="3166" spans="1:15" x14ac:dyDescent="0.3">
      <c r="A3166">
        <v>201397</v>
      </c>
      <c r="B3166" t="s">
        <v>104</v>
      </c>
      <c r="C3166" s="2">
        <v>45905</v>
      </c>
      <c r="D3166" s="2">
        <f t="shared" si="298"/>
        <v>45935</v>
      </c>
      <c r="E3166" s="1">
        <f>D3166+75</f>
        <v>46010</v>
      </c>
      <c r="F3166">
        <v>4029</v>
      </c>
      <c r="G3166">
        <v>30</v>
      </c>
      <c r="H3166">
        <f t="shared" si="297"/>
        <v>0</v>
      </c>
      <c r="I3166" t="str">
        <f t="shared" si="301"/>
        <v>On Time</v>
      </c>
      <c r="J3166" cm="1">
        <f t="array" ref="J3166">_xlfn.IFS(H3166&lt;30,0,H3166&lt;60,1,H3166&lt;90,2,H3166&lt;120,3)</f>
        <v>0</v>
      </c>
      <c r="M3166" t="str">
        <f t="shared" si="302"/>
        <v>Low</v>
      </c>
      <c r="N3166" t="str">
        <f t="shared" si="299"/>
        <v>Sep</v>
      </c>
      <c r="O3166">
        <f t="shared" si="300"/>
        <v>2025</v>
      </c>
    </row>
    <row r="3167" spans="1:15" x14ac:dyDescent="0.3">
      <c r="A3167">
        <v>201398</v>
      </c>
      <c r="B3167" t="s">
        <v>105</v>
      </c>
      <c r="C3167" s="2">
        <v>45905</v>
      </c>
      <c r="D3167" s="2">
        <f t="shared" si="298"/>
        <v>45935</v>
      </c>
      <c r="E3167" s="1">
        <f>D3167+5</f>
        <v>45940</v>
      </c>
      <c r="F3167">
        <v>2807</v>
      </c>
      <c r="G3167">
        <v>30</v>
      </c>
      <c r="H3167">
        <f t="shared" si="297"/>
        <v>0</v>
      </c>
      <c r="I3167" t="str">
        <f t="shared" si="301"/>
        <v>On Time</v>
      </c>
      <c r="J3167" cm="1">
        <f t="array" ref="J3167">_xlfn.IFS(H3167&lt;30,0,H3167&lt;60,1,H3167&lt;90,2,H3167&lt;120,3)</f>
        <v>0</v>
      </c>
      <c r="M3167" t="str">
        <f t="shared" si="302"/>
        <v>Low</v>
      </c>
      <c r="N3167" t="str">
        <f t="shared" si="299"/>
        <v>Sep</v>
      </c>
      <c r="O3167">
        <f t="shared" si="300"/>
        <v>2025</v>
      </c>
    </row>
    <row r="3168" spans="1:15" x14ac:dyDescent="0.3">
      <c r="A3168">
        <v>201399</v>
      </c>
      <c r="B3168" t="s">
        <v>106</v>
      </c>
      <c r="C3168" s="2">
        <v>45905</v>
      </c>
      <c r="D3168" s="2">
        <f t="shared" si="298"/>
        <v>45935</v>
      </c>
      <c r="E3168" s="1">
        <f>D3168</f>
        <v>45935</v>
      </c>
      <c r="F3168">
        <v>1336</v>
      </c>
      <c r="G3168">
        <v>30</v>
      </c>
      <c r="H3168">
        <f t="shared" si="297"/>
        <v>0</v>
      </c>
      <c r="I3168" t="str">
        <f t="shared" si="301"/>
        <v>On Time</v>
      </c>
      <c r="J3168" cm="1">
        <f t="array" ref="J3168">_xlfn.IFS(H3168&lt;30,0,H3168&lt;60,1,H3168&lt;90,2,H3168&lt;120,3)</f>
        <v>0</v>
      </c>
      <c r="M3168" t="str">
        <f t="shared" si="302"/>
        <v>Low</v>
      </c>
      <c r="N3168" t="str">
        <f t="shared" si="299"/>
        <v>Sep</v>
      </c>
      <c r="O3168">
        <f t="shared" si="300"/>
        <v>2025</v>
      </c>
    </row>
    <row r="3169" spans="1:15" x14ac:dyDescent="0.3">
      <c r="A3169">
        <v>201400</v>
      </c>
      <c r="B3169" t="s">
        <v>107</v>
      </c>
      <c r="C3169" s="2">
        <v>45905</v>
      </c>
      <c r="D3169" s="2">
        <f t="shared" si="298"/>
        <v>45935</v>
      </c>
      <c r="E3169" s="1">
        <f>D3169-1</f>
        <v>45934</v>
      </c>
      <c r="F3169">
        <v>4588</v>
      </c>
      <c r="G3169">
        <v>30</v>
      </c>
      <c r="H3169">
        <f t="shared" si="297"/>
        <v>0</v>
      </c>
      <c r="I3169" t="str">
        <f t="shared" si="301"/>
        <v>On Time</v>
      </c>
      <c r="J3169" cm="1">
        <f t="array" ref="J3169">_xlfn.IFS(H3169&lt;30,0,H3169&lt;60,1,H3169&lt;90,2,H3169&lt;120,3)</f>
        <v>0</v>
      </c>
      <c r="M3169" t="str">
        <f t="shared" si="302"/>
        <v>Low</v>
      </c>
      <c r="N3169" t="str">
        <f t="shared" si="299"/>
        <v>Sep</v>
      </c>
      <c r="O3169">
        <f t="shared" si="300"/>
        <v>2025</v>
      </c>
    </row>
    <row r="3170" spans="1:15" x14ac:dyDescent="0.3">
      <c r="A3170">
        <v>201401</v>
      </c>
      <c r="B3170" t="s">
        <v>108</v>
      </c>
      <c r="C3170" s="2">
        <v>45905</v>
      </c>
      <c r="D3170" s="2">
        <f t="shared" si="298"/>
        <v>45935</v>
      </c>
      <c r="E3170" s="1">
        <f>D3170</f>
        <v>45935</v>
      </c>
      <c r="F3170">
        <v>3642</v>
      </c>
      <c r="G3170">
        <v>30</v>
      </c>
      <c r="H3170">
        <f t="shared" si="297"/>
        <v>0</v>
      </c>
      <c r="I3170" t="str">
        <f t="shared" si="301"/>
        <v>On Time</v>
      </c>
      <c r="J3170" cm="1">
        <f t="array" ref="J3170">_xlfn.IFS(H3170&lt;30,0,H3170&lt;60,1,H3170&lt;90,2,H3170&lt;120,3)</f>
        <v>0</v>
      </c>
      <c r="M3170" t="str">
        <f t="shared" si="302"/>
        <v>Low</v>
      </c>
      <c r="N3170" t="str">
        <f t="shared" si="299"/>
        <v>Sep</v>
      </c>
      <c r="O3170">
        <f t="shared" si="300"/>
        <v>2025</v>
      </c>
    </row>
    <row r="3171" spans="1:15" x14ac:dyDescent="0.3">
      <c r="A3171">
        <v>201402</v>
      </c>
      <c r="B3171" t="s">
        <v>85</v>
      </c>
      <c r="C3171" s="2">
        <v>45905</v>
      </c>
      <c r="D3171" s="2">
        <f t="shared" si="298"/>
        <v>45965</v>
      </c>
      <c r="E3171" s="1">
        <f>D3171+32</f>
        <v>45997</v>
      </c>
      <c r="F3171">
        <v>3528</v>
      </c>
      <c r="G3171">
        <v>60</v>
      </c>
      <c r="H3171">
        <f t="shared" si="297"/>
        <v>0</v>
      </c>
      <c r="I3171" t="str">
        <f t="shared" si="301"/>
        <v>On Time</v>
      </c>
      <c r="J3171" cm="1">
        <f t="array" ref="J3171">_xlfn.IFS(H3171&lt;30,0,H3171&lt;60,1,H3171&lt;90,2,H3171&lt;120,3)</f>
        <v>0</v>
      </c>
      <c r="M3171" t="str">
        <f t="shared" si="302"/>
        <v>Low</v>
      </c>
      <c r="N3171" t="str">
        <f t="shared" si="299"/>
        <v>Sep</v>
      </c>
      <c r="O3171">
        <f t="shared" si="300"/>
        <v>2025</v>
      </c>
    </row>
    <row r="3172" spans="1:15" x14ac:dyDescent="0.3">
      <c r="A3172">
        <v>201370</v>
      </c>
      <c r="B3172" t="s">
        <v>42</v>
      </c>
      <c r="C3172" s="2">
        <v>45904</v>
      </c>
      <c r="D3172" s="2">
        <f t="shared" si="298"/>
        <v>45934</v>
      </c>
      <c r="E3172" s="1">
        <f>D3172+15</f>
        <v>45949</v>
      </c>
      <c r="F3172">
        <v>817</v>
      </c>
      <c r="G3172">
        <v>30</v>
      </c>
      <c r="H3172">
        <f t="shared" si="297"/>
        <v>0</v>
      </c>
      <c r="I3172" t="str">
        <f t="shared" si="301"/>
        <v>On Time</v>
      </c>
      <c r="J3172" cm="1">
        <f t="array" ref="J3172">_xlfn.IFS(H3172&lt;30,0,H3172&lt;60,1,H3172&lt;90,2,H3172&lt;120,3)</f>
        <v>0</v>
      </c>
      <c r="M3172" t="str">
        <f t="shared" si="302"/>
        <v>Low</v>
      </c>
      <c r="N3172" t="str">
        <f t="shared" si="299"/>
        <v>Sep</v>
      </c>
      <c r="O3172">
        <f t="shared" si="300"/>
        <v>2025</v>
      </c>
    </row>
    <row r="3173" spans="1:15" x14ac:dyDescent="0.3">
      <c r="A3173">
        <v>201371</v>
      </c>
      <c r="B3173" t="s">
        <v>43</v>
      </c>
      <c r="C3173" s="2">
        <v>45904</v>
      </c>
      <c r="D3173" s="2">
        <f t="shared" si="298"/>
        <v>45934</v>
      </c>
      <c r="E3173" s="1">
        <f>D3173</f>
        <v>45934</v>
      </c>
      <c r="F3173">
        <v>15873</v>
      </c>
      <c r="G3173">
        <v>30</v>
      </c>
      <c r="H3173">
        <f t="shared" si="297"/>
        <v>0</v>
      </c>
      <c r="I3173" t="str">
        <f t="shared" si="301"/>
        <v>On Time</v>
      </c>
      <c r="J3173" cm="1">
        <f t="array" ref="J3173">_xlfn.IFS(H3173&lt;30,0,H3173&lt;60,1,H3173&lt;90,2,H3173&lt;120,3)</f>
        <v>0</v>
      </c>
      <c r="M3173" t="str">
        <f t="shared" si="302"/>
        <v>Low</v>
      </c>
      <c r="N3173" t="str">
        <f t="shared" si="299"/>
        <v>Sep</v>
      </c>
      <c r="O3173">
        <f t="shared" si="300"/>
        <v>2025</v>
      </c>
    </row>
    <row r="3174" spans="1:15" x14ac:dyDescent="0.3">
      <c r="A3174">
        <v>201372</v>
      </c>
      <c r="B3174" t="s">
        <v>25</v>
      </c>
      <c r="C3174" s="2">
        <v>45904</v>
      </c>
      <c r="D3174" s="2">
        <f t="shared" si="298"/>
        <v>45964</v>
      </c>
      <c r="E3174" s="1">
        <f>D3174-2</f>
        <v>45962</v>
      </c>
      <c r="F3174">
        <v>2209</v>
      </c>
      <c r="G3174">
        <v>60</v>
      </c>
      <c r="H3174">
        <f t="shared" ref="H3174:H3237" si="303">MAX(0,P3139-D3174)</f>
        <v>0</v>
      </c>
      <c r="I3174" t="str">
        <f t="shared" si="301"/>
        <v>On Time</v>
      </c>
      <c r="J3174" cm="1">
        <f t="array" ref="J3174">_xlfn.IFS(H3174&lt;30,0,H3174&lt;60,1,H3174&lt;90,2,H3174&lt;120,3)</f>
        <v>0</v>
      </c>
      <c r="M3174" t="str">
        <f t="shared" si="302"/>
        <v>Low</v>
      </c>
      <c r="N3174" t="str">
        <f t="shared" si="299"/>
        <v>Sep</v>
      </c>
      <c r="O3174">
        <f t="shared" si="300"/>
        <v>2025</v>
      </c>
    </row>
    <row r="3175" spans="1:15" x14ac:dyDescent="0.3">
      <c r="A3175">
        <v>201373</v>
      </c>
      <c r="B3175" t="s">
        <v>26</v>
      </c>
      <c r="C3175" s="2">
        <v>45904</v>
      </c>
      <c r="D3175" s="2">
        <f t="shared" si="298"/>
        <v>45934</v>
      </c>
      <c r="E3175" s="1">
        <f>D3175</f>
        <v>45934</v>
      </c>
      <c r="F3175">
        <v>15817</v>
      </c>
      <c r="G3175">
        <v>30</v>
      </c>
      <c r="H3175">
        <f t="shared" si="303"/>
        <v>0</v>
      </c>
      <c r="I3175" t="str">
        <f t="shared" si="301"/>
        <v>On Time</v>
      </c>
      <c r="J3175" cm="1">
        <f t="array" ref="J3175">_xlfn.IFS(H3175&lt;30,0,H3175&lt;60,1,H3175&lt;90,2,H3175&lt;120,3)</f>
        <v>0</v>
      </c>
      <c r="M3175" t="str">
        <f t="shared" si="302"/>
        <v>Low</v>
      </c>
      <c r="N3175" t="str">
        <f t="shared" si="299"/>
        <v>Sep</v>
      </c>
      <c r="O3175">
        <f t="shared" si="300"/>
        <v>2025</v>
      </c>
    </row>
    <row r="3176" spans="1:15" x14ac:dyDescent="0.3">
      <c r="A3176">
        <v>201374</v>
      </c>
      <c r="B3176" t="s">
        <v>27</v>
      </c>
      <c r="C3176" s="2">
        <v>45904</v>
      </c>
      <c r="D3176" s="2">
        <f t="shared" si="298"/>
        <v>45964</v>
      </c>
      <c r="E3176" s="1">
        <f>D3176+2</f>
        <v>45966</v>
      </c>
      <c r="F3176">
        <v>1813</v>
      </c>
      <c r="G3176">
        <v>60</v>
      </c>
      <c r="H3176">
        <f t="shared" si="303"/>
        <v>0</v>
      </c>
      <c r="I3176" t="str">
        <f t="shared" si="301"/>
        <v>On Time</v>
      </c>
      <c r="J3176" cm="1">
        <f t="array" ref="J3176">_xlfn.IFS(H3176&lt;30,0,H3176&lt;60,1,H3176&lt;90,2,H3176&lt;120,3)</f>
        <v>0</v>
      </c>
      <c r="M3176" t="str">
        <f t="shared" si="302"/>
        <v>Low</v>
      </c>
      <c r="N3176" t="str">
        <f t="shared" si="299"/>
        <v>Sep</v>
      </c>
      <c r="O3176">
        <f t="shared" si="300"/>
        <v>2025</v>
      </c>
    </row>
    <row r="3177" spans="1:15" x14ac:dyDescent="0.3">
      <c r="A3177">
        <v>201375</v>
      </c>
      <c r="B3177" t="s">
        <v>28</v>
      </c>
      <c r="C3177" s="2">
        <v>45904</v>
      </c>
      <c r="D3177" s="2">
        <f t="shared" si="298"/>
        <v>45934</v>
      </c>
      <c r="E3177" s="1">
        <f>D3177+2</f>
        <v>45936</v>
      </c>
      <c r="F3177">
        <v>478</v>
      </c>
      <c r="G3177">
        <v>30</v>
      </c>
      <c r="H3177">
        <f t="shared" si="303"/>
        <v>0</v>
      </c>
      <c r="I3177" t="str">
        <f t="shared" si="301"/>
        <v>On Time</v>
      </c>
      <c r="J3177" cm="1">
        <f t="array" ref="J3177">_xlfn.IFS(H3177&lt;30,0,H3177&lt;60,1,H3177&lt;90,2,H3177&lt;120,3)</f>
        <v>0</v>
      </c>
      <c r="M3177" t="str">
        <f t="shared" si="302"/>
        <v>Low</v>
      </c>
      <c r="N3177" t="str">
        <f t="shared" si="299"/>
        <v>Sep</v>
      </c>
      <c r="O3177">
        <f t="shared" si="300"/>
        <v>2025</v>
      </c>
    </row>
    <row r="3178" spans="1:15" x14ac:dyDescent="0.3">
      <c r="A3178">
        <v>201376</v>
      </c>
      <c r="B3178" t="s">
        <v>29</v>
      </c>
      <c r="C3178" s="2">
        <v>45904</v>
      </c>
      <c r="D3178" s="2">
        <f t="shared" si="298"/>
        <v>45934</v>
      </c>
      <c r="E3178" s="1">
        <f>D3178+2</f>
        <v>45936</v>
      </c>
      <c r="F3178">
        <v>2946</v>
      </c>
      <c r="G3178">
        <v>30</v>
      </c>
      <c r="H3178">
        <f t="shared" si="303"/>
        <v>0</v>
      </c>
      <c r="I3178" t="str">
        <f t="shared" si="301"/>
        <v>On Time</v>
      </c>
      <c r="J3178" cm="1">
        <f t="array" ref="J3178">_xlfn.IFS(H3178&lt;30,0,H3178&lt;60,1,H3178&lt;90,2,H3178&lt;120,3)</f>
        <v>0</v>
      </c>
      <c r="M3178" t="str">
        <f t="shared" si="302"/>
        <v>Low</v>
      </c>
      <c r="N3178" t="str">
        <f t="shared" si="299"/>
        <v>Sep</v>
      </c>
      <c r="O3178">
        <f t="shared" si="300"/>
        <v>2025</v>
      </c>
    </row>
    <row r="3179" spans="1:15" x14ac:dyDescent="0.3">
      <c r="A3179">
        <v>201377</v>
      </c>
      <c r="B3179" t="s">
        <v>30</v>
      </c>
      <c r="C3179" s="2">
        <v>45904</v>
      </c>
      <c r="D3179" s="2">
        <f t="shared" si="298"/>
        <v>45934</v>
      </c>
      <c r="E3179" s="1">
        <f>D3179</f>
        <v>45934</v>
      </c>
      <c r="F3179">
        <v>3522</v>
      </c>
      <c r="G3179">
        <v>30</v>
      </c>
      <c r="H3179">
        <f t="shared" si="303"/>
        <v>0</v>
      </c>
      <c r="I3179" t="str">
        <f t="shared" si="301"/>
        <v>On Time</v>
      </c>
      <c r="J3179" cm="1">
        <f t="array" ref="J3179">_xlfn.IFS(H3179&lt;30,0,H3179&lt;60,1,H3179&lt;90,2,H3179&lt;120,3)</f>
        <v>0</v>
      </c>
      <c r="M3179" t="str">
        <f t="shared" si="302"/>
        <v>Low</v>
      </c>
      <c r="N3179" t="str">
        <f t="shared" si="299"/>
        <v>Sep</v>
      </c>
      <c r="O3179">
        <f t="shared" si="300"/>
        <v>2025</v>
      </c>
    </row>
    <row r="3180" spans="1:15" x14ac:dyDescent="0.3">
      <c r="A3180">
        <v>201378</v>
      </c>
      <c r="B3180" t="s">
        <v>31</v>
      </c>
      <c r="C3180" s="2">
        <v>45904</v>
      </c>
      <c r="D3180" s="2">
        <f t="shared" si="298"/>
        <v>45949</v>
      </c>
      <c r="E3180" s="1">
        <f>D3180+20</f>
        <v>45969</v>
      </c>
      <c r="F3180">
        <v>14525</v>
      </c>
      <c r="G3180">
        <v>45</v>
      </c>
      <c r="H3180">
        <f t="shared" si="303"/>
        <v>0</v>
      </c>
      <c r="I3180" t="str">
        <f t="shared" si="301"/>
        <v>On Time</v>
      </c>
      <c r="J3180" cm="1">
        <f t="array" ref="J3180">_xlfn.IFS(H3180&lt;30,0,H3180&lt;60,1,H3180&lt;90,2,H3180&lt;120,3)</f>
        <v>0</v>
      </c>
      <c r="M3180" t="str">
        <f t="shared" si="302"/>
        <v>Low</v>
      </c>
      <c r="N3180" t="str">
        <f t="shared" si="299"/>
        <v>Sep</v>
      </c>
      <c r="O3180">
        <f t="shared" si="300"/>
        <v>2025</v>
      </c>
    </row>
    <row r="3181" spans="1:15" x14ac:dyDescent="0.3">
      <c r="A3181">
        <v>201379</v>
      </c>
      <c r="B3181" t="s">
        <v>39</v>
      </c>
      <c r="C3181" s="2">
        <v>45904</v>
      </c>
      <c r="D3181" s="2">
        <f t="shared" si="298"/>
        <v>45934</v>
      </c>
      <c r="E3181" s="1">
        <f>D3181</f>
        <v>45934</v>
      </c>
      <c r="F3181">
        <v>2002</v>
      </c>
      <c r="G3181">
        <v>30</v>
      </c>
      <c r="H3181">
        <f t="shared" si="303"/>
        <v>0</v>
      </c>
      <c r="I3181" t="str">
        <f t="shared" si="301"/>
        <v>On Time</v>
      </c>
      <c r="J3181" cm="1">
        <f t="array" ref="J3181">_xlfn.IFS(H3181&lt;30,0,H3181&lt;60,1,H3181&lt;90,2,H3181&lt;120,3)</f>
        <v>0</v>
      </c>
      <c r="M3181" t="str">
        <f t="shared" si="302"/>
        <v>Low</v>
      </c>
      <c r="N3181" t="str">
        <f t="shared" si="299"/>
        <v>Sep</v>
      </c>
      <c r="O3181">
        <f t="shared" si="300"/>
        <v>2025</v>
      </c>
    </row>
    <row r="3182" spans="1:15" x14ac:dyDescent="0.3">
      <c r="A3182">
        <v>201380</v>
      </c>
      <c r="B3182" t="s">
        <v>40</v>
      </c>
      <c r="C3182" s="2">
        <v>45904</v>
      </c>
      <c r="D3182" s="2">
        <f t="shared" si="298"/>
        <v>45934</v>
      </c>
      <c r="E3182" s="1">
        <f>D3182+1</f>
        <v>45935</v>
      </c>
      <c r="F3182">
        <v>4472</v>
      </c>
      <c r="G3182">
        <v>30</v>
      </c>
      <c r="H3182">
        <f t="shared" si="303"/>
        <v>0</v>
      </c>
      <c r="I3182" t="str">
        <f t="shared" si="301"/>
        <v>On Time</v>
      </c>
      <c r="J3182" cm="1">
        <f t="array" ref="J3182">_xlfn.IFS(H3182&lt;30,0,H3182&lt;60,1,H3182&lt;90,2,H3182&lt;120,3)</f>
        <v>0</v>
      </c>
      <c r="M3182" t="str">
        <f t="shared" si="302"/>
        <v>Low</v>
      </c>
      <c r="N3182" t="str">
        <f t="shared" si="299"/>
        <v>Sep</v>
      </c>
      <c r="O3182">
        <f t="shared" si="300"/>
        <v>2025</v>
      </c>
    </row>
    <row r="3183" spans="1:15" x14ac:dyDescent="0.3">
      <c r="A3183">
        <v>201381</v>
      </c>
      <c r="B3183" t="s">
        <v>41</v>
      </c>
      <c r="C3183" s="2">
        <v>45904</v>
      </c>
      <c r="D3183" s="2">
        <f t="shared" si="298"/>
        <v>45934</v>
      </c>
      <c r="E3183" s="1">
        <f>D3183</f>
        <v>45934</v>
      </c>
      <c r="F3183">
        <v>1924</v>
      </c>
      <c r="G3183">
        <v>30</v>
      </c>
      <c r="H3183">
        <f t="shared" si="303"/>
        <v>0</v>
      </c>
      <c r="I3183" t="str">
        <f t="shared" si="301"/>
        <v>On Time</v>
      </c>
      <c r="J3183" cm="1">
        <f t="array" ref="J3183">_xlfn.IFS(H3183&lt;30,0,H3183&lt;60,1,H3183&lt;90,2,H3183&lt;120,3)</f>
        <v>0</v>
      </c>
      <c r="M3183" t="str">
        <f t="shared" si="302"/>
        <v>Low</v>
      </c>
      <c r="N3183" t="str">
        <f t="shared" si="299"/>
        <v>Sep</v>
      </c>
      <c r="O3183">
        <f t="shared" si="300"/>
        <v>2025</v>
      </c>
    </row>
    <row r="3184" spans="1:15" x14ac:dyDescent="0.3">
      <c r="A3184">
        <v>201382</v>
      </c>
      <c r="B3184" t="s">
        <v>42</v>
      </c>
      <c r="C3184" s="2">
        <v>45904</v>
      </c>
      <c r="D3184" s="2">
        <f t="shared" si="298"/>
        <v>45934</v>
      </c>
      <c r="E3184" s="1">
        <f>D3184</f>
        <v>45934</v>
      </c>
      <c r="F3184">
        <v>1604</v>
      </c>
      <c r="G3184">
        <v>30</v>
      </c>
      <c r="H3184">
        <f t="shared" si="303"/>
        <v>0</v>
      </c>
      <c r="I3184" t="str">
        <f t="shared" si="301"/>
        <v>On Time</v>
      </c>
      <c r="J3184" cm="1">
        <f t="array" ref="J3184">_xlfn.IFS(H3184&lt;30,0,H3184&lt;60,1,H3184&lt;90,2,H3184&lt;120,3)</f>
        <v>0</v>
      </c>
      <c r="M3184" t="str">
        <f t="shared" si="302"/>
        <v>Low</v>
      </c>
      <c r="N3184" t="str">
        <f t="shared" si="299"/>
        <v>Sep</v>
      </c>
      <c r="O3184">
        <f t="shared" si="300"/>
        <v>2025</v>
      </c>
    </row>
    <row r="3185" spans="1:15" x14ac:dyDescent="0.3">
      <c r="A3185">
        <v>201383</v>
      </c>
      <c r="B3185" t="s">
        <v>43</v>
      </c>
      <c r="C3185" s="2">
        <v>45904</v>
      </c>
      <c r="D3185" s="2">
        <f t="shared" si="298"/>
        <v>45934</v>
      </c>
      <c r="E3185" s="1">
        <f>D3185+5</f>
        <v>45939</v>
      </c>
      <c r="F3185">
        <v>1761</v>
      </c>
      <c r="G3185">
        <v>30</v>
      </c>
      <c r="H3185">
        <f t="shared" si="303"/>
        <v>0</v>
      </c>
      <c r="I3185" t="str">
        <f t="shared" si="301"/>
        <v>On Time</v>
      </c>
      <c r="J3185" cm="1">
        <f t="array" ref="J3185">_xlfn.IFS(H3185&lt;30,0,H3185&lt;60,1,H3185&lt;90,2,H3185&lt;120,3)</f>
        <v>0</v>
      </c>
      <c r="M3185" t="str">
        <f t="shared" si="302"/>
        <v>Low</v>
      </c>
      <c r="N3185" t="str">
        <f t="shared" si="299"/>
        <v>Sep</v>
      </c>
      <c r="O3185">
        <f t="shared" si="300"/>
        <v>2025</v>
      </c>
    </row>
    <row r="3186" spans="1:15" x14ac:dyDescent="0.3">
      <c r="A3186">
        <v>201384</v>
      </c>
      <c r="B3186" t="s">
        <v>44</v>
      </c>
      <c r="C3186" s="2">
        <v>45904</v>
      </c>
      <c r="D3186" s="2">
        <f t="shared" si="298"/>
        <v>45949</v>
      </c>
      <c r="E3186" s="1">
        <f>D3186+2</f>
        <v>45951</v>
      </c>
      <c r="F3186">
        <v>3736</v>
      </c>
      <c r="G3186">
        <v>45</v>
      </c>
      <c r="H3186">
        <f t="shared" si="303"/>
        <v>0</v>
      </c>
      <c r="I3186" t="str">
        <f t="shared" si="301"/>
        <v>On Time</v>
      </c>
      <c r="J3186" cm="1">
        <f t="array" ref="J3186">_xlfn.IFS(H3186&lt;30,0,H3186&lt;60,1,H3186&lt;90,2,H3186&lt;120,3)</f>
        <v>0</v>
      </c>
      <c r="M3186" t="str">
        <f t="shared" si="302"/>
        <v>Low</v>
      </c>
      <c r="N3186" t="str">
        <f t="shared" si="299"/>
        <v>Sep</v>
      </c>
      <c r="O3186">
        <f t="shared" si="300"/>
        <v>2025</v>
      </c>
    </row>
    <row r="3187" spans="1:15" x14ac:dyDescent="0.3">
      <c r="A3187">
        <v>201385</v>
      </c>
      <c r="B3187" t="s">
        <v>45</v>
      </c>
      <c r="C3187" s="2">
        <v>45904</v>
      </c>
      <c r="D3187" s="2">
        <f t="shared" si="298"/>
        <v>45949</v>
      </c>
      <c r="E3187" s="1">
        <f>D3187</f>
        <v>45949</v>
      </c>
      <c r="F3187">
        <v>731</v>
      </c>
      <c r="G3187">
        <v>45</v>
      </c>
      <c r="H3187">
        <f t="shared" si="303"/>
        <v>0</v>
      </c>
      <c r="I3187" t="str">
        <f t="shared" si="301"/>
        <v>On Time</v>
      </c>
      <c r="J3187" cm="1">
        <f t="array" ref="J3187">_xlfn.IFS(H3187&lt;30,0,H3187&lt;60,1,H3187&lt;90,2,H3187&lt;120,3)</f>
        <v>0</v>
      </c>
      <c r="M3187" t="str">
        <f t="shared" si="302"/>
        <v>Low</v>
      </c>
      <c r="N3187" t="str">
        <f t="shared" si="299"/>
        <v>Sep</v>
      </c>
      <c r="O3187">
        <f t="shared" si="300"/>
        <v>2025</v>
      </c>
    </row>
    <row r="3188" spans="1:15" x14ac:dyDescent="0.3">
      <c r="A3188">
        <v>201351</v>
      </c>
      <c r="B3188" t="s">
        <v>72</v>
      </c>
      <c r="C3188" s="2">
        <v>45903</v>
      </c>
      <c r="D3188" s="2">
        <f t="shared" si="298"/>
        <v>45933</v>
      </c>
      <c r="E3188" s="1">
        <f>D3188+2</f>
        <v>45935</v>
      </c>
      <c r="F3188">
        <v>264</v>
      </c>
      <c r="G3188">
        <v>30</v>
      </c>
      <c r="H3188">
        <f t="shared" si="303"/>
        <v>0</v>
      </c>
      <c r="I3188" t="str">
        <f t="shared" si="301"/>
        <v>On Time</v>
      </c>
      <c r="J3188" cm="1">
        <f t="array" ref="J3188">_xlfn.IFS(H3188&lt;30,0,H3188&lt;60,1,H3188&lt;90,2,H3188&lt;120,3)</f>
        <v>0</v>
      </c>
      <c r="M3188" t="str">
        <f t="shared" si="302"/>
        <v>Low</v>
      </c>
      <c r="N3188" t="str">
        <f t="shared" si="299"/>
        <v>Sep</v>
      </c>
      <c r="O3188">
        <f t="shared" si="300"/>
        <v>2025</v>
      </c>
    </row>
    <row r="3189" spans="1:15" x14ac:dyDescent="0.3">
      <c r="A3189">
        <v>201352</v>
      </c>
      <c r="B3189" t="s">
        <v>73</v>
      </c>
      <c r="C3189" s="2">
        <v>45903</v>
      </c>
      <c r="D3189" s="2">
        <f t="shared" si="298"/>
        <v>45948</v>
      </c>
      <c r="E3189" s="1">
        <f>D3189+5</f>
        <v>45953</v>
      </c>
      <c r="F3189">
        <v>2659</v>
      </c>
      <c r="G3189">
        <v>45</v>
      </c>
      <c r="H3189">
        <f t="shared" si="303"/>
        <v>0</v>
      </c>
      <c r="I3189" t="str">
        <f t="shared" si="301"/>
        <v>On Time</v>
      </c>
      <c r="J3189" cm="1">
        <f t="array" ref="J3189">_xlfn.IFS(H3189&lt;30,0,H3189&lt;60,1,H3189&lt;90,2,H3189&lt;120,3)</f>
        <v>0</v>
      </c>
      <c r="M3189" t="str">
        <f t="shared" si="302"/>
        <v>Low</v>
      </c>
      <c r="N3189" t="str">
        <f t="shared" si="299"/>
        <v>Sep</v>
      </c>
      <c r="O3189">
        <f t="shared" si="300"/>
        <v>2025</v>
      </c>
    </row>
    <row r="3190" spans="1:15" x14ac:dyDescent="0.3">
      <c r="A3190">
        <v>201353</v>
      </c>
      <c r="B3190" t="s">
        <v>74</v>
      </c>
      <c r="C3190" s="2">
        <v>45903</v>
      </c>
      <c r="D3190" s="2">
        <f t="shared" si="298"/>
        <v>45948</v>
      </c>
      <c r="E3190" s="1">
        <f>D3190</f>
        <v>45948</v>
      </c>
      <c r="F3190">
        <v>3672</v>
      </c>
      <c r="G3190">
        <v>45</v>
      </c>
      <c r="H3190">
        <f t="shared" si="303"/>
        <v>0</v>
      </c>
      <c r="I3190" t="str">
        <f t="shared" si="301"/>
        <v>On Time</v>
      </c>
      <c r="J3190" cm="1">
        <f t="array" ref="J3190">_xlfn.IFS(H3190&lt;30,0,H3190&lt;60,1,H3190&lt;90,2,H3190&lt;120,3)</f>
        <v>0</v>
      </c>
      <c r="M3190" t="str">
        <f t="shared" si="302"/>
        <v>Low</v>
      </c>
      <c r="N3190" t="str">
        <f t="shared" si="299"/>
        <v>Sep</v>
      </c>
      <c r="O3190">
        <f t="shared" si="300"/>
        <v>2025</v>
      </c>
    </row>
    <row r="3191" spans="1:15" x14ac:dyDescent="0.3">
      <c r="A3191">
        <v>201354</v>
      </c>
      <c r="B3191" t="s">
        <v>45</v>
      </c>
      <c r="C3191" s="2">
        <v>45903</v>
      </c>
      <c r="D3191" s="2">
        <f t="shared" si="298"/>
        <v>45948</v>
      </c>
      <c r="E3191" s="1">
        <f>D3191</f>
        <v>45948</v>
      </c>
      <c r="F3191">
        <v>953</v>
      </c>
      <c r="G3191">
        <v>45</v>
      </c>
      <c r="H3191">
        <f t="shared" si="303"/>
        <v>0</v>
      </c>
      <c r="I3191" t="str">
        <f t="shared" si="301"/>
        <v>On Time</v>
      </c>
      <c r="J3191" cm="1">
        <f t="array" ref="J3191">_xlfn.IFS(H3191&lt;30,0,H3191&lt;60,1,H3191&lt;90,2,H3191&lt;120,3)</f>
        <v>0</v>
      </c>
      <c r="M3191" t="str">
        <f t="shared" si="302"/>
        <v>Low</v>
      </c>
      <c r="N3191" t="str">
        <f t="shared" si="299"/>
        <v>Sep</v>
      </c>
      <c r="O3191">
        <f t="shared" si="300"/>
        <v>2025</v>
      </c>
    </row>
    <row r="3192" spans="1:15" x14ac:dyDescent="0.3">
      <c r="A3192">
        <v>201355</v>
      </c>
      <c r="B3192" t="s">
        <v>46</v>
      </c>
      <c r="C3192" s="2">
        <v>45903</v>
      </c>
      <c r="D3192" s="2">
        <f t="shared" si="298"/>
        <v>45963</v>
      </c>
      <c r="E3192" s="1">
        <f>D3192+60</f>
        <v>46023</v>
      </c>
      <c r="F3192">
        <v>4254</v>
      </c>
      <c r="G3192">
        <v>60</v>
      </c>
      <c r="H3192">
        <f t="shared" si="303"/>
        <v>0</v>
      </c>
      <c r="I3192" t="str">
        <f t="shared" si="301"/>
        <v>On Time</v>
      </c>
      <c r="J3192" cm="1">
        <f t="array" ref="J3192">_xlfn.IFS(H3192&lt;30,0,H3192&lt;60,1,H3192&lt;90,2,H3192&lt;120,3)</f>
        <v>0</v>
      </c>
      <c r="M3192" t="str">
        <f t="shared" si="302"/>
        <v>Low</v>
      </c>
      <c r="N3192" t="str">
        <f t="shared" si="299"/>
        <v>Sep</v>
      </c>
      <c r="O3192">
        <f t="shared" si="300"/>
        <v>2025</v>
      </c>
    </row>
    <row r="3193" spans="1:15" x14ac:dyDescent="0.3">
      <c r="A3193">
        <v>201356</v>
      </c>
      <c r="B3193" t="s">
        <v>47</v>
      </c>
      <c r="C3193" s="2">
        <v>45903</v>
      </c>
      <c r="D3193" s="2">
        <f t="shared" si="298"/>
        <v>45963</v>
      </c>
      <c r="E3193" s="1">
        <f>D3193</f>
        <v>45963</v>
      </c>
      <c r="F3193">
        <v>4235</v>
      </c>
      <c r="G3193">
        <v>60</v>
      </c>
      <c r="H3193">
        <f t="shared" si="303"/>
        <v>0</v>
      </c>
      <c r="I3193" t="str">
        <f t="shared" si="301"/>
        <v>On Time</v>
      </c>
      <c r="J3193" cm="1">
        <f t="array" ref="J3193">_xlfn.IFS(H3193&lt;30,0,H3193&lt;60,1,H3193&lt;90,2,H3193&lt;120,3)</f>
        <v>0</v>
      </c>
      <c r="M3193" t="str">
        <f t="shared" si="302"/>
        <v>Low</v>
      </c>
      <c r="N3193" t="str">
        <f t="shared" si="299"/>
        <v>Sep</v>
      </c>
      <c r="O3193">
        <f t="shared" si="300"/>
        <v>2025</v>
      </c>
    </row>
    <row r="3194" spans="1:15" x14ac:dyDescent="0.3">
      <c r="A3194">
        <v>201357</v>
      </c>
      <c r="B3194" t="s">
        <v>48</v>
      </c>
      <c r="C3194" s="2">
        <v>45903</v>
      </c>
      <c r="D3194" s="2">
        <f t="shared" si="298"/>
        <v>45948</v>
      </c>
      <c r="F3194">
        <v>19539</v>
      </c>
      <c r="G3194">
        <v>45</v>
      </c>
      <c r="H3194">
        <f t="shared" si="303"/>
        <v>0</v>
      </c>
      <c r="I3194" t="str">
        <f t="shared" si="301"/>
        <v>On Time</v>
      </c>
      <c r="J3194" cm="1">
        <f t="array" ref="J3194">_xlfn.IFS(H3194&lt;30,0,H3194&lt;60,1,H3194&lt;90,2,H3194&lt;120,3)</f>
        <v>0</v>
      </c>
      <c r="M3194" t="str">
        <f t="shared" si="302"/>
        <v>Low</v>
      </c>
      <c r="N3194" t="str">
        <f t="shared" si="299"/>
        <v>Sep</v>
      </c>
      <c r="O3194">
        <f t="shared" si="300"/>
        <v>2025</v>
      </c>
    </row>
    <row r="3195" spans="1:15" x14ac:dyDescent="0.3">
      <c r="A3195">
        <v>201358</v>
      </c>
      <c r="B3195" t="s">
        <v>49</v>
      </c>
      <c r="C3195" s="2">
        <v>45903</v>
      </c>
      <c r="D3195" s="2">
        <f t="shared" si="298"/>
        <v>45933</v>
      </c>
      <c r="E3195" s="1">
        <f>D3195+3</f>
        <v>45936</v>
      </c>
      <c r="F3195">
        <v>2167</v>
      </c>
      <c r="G3195">
        <v>30</v>
      </c>
      <c r="H3195">
        <f t="shared" si="303"/>
        <v>0</v>
      </c>
      <c r="I3195" t="str">
        <f t="shared" si="301"/>
        <v>On Time</v>
      </c>
      <c r="J3195" cm="1">
        <f t="array" ref="J3195">_xlfn.IFS(H3195&lt;30,0,H3195&lt;60,1,H3195&lt;90,2,H3195&lt;120,3)</f>
        <v>0</v>
      </c>
      <c r="M3195" t="str">
        <f t="shared" si="302"/>
        <v>Low</v>
      </c>
      <c r="N3195" t="str">
        <f t="shared" si="299"/>
        <v>Sep</v>
      </c>
      <c r="O3195">
        <f t="shared" si="300"/>
        <v>2025</v>
      </c>
    </row>
    <row r="3196" spans="1:15" x14ac:dyDescent="0.3">
      <c r="A3196">
        <v>201359</v>
      </c>
      <c r="B3196" t="s">
        <v>50</v>
      </c>
      <c r="C3196" s="2">
        <v>45903</v>
      </c>
      <c r="D3196" s="2">
        <f t="shared" si="298"/>
        <v>45933</v>
      </c>
      <c r="E3196" s="1">
        <f>D3196+1</f>
        <v>45934</v>
      </c>
      <c r="F3196">
        <v>4694</v>
      </c>
      <c r="G3196">
        <v>30</v>
      </c>
      <c r="H3196">
        <f t="shared" si="303"/>
        <v>0</v>
      </c>
      <c r="I3196" t="str">
        <f t="shared" si="301"/>
        <v>On Time</v>
      </c>
      <c r="J3196" cm="1">
        <f t="array" ref="J3196">_xlfn.IFS(H3196&lt;30,0,H3196&lt;60,1,H3196&lt;90,2,H3196&lt;120,3)</f>
        <v>0</v>
      </c>
      <c r="M3196" t="str">
        <f t="shared" si="302"/>
        <v>Low</v>
      </c>
      <c r="N3196" t="str">
        <f t="shared" si="299"/>
        <v>Sep</v>
      </c>
      <c r="O3196">
        <f t="shared" si="300"/>
        <v>2025</v>
      </c>
    </row>
    <row r="3197" spans="1:15" x14ac:dyDescent="0.3">
      <c r="A3197">
        <v>201360</v>
      </c>
      <c r="B3197" t="s">
        <v>51</v>
      </c>
      <c r="C3197" s="2">
        <v>45903</v>
      </c>
      <c r="D3197" s="2">
        <f t="shared" si="298"/>
        <v>45933</v>
      </c>
      <c r="E3197" s="1">
        <f>D3197-1</f>
        <v>45932</v>
      </c>
      <c r="F3197">
        <v>4956</v>
      </c>
      <c r="G3197">
        <v>30</v>
      </c>
      <c r="H3197">
        <f t="shared" si="303"/>
        <v>0</v>
      </c>
      <c r="I3197" t="str">
        <f t="shared" si="301"/>
        <v>On Time</v>
      </c>
      <c r="J3197" cm="1">
        <f t="array" ref="J3197">_xlfn.IFS(H3197&lt;30,0,H3197&lt;60,1,H3197&lt;90,2,H3197&lt;120,3)</f>
        <v>0</v>
      </c>
      <c r="M3197" t="str">
        <f t="shared" si="302"/>
        <v>Low</v>
      </c>
      <c r="N3197" t="str">
        <f t="shared" si="299"/>
        <v>Sep</v>
      </c>
      <c r="O3197">
        <f t="shared" si="300"/>
        <v>2025</v>
      </c>
    </row>
    <row r="3198" spans="1:15" x14ac:dyDescent="0.3">
      <c r="A3198">
        <v>201361</v>
      </c>
      <c r="B3198" t="s">
        <v>52</v>
      </c>
      <c r="C3198" s="2">
        <v>45903</v>
      </c>
      <c r="D3198" s="2">
        <f t="shared" si="298"/>
        <v>45933</v>
      </c>
      <c r="E3198" s="1">
        <f>D3198</f>
        <v>45933</v>
      </c>
      <c r="F3198">
        <v>2687</v>
      </c>
      <c r="G3198">
        <v>30</v>
      </c>
      <c r="H3198">
        <f t="shared" si="303"/>
        <v>0</v>
      </c>
      <c r="I3198" t="str">
        <f t="shared" si="301"/>
        <v>On Time</v>
      </c>
      <c r="J3198" cm="1">
        <f t="array" ref="J3198">_xlfn.IFS(H3198&lt;30,0,H3198&lt;60,1,H3198&lt;90,2,H3198&lt;120,3)</f>
        <v>0</v>
      </c>
      <c r="M3198" t="str">
        <f t="shared" si="302"/>
        <v>Low</v>
      </c>
      <c r="N3198" t="str">
        <f t="shared" si="299"/>
        <v>Sep</v>
      </c>
      <c r="O3198">
        <f t="shared" si="300"/>
        <v>2025</v>
      </c>
    </row>
    <row r="3199" spans="1:15" x14ac:dyDescent="0.3">
      <c r="A3199">
        <v>201362</v>
      </c>
      <c r="B3199" t="s">
        <v>53</v>
      </c>
      <c r="C3199" s="2">
        <v>45903</v>
      </c>
      <c r="D3199" s="2">
        <f t="shared" si="298"/>
        <v>45933</v>
      </c>
      <c r="E3199" s="1">
        <f>D3199-5</f>
        <v>45928</v>
      </c>
      <c r="F3199">
        <v>4306</v>
      </c>
      <c r="G3199">
        <v>30</v>
      </c>
      <c r="H3199">
        <f t="shared" si="303"/>
        <v>0</v>
      </c>
      <c r="I3199" t="str">
        <f t="shared" si="301"/>
        <v>On Time</v>
      </c>
      <c r="J3199" cm="1">
        <f t="array" ref="J3199">_xlfn.IFS(H3199&lt;30,0,H3199&lt;60,1,H3199&lt;90,2,H3199&lt;120,3)</f>
        <v>0</v>
      </c>
      <c r="M3199" t="str">
        <f t="shared" si="302"/>
        <v>Low</v>
      </c>
      <c r="N3199" t="str">
        <f t="shared" si="299"/>
        <v>Sep</v>
      </c>
      <c r="O3199">
        <f t="shared" si="300"/>
        <v>2025</v>
      </c>
    </row>
    <row r="3200" spans="1:15" x14ac:dyDescent="0.3">
      <c r="A3200">
        <v>201363</v>
      </c>
      <c r="B3200" t="s">
        <v>54</v>
      </c>
      <c r="C3200" s="2">
        <v>45903</v>
      </c>
      <c r="D3200" s="2">
        <f t="shared" si="298"/>
        <v>45933</v>
      </c>
      <c r="E3200" s="1">
        <f>D3200+35</f>
        <v>45968</v>
      </c>
      <c r="F3200">
        <v>675</v>
      </c>
      <c r="G3200">
        <v>30</v>
      </c>
      <c r="H3200">
        <f t="shared" si="303"/>
        <v>0</v>
      </c>
      <c r="I3200" t="str">
        <f t="shared" si="301"/>
        <v>On Time</v>
      </c>
      <c r="J3200" cm="1">
        <f t="array" ref="J3200">_xlfn.IFS(H3200&lt;30,0,H3200&lt;60,1,H3200&lt;90,2,H3200&lt;120,3)</f>
        <v>0</v>
      </c>
      <c r="M3200" t="str">
        <f t="shared" si="302"/>
        <v>Low</v>
      </c>
      <c r="N3200" t="str">
        <f t="shared" si="299"/>
        <v>Sep</v>
      </c>
      <c r="O3200">
        <f t="shared" si="300"/>
        <v>2025</v>
      </c>
    </row>
    <row r="3201" spans="1:15" x14ac:dyDescent="0.3">
      <c r="A3201">
        <v>201364</v>
      </c>
      <c r="B3201" t="s">
        <v>36</v>
      </c>
      <c r="C3201" s="2">
        <v>45903</v>
      </c>
      <c r="D3201" s="2">
        <f t="shared" si="298"/>
        <v>45933</v>
      </c>
      <c r="E3201" s="1">
        <f>D3201+72</f>
        <v>46005</v>
      </c>
      <c r="F3201">
        <v>4780</v>
      </c>
      <c r="G3201">
        <v>30</v>
      </c>
      <c r="H3201">
        <f t="shared" si="303"/>
        <v>0</v>
      </c>
      <c r="I3201" t="str">
        <f t="shared" si="301"/>
        <v>On Time</v>
      </c>
      <c r="J3201" cm="1">
        <f t="array" ref="J3201">_xlfn.IFS(H3201&lt;30,0,H3201&lt;60,1,H3201&lt;90,2,H3201&lt;120,3)</f>
        <v>0</v>
      </c>
      <c r="M3201" t="str">
        <f t="shared" si="302"/>
        <v>Low</v>
      </c>
      <c r="N3201" t="str">
        <f t="shared" si="299"/>
        <v>Sep</v>
      </c>
      <c r="O3201">
        <f t="shared" si="300"/>
        <v>2025</v>
      </c>
    </row>
    <row r="3202" spans="1:15" x14ac:dyDescent="0.3">
      <c r="A3202">
        <v>201365</v>
      </c>
      <c r="B3202" t="s">
        <v>37</v>
      </c>
      <c r="C3202" s="2">
        <v>45903</v>
      </c>
      <c r="D3202" s="2">
        <f t="shared" ref="D3202:D3265" si="304">C3202+G3202</f>
        <v>45933</v>
      </c>
      <c r="E3202" s="1">
        <f>D3202+5</f>
        <v>45938</v>
      </c>
      <c r="F3202">
        <v>4192</v>
      </c>
      <c r="G3202">
        <v>30</v>
      </c>
      <c r="H3202">
        <f t="shared" si="303"/>
        <v>0</v>
      </c>
      <c r="I3202" t="str">
        <f t="shared" si="301"/>
        <v>On Time</v>
      </c>
      <c r="J3202" cm="1">
        <f t="array" ref="J3202">_xlfn.IFS(H3202&lt;30,0,H3202&lt;60,1,H3202&lt;90,2,H3202&lt;120,3)</f>
        <v>0</v>
      </c>
      <c r="M3202" t="str">
        <f t="shared" si="302"/>
        <v>Low</v>
      </c>
      <c r="N3202" t="str">
        <f t="shared" ref="N3202:N3265" si="305">TEXT(C3202,"mmm")</f>
        <v>Sep</v>
      </c>
      <c r="O3202">
        <f t="shared" ref="O3202:O3265" si="306">YEAR(C3202)</f>
        <v>2025</v>
      </c>
    </row>
    <row r="3203" spans="1:15" x14ac:dyDescent="0.3">
      <c r="A3203">
        <v>201366</v>
      </c>
      <c r="B3203" t="s">
        <v>38</v>
      </c>
      <c r="C3203" s="2">
        <v>45903</v>
      </c>
      <c r="D3203" s="2">
        <f t="shared" si="304"/>
        <v>45933</v>
      </c>
      <c r="E3203" s="1">
        <f>D3203</f>
        <v>45933</v>
      </c>
      <c r="F3203">
        <v>4175</v>
      </c>
      <c r="G3203">
        <v>30</v>
      </c>
      <c r="H3203">
        <f t="shared" si="303"/>
        <v>0</v>
      </c>
      <c r="I3203" t="str">
        <f t="shared" si="301"/>
        <v>On Time</v>
      </c>
      <c r="J3203" cm="1">
        <f t="array" ref="J3203">_xlfn.IFS(H3203&lt;30,0,H3203&lt;60,1,H3203&lt;90,2,H3203&lt;120,3)</f>
        <v>0</v>
      </c>
      <c r="M3203" t="str">
        <f t="shared" si="302"/>
        <v>Low</v>
      </c>
      <c r="N3203" t="str">
        <f t="shared" si="305"/>
        <v>Sep</v>
      </c>
      <c r="O3203">
        <f t="shared" si="306"/>
        <v>2025</v>
      </c>
    </row>
    <row r="3204" spans="1:15" x14ac:dyDescent="0.3">
      <c r="A3204">
        <v>201367</v>
      </c>
      <c r="B3204" t="s">
        <v>39</v>
      </c>
      <c r="C3204" s="2">
        <v>45903</v>
      </c>
      <c r="D3204" s="2">
        <f t="shared" si="304"/>
        <v>45933</v>
      </c>
      <c r="E3204" s="1">
        <f>D3204-1</f>
        <v>45932</v>
      </c>
      <c r="F3204">
        <v>1545</v>
      </c>
      <c r="G3204">
        <v>30</v>
      </c>
      <c r="H3204">
        <f t="shared" si="303"/>
        <v>0</v>
      </c>
      <c r="I3204" t="str">
        <f t="shared" si="301"/>
        <v>On Time</v>
      </c>
      <c r="J3204" cm="1">
        <f t="array" ref="J3204">_xlfn.IFS(H3204&lt;30,0,H3204&lt;60,1,H3204&lt;90,2,H3204&lt;120,3)</f>
        <v>0</v>
      </c>
      <c r="M3204" t="str">
        <f t="shared" si="302"/>
        <v>Low</v>
      </c>
      <c r="N3204" t="str">
        <f t="shared" si="305"/>
        <v>Sep</v>
      </c>
      <c r="O3204">
        <f t="shared" si="306"/>
        <v>2025</v>
      </c>
    </row>
    <row r="3205" spans="1:15" x14ac:dyDescent="0.3">
      <c r="A3205">
        <v>201368</v>
      </c>
      <c r="B3205" t="s">
        <v>40</v>
      </c>
      <c r="C3205" s="2">
        <v>45903</v>
      </c>
      <c r="D3205" s="2">
        <f t="shared" si="304"/>
        <v>45933</v>
      </c>
      <c r="E3205" s="1">
        <f>D3205</f>
        <v>45933</v>
      </c>
      <c r="F3205">
        <v>16286</v>
      </c>
      <c r="G3205">
        <v>30</v>
      </c>
      <c r="H3205">
        <f t="shared" si="303"/>
        <v>0</v>
      </c>
      <c r="I3205" t="str">
        <f t="shared" si="301"/>
        <v>On Time</v>
      </c>
      <c r="J3205" cm="1">
        <f t="array" ref="J3205">_xlfn.IFS(H3205&lt;30,0,H3205&lt;60,1,H3205&lt;90,2,H3205&lt;120,3)</f>
        <v>0</v>
      </c>
      <c r="M3205" t="str">
        <f t="shared" si="302"/>
        <v>Low</v>
      </c>
      <c r="N3205" t="str">
        <f t="shared" si="305"/>
        <v>Sep</v>
      </c>
      <c r="O3205">
        <f t="shared" si="306"/>
        <v>2025</v>
      </c>
    </row>
    <row r="3206" spans="1:15" x14ac:dyDescent="0.3">
      <c r="A3206">
        <v>201369</v>
      </c>
      <c r="B3206" t="s">
        <v>41</v>
      </c>
      <c r="C3206" s="2">
        <v>45903</v>
      </c>
      <c r="D3206" s="2">
        <f t="shared" si="304"/>
        <v>45933</v>
      </c>
      <c r="E3206" s="1">
        <f>D3206+32</f>
        <v>45965</v>
      </c>
      <c r="F3206">
        <v>3705</v>
      </c>
      <c r="G3206">
        <v>30</v>
      </c>
      <c r="H3206">
        <f t="shared" si="303"/>
        <v>0</v>
      </c>
      <c r="I3206" t="str">
        <f t="shared" si="301"/>
        <v>On Time</v>
      </c>
      <c r="J3206" cm="1">
        <f t="array" ref="J3206">_xlfn.IFS(H3206&lt;30,0,H3206&lt;60,1,H3206&lt;90,2,H3206&lt;120,3)</f>
        <v>0</v>
      </c>
      <c r="M3206" t="str">
        <f t="shared" si="302"/>
        <v>Low</v>
      </c>
      <c r="N3206" t="str">
        <f t="shared" si="305"/>
        <v>Sep</v>
      </c>
      <c r="O3206">
        <f t="shared" si="306"/>
        <v>2025</v>
      </c>
    </row>
    <row r="3207" spans="1:15" x14ac:dyDescent="0.3">
      <c r="A3207">
        <v>201337</v>
      </c>
      <c r="B3207" t="s">
        <v>86</v>
      </c>
      <c r="C3207" s="2">
        <v>45902</v>
      </c>
      <c r="D3207" s="2">
        <f t="shared" si="304"/>
        <v>45932</v>
      </c>
      <c r="E3207" s="1">
        <f>D3207+15</f>
        <v>45947</v>
      </c>
      <c r="F3207">
        <v>674</v>
      </c>
      <c r="G3207">
        <v>30</v>
      </c>
      <c r="H3207">
        <f t="shared" si="303"/>
        <v>0</v>
      </c>
      <c r="I3207" t="str">
        <f t="shared" si="301"/>
        <v>On Time</v>
      </c>
      <c r="J3207" cm="1">
        <f t="array" ref="J3207">_xlfn.IFS(H3207&lt;30,0,H3207&lt;60,1,H3207&lt;90,2,H3207&lt;120,3)</f>
        <v>0</v>
      </c>
      <c r="M3207" t="str">
        <f t="shared" si="302"/>
        <v>Low</v>
      </c>
      <c r="N3207" t="str">
        <f t="shared" si="305"/>
        <v>Sep</v>
      </c>
      <c r="O3207">
        <f t="shared" si="306"/>
        <v>2025</v>
      </c>
    </row>
    <row r="3208" spans="1:15" x14ac:dyDescent="0.3">
      <c r="A3208">
        <v>201338</v>
      </c>
      <c r="B3208" t="s">
        <v>87</v>
      </c>
      <c r="C3208" s="2">
        <v>45902</v>
      </c>
      <c r="D3208" s="2">
        <f t="shared" si="304"/>
        <v>45932</v>
      </c>
      <c r="E3208" s="1">
        <f>D3208-2</f>
        <v>45930</v>
      </c>
      <c r="F3208">
        <v>510</v>
      </c>
      <c r="G3208">
        <v>30</v>
      </c>
      <c r="H3208">
        <f t="shared" si="303"/>
        <v>0</v>
      </c>
      <c r="I3208" t="str">
        <f t="shared" si="301"/>
        <v>On Time</v>
      </c>
      <c r="J3208" cm="1">
        <f t="array" ref="J3208">_xlfn.IFS(H3208&lt;30,0,H3208&lt;60,1,H3208&lt;90,2,H3208&lt;120,3)</f>
        <v>0</v>
      </c>
      <c r="M3208" t="str">
        <f t="shared" si="302"/>
        <v>Low</v>
      </c>
      <c r="N3208" t="str">
        <f t="shared" si="305"/>
        <v>Sep</v>
      </c>
      <c r="O3208">
        <f t="shared" si="306"/>
        <v>2025</v>
      </c>
    </row>
    <row r="3209" spans="1:15" x14ac:dyDescent="0.3">
      <c r="A3209">
        <v>201339</v>
      </c>
      <c r="B3209" t="s">
        <v>88</v>
      </c>
      <c r="C3209" s="2">
        <v>45902</v>
      </c>
      <c r="D3209" s="2">
        <f t="shared" si="304"/>
        <v>45932</v>
      </c>
      <c r="E3209" s="1">
        <f>D3209-2</f>
        <v>45930</v>
      </c>
      <c r="F3209">
        <v>1370</v>
      </c>
      <c r="G3209">
        <v>30</v>
      </c>
      <c r="H3209">
        <f t="shared" si="303"/>
        <v>0</v>
      </c>
      <c r="I3209" t="str">
        <f t="shared" si="301"/>
        <v>On Time</v>
      </c>
      <c r="J3209" cm="1">
        <f t="array" ref="J3209">_xlfn.IFS(H3209&lt;30,0,H3209&lt;60,1,H3209&lt;90,2,H3209&lt;120,3)</f>
        <v>0</v>
      </c>
      <c r="M3209" t="str">
        <f t="shared" si="302"/>
        <v>Low</v>
      </c>
      <c r="N3209" t="str">
        <f t="shared" si="305"/>
        <v>Sep</v>
      </c>
      <c r="O3209">
        <f t="shared" si="306"/>
        <v>2025</v>
      </c>
    </row>
    <row r="3210" spans="1:15" x14ac:dyDescent="0.3">
      <c r="A3210">
        <v>201340</v>
      </c>
      <c r="B3210" t="s">
        <v>89</v>
      </c>
      <c r="C3210" s="2">
        <v>45902</v>
      </c>
      <c r="D3210" s="2">
        <f t="shared" si="304"/>
        <v>45932</v>
      </c>
      <c r="E3210" s="1">
        <f>D3210</f>
        <v>45932</v>
      </c>
      <c r="F3210">
        <v>1044</v>
      </c>
      <c r="G3210">
        <v>30</v>
      </c>
      <c r="H3210">
        <f t="shared" si="303"/>
        <v>0</v>
      </c>
      <c r="I3210" t="str">
        <f t="shared" si="301"/>
        <v>On Time</v>
      </c>
      <c r="J3210" cm="1">
        <f t="array" ref="J3210">_xlfn.IFS(H3210&lt;30,0,H3210&lt;60,1,H3210&lt;90,2,H3210&lt;120,3)</f>
        <v>0</v>
      </c>
      <c r="M3210" t="str">
        <f t="shared" si="302"/>
        <v>Low</v>
      </c>
      <c r="N3210" t="str">
        <f t="shared" si="305"/>
        <v>Sep</v>
      </c>
      <c r="O3210">
        <f t="shared" si="306"/>
        <v>2025</v>
      </c>
    </row>
    <row r="3211" spans="1:15" x14ac:dyDescent="0.3">
      <c r="A3211">
        <v>201341</v>
      </c>
      <c r="B3211" t="s">
        <v>90</v>
      </c>
      <c r="C3211" s="2">
        <v>45902</v>
      </c>
      <c r="D3211" s="2">
        <f t="shared" si="304"/>
        <v>45932</v>
      </c>
      <c r="E3211" s="1">
        <f>D3211+2</f>
        <v>45934</v>
      </c>
      <c r="F3211">
        <v>887</v>
      </c>
      <c r="G3211">
        <v>30</v>
      </c>
      <c r="H3211">
        <f t="shared" si="303"/>
        <v>0</v>
      </c>
      <c r="I3211" t="str">
        <f t="shared" si="301"/>
        <v>On Time</v>
      </c>
      <c r="J3211" cm="1">
        <f t="array" ref="J3211">_xlfn.IFS(H3211&lt;30,0,H3211&lt;60,1,H3211&lt;90,2,H3211&lt;120,3)</f>
        <v>0</v>
      </c>
      <c r="M3211" t="str">
        <f t="shared" si="302"/>
        <v>Low</v>
      </c>
      <c r="N3211" t="str">
        <f t="shared" si="305"/>
        <v>Sep</v>
      </c>
      <c r="O3211">
        <f t="shared" si="306"/>
        <v>2025</v>
      </c>
    </row>
    <row r="3212" spans="1:15" x14ac:dyDescent="0.3">
      <c r="A3212">
        <v>201342</v>
      </c>
      <c r="B3212" t="s">
        <v>91</v>
      </c>
      <c r="C3212" s="2">
        <v>45902</v>
      </c>
      <c r="D3212" s="2">
        <f t="shared" si="304"/>
        <v>45932</v>
      </c>
      <c r="E3212" s="1">
        <f>D3212+2</f>
        <v>45934</v>
      </c>
      <c r="F3212">
        <v>2397</v>
      </c>
      <c r="G3212">
        <v>30</v>
      </c>
      <c r="H3212">
        <f t="shared" si="303"/>
        <v>0</v>
      </c>
      <c r="I3212" t="str">
        <f t="shared" si="301"/>
        <v>On Time</v>
      </c>
      <c r="J3212" cm="1">
        <f t="array" ref="J3212">_xlfn.IFS(H3212&lt;30,0,H3212&lt;60,1,H3212&lt;90,2,H3212&lt;120,3)</f>
        <v>0</v>
      </c>
      <c r="M3212" t="str">
        <f t="shared" si="302"/>
        <v>Low</v>
      </c>
      <c r="N3212" t="str">
        <f t="shared" si="305"/>
        <v>Sep</v>
      </c>
      <c r="O3212">
        <f t="shared" si="306"/>
        <v>2025</v>
      </c>
    </row>
    <row r="3213" spans="1:15" x14ac:dyDescent="0.3">
      <c r="A3213">
        <v>201343</v>
      </c>
      <c r="B3213" t="s">
        <v>92</v>
      </c>
      <c r="C3213" s="2">
        <v>45902</v>
      </c>
      <c r="D3213" s="2">
        <f t="shared" si="304"/>
        <v>45932</v>
      </c>
      <c r="E3213" s="1">
        <f>D3213+2</f>
        <v>45934</v>
      </c>
      <c r="F3213">
        <v>4312</v>
      </c>
      <c r="G3213">
        <v>30</v>
      </c>
      <c r="H3213">
        <f t="shared" si="303"/>
        <v>0</v>
      </c>
      <c r="I3213" t="str">
        <f t="shared" si="301"/>
        <v>On Time</v>
      </c>
      <c r="J3213" cm="1">
        <f t="array" ref="J3213">_xlfn.IFS(H3213&lt;30,0,H3213&lt;60,1,H3213&lt;90,2,H3213&lt;120,3)</f>
        <v>0</v>
      </c>
      <c r="M3213" t="str">
        <f t="shared" si="302"/>
        <v>Low</v>
      </c>
      <c r="N3213" t="str">
        <f t="shared" si="305"/>
        <v>Sep</v>
      </c>
      <c r="O3213">
        <f t="shared" si="306"/>
        <v>2025</v>
      </c>
    </row>
    <row r="3214" spans="1:15" x14ac:dyDescent="0.3">
      <c r="A3214">
        <v>201344</v>
      </c>
      <c r="B3214" t="s">
        <v>93</v>
      </c>
      <c r="C3214" s="2">
        <v>45902</v>
      </c>
      <c r="D3214" s="2">
        <f t="shared" si="304"/>
        <v>45932</v>
      </c>
      <c r="E3214" s="1">
        <f>D3214</f>
        <v>45932</v>
      </c>
      <c r="F3214">
        <v>4342</v>
      </c>
      <c r="G3214">
        <v>30</v>
      </c>
      <c r="H3214">
        <f t="shared" si="303"/>
        <v>0</v>
      </c>
      <c r="I3214" t="str">
        <f t="shared" si="301"/>
        <v>On Time</v>
      </c>
      <c r="J3214" cm="1">
        <f t="array" ref="J3214">_xlfn.IFS(H3214&lt;30,0,H3214&lt;60,1,H3214&lt;90,2,H3214&lt;120,3)</f>
        <v>0</v>
      </c>
      <c r="M3214" t="str">
        <f t="shared" si="302"/>
        <v>Low</v>
      </c>
      <c r="N3214" t="str">
        <f t="shared" si="305"/>
        <v>Sep</v>
      </c>
      <c r="O3214">
        <f t="shared" si="306"/>
        <v>2025</v>
      </c>
    </row>
    <row r="3215" spans="1:15" x14ac:dyDescent="0.3">
      <c r="A3215">
        <v>201345</v>
      </c>
      <c r="B3215" t="s">
        <v>94</v>
      </c>
      <c r="C3215" s="2">
        <v>45902</v>
      </c>
      <c r="D3215" s="2">
        <f t="shared" si="304"/>
        <v>45932</v>
      </c>
      <c r="E3215" s="1">
        <f>D3215+20</f>
        <v>45952</v>
      </c>
      <c r="F3215">
        <v>1439</v>
      </c>
      <c r="G3215">
        <v>30</v>
      </c>
      <c r="H3215">
        <f t="shared" si="303"/>
        <v>0</v>
      </c>
      <c r="I3215" t="str">
        <f t="shared" si="301"/>
        <v>On Time</v>
      </c>
      <c r="J3215" cm="1">
        <f t="array" ref="J3215">_xlfn.IFS(H3215&lt;30,0,H3215&lt;60,1,H3215&lt;90,2,H3215&lt;120,3)</f>
        <v>0</v>
      </c>
      <c r="M3215" t="str">
        <f t="shared" si="302"/>
        <v>Low</v>
      </c>
      <c r="N3215" t="str">
        <f t="shared" si="305"/>
        <v>Sep</v>
      </c>
      <c r="O3215">
        <f t="shared" si="306"/>
        <v>2025</v>
      </c>
    </row>
    <row r="3216" spans="1:15" x14ac:dyDescent="0.3">
      <c r="A3216">
        <v>201346</v>
      </c>
      <c r="B3216" t="s">
        <v>95</v>
      </c>
      <c r="C3216" s="2">
        <v>45902</v>
      </c>
      <c r="D3216" s="2">
        <f t="shared" si="304"/>
        <v>45947</v>
      </c>
      <c r="E3216" s="1">
        <f>D3216</f>
        <v>45947</v>
      </c>
      <c r="F3216">
        <v>3256</v>
      </c>
      <c r="G3216">
        <v>45</v>
      </c>
      <c r="H3216">
        <f t="shared" si="303"/>
        <v>0</v>
      </c>
      <c r="I3216" t="str">
        <f t="shared" si="301"/>
        <v>On Time</v>
      </c>
      <c r="J3216" cm="1">
        <f t="array" ref="J3216">_xlfn.IFS(H3216&lt;30,0,H3216&lt;60,1,H3216&lt;90,2,H3216&lt;120,3)</f>
        <v>0</v>
      </c>
      <c r="M3216" t="str">
        <f t="shared" si="302"/>
        <v>Low</v>
      </c>
      <c r="N3216" t="str">
        <f t="shared" si="305"/>
        <v>Sep</v>
      </c>
      <c r="O3216">
        <f t="shared" si="306"/>
        <v>2025</v>
      </c>
    </row>
    <row r="3217" spans="1:15" x14ac:dyDescent="0.3">
      <c r="A3217">
        <v>201347</v>
      </c>
      <c r="B3217" t="s">
        <v>68</v>
      </c>
      <c r="C3217" s="2">
        <v>45902</v>
      </c>
      <c r="D3217" s="2">
        <f t="shared" si="304"/>
        <v>45932</v>
      </c>
      <c r="E3217" s="1">
        <f>D3217+1</f>
        <v>45933</v>
      </c>
      <c r="F3217">
        <v>4819</v>
      </c>
      <c r="G3217">
        <v>30</v>
      </c>
      <c r="H3217">
        <f t="shared" si="303"/>
        <v>0</v>
      </c>
      <c r="I3217" t="str">
        <f t="shared" si="301"/>
        <v>On Time</v>
      </c>
      <c r="J3217" cm="1">
        <f t="array" ref="J3217">_xlfn.IFS(H3217&lt;30,0,H3217&lt;60,1,H3217&lt;90,2,H3217&lt;120,3)</f>
        <v>0</v>
      </c>
      <c r="M3217" t="str">
        <f t="shared" si="302"/>
        <v>Low</v>
      </c>
      <c r="N3217" t="str">
        <f t="shared" si="305"/>
        <v>Sep</v>
      </c>
      <c r="O3217">
        <f t="shared" si="306"/>
        <v>2025</v>
      </c>
    </row>
    <row r="3218" spans="1:15" x14ac:dyDescent="0.3">
      <c r="A3218">
        <v>201348</v>
      </c>
      <c r="B3218" t="s">
        <v>69</v>
      </c>
      <c r="C3218" s="2">
        <v>45902</v>
      </c>
      <c r="D3218" s="2">
        <f t="shared" si="304"/>
        <v>45932</v>
      </c>
      <c r="E3218" s="1">
        <f>D3218</f>
        <v>45932</v>
      </c>
      <c r="F3218">
        <v>2253</v>
      </c>
      <c r="G3218">
        <v>30</v>
      </c>
      <c r="H3218">
        <f t="shared" si="303"/>
        <v>0</v>
      </c>
      <c r="I3218" t="str">
        <f t="shared" si="301"/>
        <v>On Time</v>
      </c>
      <c r="J3218" cm="1">
        <f t="array" ref="J3218">_xlfn.IFS(H3218&lt;30,0,H3218&lt;60,1,H3218&lt;90,2,H3218&lt;120,3)</f>
        <v>0</v>
      </c>
      <c r="M3218" t="str">
        <f t="shared" si="302"/>
        <v>Low</v>
      </c>
      <c r="N3218" t="str">
        <f t="shared" si="305"/>
        <v>Sep</v>
      </c>
      <c r="O3218">
        <f t="shared" si="306"/>
        <v>2025</v>
      </c>
    </row>
    <row r="3219" spans="1:15" x14ac:dyDescent="0.3">
      <c r="A3219">
        <v>201349</v>
      </c>
      <c r="B3219" t="s">
        <v>70</v>
      </c>
      <c r="C3219" s="2">
        <v>45902</v>
      </c>
      <c r="D3219" s="2">
        <f t="shared" si="304"/>
        <v>45932</v>
      </c>
      <c r="E3219" s="1">
        <f>D3219</f>
        <v>45932</v>
      </c>
      <c r="F3219">
        <v>3326</v>
      </c>
      <c r="G3219">
        <v>30</v>
      </c>
      <c r="H3219">
        <f t="shared" si="303"/>
        <v>0</v>
      </c>
      <c r="I3219" t="str">
        <f t="shared" si="301"/>
        <v>On Time</v>
      </c>
      <c r="J3219" cm="1">
        <f t="array" ref="J3219">_xlfn.IFS(H3219&lt;30,0,H3219&lt;60,1,H3219&lt;90,2,H3219&lt;120,3)</f>
        <v>0</v>
      </c>
      <c r="M3219" t="str">
        <f t="shared" si="302"/>
        <v>Low</v>
      </c>
      <c r="N3219" t="str">
        <f t="shared" si="305"/>
        <v>Sep</v>
      </c>
      <c r="O3219">
        <f t="shared" si="306"/>
        <v>2025</v>
      </c>
    </row>
    <row r="3220" spans="1:15" x14ac:dyDescent="0.3">
      <c r="A3220">
        <v>201350</v>
      </c>
      <c r="B3220" t="s">
        <v>71</v>
      </c>
      <c r="C3220" s="2">
        <v>45902</v>
      </c>
      <c r="D3220" s="2">
        <f t="shared" si="304"/>
        <v>45932</v>
      </c>
      <c r="E3220" s="1">
        <f>D3220+5</f>
        <v>45937</v>
      </c>
      <c r="F3220">
        <v>4665</v>
      </c>
      <c r="G3220">
        <v>30</v>
      </c>
      <c r="H3220">
        <f t="shared" si="303"/>
        <v>0</v>
      </c>
      <c r="I3220" t="str">
        <f t="shared" si="301"/>
        <v>On Time</v>
      </c>
      <c r="J3220" cm="1">
        <f t="array" ref="J3220">_xlfn.IFS(H3220&lt;30,0,H3220&lt;60,1,H3220&lt;90,2,H3220&lt;120,3)</f>
        <v>0</v>
      </c>
      <c r="M3220" t="str">
        <f t="shared" si="302"/>
        <v>Low</v>
      </c>
      <c r="N3220" t="str">
        <f t="shared" si="305"/>
        <v>Sep</v>
      </c>
      <c r="O3220">
        <f t="shared" si="306"/>
        <v>2025</v>
      </c>
    </row>
    <row r="3221" spans="1:15" x14ac:dyDescent="0.3">
      <c r="A3221">
        <v>201322</v>
      </c>
      <c r="B3221" t="s">
        <v>64</v>
      </c>
      <c r="C3221" s="2">
        <v>45901</v>
      </c>
      <c r="D3221" s="2">
        <f t="shared" si="304"/>
        <v>45931</v>
      </c>
      <c r="E3221" s="1">
        <f>D3221+60</f>
        <v>45991</v>
      </c>
      <c r="F3221">
        <v>3489</v>
      </c>
      <c r="G3221">
        <v>30</v>
      </c>
      <c r="H3221">
        <f t="shared" si="303"/>
        <v>0</v>
      </c>
      <c r="I3221" t="str">
        <f t="shared" si="301"/>
        <v>On Time</v>
      </c>
      <c r="J3221" cm="1">
        <f t="array" ref="J3221">_xlfn.IFS(H3221&lt;30,0,H3221&lt;60,1,H3221&lt;90,2,H3221&lt;120,3)</f>
        <v>0</v>
      </c>
      <c r="M3221" t="str">
        <f t="shared" si="302"/>
        <v>Low</v>
      </c>
      <c r="N3221" t="str">
        <f t="shared" si="305"/>
        <v>Sep</v>
      </c>
      <c r="O3221">
        <f t="shared" si="306"/>
        <v>2025</v>
      </c>
    </row>
    <row r="3222" spans="1:15" x14ac:dyDescent="0.3">
      <c r="A3222">
        <v>201323</v>
      </c>
      <c r="B3222" t="s">
        <v>45</v>
      </c>
      <c r="C3222" s="2">
        <v>45901</v>
      </c>
      <c r="D3222" s="2">
        <f t="shared" si="304"/>
        <v>45946</v>
      </c>
      <c r="E3222" s="1">
        <f>D3222</f>
        <v>45946</v>
      </c>
      <c r="F3222">
        <v>1112</v>
      </c>
      <c r="G3222">
        <v>45</v>
      </c>
      <c r="H3222">
        <f t="shared" si="303"/>
        <v>0</v>
      </c>
      <c r="I3222" t="str">
        <f t="shared" ref="I3222:I3285" si="307">IF(H3222=0,"On Time",IF(H3222&lt;=15,"Paid Late","Seriously Late"))</f>
        <v>On Time</v>
      </c>
      <c r="J3222" cm="1">
        <f t="array" ref="J3222">_xlfn.IFS(H3222&lt;30,0,H3222&lt;60,1,H3222&lt;90,2,H3222&lt;120,3)</f>
        <v>0</v>
      </c>
      <c r="M3222" t="str">
        <f t="shared" ref="M3222:M3285" si="308">IF(H3222&gt;30,"High",IF(H3222&gt;10,"Medium","Low"))</f>
        <v>Low</v>
      </c>
      <c r="N3222" t="str">
        <f t="shared" si="305"/>
        <v>Sep</v>
      </c>
      <c r="O3222">
        <f t="shared" si="306"/>
        <v>2025</v>
      </c>
    </row>
    <row r="3223" spans="1:15" x14ac:dyDescent="0.3">
      <c r="A3223">
        <v>201324</v>
      </c>
      <c r="B3223" t="s">
        <v>46</v>
      </c>
      <c r="C3223" s="2">
        <v>45901</v>
      </c>
      <c r="D3223" s="2">
        <f t="shared" si="304"/>
        <v>45961</v>
      </c>
      <c r="E3223" s="1">
        <f>D3223</f>
        <v>45961</v>
      </c>
      <c r="F3223">
        <v>2248</v>
      </c>
      <c r="G3223">
        <v>60</v>
      </c>
      <c r="H3223">
        <f t="shared" si="303"/>
        <v>0</v>
      </c>
      <c r="I3223" t="str">
        <f t="shared" si="307"/>
        <v>On Time</v>
      </c>
      <c r="J3223" cm="1">
        <f t="array" ref="J3223">_xlfn.IFS(H3223&lt;30,0,H3223&lt;60,1,H3223&lt;90,2,H3223&lt;120,3)</f>
        <v>0</v>
      </c>
      <c r="M3223" t="str">
        <f t="shared" si="308"/>
        <v>Low</v>
      </c>
      <c r="N3223" t="str">
        <f t="shared" si="305"/>
        <v>Sep</v>
      </c>
      <c r="O3223">
        <f t="shared" si="306"/>
        <v>2025</v>
      </c>
    </row>
    <row r="3224" spans="1:15" x14ac:dyDescent="0.3">
      <c r="A3224">
        <v>201325</v>
      </c>
      <c r="B3224" t="s">
        <v>114</v>
      </c>
      <c r="C3224" s="2">
        <v>45901</v>
      </c>
      <c r="D3224" s="2">
        <f t="shared" si="304"/>
        <v>45931</v>
      </c>
      <c r="E3224" s="1">
        <f>D3224+3</f>
        <v>45934</v>
      </c>
      <c r="F3224">
        <v>4872</v>
      </c>
      <c r="G3224">
        <v>30</v>
      </c>
      <c r="H3224">
        <f t="shared" si="303"/>
        <v>0</v>
      </c>
      <c r="I3224" t="str">
        <f t="shared" si="307"/>
        <v>On Time</v>
      </c>
      <c r="J3224" cm="1">
        <f t="array" ref="J3224">_xlfn.IFS(H3224&lt;30,0,H3224&lt;60,1,H3224&lt;90,2,H3224&lt;120,3)</f>
        <v>0</v>
      </c>
      <c r="M3224" t="str">
        <f t="shared" si="308"/>
        <v>Low</v>
      </c>
      <c r="N3224" t="str">
        <f t="shared" si="305"/>
        <v>Sep</v>
      </c>
      <c r="O3224">
        <f t="shared" si="306"/>
        <v>2025</v>
      </c>
    </row>
    <row r="3225" spans="1:15" x14ac:dyDescent="0.3">
      <c r="A3225">
        <v>201326</v>
      </c>
      <c r="B3225" t="s">
        <v>115</v>
      </c>
      <c r="C3225" s="2">
        <v>45901</v>
      </c>
      <c r="D3225" s="2">
        <f t="shared" si="304"/>
        <v>45931</v>
      </c>
      <c r="E3225" s="1">
        <f>D3225+1</f>
        <v>45932</v>
      </c>
      <c r="F3225">
        <v>334</v>
      </c>
      <c r="G3225">
        <v>30</v>
      </c>
      <c r="H3225">
        <f t="shared" si="303"/>
        <v>0</v>
      </c>
      <c r="I3225" t="str">
        <f t="shared" si="307"/>
        <v>On Time</v>
      </c>
      <c r="J3225" cm="1">
        <f t="array" ref="J3225">_xlfn.IFS(H3225&lt;30,0,H3225&lt;60,1,H3225&lt;90,2,H3225&lt;120,3)</f>
        <v>0</v>
      </c>
      <c r="M3225" t="str">
        <f t="shared" si="308"/>
        <v>Low</v>
      </c>
      <c r="N3225" t="str">
        <f t="shared" si="305"/>
        <v>Sep</v>
      </c>
      <c r="O3225">
        <f t="shared" si="306"/>
        <v>2025</v>
      </c>
    </row>
    <row r="3226" spans="1:15" x14ac:dyDescent="0.3">
      <c r="A3226">
        <v>201327</v>
      </c>
      <c r="B3226" t="s">
        <v>116</v>
      </c>
      <c r="C3226" s="2">
        <v>45901</v>
      </c>
      <c r="D3226" s="2">
        <f t="shared" si="304"/>
        <v>45931</v>
      </c>
      <c r="E3226" s="1">
        <f>D3226-1</f>
        <v>45930</v>
      </c>
      <c r="F3226">
        <v>3742</v>
      </c>
      <c r="G3226">
        <v>30</v>
      </c>
      <c r="H3226">
        <f t="shared" si="303"/>
        <v>0</v>
      </c>
      <c r="I3226" t="str">
        <f t="shared" si="307"/>
        <v>On Time</v>
      </c>
      <c r="J3226" cm="1">
        <f t="array" ref="J3226">_xlfn.IFS(H3226&lt;30,0,H3226&lt;60,1,H3226&lt;90,2,H3226&lt;120,3)</f>
        <v>0</v>
      </c>
      <c r="M3226" t="str">
        <f t="shared" si="308"/>
        <v>Low</v>
      </c>
      <c r="N3226" t="str">
        <f t="shared" si="305"/>
        <v>Sep</v>
      </c>
      <c r="O3226">
        <f t="shared" si="306"/>
        <v>2025</v>
      </c>
    </row>
    <row r="3227" spans="1:15" x14ac:dyDescent="0.3">
      <c r="A3227">
        <v>201328</v>
      </c>
      <c r="B3227" t="s">
        <v>117</v>
      </c>
      <c r="C3227" s="2">
        <v>45901</v>
      </c>
      <c r="D3227" s="2">
        <f t="shared" si="304"/>
        <v>45931</v>
      </c>
      <c r="E3227" s="1">
        <f>D3227</f>
        <v>45931</v>
      </c>
      <c r="F3227">
        <v>4811</v>
      </c>
      <c r="G3227">
        <v>30</v>
      </c>
      <c r="H3227">
        <f t="shared" si="303"/>
        <v>0</v>
      </c>
      <c r="I3227" t="str">
        <f t="shared" si="307"/>
        <v>On Time</v>
      </c>
      <c r="J3227" cm="1">
        <f t="array" ref="J3227">_xlfn.IFS(H3227&lt;30,0,H3227&lt;60,1,H3227&lt;90,2,H3227&lt;120,3)</f>
        <v>0</v>
      </c>
      <c r="M3227" t="str">
        <f t="shared" si="308"/>
        <v>Low</v>
      </c>
      <c r="N3227" t="str">
        <f t="shared" si="305"/>
        <v>Sep</v>
      </c>
      <c r="O3227">
        <f t="shared" si="306"/>
        <v>2025</v>
      </c>
    </row>
    <row r="3228" spans="1:15" x14ac:dyDescent="0.3">
      <c r="A3228">
        <v>201329</v>
      </c>
      <c r="B3228" t="s">
        <v>118</v>
      </c>
      <c r="C3228" s="2">
        <v>45901</v>
      </c>
      <c r="D3228" s="2">
        <f t="shared" si="304"/>
        <v>45931</v>
      </c>
      <c r="E3228" s="1">
        <f>D3228+1</f>
        <v>45932</v>
      </c>
      <c r="F3228">
        <v>15487</v>
      </c>
      <c r="G3228">
        <v>30</v>
      </c>
      <c r="H3228">
        <f t="shared" si="303"/>
        <v>0</v>
      </c>
      <c r="I3228" t="str">
        <f t="shared" si="307"/>
        <v>On Time</v>
      </c>
      <c r="J3228" cm="1">
        <f t="array" ref="J3228">_xlfn.IFS(H3228&lt;30,0,H3228&lt;60,1,H3228&lt;90,2,H3228&lt;120,3)</f>
        <v>0</v>
      </c>
      <c r="M3228" t="str">
        <f t="shared" si="308"/>
        <v>Low</v>
      </c>
      <c r="N3228" t="str">
        <f t="shared" si="305"/>
        <v>Sep</v>
      </c>
      <c r="O3228">
        <f t="shared" si="306"/>
        <v>2025</v>
      </c>
    </row>
    <row r="3229" spans="1:15" x14ac:dyDescent="0.3">
      <c r="A3229">
        <v>201330</v>
      </c>
      <c r="B3229" t="s">
        <v>119</v>
      </c>
      <c r="C3229" s="2">
        <v>45901</v>
      </c>
      <c r="D3229" s="2">
        <f t="shared" si="304"/>
        <v>45931</v>
      </c>
      <c r="E3229" s="1">
        <f>D3229+35</f>
        <v>45966</v>
      </c>
      <c r="F3229">
        <v>4996</v>
      </c>
      <c r="G3229">
        <v>30</v>
      </c>
      <c r="H3229">
        <f t="shared" si="303"/>
        <v>0</v>
      </c>
      <c r="I3229" t="str">
        <f t="shared" si="307"/>
        <v>On Time</v>
      </c>
      <c r="J3229" cm="1">
        <f t="array" ref="J3229">_xlfn.IFS(H3229&lt;30,0,H3229&lt;60,1,H3229&lt;90,2,H3229&lt;120,3)</f>
        <v>0</v>
      </c>
      <c r="M3229" t="str">
        <f t="shared" si="308"/>
        <v>Low</v>
      </c>
      <c r="N3229" t="str">
        <f t="shared" si="305"/>
        <v>Sep</v>
      </c>
      <c r="O3229">
        <f t="shared" si="306"/>
        <v>2025</v>
      </c>
    </row>
    <row r="3230" spans="1:15" x14ac:dyDescent="0.3">
      <c r="A3230">
        <v>201331</v>
      </c>
      <c r="B3230" t="s">
        <v>100</v>
      </c>
      <c r="C3230" s="2">
        <v>45901</v>
      </c>
      <c r="D3230" s="2">
        <f t="shared" si="304"/>
        <v>45931</v>
      </c>
      <c r="E3230" s="1">
        <f>D3230+75</f>
        <v>46006</v>
      </c>
      <c r="F3230">
        <v>1192</v>
      </c>
      <c r="G3230">
        <v>30</v>
      </c>
      <c r="H3230">
        <f t="shared" si="303"/>
        <v>0</v>
      </c>
      <c r="I3230" t="str">
        <f t="shared" si="307"/>
        <v>On Time</v>
      </c>
      <c r="J3230" cm="1">
        <f t="array" ref="J3230">_xlfn.IFS(H3230&lt;30,0,H3230&lt;60,1,H3230&lt;90,2,H3230&lt;120,3)</f>
        <v>0</v>
      </c>
      <c r="M3230" t="str">
        <f t="shared" si="308"/>
        <v>Low</v>
      </c>
      <c r="N3230" t="str">
        <f t="shared" si="305"/>
        <v>Sep</v>
      </c>
      <c r="O3230">
        <f t="shared" si="306"/>
        <v>2025</v>
      </c>
    </row>
    <row r="3231" spans="1:15" x14ac:dyDescent="0.3">
      <c r="A3231">
        <v>201332</v>
      </c>
      <c r="B3231" t="s">
        <v>101</v>
      </c>
      <c r="C3231" s="2">
        <v>45901</v>
      </c>
      <c r="D3231" s="2">
        <f t="shared" si="304"/>
        <v>45931</v>
      </c>
      <c r="E3231" s="1">
        <f>D3231+5</f>
        <v>45936</v>
      </c>
      <c r="F3231">
        <v>1628</v>
      </c>
      <c r="G3231">
        <v>30</v>
      </c>
      <c r="H3231">
        <f t="shared" si="303"/>
        <v>0</v>
      </c>
      <c r="I3231" t="str">
        <f t="shared" si="307"/>
        <v>On Time</v>
      </c>
      <c r="J3231" cm="1">
        <f t="array" ref="J3231">_xlfn.IFS(H3231&lt;30,0,H3231&lt;60,1,H3231&lt;90,2,H3231&lt;120,3)</f>
        <v>0</v>
      </c>
      <c r="M3231" t="str">
        <f t="shared" si="308"/>
        <v>Low</v>
      </c>
      <c r="N3231" t="str">
        <f t="shared" si="305"/>
        <v>Sep</v>
      </c>
      <c r="O3231">
        <f t="shared" si="306"/>
        <v>2025</v>
      </c>
    </row>
    <row r="3232" spans="1:15" x14ac:dyDescent="0.3">
      <c r="A3232">
        <v>201333</v>
      </c>
      <c r="B3232" t="s">
        <v>102</v>
      </c>
      <c r="C3232" s="2">
        <v>45901</v>
      </c>
      <c r="D3232" s="2">
        <f t="shared" si="304"/>
        <v>45931</v>
      </c>
      <c r="E3232" s="1">
        <f>D3232</f>
        <v>45931</v>
      </c>
      <c r="F3232">
        <v>1136</v>
      </c>
      <c r="G3232">
        <v>30</v>
      </c>
      <c r="H3232">
        <f t="shared" si="303"/>
        <v>0</v>
      </c>
      <c r="I3232" t="str">
        <f t="shared" si="307"/>
        <v>On Time</v>
      </c>
      <c r="J3232" cm="1">
        <f t="array" ref="J3232">_xlfn.IFS(H3232&lt;30,0,H3232&lt;60,1,H3232&lt;90,2,H3232&lt;120,3)</f>
        <v>0</v>
      </c>
      <c r="M3232" t="str">
        <f t="shared" si="308"/>
        <v>Low</v>
      </c>
      <c r="N3232" t="str">
        <f t="shared" si="305"/>
        <v>Sep</v>
      </c>
      <c r="O3232">
        <f t="shared" si="306"/>
        <v>2025</v>
      </c>
    </row>
    <row r="3233" spans="1:15" x14ac:dyDescent="0.3">
      <c r="A3233">
        <v>201334</v>
      </c>
      <c r="B3233" t="s">
        <v>103</v>
      </c>
      <c r="C3233" s="2">
        <v>45901</v>
      </c>
      <c r="D3233" s="2">
        <f t="shared" si="304"/>
        <v>45931</v>
      </c>
      <c r="E3233" s="1">
        <f>D3233-1</f>
        <v>45930</v>
      </c>
      <c r="F3233">
        <v>1820</v>
      </c>
      <c r="G3233">
        <v>30</v>
      </c>
      <c r="H3233">
        <f t="shared" si="303"/>
        <v>0</v>
      </c>
      <c r="I3233" t="str">
        <f t="shared" si="307"/>
        <v>On Time</v>
      </c>
      <c r="J3233" cm="1">
        <f t="array" ref="J3233">_xlfn.IFS(H3233&lt;30,0,H3233&lt;60,1,H3233&lt;90,2,H3233&lt;120,3)</f>
        <v>0</v>
      </c>
      <c r="M3233" t="str">
        <f t="shared" si="308"/>
        <v>Low</v>
      </c>
      <c r="N3233" t="str">
        <f t="shared" si="305"/>
        <v>Sep</v>
      </c>
      <c r="O3233">
        <f t="shared" si="306"/>
        <v>2025</v>
      </c>
    </row>
    <row r="3234" spans="1:15" x14ac:dyDescent="0.3">
      <c r="A3234">
        <v>201335</v>
      </c>
      <c r="B3234" t="s">
        <v>104</v>
      </c>
      <c r="C3234" s="2">
        <v>45901</v>
      </c>
      <c r="D3234" s="2">
        <f t="shared" si="304"/>
        <v>45931</v>
      </c>
      <c r="E3234" s="1">
        <f>D3234</f>
        <v>45931</v>
      </c>
      <c r="F3234">
        <v>1515</v>
      </c>
      <c r="G3234">
        <v>30</v>
      </c>
      <c r="H3234">
        <f t="shared" si="303"/>
        <v>0</v>
      </c>
      <c r="I3234" t="str">
        <f t="shared" si="307"/>
        <v>On Time</v>
      </c>
      <c r="J3234" cm="1">
        <f t="array" ref="J3234">_xlfn.IFS(H3234&lt;30,0,H3234&lt;60,1,H3234&lt;90,2,H3234&lt;120,3)</f>
        <v>0</v>
      </c>
      <c r="M3234" t="str">
        <f t="shared" si="308"/>
        <v>Low</v>
      </c>
      <c r="N3234" t="str">
        <f t="shared" si="305"/>
        <v>Sep</v>
      </c>
      <c r="O3234">
        <f t="shared" si="306"/>
        <v>2025</v>
      </c>
    </row>
    <row r="3235" spans="1:15" x14ac:dyDescent="0.3">
      <c r="A3235">
        <v>201336</v>
      </c>
      <c r="B3235" t="s">
        <v>105</v>
      </c>
      <c r="C3235" s="2">
        <v>45901</v>
      </c>
      <c r="D3235" s="2">
        <f t="shared" si="304"/>
        <v>45931</v>
      </c>
      <c r="E3235" s="1">
        <f>D3235+32</f>
        <v>45963</v>
      </c>
      <c r="F3235">
        <v>1721</v>
      </c>
      <c r="G3235">
        <v>30</v>
      </c>
      <c r="H3235">
        <f t="shared" si="303"/>
        <v>0</v>
      </c>
      <c r="I3235" t="str">
        <f t="shared" si="307"/>
        <v>On Time</v>
      </c>
      <c r="J3235" cm="1">
        <f t="array" ref="J3235">_xlfn.IFS(H3235&lt;30,0,H3235&lt;60,1,H3235&lt;90,2,H3235&lt;120,3)</f>
        <v>0</v>
      </c>
      <c r="M3235" t="str">
        <f t="shared" si="308"/>
        <v>Low</v>
      </c>
      <c r="N3235" t="str">
        <f t="shared" si="305"/>
        <v>Sep</v>
      </c>
      <c r="O3235">
        <f t="shared" si="306"/>
        <v>2025</v>
      </c>
    </row>
    <row r="3236" spans="1:15" x14ac:dyDescent="0.3">
      <c r="A3236">
        <v>201306</v>
      </c>
      <c r="B3236" t="s">
        <v>102</v>
      </c>
      <c r="C3236" s="2">
        <v>45898</v>
      </c>
      <c r="D3236" s="2">
        <f t="shared" si="304"/>
        <v>45928</v>
      </c>
      <c r="E3236" s="1">
        <f>D3236-2</f>
        <v>45926</v>
      </c>
      <c r="F3236">
        <v>3092</v>
      </c>
      <c r="G3236">
        <v>30</v>
      </c>
      <c r="H3236">
        <f t="shared" si="303"/>
        <v>0</v>
      </c>
      <c r="I3236" t="str">
        <f t="shared" si="307"/>
        <v>On Time</v>
      </c>
      <c r="J3236" cm="1">
        <f t="array" ref="J3236">_xlfn.IFS(H3236&lt;30,0,H3236&lt;60,1,H3236&lt;90,2,H3236&lt;120,3)</f>
        <v>0</v>
      </c>
      <c r="M3236" t="str">
        <f t="shared" si="308"/>
        <v>Low</v>
      </c>
      <c r="N3236" t="str">
        <f t="shared" si="305"/>
        <v>Aug</v>
      </c>
      <c r="O3236">
        <f t="shared" si="306"/>
        <v>2025</v>
      </c>
    </row>
    <row r="3237" spans="1:15" x14ac:dyDescent="0.3">
      <c r="A3237">
        <v>201307</v>
      </c>
      <c r="B3237" t="s">
        <v>103</v>
      </c>
      <c r="C3237" s="2">
        <v>45898</v>
      </c>
      <c r="D3237" s="2">
        <f t="shared" si="304"/>
        <v>45928</v>
      </c>
      <c r="E3237" s="1">
        <f>D3237</f>
        <v>45928</v>
      </c>
      <c r="F3237">
        <v>3111</v>
      </c>
      <c r="G3237">
        <v>30</v>
      </c>
      <c r="H3237">
        <f t="shared" si="303"/>
        <v>0</v>
      </c>
      <c r="I3237" t="str">
        <f t="shared" si="307"/>
        <v>On Time</v>
      </c>
      <c r="J3237" cm="1">
        <f t="array" ref="J3237">_xlfn.IFS(H3237&lt;30,0,H3237&lt;60,1,H3237&lt;90,2,H3237&lt;120,3)</f>
        <v>0</v>
      </c>
      <c r="M3237" t="str">
        <f t="shared" si="308"/>
        <v>Low</v>
      </c>
      <c r="N3237" t="str">
        <f t="shared" si="305"/>
        <v>Aug</v>
      </c>
      <c r="O3237">
        <f t="shared" si="306"/>
        <v>2025</v>
      </c>
    </row>
    <row r="3238" spans="1:15" x14ac:dyDescent="0.3">
      <c r="A3238">
        <v>201308</v>
      </c>
      <c r="B3238" t="s">
        <v>104</v>
      </c>
      <c r="C3238" s="2">
        <v>45898</v>
      </c>
      <c r="D3238" s="2">
        <f t="shared" si="304"/>
        <v>45928</v>
      </c>
      <c r="E3238" s="1">
        <f>D3238+2</f>
        <v>45930</v>
      </c>
      <c r="F3238">
        <v>3638</v>
      </c>
      <c r="G3238">
        <v>30</v>
      </c>
      <c r="H3238">
        <f t="shared" ref="H3238:H3301" si="309">MAX(0,P3203-D3238)</f>
        <v>0</v>
      </c>
      <c r="I3238" t="str">
        <f t="shared" si="307"/>
        <v>On Time</v>
      </c>
      <c r="J3238" cm="1">
        <f t="array" ref="J3238">_xlfn.IFS(H3238&lt;30,0,H3238&lt;60,1,H3238&lt;90,2,H3238&lt;120,3)</f>
        <v>0</v>
      </c>
      <c r="M3238" t="str">
        <f t="shared" si="308"/>
        <v>Low</v>
      </c>
      <c r="N3238" t="str">
        <f t="shared" si="305"/>
        <v>Aug</v>
      </c>
      <c r="O3238">
        <f t="shared" si="306"/>
        <v>2025</v>
      </c>
    </row>
    <row r="3239" spans="1:15" x14ac:dyDescent="0.3">
      <c r="A3239">
        <v>201309</v>
      </c>
      <c r="B3239" t="s">
        <v>105</v>
      </c>
      <c r="C3239" s="2">
        <v>45898</v>
      </c>
      <c r="D3239" s="2">
        <f t="shared" si="304"/>
        <v>45928</v>
      </c>
      <c r="E3239" s="1">
        <f>D3239+2</f>
        <v>45930</v>
      </c>
      <c r="F3239">
        <v>1525</v>
      </c>
      <c r="G3239">
        <v>30</v>
      </c>
      <c r="H3239">
        <f t="shared" si="309"/>
        <v>0</v>
      </c>
      <c r="I3239" t="str">
        <f t="shared" si="307"/>
        <v>On Time</v>
      </c>
      <c r="J3239" cm="1">
        <f t="array" ref="J3239">_xlfn.IFS(H3239&lt;30,0,H3239&lt;60,1,H3239&lt;90,2,H3239&lt;120,3)</f>
        <v>0</v>
      </c>
      <c r="M3239" t="str">
        <f t="shared" si="308"/>
        <v>Low</v>
      </c>
      <c r="N3239" t="str">
        <f t="shared" si="305"/>
        <v>Aug</v>
      </c>
      <c r="O3239">
        <f t="shared" si="306"/>
        <v>2025</v>
      </c>
    </row>
    <row r="3240" spans="1:15" x14ac:dyDescent="0.3">
      <c r="A3240">
        <v>201310</v>
      </c>
      <c r="B3240" t="s">
        <v>114</v>
      </c>
      <c r="C3240" s="2">
        <v>45898</v>
      </c>
      <c r="D3240" s="2">
        <f t="shared" si="304"/>
        <v>45928</v>
      </c>
      <c r="E3240" s="1">
        <f>D3240+2</f>
        <v>45930</v>
      </c>
      <c r="F3240">
        <v>3877</v>
      </c>
      <c r="G3240">
        <v>30</v>
      </c>
      <c r="H3240">
        <f t="shared" si="309"/>
        <v>0</v>
      </c>
      <c r="I3240" t="str">
        <f t="shared" si="307"/>
        <v>On Time</v>
      </c>
      <c r="J3240" cm="1">
        <f t="array" ref="J3240">_xlfn.IFS(H3240&lt;30,0,H3240&lt;60,1,H3240&lt;90,2,H3240&lt;120,3)</f>
        <v>0</v>
      </c>
      <c r="M3240" t="str">
        <f t="shared" si="308"/>
        <v>Low</v>
      </c>
      <c r="N3240" t="str">
        <f t="shared" si="305"/>
        <v>Aug</v>
      </c>
      <c r="O3240">
        <f t="shared" si="306"/>
        <v>2025</v>
      </c>
    </row>
    <row r="3241" spans="1:15" x14ac:dyDescent="0.3">
      <c r="A3241">
        <v>201311</v>
      </c>
      <c r="B3241" t="s">
        <v>115</v>
      </c>
      <c r="C3241" s="2">
        <v>45898</v>
      </c>
      <c r="D3241" s="2">
        <f t="shared" si="304"/>
        <v>45928</v>
      </c>
      <c r="E3241" s="1">
        <f>D3241</f>
        <v>45928</v>
      </c>
      <c r="F3241">
        <v>1137</v>
      </c>
      <c r="G3241">
        <v>30</v>
      </c>
      <c r="H3241">
        <f t="shared" si="309"/>
        <v>0</v>
      </c>
      <c r="I3241" t="str">
        <f t="shared" si="307"/>
        <v>On Time</v>
      </c>
      <c r="J3241" cm="1">
        <f t="array" ref="J3241">_xlfn.IFS(H3241&lt;30,0,H3241&lt;60,1,H3241&lt;90,2,H3241&lt;120,3)</f>
        <v>0</v>
      </c>
      <c r="M3241" t="str">
        <f t="shared" si="308"/>
        <v>Low</v>
      </c>
      <c r="N3241" t="str">
        <f t="shared" si="305"/>
        <v>Aug</v>
      </c>
      <c r="O3241">
        <f t="shared" si="306"/>
        <v>2025</v>
      </c>
    </row>
    <row r="3242" spans="1:15" x14ac:dyDescent="0.3">
      <c r="A3242">
        <v>201312</v>
      </c>
      <c r="B3242" t="s">
        <v>116</v>
      </c>
      <c r="C3242" s="2">
        <v>45898</v>
      </c>
      <c r="D3242" s="2">
        <f t="shared" si="304"/>
        <v>45928</v>
      </c>
      <c r="E3242" s="1">
        <f>D3242+20</f>
        <v>45948</v>
      </c>
      <c r="F3242">
        <v>3507</v>
      </c>
      <c r="G3242">
        <v>30</v>
      </c>
      <c r="H3242">
        <f t="shared" si="309"/>
        <v>0</v>
      </c>
      <c r="I3242" t="str">
        <f t="shared" si="307"/>
        <v>On Time</v>
      </c>
      <c r="J3242" cm="1">
        <f t="array" ref="J3242">_xlfn.IFS(H3242&lt;30,0,H3242&lt;60,1,H3242&lt;90,2,H3242&lt;120,3)</f>
        <v>0</v>
      </c>
      <c r="M3242" t="str">
        <f t="shared" si="308"/>
        <v>Low</v>
      </c>
      <c r="N3242" t="str">
        <f t="shared" si="305"/>
        <v>Aug</v>
      </c>
      <c r="O3242">
        <f t="shared" si="306"/>
        <v>2025</v>
      </c>
    </row>
    <row r="3243" spans="1:15" x14ac:dyDescent="0.3">
      <c r="A3243">
        <v>201313</v>
      </c>
      <c r="B3243" t="s">
        <v>117</v>
      </c>
      <c r="C3243" s="2">
        <v>45898</v>
      </c>
      <c r="D3243" s="2">
        <f t="shared" si="304"/>
        <v>45928</v>
      </c>
      <c r="E3243" s="1">
        <f>D3243</f>
        <v>45928</v>
      </c>
      <c r="F3243">
        <v>1490</v>
      </c>
      <c r="G3243">
        <v>30</v>
      </c>
      <c r="H3243">
        <f t="shared" si="309"/>
        <v>0</v>
      </c>
      <c r="I3243" t="str">
        <f t="shared" si="307"/>
        <v>On Time</v>
      </c>
      <c r="J3243" cm="1">
        <f t="array" ref="J3243">_xlfn.IFS(H3243&lt;30,0,H3243&lt;60,1,H3243&lt;90,2,H3243&lt;120,3)</f>
        <v>0</v>
      </c>
      <c r="M3243" t="str">
        <f t="shared" si="308"/>
        <v>Low</v>
      </c>
      <c r="N3243" t="str">
        <f t="shared" si="305"/>
        <v>Aug</v>
      </c>
      <c r="O3243">
        <f t="shared" si="306"/>
        <v>2025</v>
      </c>
    </row>
    <row r="3244" spans="1:15" x14ac:dyDescent="0.3">
      <c r="A3244">
        <v>201314</v>
      </c>
      <c r="B3244" t="s">
        <v>118</v>
      </c>
      <c r="C3244" s="2">
        <v>45898</v>
      </c>
      <c r="D3244" s="2">
        <f t="shared" si="304"/>
        <v>45928</v>
      </c>
      <c r="E3244" s="1">
        <f>D3244+1</f>
        <v>45929</v>
      </c>
      <c r="F3244">
        <v>2488</v>
      </c>
      <c r="G3244">
        <v>30</v>
      </c>
      <c r="H3244">
        <f t="shared" si="309"/>
        <v>0</v>
      </c>
      <c r="I3244" t="str">
        <f t="shared" si="307"/>
        <v>On Time</v>
      </c>
      <c r="J3244" cm="1">
        <f t="array" ref="J3244">_xlfn.IFS(H3244&lt;30,0,H3244&lt;60,1,H3244&lt;90,2,H3244&lt;120,3)</f>
        <v>0</v>
      </c>
      <c r="M3244" t="str">
        <f t="shared" si="308"/>
        <v>Low</v>
      </c>
      <c r="N3244" t="str">
        <f t="shared" si="305"/>
        <v>Aug</v>
      </c>
      <c r="O3244">
        <f t="shared" si="306"/>
        <v>2025</v>
      </c>
    </row>
    <row r="3245" spans="1:15" x14ac:dyDescent="0.3">
      <c r="A3245">
        <v>201315</v>
      </c>
      <c r="B3245" t="s">
        <v>119</v>
      </c>
      <c r="C3245" s="2">
        <v>45898</v>
      </c>
      <c r="D3245" s="2">
        <f t="shared" si="304"/>
        <v>45928</v>
      </c>
      <c r="E3245" s="1">
        <f>D3245</f>
        <v>45928</v>
      </c>
      <c r="F3245">
        <v>886</v>
      </c>
      <c r="G3245">
        <v>30</v>
      </c>
      <c r="H3245">
        <f t="shared" si="309"/>
        <v>0</v>
      </c>
      <c r="I3245" t="str">
        <f t="shared" si="307"/>
        <v>On Time</v>
      </c>
      <c r="J3245" cm="1">
        <f t="array" ref="J3245">_xlfn.IFS(H3245&lt;30,0,H3245&lt;60,1,H3245&lt;90,2,H3245&lt;120,3)</f>
        <v>0</v>
      </c>
      <c r="M3245" t="str">
        <f t="shared" si="308"/>
        <v>Low</v>
      </c>
      <c r="N3245" t="str">
        <f t="shared" si="305"/>
        <v>Aug</v>
      </c>
      <c r="O3245">
        <f t="shared" si="306"/>
        <v>2025</v>
      </c>
    </row>
    <row r="3246" spans="1:15" x14ac:dyDescent="0.3">
      <c r="A3246">
        <v>201316</v>
      </c>
      <c r="B3246" t="s">
        <v>31</v>
      </c>
      <c r="C3246" s="2">
        <v>45898</v>
      </c>
      <c r="D3246" s="2">
        <f t="shared" si="304"/>
        <v>45943</v>
      </c>
      <c r="E3246" s="1">
        <f>D3246</f>
        <v>45943</v>
      </c>
      <c r="F3246">
        <v>780</v>
      </c>
      <c r="G3246">
        <v>45</v>
      </c>
      <c r="H3246">
        <f t="shared" si="309"/>
        <v>0</v>
      </c>
      <c r="I3246" t="str">
        <f t="shared" si="307"/>
        <v>On Time</v>
      </c>
      <c r="J3246" cm="1">
        <f t="array" ref="J3246">_xlfn.IFS(H3246&lt;30,0,H3246&lt;60,1,H3246&lt;90,2,H3246&lt;120,3)</f>
        <v>0</v>
      </c>
      <c r="M3246" t="str">
        <f t="shared" si="308"/>
        <v>Low</v>
      </c>
      <c r="N3246" t="str">
        <f t="shared" si="305"/>
        <v>Aug</v>
      </c>
      <c r="O3246">
        <f t="shared" si="306"/>
        <v>2025</v>
      </c>
    </row>
    <row r="3247" spans="1:15" x14ac:dyDescent="0.3">
      <c r="A3247">
        <v>201317</v>
      </c>
      <c r="B3247" t="s">
        <v>32</v>
      </c>
      <c r="C3247" s="2">
        <v>45898</v>
      </c>
      <c r="D3247" s="2">
        <f t="shared" si="304"/>
        <v>45943</v>
      </c>
      <c r="E3247" s="1">
        <f>D3247+5</f>
        <v>45948</v>
      </c>
      <c r="F3247">
        <v>2156</v>
      </c>
      <c r="G3247">
        <v>45</v>
      </c>
      <c r="H3247">
        <f t="shared" si="309"/>
        <v>0</v>
      </c>
      <c r="I3247" t="str">
        <f t="shared" si="307"/>
        <v>On Time</v>
      </c>
      <c r="J3247" cm="1">
        <f t="array" ref="J3247">_xlfn.IFS(H3247&lt;30,0,H3247&lt;60,1,H3247&lt;90,2,H3247&lt;120,3)</f>
        <v>0</v>
      </c>
      <c r="M3247" t="str">
        <f t="shared" si="308"/>
        <v>Low</v>
      </c>
      <c r="N3247" t="str">
        <f t="shared" si="305"/>
        <v>Aug</v>
      </c>
      <c r="O3247">
        <f t="shared" si="306"/>
        <v>2025</v>
      </c>
    </row>
    <row r="3248" spans="1:15" x14ac:dyDescent="0.3">
      <c r="A3248">
        <v>201318</v>
      </c>
      <c r="B3248" t="s">
        <v>33</v>
      </c>
      <c r="C3248" s="2">
        <v>45898</v>
      </c>
      <c r="D3248" s="2">
        <f t="shared" si="304"/>
        <v>45928</v>
      </c>
      <c r="E3248" s="1">
        <f>D3248+2</f>
        <v>45930</v>
      </c>
      <c r="F3248">
        <v>4763</v>
      </c>
      <c r="G3248">
        <v>30</v>
      </c>
      <c r="H3248">
        <f t="shared" si="309"/>
        <v>0</v>
      </c>
      <c r="I3248" t="str">
        <f t="shared" si="307"/>
        <v>On Time</v>
      </c>
      <c r="J3248" cm="1">
        <f t="array" ref="J3248">_xlfn.IFS(H3248&lt;30,0,H3248&lt;60,1,H3248&lt;90,2,H3248&lt;120,3)</f>
        <v>0</v>
      </c>
      <c r="M3248" t="str">
        <f t="shared" si="308"/>
        <v>Low</v>
      </c>
      <c r="N3248" t="str">
        <f t="shared" si="305"/>
        <v>Aug</v>
      </c>
      <c r="O3248">
        <f t="shared" si="306"/>
        <v>2025</v>
      </c>
    </row>
    <row r="3249" spans="1:15" x14ac:dyDescent="0.3">
      <c r="A3249">
        <v>201319</v>
      </c>
      <c r="B3249" t="s">
        <v>34</v>
      </c>
      <c r="C3249" s="2">
        <v>45898</v>
      </c>
      <c r="D3249" s="2">
        <f t="shared" si="304"/>
        <v>45958</v>
      </c>
      <c r="E3249" s="1">
        <f>D3249</f>
        <v>45958</v>
      </c>
      <c r="F3249">
        <v>871</v>
      </c>
      <c r="G3249">
        <v>60</v>
      </c>
      <c r="H3249">
        <f t="shared" si="309"/>
        <v>0</v>
      </c>
      <c r="I3249" t="str">
        <f t="shared" si="307"/>
        <v>On Time</v>
      </c>
      <c r="J3249" cm="1">
        <f t="array" ref="J3249">_xlfn.IFS(H3249&lt;30,0,H3249&lt;60,1,H3249&lt;90,2,H3249&lt;120,3)</f>
        <v>0</v>
      </c>
      <c r="M3249" t="str">
        <f t="shared" si="308"/>
        <v>Low</v>
      </c>
      <c r="N3249" t="str">
        <f t="shared" si="305"/>
        <v>Aug</v>
      </c>
      <c r="O3249">
        <f t="shared" si="306"/>
        <v>2025</v>
      </c>
    </row>
    <row r="3250" spans="1:15" x14ac:dyDescent="0.3">
      <c r="A3250">
        <v>201320</v>
      </c>
      <c r="B3250" t="s">
        <v>35</v>
      </c>
      <c r="C3250" s="2">
        <v>45898</v>
      </c>
      <c r="D3250" s="2">
        <f t="shared" si="304"/>
        <v>45943</v>
      </c>
      <c r="E3250" s="1">
        <f>D3250</f>
        <v>45943</v>
      </c>
      <c r="F3250">
        <v>238</v>
      </c>
      <c r="G3250">
        <v>45</v>
      </c>
      <c r="H3250">
        <f t="shared" si="309"/>
        <v>0</v>
      </c>
      <c r="I3250" t="str">
        <f t="shared" si="307"/>
        <v>On Time</v>
      </c>
      <c r="J3250" cm="1">
        <f t="array" ref="J3250">_xlfn.IFS(H3250&lt;30,0,H3250&lt;60,1,H3250&lt;90,2,H3250&lt;120,3)</f>
        <v>0</v>
      </c>
      <c r="M3250" t="str">
        <f t="shared" si="308"/>
        <v>Low</v>
      </c>
      <c r="N3250" t="str">
        <f t="shared" si="305"/>
        <v>Aug</v>
      </c>
      <c r="O3250">
        <f t="shared" si="306"/>
        <v>2025</v>
      </c>
    </row>
    <row r="3251" spans="1:15" x14ac:dyDescent="0.3">
      <c r="A3251">
        <v>201321</v>
      </c>
      <c r="B3251" t="s">
        <v>36</v>
      </c>
      <c r="C3251" s="2">
        <v>45898</v>
      </c>
      <c r="D3251" s="2">
        <f t="shared" si="304"/>
        <v>45928</v>
      </c>
      <c r="E3251" s="1">
        <f>D3251</f>
        <v>45928</v>
      </c>
      <c r="F3251">
        <v>4163</v>
      </c>
      <c r="G3251">
        <v>30</v>
      </c>
      <c r="H3251">
        <f t="shared" si="309"/>
        <v>0</v>
      </c>
      <c r="I3251" t="str">
        <f t="shared" si="307"/>
        <v>On Time</v>
      </c>
      <c r="J3251" cm="1">
        <f t="array" ref="J3251">_xlfn.IFS(H3251&lt;30,0,H3251&lt;60,1,H3251&lt;90,2,H3251&lt;120,3)</f>
        <v>0</v>
      </c>
      <c r="M3251" t="str">
        <f t="shared" si="308"/>
        <v>Low</v>
      </c>
      <c r="N3251" t="str">
        <f t="shared" si="305"/>
        <v>Aug</v>
      </c>
      <c r="O3251">
        <f t="shared" si="306"/>
        <v>2025</v>
      </c>
    </row>
    <row r="3252" spans="1:15" x14ac:dyDescent="0.3">
      <c r="A3252">
        <v>201289</v>
      </c>
      <c r="B3252" t="s">
        <v>31</v>
      </c>
      <c r="C3252" s="2">
        <v>45897</v>
      </c>
      <c r="D3252" s="2">
        <f t="shared" si="304"/>
        <v>45942</v>
      </c>
      <c r="E3252" s="1">
        <f>D3252+60</f>
        <v>46002</v>
      </c>
      <c r="F3252">
        <v>2157</v>
      </c>
      <c r="G3252">
        <v>45</v>
      </c>
      <c r="H3252">
        <f t="shared" si="309"/>
        <v>0</v>
      </c>
      <c r="I3252" t="str">
        <f t="shared" si="307"/>
        <v>On Time</v>
      </c>
      <c r="J3252" cm="1">
        <f t="array" ref="J3252">_xlfn.IFS(H3252&lt;30,0,H3252&lt;60,1,H3252&lt;90,2,H3252&lt;120,3)</f>
        <v>0</v>
      </c>
      <c r="M3252" t="str">
        <f t="shared" si="308"/>
        <v>Low</v>
      </c>
      <c r="N3252" t="str">
        <f t="shared" si="305"/>
        <v>Aug</v>
      </c>
      <c r="O3252">
        <f t="shared" si="306"/>
        <v>2025</v>
      </c>
    </row>
    <row r="3253" spans="1:15" x14ac:dyDescent="0.3">
      <c r="A3253">
        <v>201290</v>
      </c>
      <c r="B3253" t="s">
        <v>32</v>
      </c>
      <c r="C3253" s="2">
        <v>45897</v>
      </c>
      <c r="D3253" s="2">
        <f t="shared" si="304"/>
        <v>45942</v>
      </c>
      <c r="E3253" s="1">
        <f>D3253</f>
        <v>45942</v>
      </c>
      <c r="F3253">
        <v>257</v>
      </c>
      <c r="G3253">
        <v>45</v>
      </c>
      <c r="H3253">
        <f t="shared" si="309"/>
        <v>0</v>
      </c>
      <c r="I3253" t="str">
        <f t="shared" si="307"/>
        <v>On Time</v>
      </c>
      <c r="J3253" cm="1">
        <f t="array" ref="J3253">_xlfn.IFS(H3253&lt;30,0,H3253&lt;60,1,H3253&lt;90,2,H3253&lt;120,3)</f>
        <v>0</v>
      </c>
      <c r="M3253" t="str">
        <f t="shared" si="308"/>
        <v>Low</v>
      </c>
      <c r="N3253" t="str">
        <f t="shared" si="305"/>
        <v>Aug</v>
      </c>
      <c r="O3253">
        <f t="shared" si="306"/>
        <v>2025</v>
      </c>
    </row>
    <row r="3254" spans="1:15" x14ac:dyDescent="0.3">
      <c r="A3254">
        <v>201291</v>
      </c>
      <c r="B3254" t="s">
        <v>33</v>
      </c>
      <c r="C3254" s="2">
        <v>45897</v>
      </c>
      <c r="D3254" s="2">
        <f t="shared" si="304"/>
        <v>45927</v>
      </c>
      <c r="E3254" s="1">
        <f>D3254+2</f>
        <v>45929</v>
      </c>
      <c r="F3254">
        <v>1589</v>
      </c>
      <c r="G3254">
        <v>30</v>
      </c>
      <c r="H3254">
        <f t="shared" si="309"/>
        <v>0</v>
      </c>
      <c r="I3254" t="str">
        <f t="shared" si="307"/>
        <v>On Time</v>
      </c>
      <c r="J3254" cm="1">
        <f t="array" ref="J3254">_xlfn.IFS(H3254&lt;30,0,H3254&lt;60,1,H3254&lt;90,2,H3254&lt;120,3)</f>
        <v>0</v>
      </c>
      <c r="M3254" t="str">
        <f t="shared" si="308"/>
        <v>Low</v>
      </c>
      <c r="N3254" t="str">
        <f t="shared" si="305"/>
        <v>Aug</v>
      </c>
      <c r="O3254">
        <f t="shared" si="306"/>
        <v>2025</v>
      </c>
    </row>
    <row r="3255" spans="1:15" x14ac:dyDescent="0.3">
      <c r="A3255">
        <v>201292</v>
      </c>
      <c r="B3255" t="s">
        <v>34</v>
      </c>
      <c r="C3255" s="2">
        <v>45897</v>
      </c>
      <c r="D3255" s="2">
        <f t="shared" si="304"/>
        <v>45957</v>
      </c>
      <c r="E3255" s="1">
        <f>D3255+3</f>
        <v>45960</v>
      </c>
      <c r="F3255">
        <v>3220</v>
      </c>
      <c r="G3255">
        <v>60</v>
      </c>
      <c r="H3255">
        <f t="shared" si="309"/>
        <v>0</v>
      </c>
      <c r="I3255" t="str">
        <f t="shared" si="307"/>
        <v>On Time</v>
      </c>
      <c r="J3255" cm="1">
        <f t="array" ref="J3255">_xlfn.IFS(H3255&lt;30,0,H3255&lt;60,1,H3255&lt;90,2,H3255&lt;120,3)</f>
        <v>0</v>
      </c>
      <c r="M3255" t="str">
        <f t="shared" si="308"/>
        <v>Low</v>
      </c>
      <c r="N3255" t="str">
        <f t="shared" si="305"/>
        <v>Aug</v>
      </c>
      <c r="O3255">
        <f t="shared" si="306"/>
        <v>2025</v>
      </c>
    </row>
    <row r="3256" spans="1:15" x14ac:dyDescent="0.3">
      <c r="A3256">
        <v>201293</v>
      </c>
      <c r="B3256" t="s">
        <v>35</v>
      </c>
      <c r="C3256" s="2">
        <v>45897</v>
      </c>
      <c r="D3256" s="2">
        <f t="shared" si="304"/>
        <v>45942</v>
      </c>
      <c r="E3256" s="1">
        <f>D3256+1</f>
        <v>45943</v>
      </c>
      <c r="F3256">
        <v>11562</v>
      </c>
      <c r="G3256">
        <v>45</v>
      </c>
      <c r="H3256">
        <f t="shared" si="309"/>
        <v>0</v>
      </c>
      <c r="I3256" t="str">
        <f t="shared" si="307"/>
        <v>On Time</v>
      </c>
      <c r="J3256" cm="1">
        <f t="array" ref="J3256">_xlfn.IFS(H3256&lt;30,0,H3256&lt;60,1,H3256&lt;90,2,H3256&lt;120,3)</f>
        <v>0</v>
      </c>
      <c r="M3256" t="str">
        <f t="shared" si="308"/>
        <v>Low</v>
      </c>
      <c r="N3256" t="str">
        <f t="shared" si="305"/>
        <v>Aug</v>
      </c>
      <c r="O3256">
        <f t="shared" si="306"/>
        <v>2025</v>
      </c>
    </row>
    <row r="3257" spans="1:15" x14ac:dyDescent="0.3">
      <c r="A3257">
        <v>201294</v>
      </c>
      <c r="B3257" t="s">
        <v>36</v>
      </c>
      <c r="C3257" s="2">
        <v>45897</v>
      </c>
      <c r="D3257" s="2">
        <f t="shared" si="304"/>
        <v>45927</v>
      </c>
      <c r="E3257" s="1">
        <f>D3257-1</f>
        <v>45926</v>
      </c>
      <c r="F3257">
        <v>3130</v>
      </c>
      <c r="G3257">
        <v>30</v>
      </c>
      <c r="H3257">
        <f t="shared" si="309"/>
        <v>0</v>
      </c>
      <c r="I3257" t="str">
        <f t="shared" si="307"/>
        <v>On Time</v>
      </c>
      <c r="J3257" cm="1">
        <f t="array" ref="J3257">_xlfn.IFS(H3257&lt;30,0,H3257&lt;60,1,H3257&lt;90,2,H3257&lt;120,3)</f>
        <v>0</v>
      </c>
      <c r="M3257" t="str">
        <f t="shared" si="308"/>
        <v>Low</v>
      </c>
      <c r="N3257" t="str">
        <f t="shared" si="305"/>
        <v>Aug</v>
      </c>
      <c r="O3257">
        <f t="shared" si="306"/>
        <v>2025</v>
      </c>
    </row>
    <row r="3258" spans="1:15" x14ac:dyDescent="0.3">
      <c r="A3258">
        <v>201295</v>
      </c>
      <c r="B3258" t="s">
        <v>64</v>
      </c>
      <c r="C3258" s="2">
        <v>45897</v>
      </c>
      <c r="D3258" s="2">
        <f t="shared" si="304"/>
        <v>45927</v>
      </c>
      <c r="E3258" s="1">
        <f>D3258</f>
        <v>45927</v>
      </c>
      <c r="F3258">
        <v>4234</v>
      </c>
      <c r="G3258">
        <v>30</v>
      </c>
      <c r="H3258">
        <f t="shared" si="309"/>
        <v>0</v>
      </c>
      <c r="I3258" t="str">
        <f t="shared" si="307"/>
        <v>On Time</v>
      </c>
      <c r="J3258" cm="1">
        <f t="array" ref="J3258">_xlfn.IFS(H3258&lt;30,0,H3258&lt;60,1,H3258&lt;90,2,H3258&lt;120,3)</f>
        <v>0</v>
      </c>
      <c r="M3258" t="str">
        <f t="shared" si="308"/>
        <v>Low</v>
      </c>
      <c r="N3258" t="str">
        <f t="shared" si="305"/>
        <v>Aug</v>
      </c>
      <c r="O3258">
        <f t="shared" si="306"/>
        <v>2025</v>
      </c>
    </row>
    <row r="3259" spans="1:15" x14ac:dyDescent="0.3">
      <c r="A3259">
        <v>201296</v>
      </c>
      <c r="B3259" t="s">
        <v>65</v>
      </c>
      <c r="C3259" s="2">
        <v>45897</v>
      </c>
      <c r="D3259" s="2">
        <f t="shared" si="304"/>
        <v>45942</v>
      </c>
      <c r="E3259" s="1">
        <f>D3259-5</f>
        <v>45937</v>
      </c>
      <c r="F3259">
        <v>4699</v>
      </c>
      <c r="G3259">
        <v>45</v>
      </c>
      <c r="H3259">
        <f t="shared" si="309"/>
        <v>0</v>
      </c>
      <c r="I3259" t="str">
        <f t="shared" si="307"/>
        <v>On Time</v>
      </c>
      <c r="J3259" cm="1">
        <f t="array" ref="J3259">_xlfn.IFS(H3259&lt;30,0,H3259&lt;60,1,H3259&lt;90,2,H3259&lt;120,3)</f>
        <v>0</v>
      </c>
      <c r="M3259" t="str">
        <f t="shared" si="308"/>
        <v>Low</v>
      </c>
      <c r="N3259" t="str">
        <f t="shared" si="305"/>
        <v>Aug</v>
      </c>
      <c r="O3259">
        <f t="shared" si="306"/>
        <v>2025</v>
      </c>
    </row>
    <row r="3260" spans="1:15" x14ac:dyDescent="0.3">
      <c r="A3260">
        <v>201297</v>
      </c>
      <c r="B3260" t="s">
        <v>66</v>
      </c>
      <c r="C3260" s="2">
        <v>45897</v>
      </c>
      <c r="D3260" s="2">
        <f t="shared" si="304"/>
        <v>45957</v>
      </c>
      <c r="E3260" s="1">
        <f>D3260+35</f>
        <v>45992</v>
      </c>
      <c r="F3260">
        <v>18374</v>
      </c>
      <c r="G3260">
        <v>60</v>
      </c>
      <c r="H3260">
        <f t="shared" si="309"/>
        <v>0</v>
      </c>
      <c r="I3260" t="str">
        <f t="shared" si="307"/>
        <v>On Time</v>
      </c>
      <c r="J3260" cm="1">
        <f t="array" ref="J3260">_xlfn.IFS(H3260&lt;30,0,H3260&lt;60,1,H3260&lt;90,2,H3260&lt;120,3)</f>
        <v>0</v>
      </c>
      <c r="M3260" t="str">
        <f t="shared" si="308"/>
        <v>Low</v>
      </c>
      <c r="N3260" t="str">
        <f t="shared" si="305"/>
        <v>Aug</v>
      </c>
      <c r="O3260">
        <f t="shared" si="306"/>
        <v>2025</v>
      </c>
    </row>
    <row r="3261" spans="1:15" x14ac:dyDescent="0.3">
      <c r="A3261">
        <v>201298</v>
      </c>
      <c r="B3261" t="s">
        <v>67</v>
      </c>
      <c r="C3261" s="2">
        <v>45897</v>
      </c>
      <c r="D3261" s="2">
        <f t="shared" si="304"/>
        <v>45927</v>
      </c>
      <c r="E3261" s="1">
        <f>D3261+75</f>
        <v>46002</v>
      </c>
      <c r="F3261">
        <v>342</v>
      </c>
      <c r="G3261">
        <v>30</v>
      </c>
      <c r="H3261">
        <f t="shared" si="309"/>
        <v>0</v>
      </c>
      <c r="I3261" t="str">
        <f t="shared" si="307"/>
        <v>On Time</v>
      </c>
      <c r="J3261" cm="1">
        <f t="array" ref="J3261">_xlfn.IFS(H3261&lt;30,0,H3261&lt;60,1,H3261&lt;90,2,H3261&lt;120,3)</f>
        <v>0</v>
      </c>
      <c r="M3261" t="str">
        <f t="shared" si="308"/>
        <v>Low</v>
      </c>
      <c r="N3261" t="str">
        <f t="shared" si="305"/>
        <v>Aug</v>
      </c>
      <c r="O3261">
        <f t="shared" si="306"/>
        <v>2025</v>
      </c>
    </row>
    <row r="3262" spans="1:15" x14ac:dyDescent="0.3">
      <c r="A3262">
        <v>201299</v>
      </c>
      <c r="B3262" t="s">
        <v>68</v>
      </c>
      <c r="C3262" s="2">
        <v>45897</v>
      </c>
      <c r="D3262" s="2">
        <f t="shared" si="304"/>
        <v>45927</v>
      </c>
      <c r="E3262" s="1">
        <f>D3262+5</f>
        <v>45932</v>
      </c>
      <c r="F3262">
        <v>1367</v>
      </c>
      <c r="G3262">
        <v>30</v>
      </c>
      <c r="H3262">
        <f t="shared" si="309"/>
        <v>0</v>
      </c>
      <c r="I3262" t="str">
        <f t="shared" si="307"/>
        <v>On Time</v>
      </c>
      <c r="J3262" cm="1">
        <f t="array" ref="J3262">_xlfn.IFS(H3262&lt;30,0,H3262&lt;60,1,H3262&lt;90,2,H3262&lt;120,3)</f>
        <v>0</v>
      </c>
      <c r="M3262" t="str">
        <f t="shared" si="308"/>
        <v>Low</v>
      </c>
      <c r="N3262" t="str">
        <f t="shared" si="305"/>
        <v>Aug</v>
      </c>
      <c r="O3262">
        <f t="shared" si="306"/>
        <v>2025</v>
      </c>
    </row>
    <row r="3263" spans="1:15" x14ac:dyDescent="0.3">
      <c r="A3263">
        <v>201300</v>
      </c>
      <c r="B3263" t="s">
        <v>69</v>
      </c>
      <c r="C3263" s="2">
        <v>45897</v>
      </c>
      <c r="D3263" s="2">
        <f t="shared" si="304"/>
        <v>45927</v>
      </c>
      <c r="E3263" s="1">
        <f>D3263</f>
        <v>45927</v>
      </c>
      <c r="F3263">
        <v>1660</v>
      </c>
      <c r="G3263">
        <v>30</v>
      </c>
      <c r="H3263">
        <f t="shared" si="309"/>
        <v>0</v>
      </c>
      <c r="I3263" t="str">
        <f t="shared" si="307"/>
        <v>On Time</v>
      </c>
      <c r="J3263" cm="1">
        <f t="array" ref="J3263">_xlfn.IFS(H3263&lt;30,0,H3263&lt;60,1,H3263&lt;90,2,H3263&lt;120,3)</f>
        <v>0</v>
      </c>
      <c r="M3263" t="str">
        <f t="shared" si="308"/>
        <v>Low</v>
      </c>
      <c r="N3263" t="str">
        <f t="shared" si="305"/>
        <v>Aug</v>
      </c>
      <c r="O3263">
        <f t="shared" si="306"/>
        <v>2025</v>
      </c>
    </row>
    <row r="3264" spans="1:15" x14ac:dyDescent="0.3">
      <c r="A3264">
        <v>201301</v>
      </c>
      <c r="B3264" t="s">
        <v>70</v>
      </c>
      <c r="C3264" s="2">
        <v>45897</v>
      </c>
      <c r="D3264" s="2">
        <f t="shared" si="304"/>
        <v>45927</v>
      </c>
      <c r="E3264" s="1">
        <f>D3264-1</f>
        <v>45926</v>
      </c>
      <c r="F3264">
        <v>4331</v>
      </c>
      <c r="G3264">
        <v>30</v>
      </c>
      <c r="H3264">
        <f t="shared" si="309"/>
        <v>0</v>
      </c>
      <c r="I3264" t="str">
        <f t="shared" si="307"/>
        <v>On Time</v>
      </c>
      <c r="J3264" cm="1">
        <f t="array" ref="J3264">_xlfn.IFS(H3264&lt;30,0,H3264&lt;60,1,H3264&lt;90,2,H3264&lt;120,3)</f>
        <v>0</v>
      </c>
      <c r="M3264" t="str">
        <f t="shared" si="308"/>
        <v>Low</v>
      </c>
      <c r="N3264" t="str">
        <f t="shared" si="305"/>
        <v>Aug</v>
      </c>
      <c r="O3264">
        <f t="shared" si="306"/>
        <v>2025</v>
      </c>
    </row>
    <row r="3265" spans="1:15" x14ac:dyDescent="0.3">
      <c r="A3265">
        <v>201302</v>
      </c>
      <c r="B3265" t="s">
        <v>71</v>
      </c>
      <c r="C3265" s="2">
        <v>45897</v>
      </c>
      <c r="D3265" s="2">
        <f t="shared" si="304"/>
        <v>45927</v>
      </c>
      <c r="E3265" s="1">
        <f>D3265</f>
        <v>45927</v>
      </c>
      <c r="F3265">
        <v>4053</v>
      </c>
      <c r="G3265">
        <v>30</v>
      </c>
      <c r="H3265">
        <f t="shared" si="309"/>
        <v>0</v>
      </c>
      <c r="I3265" t="str">
        <f t="shared" si="307"/>
        <v>On Time</v>
      </c>
      <c r="J3265" cm="1">
        <f t="array" ref="J3265">_xlfn.IFS(H3265&lt;30,0,H3265&lt;60,1,H3265&lt;90,2,H3265&lt;120,3)</f>
        <v>0</v>
      </c>
      <c r="M3265" t="str">
        <f t="shared" si="308"/>
        <v>Low</v>
      </c>
      <c r="N3265" t="str">
        <f t="shared" si="305"/>
        <v>Aug</v>
      </c>
      <c r="O3265">
        <f t="shared" si="306"/>
        <v>2025</v>
      </c>
    </row>
    <row r="3266" spans="1:15" x14ac:dyDescent="0.3">
      <c r="A3266">
        <v>201303</v>
      </c>
      <c r="B3266" t="s">
        <v>72</v>
      </c>
      <c r="C3266" s="2">
        <v>45897</v>
      </c>
      <c r="D3266" s="2">
        <f t="shared" ref="D3266:D3329" si="310">C3266+G3266</f>
        <v>45927</v>
      </c>
      <c r="E3266" s="1">
        <f>D3266+32</f>
        <v>45959</v>
      </c>
      <c r="F3266">
        <v>3886</v>
      </c>
      <c r="G3266">
        <v>30</v>
      </c>
      <c r="H3266">
        <f t="shared" si="309"/>
        <v>0</v>
      </c>
      <c r="I3266" t="str">
        <f t="shared" si="307"/>
        <v>On Time</v>
      </c>
      <c r="J3266" cm="1">
        <f t="array" ref="J3266">_xlfn.IFS(H3266&lt;30,0,H3266&lt;60,1,H3266&lt;90,2,H3266&lt;120,3)</f>
        <v>0</v>
      </c>
      <c r="M3266" t="str">
        <f t="shared" si="308"/>
        <v>Low</v>
      </c>
      <c r="N3266" t="str">
        <f t="shared" ref="N3266:N3329" si="311">TEXT(C3266,"mmm")</f>
        <v>Aug</v>
      </c>
      <c r="O3266">
        <f t="shared" ref="O3266:O3329" si="312">YEAR(C3266)</f>
        <v>2025</v>
      </c>
    </row>
    <row r="3267" spans="1:15" x14ac:dyDescent="0.3">
      <c r="A3267">
        <v>201304</v>
      </c>
      <c r="B3267" t="s">
        <v>73</v>
      </c>
      <c r="C3267" s="2">
        <v>45897</v>
      </c>
      <c r="D3267" s="2">
        <f t="shared" si="310"/>
        <v>45942</v>
      </c>
      <c r="E3267" s="1">
        <f>D3267+15</f>
        <v>45957</v>
      </c>
      <c r="F3267">
        <v>1193</v>
      </c>
      <c r="G3267">
        <v>45</v>
      </c>
      <c r="H3267">
        <f t="shared" si="309"/>
        <v>0</v>
      </c>
      <c r="I3267" t="str">
        <f t="shared" si="307"/>
        <v>On Time</v>
      </c>
      <c r="J3267" cm="1">
        <f t="array" ref="J3267">_xlfn.IFS(H3267&lt;30,0,H3267&lt;60,1,H3267&lt;90,2,H3267&lt;120,3)</f>
        <v>0</v>
      </c>
      <c r="M3267" t="str">
        <f t="shared" si="308"/>
        <v>Low</v>
      </c>
      <c r="N3267" t="str">
        <f t="shared" si="311"/>
        <v>Aug</v>
      </c>
      <c r="O3267">
        <f t="shared" si="312"/>
        <v>2025</v>
      </c>
    </row>
    <row r="3268" spans="1:15" x14ac:dyDescent="0.3">
      <c r="A3268">
        <v>201305</v>
      </c>
      <c r="B3268" t="s">
        <v>101</v>
      </c>
      <c r="C3268" s="2">
        <v>45897</v>
      </c>
      <c r="D3268" s="2">
        <f t="shared" si="310"/>
        <v>45927</v>
      </c>
      <c r="E3268" s="1">
        <f>D3268</f>
        <v>45927</v>
      </c>
      <c r="F3268">
        <v>4053</v>
      </c>
      <c r="G3268">
        <v>30</v>
      </c>
      <c r="H3268">
        <f t="shared" si="309"/>
        <v>0</v>
      </c>
      <c r="I3268" t="str">
        <f t="shared" si="307"/>
        <v>On Time</v>
      </c>
      <c r="J3268" cm="1">
        <f t="array" ref="J3268">_xlfn.IFS(H3268&lt;30,0,H3268&lt;60,1,H3268&lt;90,2,H3268&lt;120,3)</f>
        <v>0</v>
      </c>
      <c r="M3268" t="str">
        <f t="shared" si="308"/>
        <v>Low</v>
      </c>
      <c r="N3268" t="str">
        <f t="shared" si="311"/>
        <v>Aug</v>
      </c>
      <c r="O3268">
        <f t="shared" si="312"/>
        <v>2025</v>
      </c>
    </row>
    <row r="3269" spans="1:15" x14ac:dyDescent="0.3">
      <c r="A3269">
        <v>201275</v>
      </c>
      <c r="B3269" t="s">
        <v>98</v>
      </c>
      <c r="C3269" s="2">
        <v>45896</v>
      </c>
      <c r="D3269" s="2">
        <f t="shared" si="310"/>
        <v>45926</v>
      </c>
      <c r="E3269" s="1">
        <f>D3269+2</f>
        <v>45928</v>
      </c>
      <c r="F3269">
        <v>360</v>
      </c>
      <c r="G3269">
        <v>30</v>
      </c>
      <c r="H3269">
        <f t="shared" si="309"/>
        <v>0</v>
      </c>
      <c r="I3269" t="str">
        <f t="shared" si="307"/>
        <v>On Time</v>
      </c>
      <c r="J3269" cm="1">
        <f t="array" ref="J3269">_xlfn.IFS(H3269&lt;30,0,H3269&lt;60,1,H3269&lt;90,2,H3269&lt;120,3)</f>
        <v>0</v>
      </c>
      <c r="M3269" t="str">
        <f t="shared" si="308"/>
        <v>Low</v>
      </c>
      <c r="N3269" t="str">
        <f t="shared" si="311"/>
        <v>Aug</v>
      </c>
      <c r="O3269">
        <f t="shared" si="312"/>
        <v>2025</v>
      </c>
    </row>
    <row r="3270" spans="1:15" x14ac:dyDescent="0.3">
      <c r="A3270">
        <v>201276</v>
      </c>
      <c r="B3270" t="s">
        <v>99</v>
      </c>
      <c r="C3270" s="2">
        <v>45896</v>
      </c>
      <c r="D3270" s="2">
        <f t="shared" si="310"/>
        <v>45926</v>
      </c>
      <c r="E3270" s="1">
        <f>D3270+2</f>
        <v>45928</v>
      </c>
      <c r="F3270">
        <v>3736</v>
      </c>
      <c r="G3270">
        <v>30</v>
      </c>
      <c r="H3270">
        <f t="shared" si="309"/>
        <v>0</v>
      </c>
      <c r="I3270" t="str">
        <f t="shared" si="307"/>
        <v>On Time</v>
      </c>
      <c r="J3270" cm="1">
        <f t="array" ref="J3270">_xlfn.IFS(H3270&lt;30,0,H3270&lt;60,1,H3270&lt;90,2,H3270&lt;120,3)</f>
        <v>0</v>
      </c>
      <c r="M3270" t="str">
        <f t="shared" si="308"/>
        <v>Low</v>
      </c>
      <c r="N3270" t="str">
        <f t="shared" si="311"/>
        <v>Aug</v>
      </c>
      <c r="O3270">
        <f t="shared" si="312"/>
        <v>2025</v>
      </c>
    </row>
    <row r="3271" spans="1:15" x14ac:dyDescent="0.3">
      <c r="A3271">
        <v>201277</v>
      </c>
      <c r="B3271" t="s">
        <v>100</v>
      </c>
      <c r="C3271" s="2">
        <v>45896</v>
      </c>
      <c r="D3271" s="2">
        <f t="shared" si="310"/>
        <v>45926</v>
      </c>
      <c r="E3271" s="1">
        <f>D3271+2</f>
        <v>45928</v>
      </c>
      <c r="F3271">
        <v>770</v>
      </c>
      <c r="G3271">
        <v>30</v>
      </c>
      <c r="H3271">
        <f t="shared" si="309"/>
        <v>0</v>
      </c>
      <c r="I3271" t="str">
        <f t="shared" si="307"/>
        <v>On Time</v>
      </c>
      <c r="J3271" cm="1">
        <f t="array" ref="J3271">_xlfn.IFS(H3271&lt;30,0,H3271&lt;60,1,H3271&lt;90,2,H3271&lt;120,3)</f>
        <v>0</v>
      </c>
      <c r="M3271" t="str">
        <f t="shared" si="308"/>
        <v>Low</v>
      </c>
      <c r="N3271" t="str">
        <f t="shared" si="311"/>
        <v>Aug</v>
      </c>
      <c r="O3271">
        <f t="shared" si="312"/>
        <v>2025</v>
      </c>
    </row>
    <row r="3272" spans="1:15" x14ac:dyDescent="0.3">
      <c r="A3272">
        <v>201278</v>
      </c>
      <c r="B3272" t="s">
        <v>101</v>
      </c>
      <c r="C3272" s="2">
        <v>45896</v>
      </c>
      <c r="D3272" s="2">
        <f t="shared" si="310"/>
        <v>45926</v>
      </c>
      <c r="E3272" s="1">
        <f>D3272</f>
        <v>45926</v>
      </c>
      <c r="F3272">
        <v>577</v>
      </c>
      <c r="G3272">
        <v>30</v>
      </c>
      <c r="H3272">
        <f t="shared" si="309"/>
        <v>0</v>
      </c>
      <c r="I3272" t="str">
        <f t="shared" si="307"/>
        <v>On Time</v>
      </c>
      <c r="J3272" cm="1">
        <f t="array" ref="J3272">_xlfn.IFS(H3272&lt;30,0,H3272&lt;60,1,H3272&lt;90,2,H3272&lt;120,3)</f>
        <v>0</v>
      </c>
      <c r="M3272" t="str">
        <f t="shared" si="308"/>
        <v>Low</v>
      </c>
      <c r="N3272" t="str">
        <f t="shared" si="311"/>
        <v>Aug</v>
      </c>
      <c r="O3272">
        <f t="shared" si="312"/>
        <v>2025</v>
      </c>
    </row>
    <row r="3273" spans="1:15" x14ac:dyDescent="0.3">
      <c r="A3273">
        <v>201279</v>
      </c>
      <c r="B3273" t="s">
        <v>102</v>
      </c>
      <c r="C3273" s="2">
        <v>45896</v>
      </c>
      <c r="D3273" s="2">
        <f t="shared" si="310"/>
        <v>45926</v>
      </c>
      <c r="E3273" s="1">
        <f>D3273+20</f>
        <v>45946</v>
      </c>
      <c r="F3273">
        <v>908</v>
      </c>
      <c r="G3273">
        <v>30</v>
      </c>
      <c r="H3273">
        <f t="shared" si="309"/>
        <v>0</v>
      </c>
      <c r="I3273" t="str">
        <f t="shared" si="307"/>
        <v>On Time</v>
      </c>
      <c r="J3273" cm="1">
        <f t="array" ref="J3273">_xlfn.IFS(H3273&lt;30,0,H3273&lt;60,1,H3273&lt;90,2,H3273&lt;120,3)</f>
        <v>0</v>
      </c>
      <c r="M3273" t="str">
        <f t="shared" si="308"/>
        <v>Low</v>
      </c>
      <c r="N3273" t="str">
        <f t="shared" si="311"/>
        <v>Aug</v>
      </c>
      <c r="O3273">
        <f t="shared" si="312"/>
        <v>2025</v>
      </c>
    </row>
    <row r="3274" spans="1:15" x14ac:dyDescent="0.3">
      <c r="A3274">
        <v>201280</v>
      </c>
      <c r="B3274" t="s">
        <v>103</v>
      </c>
      <c r="C3274" s="2">
        <v>45896</v>
      </c>
      <c r="D3274" s="2">
        <f t="shared" si="310"/>
        <v>45926</v>
      </c>
      <c r="E3274" s="1">
        <f>D3274</f>
        <v>45926</v>
      </c>
      <c r="F3274">
        <v>416</v>
      </c>
      <c r="G3274">
        <v>30</v>
      </c>
      <c r="H3274">
        <f t="shared" si="309"/>
        <v>0</v>
      </c>
      <c r="I3274" t="str">
        <f t="shared" si="307"/>
        <v>On Time</v>
      </c>
      <c r="J3274" cm="1">
        <f t="array" ref="J3274">_xlfn.IFS(H3274&lt;30,0,H3274&lt;60,1,H3274&lt;90,2,H3274&lt;120,3)</f>
        <v>0</v>
      </c>
      <c r="M3274" t="str">
        <f t="shared" si="308"/>
        <v>Low</v>
      </c>
      <c r="N3274" t="str">
        <f t="shared" si="311"/>
        <v>Aug</v>
      </c>
      <c r="O3274">
        <f t="shared" si="312"/>
        <v>2025</v>
      </c>
    </row>
    <row r="3275" spans="1:15" x14ac:dyDescent="0.3">
      <c r="A3275">
        <v>201281</v>
      </c>
      <c r="B3275" t="s">
        <v>104</v>
      </c>
      <c r="C3275" s="2">
        <v>45896</v>
      </c>
      <c r="D3275" s="2">
        <f t="shared" si="310"/>
        <v>45926</v>
      </c>
      <c r="E3275" s="1">
        <f>D3275+1</f>
        <v>45927</v>
      </c>
      <c r="F3275">
        <v>2024</v>
      </c>
      <c r="G3275">
        <v>30</v>
      </c>
      <c r="H3275">
        <f t="shared" si="309"/>
        <v>0</v>
      </c>
      <c r="I3275" t="str">
        <f t="shared" si="307"/>
        <v>On Time</v>
      </c>
      <c r="J3275" cm="1">
        <f t="array" ref="J3275">_xlfn.IFS(H3275&lt;30,0,H3275&lt;60,1,H3275&lt;90,2,H3275&lt;120,3)</f>
        <v>0</v>
      </c>
      <c r="M3275" t="str">
        <f t="shared" si="308"/>
        <v>Low</v>
      </c>
      <c r="N3275" t="str">
        <f t="shared" si="311"/>
        <v>Aug</v>
      </c>
      <c r="O3275">
        <f t="shared" si="312"/>
        <v>2025</v>
      </c>
    </row>
    <row r="3276" spans="1:15" x14ac:dyDescent="0.3">
      <c r="A3276">
        <v>201282</v>
      </c>
      <c r="B3276" t="s">
        <v>105</v>
      </c>
      <c r="C3276" s="2">
        <v>45896</v>
      </c>
      <c r="D3276" s="2">
        <f t="shared" si="310"/>
        <v>45926</v>
      </c>
      <c r="E3276" s="1">
        <f>D3276</f>
        <v>45926</v>
      </c>
      <c r="F3276">
        <v>999</v>
      </c>
      <c r="G3276">
        <v>30</v>
      </c>
      <c r="H3276">
        <f t="shared" si="309"/>
        <v>0</v>
      </c>
      <c r="I3276" t="str">
        <f t="shared" si="307"/>
        <v>On Time</v>
      </c>
      <c r="J3276" cm="1">
        <f t="array" ref="J3276">_xlfn.IFS(H3276&lt;30,0,H3276&lt;60,1,H3276&lt;90,2,H3276&lt;120,3)</f>
        <v>0</v>
      </c>
      <c r="M3276" t="str">
        <f t="shared" si="308"/>
        <v>Low</v>
      </c>
      <c r="N3276" t="str">
        <f t="shared" si="311"/>
        <v>Aug</v>
      </c>
      <c r="O3276">
        <f t="shared" si="312"/>
        <v>2025</v>
      </c>
    </row>
    <row r="3277" spans="1:15" x14ac:dyDescent="0.3">
      <c r="A3277">
        <v>201283</v>
      </c>
      <c r="B3277" t="s">
        <v>114</v>
      </c>
      <c r="C3277" s="2">
        <v>45896</v>
      </c>
      <c r="D3277" s="2">
        <f t="shared" si="310"/>
        <v>45926</v>
      </c>
      <c r="E3277" s="1">
        <f>D3277</f>
        <v>45926</v>
      </c>
      <c r="F3277">
        <v>4720</v>
      </c>
      <c r="G3277">
        <v>30</v>
      </c>
      <c r="H3277">
        <f t="shared" si="309"/>
        <v>0</v>
      </c>
      <c r="I3277" t="str">
        <f t="shared" si="307"/>
        <v>On Time</v>
      </c>
      <c r="J3277" cm="1">
        <f t="array" ref="J3277">_xlfn.IFS(H3277&lt;30,0,H3277&lt;60,1,H3277&lt;90,2,H3277&lt;120,3)</f>
        <v>0</v>
      </c>
      <c r="M3277" t="str">
        <f t="shared" si="308"/>
        <v>Low</v>
      </c>
      <c r="N3277" t="str">
        <f t="shared" si="311"/>
        <v>Aug</v>
      </c>
      <c r="O3277">
        <f t="shared" si="312"/>
        <v>2025</v>
      </c>
    </row>
    <row r="3278" spans="1:15" x14ac:dyDescent="0.3">
      <c r="A3278">
        <v>201284</v>
      </c>
      <c r="B3278" t="s">
        <v>115</v>
      </c>
      <c r="C3278" s="2">
        <v>45896</v>
      </c>
      <c r="D3278" s="2">
        <f t="shared" si="310"/>
        <v>45926</v>
      </c>
      <c r="E3278" s="1">
        <f>D3278+5</f>
        <v>45931</v>
      </c>
      <c r="F3278">
        <v>3494</v>
      </c>
      <c r="G3278">
        <v>30</v>
      </c>
      <c r="H3278">
        <f t="shared" si="309"/>
        <v>0</v>
      </c>
      <c r="I3278" t="str">
        <f t="shared" si="307"/>
        <v>On Time</v>
      </c>
      <c r="J3278" cm="1">
        <f t="array" ref="J3278">_xlfn.IFS(H3278&lt;30,0,H3278&lt;60,1,H3278&lt;90,2,H3278&lt;120,3)</f>
        <v>0</v>
      </c>
      <c r="M3278" t="str">
        <f t="shared" si="308"/>
        <v>Low</v>
      </c>
      <c r="N3278" t="str">
        <f t="shared" si="311"/>
        <v>Aug</v>
      </c>
      <c r="O3278">
        <f t="shared" si="312"/>
        <v>2025</v>
      </c>
    </row>
    <row r="3279" spans="1:15" x14ac:dyDescent="0.3">
      <c r="A3279">
        <v>201285</v>
      </c>
      <c r="B3279" t="s">
        <v>116</v>
      </c>
      <c r="C3279" s="2">
        <v>45896</v>
      </c>
      <c r="D3279" s="2">
        <f t="shared" si="310"/>
        <v>45926</v>
      </c>
      <c r="E3279" s="1">
        <f>D3279+2</f>
        <v>45928</v>
      </c>
      <c r="F3279">
        <v>4530</v>
      </c>
      <c r="G3279">
        <v>30</v>
      </c>
      <c r="H3279">
        <f t="shared" si="309"/>
        <v>0</v>
      </c>
      <c r="I3279" t="str">
        <f t="shared" si="307"/>
        <v>On Time</v>
      </c>
      <c r="J3279" cm="1">
        <f t="array" ref="J3279">_xlfn.IFS(H3279&lt;30,0,H3279&lt;60,1,H3279&lt;90,2,H3279&lt;120,3)</f>
        <v>0</v>
      </c>
      <c r="M3279" t="str">
        <f t="shared" si="308"/>
        <v>Low</v>
      </c>
      <c r="N3279" t="str">
        <f t="shared" si="311"/>
        <v>Aug</v>
      </c>
      <c r="O3279">
        <f t="shared" si="312"/>
        <v>2025</v>
      </c>
    </row>
    <row r="3280" spans="1:15" x14ac:dyDescent="0.3">
      <c r="A3280">
        <v>201286</v>
      </c>
      <c r="B3280" t="s">
        <v>117</v>
      </c>
      <c r="C3280" s="2">
        <v>45896</v>
      </c>
      <c r="D3280" s="2">
        <f t="shared" si="310"/>
        <v>45926</v>
      </c>
      <c r="E3280" s="1">
        <f>D3280+5</f>
        <v>45931</v>
      </c>
      <c r="F3280">
        <v>3762</v>
      </c>
      <c r="G3280">
        <v>30</v>
      </c>
      <c r="H3280">
        <f t="shared" si="309"/>
        <v>0</v>
      </c>
      <c r="I3280" t="str">
        <f t="shared" si="307"/>
        <v>On Time</v>
      </c>
      <c r="J3280" cm="1">
        <f t="array" ref="J3280">_xlfn.IFS(H3280&lt;30,0,H3280&lt;60,1,H3280&lt;90,2,H3280&lt;120,3)</f>
        <v>0</v>
      </c>
      <c r="M3280" t="str">
        <f t="shared" si="308"/>
        <v>Low</v>
      </c>
      <c r="N3280" t="str">
        <f t="shared" si="311"/>
        <v>Aug</v>
      </c>
      <c r="O3280">
        <f t="shared" si="312"/>
        <v>2025</v>
      </c>
    </row>
    <row r="3281" spans="1:15" x14ac:dyDescent="0.3">
      <c r="A3281">
        <v>201287</v>
      </c>
      <c r="B3281" t="s">
        <v>118</v>
      </c>
      <c r="C3281" s="2">
        <v>45896</v>
      </c>
      <c r="D3281" s="2">
        <f t="shared" si="310"/>
        <v>45926</v>
      </c>
      <c r="E3281" s="1">
        <f>D3281</f>
        <v>45926</v>
      </c>
      <c r="F3281">
        <v>1957</v>
      </c>
      <c r="G3281">
        <v>30</v>
      </c>
      <c r="H3281">
        <f t="shared" si="309"/>
        <v>0</v>
      </c>
      <c r="I3281" t="str">
        <f t="shared" si="307"/>
        <v>On Time</v>
      </c>
      <c r="J3281" cm="1">
        <f t="array" ref="J3281">_xlfn.IFS(H3281&lt;30,0,H3281&lt;60,1,H3281&lt;90,2,H3281&lt;120,3)</f>
        <v>0</v>
      </c>
      <c r="M3281" t="str">
        <f t="shared" si="308"/>
        <v>Low</v>
      </c>
      <c r="N3281" t="str">
        <f t="shared" si="311"/>
        <v>Aug</v>
      </c>
      <c r="O3281">
        <f t="shared" si="312"/>
        <v>2025</v>
      </c>
    </row>
    <row r="3282" spans="1:15" x14ac:dyDescent="0.3">
      <c r="A3282">
        <v>201288</v>
      </c>
      <c r="B3282" t="s">
        <v>119</v>
      </c>
      <c r="C3282" s="2">
        <v>45896</v>
      </c>
      <c r="D3282" s="2">
        <f t="shared" si="310"/>
        <v>45926</v>
      </c>
      <c r="E3282" s="1">
        <f>D3282</f>
        <v>45926</v>
      </c>
      <c r="F3282">
        <v>3737</v>
      </c>
      <c r="G3282">
        <v>30</v>
      </c>
      <c r="H3282">
        <f t="shared" si="309"/>
        <v>0</v>
      </c>
      <c r="I3282" t="str">
        <f t="shared" si="307"/>
        <v>On Time</v>
      </c>
      <c r="J3282" cm="1">
        <f t="array" ref="J3282">_xlfn.IFS(H3282&lt;30,0,H3282&lt;60,1,H3282&lt;90,2,H3282&lt;120,3)</f>
        <v>0</v>
      </c>
      <c r="M3282" t="str">
        <f t="shared" si="308"/>
        <v>Low</v>
      </c>
      <c r="N3282" t="str">
        <f t="shared" si="311"/>
        <v>Aug</v>
      </c>
      <c r="O3282">
        <f t="shared" si="312"/>
        <v>2025</v>
      </c>
    </row>
    <row r="3283" spans="1:15" x14ac:dyDescent="0.3">
      <c r="A3283">
        <v>201259</v>
      </c>
      <c r="B3283" t="s">
        <v>54</v>
      </c>
      <c r="C3283" s="2">
        <v>45895</v>
      </c>
      <c r="D3283" s="2">
        <f t="shared" si="310"/>
        <v>45925</v>
      </c>
      <c r="E3283" s="1">
        <f>D3283+3</f>
        <v>45928</v>
      </c>
      <c r="F3283">
        <v>4714</v>
      </c>
      <c r="G3283">
        <v>30</v>
      </c>
      <c r="H3283">
        <f t="shared" si="309"/>
        <v>0</v>
      </c>
      <c r="I3283" t="str">
        <f t="shared" si="307"/>
        <v>On Time</v>
      </c>
      <c r="J3283" cm="1">
        <f t="array" ref="J3283">_xlfn.IFS(H3283&lt;30,0,H3283&lt;60,1,H3283&lt;90,2,H3283&lt;120,3)</f>
        <v>0</v>
      </c>
      <c r="M3283" t="str">
        <f t="shared" si="308"/>
        <v>Low</v>
      </c>
      <c r="N3283" t="str">
        <f t="shared" si="311"/>
        <v>Aug</v>
      </c>
      <c r="O3283">
        <f t="shared" si="312"/>
        <v>2025</v>
      </c>
    </row>
    <row r="3284" spans="1:15" x14ac:dyDescent="0.3">
      <c r="A3284">
        <v>201260</v>
      </c>
      <c r="B3284" t="s">
        <v>55</v>
      </c>
      <c r="C3284" s="2">
        <v>45895</v>
      </c>
      <c r="D3284" s="2">
        <f t="shared" si="310"/>
        <v>45925</v>
      </c>
      <c r="E3284" s="1">
        <f>D3284+1</f>
        <v>45926</v>
      </c>
      <c r="F3284">
        <v>100</v>
      </c>
      <c r="G3284">
        <v>30</v>
      </c>
      <c r="H3284">
        <f t="shared" si="309"/>
        <v>0</v>
      </c>
      <c r="I3284" t="str">
        <f t="shared" si="307"/>
        <v>On Time</v>
      </c>
      <c r="J3284" cm="1">
        <f t="array" ref="J3284">_xlfn.IFS(H3284&lt;30,0,H3284&lt;60,1,H3284&lt;90,2,H3284&lt;120,3)</f>
        <v>0</v>
      </c>
      <c r="M3284" t="str">
        <f t="shared" si="308"/>
        <v>Low</v>
      </c>
      <c r="N3284" t="str">
        <f t="shared" si="311"/>
        <v>Aug</v>
      </c>
      <c r="O3284">
        <f t="shared" si="312"/>
        <v>2025</v>
      </c>
    </row>
    <row r="3285" spans="1:15" x14ac:dyDescent="0.3">
      <c r="A3285">
        <v>201261</v>
      </c>
      <c r="B3285" t="s">
        <v>56</v>
      </c>
      <c r="C3285" s="2">
        <v>45895</v>
      </c>
      <c r="D3285" s="2">
        <f t="shared" si="310"/>
        <v>45940</v>
      </c>
      <c r="E3285" s="1">
        <f>D3285-1</f>
        <v>45939</v>
      </c>
      <c r="F3285">
        <v>1323</v>
      </c>
      <c r="G3285">
        <v>45</v>
      </c>
      <c r="H3285">
        <f t="shared" si="309"/>
        <v>0</v>
      </c>
      <c r="I3285" t="str">
        <f t="shared" si="307"/>
        <v>On Time</v>
      </c>
      <c r="J3285" cm="1">
        <f t="array" ref="J3285">_xlfn.IFS(H3285&lt;30,0,H3285&lt;60,1,H3285&lt;90,2,H3285&lt;120,3)</f>
        <v>0</v>
      </c>
      <c r="M3285" t="str">
        <f t="shared" si="308"/>
        <v>Low</v>
      </c>
      <c r="N3285" t="str">
        <f t="shared" si="311"/>
        <v>Aug</v>
      </c>
      <c r="O3285">
        <f t="shared" si="312"/>
        <v>2025</v>
      </c>
    </row>
    <row r="3286" spans="1:15" x14ac:dyDescent="0.3">
      <c r="A3286">
        <v>201262</v>
      </c>
      <c r="B3286" t="s">
        <v>57</v>
      </c>
      <c r="C3286" s="2">
        <v>45895</v>
      </c>
      <c r="D3286" s="2">
        <f t="shared" si="310"/>
        <v>45955</v>
      </c>
      <c r="E3286" s="1">
        <f>D3286</f>
        <v>45955</v>
      </c>
      <c r="F3286">
        <v>4789</v>
      </c>
      <c r="G3286">
        <v>60</v>
      </c>
      <c r="H3286">
        <f t="shared" si="309"/>
        <v>0</v>
      </c>
      <c r="I3286" t="str">
        <f t="shared" ref="I3286:I3349" si="313">IF(H3286=0,"On Time",IF(H3286&lt;=15,"Paid Late","Seriously Late"))</f>
        <v>On Time</v>
      </c>
      <c r="J3286" cm="1">
        <f t="array" ref="J3286">_xlfn.IFS(H3286&lt;30,0,H3286&lt;60,1,H3286&lt;90,2,H3286&lt;120,3)</f>
        <v>0</v>
      </c>
      <c r="M3286" t="str">
        <f t="shared" ref="M3286:M3349" si="314">IF(H3286&gt;30,"High",IF(H3286&gt;10,"Medium","Low"))</f>
        <v>Low</v>
      </c>
      <c r="N3286" t="str">
        <f t="shared" si="311"/>
        <v>Aug</v>
      </c>
      <c r="O3286">
        <f t="shared" si="312"/>
        <v>2025</v>
      </c>
    </row>
    <row r="3287" spans="1:15" x14ac:dyDescent="0.3">
      <c r="A3287">
        <v>201263</v>
      </c>
      <c r="B3287" t="s">
        <v>58</v>
      </c>
      <c r="C3287" s="2">
        <v>45895</v>
      </c>
      <c r="D3287" s="2">
        <f t="shared" si="310"/>
        <v>45925</v>
      </c>
      <c r="E3287" s="1">
        <f>D3287+1</f>
        <v>45926</v>
      </c>
      <c r="F3287">
        <v>2085</v>
      </c>
      <c r="G3287">
        <v>30</v>
      </c>
      <c r="H3287">
        <f t="shared" si="309"/>
        <v>0</v>
      </c>
      <c r="I3287" t="str">
        <f t="shared" si="313"/>
        <v>On Time</v>
      </c>
      <c r="J3287" cm="1">
        <f t="array" ref="J3287">_xlfn.IFS(H3287&lt;30,0,H3287&lt;60,1,H3287&lt;90,2,H3287&lt;120,3)</f>
        <v>0</v>
      </c>
      <c r="M3287" t="str">
        <f t="shared" si="314"/>
        <v>Low</v>
      </c>
      <c r="N3287" t="str">
        <f t="shared" si="311"/>
        <v>Aug</v>
      </c>
      <c r="O3287">
        <f t="shared" si="312"/>
        <v>2025</v>
      </c>
    </row>
    <row r="3288" spans="1:15" x14ac:dyDescent="0.3">
      <c r="A3288">
        <v>201264</v>
      </c>
      <c r="B3288" t="s">
        <v>59</v>
      </c>
      <c r="C3288" s="2">
        <v>45895</v>
      </c>
      <c r="D3288" s="2">
        <f t="shared" si="310"/>
        <v>45925</v>
      </c>
      <c r="E3288" s="1">
        <f>D3288+35</f>
        <v>45960</v>
      </c>
      <c r="F3288">
        <v>1963</v>
      </c>
      <c r="G3288">
        <v>30</v>
      </c>
      <c r="H3288">
        <f t="shared" si="309"/>
        <v>0</v>
      </c>
      <c r="I3288" t="str">
        <f t="shared" si="313"/>
        <v>On Time</v>
      </c>
      <c r="J3288" cm="1">
        <f t="array" ref="J3288">_xlfn.IFS(H3288&lt;30,0,H3288&lt;60,1,H3288&lt;90,2,H3288&lt;120,3)</f>
        <v>0</v>
      </c>
      <c r="M3288" t="str">
        <f t="shared" si="314"/>
        <v>Low</v>
      </c>
      <c r="N3288" t="str">
        <f t="shared" si="311"/>
        <v>Aug</v>
      </c>
      <c r="O3288">
        <f t="shared" si="312"/>
        <v>2025</v>
      </c>
    </row>
    <row r="3289" spans="1:15" x14ac:dyDescent="0.3">
      <c r="A3289">
        <v>201265</v>
      </c>
      <c r="B3289" t="s">
        <v>60</v>
      </c>
      <c r="C3289" s="2">
        <v>45895</v>
      </c>
      <c r="D3289" s="2">
        <f t="shared" si="310"/>
        <v>45925</v>
      </c>
      <c r="E3289" s="1">
        <f>D3289+75</f>
        <v>46000</v>
      </c>
      <c r="F3289">
        <v>3407</v>
      </c>
      <c r="G3289">
        <v>30</v>
      </c>
      <c r="H3289">
        <f t="shared" si="309"/>
        <v>0</v>
      </c>
      <c r="I3289" t="str">
        <f t="shared" si="313"/>
        <v>On Time</v>
      </c>
      <c r="J3289" cm="1">
        <f t="array" ref="J3289">_xlfn.IFS(H3289&lt;30,0,H3289&lt;60,1,H3289&lt;90,2,H3289&lt;120,3)</f>
        <v>0</v>
      </c>
      <c r="M3289" t="str">
        <f t="shared" si="314"/>
        <v>Low</v>
      </c>
      <c r="N3289" t="str">
        <f t="shared" si="311"/>
        <v>Aug</v>
      </c>
      <c r="O3289">
        <f t="shared" si="312"/>
        <v>2025</v>
      </c>
    </row>
    <row r="3290" spans="1:15" x14ac:dyDescent="0.3">
      <c r="A3290">
        <v>201266</v>
      </c>
      <c r="B3290" t="s">
        <v>61</v>
      </c>
      <c r="C3290" s="2">
        <v>45895</v>
      </c>
      <c r="D3290" s="2">
        <f t="shared" si="310"/>
        <v>45925</v>
      </c>
      <c r="E3290" s="1">
        <f>D3290+5</f>
        <v>45930</v>
      </c>
      <c r="F3290">
        <v>2627</v>
      </c>
      <c r="G3290">
        <v>30</v>
      </c>
      <c r="H3290">
        <f t="shared" si="309"/>
        <v>0</v>
      </c>
      <c r="I3290" t="str">
        <f t="shared" si="313"/>
        <v>On Time</v>
      </c>
      <c r="J3290" cm="1">
        <f t="array" ref="J3290">_xlfn.IFS(H3290&lt;30,0,H3290&lt;60,1,H3290&lt;90,2,H3290&lt;120,3)</f>
        <v>0</v>
      </c>
      <c r="M3290" t="str">
        <f t="shared" si="314"/>
        <v>Low</v>
      </c>
      <c r="N3290" t="str">
        <f t="shared" si="311"/>
        <v>Aug</v>
      </c>
      <c r="O3290">
        <f t="shared" si="312"/>
        <v>2025</v>
      </c>
    </row>
    <row r="3291" spans="1:15" x14ac:dyDescent="0.3">
      <c r="A3291">
        <v>201267</v>
      </c>
      <c r="B3291" t="s">
        <v>62</v>
      </c>
      <c r="C3291" s="2">
        <v>45895</v>
      </c>
      <c r="D3291" s="2">
        <f t="shared" si="310"/>
        <v>45925</v>
      </c>
      <c r="E3291" s="1">
        <f>D3291</f>
        <v>45925</v>
      </c>
      <c r="F3291">
        <v>4835</v>
      </c>
      <c r="G3291">
        <v>30</v>
      </c>
      <c r="H3291">
        <f t="shared" si="309"/>
        <v>0</v>
      </c>
      <c r="I3291" t="str">
        <f t="shared" si="313"/>
        <v>On Time</v>
      </c>
      <c r="J3291" cm="1">
        <f t="array" ref="J3291">_xlfn.IFS(H3291&lt;30,0,H3291&lt;60,1,H3291&lt;90,2,H3291&lt;120,3)</f>
        <v>0</v>
      </c>
      <c r="M3291" t="str">
        <f t="shared" si="314"/>
        <v>Low</v>
      </c>
      <c r="N3291" t="str">
        <f t="shared" si="311"/>
        <v>Aug</v>
      </c>
      <c r="O3291">
        <f t="shared" si="312"/>
        <v>2025</v>
      </c>
    </row>
    <row r="3292" spans="1:15" x14ac:dyDescent="0.3">
      <c r="A3292">
        <v>201268</v>
      </c>
      <c r="B3292" t="s">
        <v>63</v>
      </c>
      <c r="C3292" s="2">
        <v>45895</v>
      </c>
      <c r="D3292" s="2">
        <f t="shared" si="310"/>
        <v>45925</v>
      </c>
      <c r="E3292" s="1">
        <f>D3292-1</f>
        <v>45924</v>
      </c>
      <c r="F3292">
        <v>2035</v>
      </c>
      <c r="G3292">
        <v>30</v>
      </c>
      <c r="H3292">
        <f t="shared" si="309"/>
        <v>0</v>
      </c>
      <c r="I3292" t="str">
        <f t="shared" si="313"/>
        <v>On Time</v>
      </c>
      <c r="J3292" cm="1">
        <f t="array" ref="J3292">_xlfn.IFS(H3292&lt;30,0,H3292&lt;60,1,H3292&lt;90,2,H3292&lt;120,3)</f>
        <v>0</v>
      </c>
      <c r="M3292" t="str">
        <f t="shared" si="314"/>
        <v>Low</v>
      </c>
      <c r="N3292" t="str">
        <f t="shared" si="311"/>
        <v>Aug</v>
      </c>
      <c r="O3292">
        <f t="shared" si="312"/>
        <v>2025</v>
      </c>
    </row>
    <row r="3293" spans="1:15" x14ac:dyDescent="0.3">
      <c r="A3293">
        <v>201269</v>
      </c>
      <c r="B3293" t="s">
        <v>64</v>
      </c>
      <c r="C3293" s="2">
        <v>45895</v>
      </c>
      <c r="D3293" s="2">
        <f t="shared" si="310"/>
        <v>45925</v>
      </c>
      <c r="E3293" s="1">
        <f>D3293</f>
        <v>45925</v>
      </c>
      <c r="F3293">
        <v>938</v>
      </c>
      <c r="G3293">
        <v>30</v>
      </c>
      <c r="H3293">
        <f t="shared" si="309"/>
        <v>0</v>
      </c>
      <c r="I3293" t="str">
        <f t="shared" si="313"/>
        <v>On Time</v>
      </c>
      <c r="J3293" cm="1">
        <f t="array" ref="J3293">_xlfn.IFS(H3293&lt;30,0,H3293&lt;60,1,H3293&lt;90,2,H3293&lt;120,3)</f>
        <v>0</v>
      </c>
      <c r="M3293" t="str">
        <f t="shared" si="314"/>
        <v>Low</v>
      </c>
      <c r="N3293" t="str">
        <f t="shared" si="311"/>
        <v>Aug</v>
      </c>
      <c r="O3293">
        <f t="shared" si="312"/>
        <v>2025</v>
      </c>
    </row>
    <row r="3294" spans="1:15" x14ac:dyDescent="0.3">
      <c r="A3294">
        <v>201270</v>
      </c>
      <c r="B3294" t="s">
        <v>65</v>
      </c>
      <c r="C3294" s="2">
        <v>45895</v>
      </c>
      <c r="D3294" s="2">
        <f t="shared" si="310"/>
        <v>45940</v>
      </c>
      <c r="E3294" s="1">
        <f>D3294+32</f>
        <v>45972</v>
      </c>
      <c r="F3294">
        <v>1003</v>
      </c>
      <c r="G3294">
        <v>45</v>
      </c>
      <c r="H3294">
        <f t="shared" si="309"/>
        <v>0</v>
      </c>
      <c r="I3294" t="str">
        <f t="shared" si="313"/>
        <v>On Time</v>
      </c>
      <c r="J3294" cm="1">
        <f t="array" ref="J3294">_xlfn.IFS(H3294&lt;30,0,H3294&lt;60,1,H3294&lt;90,2,H3294&lt;120,3)</f>
        <v>0</v>
      </c>
      <c r="M3294" t="str">
        <f t="shared" si="314"/>
        <v>Low</v>
      </c>
      <c r="N3294" t="str">
        <f t="shared" si="311"/>
        <v>Aug</v>
      </c>
      <c r="O3294">
        <f t="shared" si="312"/>
        <v>2025</v>
      </c>
    </row>
    <row r="3295" spans="1:15" x14ac:dyDescent="0.3">
      <c r="A3295">
        <v>201271</v>
      </c>
      <c r="B3295" t="s">
        <v>94</v>
      </c>
      <c r="C3295" s="2">
        <v>45895</v>
      </c>
      <c r="D3295" s="2">
        <f t="shared" si="310"/>
        <v>45925</v>
      </c>
      <c r="E3295" s="1">
        <f>D3295+15</f>
        <v>45940</v>
      </c>
      <c r="F3295">
        <v>1824</v>
      </c>
      <c r="G3295">
        <v>30</v>
      </c>
      <c r="H3295">
        <f t="shared" si="309"/>
        <v>0</v>
      </c>
      <c r="I3295" t="str">
        <f t="shared" si="313"/>
        <v>On Time</v>
      </c>
      <c r="J3295" cm="1">
        <f t="array" ref="J3295">_xlfn.IFS(H3295&lt;30,0,H3295&lt;60,1,H3295&lt;90,2,H3295&lt;120,3)</f>
        <v>0</v>
      </c>
      <c r="M3295" t="str">
        <f t="shared" si="314"/>
        <v>Low</v>
      </c>
      <c r="N3295" t="str">
        <f t="shared" si="311"/>
        <v>Aug</v>
      </c>
      <c r="O3295">
        <f t="shared" si="312"/>
        <v>2025</v>
      </c>
    </row>
    <row r="3296" spans="1:15" x14ac:dyDescent="0.3">
      <c r="A3296">
        <v>201272</v>
      </c>
      <c r="B3296" t="s">
        <v>95</v>
      </c>
      <c r="C3296" s="2">
        <v>45895</v>
      </c>
      <c r="D3296" s="2">
        <f t="shared" si="310"/>
        <v>45940</v>
      </c>
      <c r="E3296" s="1">
        <f>D3296-2</f>
        <v>45938</v>
      </c>
      <c r="F3296">
        <v>3864</v>
      </c>
      <c r="G3296">
        <v>45</v>
      </c>
      <c r="H3296">
        <f t="shared" si="309"/>
        <v>0</v>
      </c>
      <c r="I3296" t="str">
        <f t="shared" si="313"/>
        <v>On Time</v>
      </c>
      <c r="J3296" cm="1">
        <f t="array" ref="J3296">_xlfn.IFS(H3296&lt;30,0,H3296&lt;60,1,H3296&lt;90,2,H3296&lt;120,3)</f>
        <v>0</v>
      </c>
      <c r="M3296" t="str">
        <f t="shared" si="314"/>
        <v>Low</v>
      </c>
      <c r="N3296" t="str">
        <f t="shared" si="311"/>
        <v>Aug</v>
      </c>
      <c r="O3296">
        <f t="shared" si="312"/>
        <v>2025</v>
      </c>
    </row>
    <row r="3297" spans="1:15" x14ac:dyDescent="0.3">
      <c r="A3297">
        <v>201273</v>
      </c>
      <c r="B3297" t="s">
        <v>96</v>
      </c>
      <c r="C3297" s="2">
        <v>45895</v>
      </c>
      <c r="D3297" s="2">
        <f t="shared" si="310"/>
        <v>45955</v>
      </c>
      <c r="E3297" s="1">
        <f>D3297-2</f>
        <v>45953</v>
      </c>
      <c r="F3297">
        <v>1444</v>
      </c>
      <c r="G3297">
        <v>60</v>
      </c>
      <c r="H3297">
        <f t="shared" si="309"/>
        <v>0</v>
      </c>
      <c r="I3297" t="str">
        <f t="shared" si="313"/>
        <v>On Time</v>
      </c>
      <c r="J3297" cm="1">
        <f t="array" ref="J3297">_xlfn.IFS(H3297&lt;30,0,H3297&lt;60,1,H3297&lt;90,2,H3297&lt;120,3)</f>
        <v>0</v>
      </c>
      <c r="M3297" t="str">
        <f t="shared" si="314"/>
        <v>Low</v>
      </c>
      <c r="N3297" t="str">
        <f t="shared" si="311"/>
        <v>Aug</v>
      </c>
      <c r="O3297">
        <f t="shared" si="312"/>
        <v>2025</v>
      </c>
    </row>
    <row r="3298" spans="1:15" x14ac:dyDescent="0.3">
      <c r="A3298">
        <v>201274</v>
      </c>
      <c r="B3298" t="s">
        <v>97</v>
      </c>
      <c r="C3298" s="2">
        <v>45895</v>
      </c>
      <c r="D3298" s="2">
        <f t="shared" si="310"/>
        <v>45925</v>
      </c>
      <c r="E3298" s="1">
        <f>D3298</f>
        <v>45925</v>
      </c>
      <c r="F3298">
        <v>2818</v>
      </c>
      <c r="G3298">
        <v>30</v>
      </c>
      <c r="H3298">
        <f t="shared" si="309"/>
        <v>0</v>
      </c>
      <c r="I3298" t="str">
        <f t="shared" si="313"/>
        <v>On Time</v>
      </c>
      <c r="J3298" cm="1">
        <f t="array" ref="J3298">_xlfn.IFS(H3298&lt;30,0,H3298&lt;60,1,H3298&lt;90,2,H3298&lt;120,3)</f>
        <v>0</v>
      </c>
      <c r="M3298" t="str">
        <f t="shared" si="314"/>
        <v>Low</v>
      </c>
      <c r="N3298" t="str">
        <f t="shared" si="311"/>
        <v>Aug</v>
      </c>
      <c r="O3298">
        <f t="shared" si="312"/>
        <v>2025</v>
      </c>
    </row>
    <row r="3299" spans="1:15" x14ac:dyDescent="0.3">
      <c r="A3299">
        <v>201241</v>
      </c>
      <c r="B3299" t="s">
        <v>111</v>
      </c>
      <c r="C3299" s="2">
        <v>45894</v>
      </c>
      <c r="D3299" s="2">
        <f t="shared" si="310"/>
        <v>45954</v>
      </c>
      <c r="E3299" s="1">
        <f>D3299</f>
        <v>45954</v>
      </c>
      <c r="F3299">
        <v>13064</v>
      </c>
      <c r="G3299">
        <v>60</v>
      </c>
      <c r="H3299">
        <f t="shared" si="309"/>
        <v>0</v>
      </c>
      <c r="I3299" t="str">
        <f t="shared" si="313"/>
        <v>On Time</v>
      </c>
      <c r="J3299" cm="1">
        <f t="array" ref="J3299">_xlfn.IFS(H3299&lt;30,0,H3299&lt;60,1,H3299&lt;90,2,H3299&lt;120,3)</f>
        <v>0</v>
      </c>
      <c r="M3299" t="str">
        <f t="shared" si="314"/>
        <v>Low</v>
      </c>
      <c r="N3299" t="str">
        <f t="shared" si="311"/>
        <v>Aug</v>
      </c>
      <c r="O3299">
        <f t="shared" si="312"/>
        <v>2025</v>
      </c>
    </row>
    <row r="3300" spans="1:15" x14ac:dyDescent="0.3">
      <c r="A3300">
        <v>201242</v>
      </c>
      <c r="B3300" t="s">
        <v>112</v>
      </c>
      <c r="C3300" s="2">
        <v>45894</v>
      </c>
      <c r="D3300" s="2">
        <f t="shared" si="310"/>
        <v>45939</v>
      </c>
      <c r="E3300" s="1">
        <f>D3300+2</f>
        <v>45941</v>
      </c>
      <c r="F3300">
        <v>115</v>
      </c>
      <c r="G3300">
        <v>45</v>
      </c>
      <c r="H3300">
        <f t="shared" si="309"/>
        <v>0</v>
      </c>
      <c r="I3300" t="str">
        <f t="shared" si="313"/>
        <v>On Time</v>
      </c>
      <c r="J3300" cm="1">
        <f t="array" ref="J3300">_xlfn.IFS(H3300&lt;30,0,H3300&lt;60,1,H3300&lt;90,2,H3300&lt;120,3)</f>
        <v>0</v>
      </c>
      <c r="M3300" t="str">
        <f t="shared" si="314"/>
        <v>Low</v>
      </c>
      <c r="N3300" t="str">
        <f t="shared" si="311"/>
        <v>Aug</v>
      </c>
      <c r="O3300">
        <f t="shared" si="312"/>
        <v>2025</v>
      </c>
    </row>
    <row r="3301" spans="1:15" x14ac:dyDescent="0.3">
      <c r="A3301">
        <v>201243</v>
      </c>
      <c r="B3301" t="s">
        <v>113</v>
      </c>
      <c r="C3301" s="2">
        <v>45894</v>
      </c>
      <c r="D3301" s="2">
        <f t="shared" si="310"/>
        <v>45939</v>
      </c>
      <c r="E3301" s="1">
        <f>D3301+2</f>
        <v>45941</v>
      </c>
      <c r="F3301">
        <v>3643</v>
      </c>
      <c r="G3301">
        <v>45</v>
      </c>
      <c r="H3301">
        <f t="shared" si="309"/>
        <v>0</v>
      </c>
      <c r="I3301" t="str">
        <f t="shared" si="313"/>
        <v>On Time</v>
      </c>
      <c r="J3301" cm="1">
        <f t="array" ref="J3301">_xlfn.IFS(H3301&lt;30,0,H3301&lt;60,1,H3301&lt;90,2,H3301&lt;120,3)</f>
        <v>0</v>
      </c>
      <c r="M3301" t="str">
        <f t="shared" si="314"/>
        <v>Low</v>
      </c>
      <c r="N3301" t="str">
        <f t="shared" si="311"/>
        <v>Aug</v>
      </c>
      <c r="O3301">
        <f t="shared" si="312"/>
        <v>2025</v>
      </c>
    </row>
    <row r="3302" spans="1:15" x14ac:dyDescent="0.3">
      <c r="A3302">
        <v>201244</v>
      </c>
      <c r="B3302" t="s">
        <v>114</v>
      </c>
      <c r="C3302" s="2">
        <v>45894</v>
      </c>
      <c r="D3302" s="2">
        <f t="shared" si="310"/>
        <v>45924</v>
      </c>
      <c r="E3302" s="1">
        <f>D3302+2</f>
        <v>45926</v>
      </c>
      <c r="F3302">
        <v>1522</v>
      </c>
      <c r="G3302">
        <v>30</v>
      </c>
      <c r="H3302">
        <f t="shared" ref="H3302:H3365" si="315">MAX(0,P3267-D3302)</f>
        <v>0</v>
      </c>
      <c r="I3302" t="str">
        <f t="shared" si="313"/>
        <v>On Time</v>
      </c>
      <c r="J3302" cm="1">
        <f t="array" ref="J3302">_xlfn.IFS(H3302&lt;30,0,H3302&lt;60,1,H3302&lt;90,2,H3302&lt;120,3)</f>
        <v>0</v>
      </c>
      <c r="M3302" t="str">
        <f t="shared" si="314"/>
        <v>Low</v>
      </c>
      <c r="N3302" t="str">
        <f t="shared" si="311"/>
        <v>Aug</v>
      </c>
      <c r="O3302">
        <f t="shared" si="312"/>
        <v>2025</v>
      </c>
    </row>
    <row r="3303" spans="1:15" x14ac:dyDescent="0.3">
      <c r="A3303">
        <v>201245</v>
      </c>
      <c r="B3303" t="s">
        <v>115</v>
      </c>
      <c r="C3303" s="2">
        <v>45894</v>
      </c>
      <c r="D3303" s="2">
        <f t="shared" si="310"/>
        <v>45924</v>
      </c>
      <c r="E3303" s="1">
        <f>D3303</f>
        <v>45924</v>
      </c>
      <c r="F3303">
        <v>1433</v>
      </c>
      <c r="G3303">
        <v>30</v>
      </c>
      <c r="H3303">
        <f t="shared" si="315"/>
        <v>0</v>
      </c>
      <c r="I3303" t="str">
        <f t="shared" si="313"/>
        <v>On Time</v>
      </c>
      <c r="J3303" cm="1">
        <f t="array" ref="J3303">_xlfn.IFS(H3303&lt;30,0,H3303&lt;60,1,H3303&lt;90,2,H3303&lt;120,3)</f>
        <v>0</v>
      </c>
      <c r="M3303" t="str">
        <f t="shared" si="314"/>
        <v>Low</v>
      </c>
      <c r="N3303" t="str">
        <f t="shared" si="311"/>
        <v>Aug</v>
      </c>
      <c r="O3303">
        <f t="shared" si="312"/>
        <v>2025</v>
      </c>
    </row>
    <row r="3304" spans="1:15" x14ac:dyDescent="0.3">
      <c r="A3304">
        <v>201246</v>
      </c>
      <c r="B3304" t="s">
        <v>116</v>
      </c>
      <c r="C3304" s="2">
        <v>45894</v>
      </c>
      <c r="D3304" s="2">
        <f t="shared" si="310"/>
        <v>45924</v>
      </c>
      <c r="E3304" s="1">
        <f>D3304+20</f>
        <v>45944</v>
      </c>
      <c r="F3304">
        <v>2963</v>
      </c>
      <c r="G3304">
        <v>30</v>
      </c>
      <c r="H3304">
        <f t="shared" si="315"/>
        <v>0</v>
      </c>
      <c r="I3304" t="str">
        <f t="shared" si="313"/>
        <v>On Time</v>
      </c>
      <c r="J3304" cm="1">
        <f t="array" ref="J3304">_xlfn.IFS(H3304&lt;30,0,H3304&lt;60,1,H3304&lt;90,2,H3304&lt;120,3)</f>
        <v>0</v>
      </c>
      <c r="M3304" t="str">
        <f t="shared" si="314"/>
        <v>Low</v>
      </c>
      <c r="N3304" t="str">
        <f t="shared" si="311"/>
        <v>Aug</v>
      </c>
      <c r="O3304">
        <f t="shared" si="312"/>
        <v>2025</v>
      </c>
    </row>
    <row r="3305" spans="1:15" x14ac:dyDescent="0.3">
      <c r="A3305">
        <v>201247</v>
      </c>
      <c r="B3305" t="s">
        <v>20</v>
      </c>
      <c r="C3305" s="2">
        <v>45894</v>
      </c>
      <c r="D3305" s="2">
        <f t="shared" si="310"/>
        <v>45924</v>
      </c>
      <c r="E3305" s="1">
        <f>D3305</f>
        <v>45924</v>
      </c>
      <c r="F3305">
        <v>3851</v>
      </c>
      <c r="G3305">
        <v>30</v>
      </c>
      <c r="H3305">
        <f t="shared" si="315"/>
        <v>0</v>
      </c>
      <c r="I3305" t="str">
        <f t="shared" si="313"/>
        <v>On Time</v>
      </c>
      <c r="J3305" cm="1">
        <f t="array" ref="J3305">_xlfn.IFS(H3305&lt;30,0,H3305&lt;60,1,H3305&lt;90,2,H3305&lt;120,3)</f>
        <v>0</v>
      </c>
      <c r="M3305" t="str">
        <f t="shared" si="314"/>
        <v>Low</v>
      </c>
      <c r="N3305" t="str">
        <f t="shared" si="311"/>
        <v>Aug</v>
      </c>
      <c r="O3305">
        <f t="shared" si="312"/>
        <v>2025</v>
      </c>
    </row>
    <row r="3306" spans="1:15" x14ac:dyDescent="0.3">
      <c r="A3306">
        <v>201248</v>
      </c>
      <c r="B3306" t="s">
        <v>21</v>
      </c>
      <c r="C3306" s="2">
        <v>45894</v>
      </c>
      <c r="D3306" s="2">
        <f t="shared" si="310"/>
        <v>45924</v>
      </c>
      <c r="E3306" s="1">
        <f>D3306+1</f>
        <v>45925</v>
      </c>
      <c r="F3306">
        <v>2860</v>
      </c>
      <c r="G3306">
        <v>30</v>
      </c>
      <c r="H3306">
        <f t="shared" si="315"/>
        <v>0</v>
      </c>
      <c r="I3306" t="str">
        <f t="shared" si="313"/>
        <v>On Time</v>
      </c>
      <c r="J3306" cm="1">
        <f t="array" ref="J3306">_xlfn.IFS(H3306&lt;30,0,H3306&lt;60,1,H3306&lt;90,2,H3306&lt;120,3)</f>
        <v>0</v>
      </c>
      <c r="M3306" t="str">
        <f t="shared" si="314"/>
        <v>Low</v>
      </c>
      <c r="N3306" t="str">
        <f t="shared" si="311"/>
        <v>Aug</v>
      </c>
      <c r="O3306">
        <f t="shared" si="312"/>
        <v>2025</v>
      </c>
    </row>
    <row r="3307" spans="1:15" x14ac:dyDescent="0.3">
      <c r="A3307">
        <v>201249</v>
      </c>
      <c r="B3307" t="s">
        <v>22</v>
      </c>
      <c r="C3307" s="2">
        <v>45894</v>
      </c>
      <c r="D3307" s="2">
        <f t="shared" si="310"/>
        <v>45924</v>
      </c>
      <c r="E3307" s="1">
        <f>D3307</f>
        <v>45924</v>
      </c>
      <c r="F3307">
        <v>4560</v>
      </c>
      <c r="G3307">
        <v>30</v>
      </c>
      <c r="H3307">
        <f t="shared" si="315"/>
        <v>0</v>
      </c>
      <c r="I3307" t="str">
        <f t="shared" si="313"/>
        <v>On Time</v>
      </c>
      <c r="J3307" cm="1">
        <f t="array" ref="J3307">_xlfn.IFS(H3307&lt;30,0,H3307&lt;60,1,H3307&lt;90,2,H3307&lt;120,3)</f>
        <v>0</v>
      </c>
      <c r="M3307" t="str">
        <f t="shared" si="314"/>
        <v>Low</v>
      </c>
      <c r="N3307" t="str">
        <f t="shared" si="311"/>
        <v>Aug</v>
      </c>
      <c r="O3307">
        <f t="shared" si="312"/>
        <v>2025</v>
      </c>
    </row>
    <row r="3308" spans="1:15" x14ac:dyDescent="0.3">
      <c r="A3308">
        <v>201250</v>
      </c>
      <c r="B3308" t="s">
        <v>23</v>
      </c>
      <c r="C3308" s="2">
        <v>45894</v>
      </c>
      <c r="D3308" s="2">
        <f t="shared" si="310"/>
        <v>45939</v>
      </c>
      <c r="E3308" s="1">
        <f>D3308</f>
        <v>45939</v>
      </c>
      <c r="F3308">
        <v>4074</v>
      </c>
      <c r="G3308">
        <v>45</v>
      </c>
      <c r="H3308">
        <f t="shared" si="315"/>
        <v>0</v>
      </c>
      <c r="I3308" t="str">
        <f t="shared" si="313"/>
        <v>On Time</v>
      </c>
      <c r="J3308" cm="1">
        <f t="array" ref="J3308">_xlfn.IFS(H3308&lt;30,0,H3308&lt;60,1,H3308&lt;90,2,H3308&lt;120,3)</f>
        <v>0</v>
      </c>
      <c r="M3308" t="str">
        <f t="shared" si="314"/>
        <v>Low</v>
      </c>
      <c r="N3308" t="str">
        <f t="shared" si="311"/>
        <v>Aug</v>
      </c>
      <c r="O3308">
        <f t="shared" si="312"/>
        <v>2025</v>
      </c>
    </row>
    <row r="3309" spans="1:15" x14ac:dyDescent="0.3">
      <c r="A3309">
        <v>201251</v>
      </c>
      <c r="B3309" t="s">
        <v>24</v>
      </c>
      <c r="C3309" s="2">
        <v>45894</v>
      </c>
      <c r="D3309" s="2">
        <f t="shared" si="310"/>
        <v>45939</v>
      </c>
      <c r="E3309" s="1">
        <f>D3309+5</f>
        <v>45944</v>
      </c>
      <c r="F3309">
        <v>456</v>
      </c>
      <c r="G3309">
        <v>45</v>
      </c>
      <c r="H3309">
        <f t="shared" si="315"/>
        <v>0</v>
      </c>
      <c r="I3309" t="str">
        <f t="shared" si="313"/>
        <v>On Time</v>
      </c>
      <c r="J3309" cm="1">
        <f t="array" ref="J3309">_xlfn.IFS(H3309&lt;30,0,H3309&lt;60,1,H3309&lt;90,2,H3309&lt;120,3)</f>
        <v>0</v>
      </c>
      <c r="M3309" t="str">
        <f t="shared" si="314"/>
        <v>Low</v>
      </c>
      <c r="N3309" t="str">
        <f t="shared" si="311"/>
        <v>Aug</v>
      </c>
      <c r="O3309">
        <f t="shared" si="312"/>
        <v>2025</v>
      </c>
    </row>
    <row r="3310" spans="1:15" x14ac:dyDescent="0.3">
      <c r="A3310">
        <v>201252</v>
      </c>
      <c r="B3310" t="s">
        <v>25</v>
      </c>
      <c r="C3310" s="2">
        <v>45894</v>
      </c>
      <c r="D3310" s="2">
        <f t="shared" si="310"/>
        <v>45954</v>
      </c>
      <c r="E3310" s="1">
        <f>D3310+2</f>
        <v>45956</v>
      </c>
      <c r="F3310">
        <v>3146</v>
      </c>
      <c r="G3310">
        <v>60</v>
      </c>
      <c r="H3310">
        <f t="shared" si="315"/>
        <v>0</v>
      </c>
      <c r="I3310" t="str">
        <f t="shared" si="313"/>
        <v>On Time</v>
      </c>
      <c r="J3310" cm="1">
        <f t="array" ref="J3310">_xlfn.IFS(H3310&lt;30,0,H3310&lt;60,1,H3310&lt;90,2,H3310&lt;120,3)</f>
        <v>0</v>
      </c>
      <c r="M3310" t="str">
        <f t="shared" si="314"/>
        <v>Low</v>
      </c>
      <c r="N3310" t="str">
        <f t="shared" si="311"/>
        <v>Aug</v>
      </c>
      <c r="O3310">
        <f t="shared" si="312"/>
        <v>2025</v>
      </c>
    </row>
    <row r="3311" spans="1:15" x14ac:dyDescent="0.3">
      <c r="A3311">
        <v>201253</v>
      </c>
      <c r="B3311" t="s">
        <v>26</v>
      </c>
      <c r="C3311" s="2">
        <v>45894</v>
      </c>
      <c r="D3311" s="2">
        <f t="shared" si="310"/>
        <v>45924</v>
      </c>
      <c r="E3311" s="1">
        <f>D3311</f>
        <v>45924</v>
      </c>
      <c r="F3311">
        <v>1814</v>
      </c>
      <c r="G3311">
        <v>30</v>
      </c>
      <c r="H3311">
        <f t="shared" si="315"/>
        <v>0</v>
      </c>
      <c r="I3311" t="str">
        <f t="shared" si="313"/>
        <v>On Time</v>
      </c>
      <c r="J3311" cm="1">
        <f t="array" ref="J3311">_xlfn.IFS(H3311&lt;30,0,H3311&lt;60,1,H3311&lt;90,2,H3311&lt;120,3)</f>
        <v>0</v>
      </c>
      <c r="M3311" t="str">
        <f t="shared" si="314"/>
        <v>Low</v>
      </c>
      <c r="N3311" t="str">
        <f t="shared" si="311"/>
        <v>Aug</v>
      </c>
      <c r="O3311">
        <f t="shared" si="312"/>
        <v>2025</v>
      </c>
    </row>
    <row r="3312" spans="1:15" x14ac:dyDescent="0.3">
      <c r="A3312">
        <v>201254</v>
      </c>
      <c r="B3312" t="s">
        <v>27</v>
      </c>
      <c r="C3312" s="2">
        <v>45894</v>
      </c>
      <c r="D3312" s="2">
        <f t="shared" si="310"/>
        <v>45954</v>
      </c>
      <c r="E3312" s="1">
        <f>D3312</f>
        <v>45954</v>
      </c>
      <c r="F3312">
        <v>2411</v>
      </c>
      <c r="G3312">
        <v>60</v>
      </c>
      <c r="H3312">
        <f t="shared" si="315"/>
        <v>0</v>
      </c>
      <c r="I3312" t="str">
        <f t="shared" si="313"/>
        <v>On Time</v>
      </c>
      <c r="J3312" cm="1">
        <f t="array" ref="J3312">_xlfn.IFS(H3312&lt;30,0,H3312&lt;60,1,H3312&lt;90,2,H3312&lt;120,3)</f>
        <v>0</v>
      </c>
      <c r="M3312" t="str">
        <f t="shared" si="314"/>
        <v>Low</v>
      </c>
      <c r="N3312" t="str">
        <f t="shared" si="311"/>
        <v>Aug</v>
      </c>
      <c r="O3312">
        <f t="shared" si="312"/>
        <v>2025</v>
      </c>
    </row>
    <row r="3313" spans="1:15" x14ac:dyDescent="0.3">
      <c r="A3313">
        <v>201255</v>
      </c>
      <c r="B3313" t="s">
        <v>28</v>
      </c>
      <c r="C3313" s="2">
        <v>45894</v>
      </c>
      <c r="D3313" s="2">
        <f t="shared" si="310"/>
        <v>45924</v>
      </c>
      <c r="E3313" s="1">
        <f>D3313</f>
        <v>45924</v>
      </c>
      <c r="F3313">
        <v>1896</v>
      </c>
      <c r="G3313">
        <v>30</v>
      </c>
      <c r="H3313">
        <f t="shared" si="315"/>
        <v>0</v>
      </c>
      <c r="I3313" t="str">
        <f t="shared" si="313"/>
        <v>On Time</v>
      </c>
      <c r="J3313" cm="1">
        <f t="array" ref="J3313">_xlfn.IFS(H3313&lt;30,0,H3313&lt;60,1,H3313&lt;90,2,H3313&lt;120,3)</f>
        <v>0</v>
      </c>
      <c r="M3313" t="str">
        <f t="shared" si="314"/>
        <v>Low</v>
      </c>
      <c r="N3313" t="str">
        <f t="shared" si="311"/>
        <v>Aug</v>
      </c>
      <c r="O3313">
        <f t="shared" si="312"/>
        <v>2025</v>
      </c>
    </row>
    <row r="3314" spans="1:15" x14ac:dyDescent="0.3">
      <c r="A3314">
        <v>201256</v>
      </c>
      <c r="B3314" t="s">
        <v>29</v>
      </c>
      <c r="C3314" s="2">
        <v>45894</v>
      </c>
      <c r="D3314" s="2">
        <f t="shared" si="310"/>
        <v>45924</v>
      </c>
      <c r="E3314" s="1">
        <f>D3314+60</f>
        <v>45984</v>
      </c>
      <c r="F3314">
        <v>9448</v>
      </c>
      <c r="G3314">
        <v>30</v>
      </c>
      <c r="H3314">
        <f t="shared" si="315"/>
        <v>0</v>
      </c>
      <c r="I3314" t="str">
        <f t="shared" si="313"/>
        <v>On Time</v>
      </c>
      <c r="J3314" cm="1">
        <f t="array" ref="J3314">_xlfn.IFS(H3314&lt;30,0,H3314&lt;60,1,H3314&lt;90,2,H3314&lt;120,3)</f>
        <v>0</v>
      </c>
      <c r="M3314" t="str">
        <f t="shared" si="314"/>
        <v>Low</v>
      </c>
      <c r="N3314" t="str">
        <f t="shared" si="311"/>
        <v>Aug</v>
      </c>
      <c r="O3314">
        <f t="shared" si="312"/>
        <v>2025</v>
      </c>
    </row>
    <row r="3315" spans="1:15" x14ac:dyDescent="0.3">
      <c r="A3315">
        <v>201257</v>
      </c>
      <c r="B3315" t="s">
        <v>30</v>
      </c>
      <c r="C3315" s="2">
        <v>45894</v>
      </c>
      <c r="D3315" s="2">
        <f t="shared" si="310"/>
        <v>45924</v>
      </c>
      <c r="E3315" s="1">
        <f>D3315</f>
        <v>45924</v>
      </c>
      <c r="F3315">
        <v>2343</v>
      </c>
      <c r="G3315">
        <v>30</v>
      </c>
      <c r="H3315">
        <f t="shared" si="315"/>
        <v>0</v>
      </c>
      <c r="I3315" t="str">
        <f t="shared" si="313"/>
        <v>On Time</v>
      </c>
      <c r="J3315" cm="1">
        <f t="array" ref="J3315">_xlfn.IFS(H3315&lt;30,0,H3315&lt;60,1,H3315&lt;90,2,H3315&lt;120,3)</f>
        <v>0</v>
      </c>
      <c r="M3315" t="str">
        <f t="shared" si="314"/>
        <v>Low</v>
      </c>
      <c r="N3315" t="str">
        <f t="shared" si="311"/>
        <v>Aug</v>
      </c>
      <c r="O3315">
        <f t="shared" si="312"/>
        <v>2025</v>
      </c>
    </row>
    <row r="3316" spans="1:15" x14ac:dyDescent="0.3">
      <c r="A3316">
        <v>201258</v>
      </c>
      <c r="B3316" t="s">
        <v>31</v>
      </c>
      <c r="C3316" s="2">
        <v>45894</v>
      </c>
      <c r="D3316" s="2">
        <f t="shared" si="310"/>
        <v>45939</v>
      </c>
      <c r="E3316" s="1">
        <f>D3316</f>
        <v>45939</v>
      </c>
      <c r="F3316">
        <v>4924</v>
      </c>
      <c r="G3316">
        <v>45</v>
      </c>
      <c r="H3316">
        <f t="shared" si="315"/>
        <v>0</v>
      </c>
      <c r="I3316" t="str">
        <f t="shared" si="313"/>
        <v>On Time</v>
      </c>
      <c r="J3316" cm="1">
        <f t="array" ref="J3316">_xlfn.IFS(H3316&lt;30,0,H3316&lt;60,1,H3316&lt;90,2,H3316&lt;120,3)</f>
        <v>0</v>
      </c>
      <c r="M3316" t="str">
        <f t="shared" si="314"/>
        <v>Low</v>
      </c>
      <c r="N3316" t="str">
        <f t="shared" si="311"/>
        <v>Aug</v>
      </c>
      <c r="O3316">
        <f t="shared" si="312"/>
        <v>2025</v>
      </c>
    </row>
    <row r="3317" spans="1:15" x14ac:dyDescent="0.3">
      <c r="A3317">
        <v>201217</v>
      </c>
      <c r="B3317" t="s">
        <v>98</v>
      </c>
      <c r="C3317" s="2">
        <v>45891</v>
      </c>
      <c r="D3317" s="2">
        <f t="shared" si="310"/>
        <v>45921</v>
      </c>
      <c r="E3317" s="1">
        <f>D3317</f>
        <v>45921</v>
      </c>
      <c r="F3317">
        <v>17256</v>
      </c>
      <c r="G3317">
        <v>30</v>
      </c>
      <c r="H3317">
        <f t="shared" si="315"/>
        <v>0</v>
      </c>
      <c r="I3317" t="str">
        <f t="shared" si="313"/>
        <v>On Time</v>
      </c>
      <c r="J3317" cm="1">
        <f t="array" ref="J3317">_xlfn.IFS(H3317&lt;30,0,H3317&lt;60,1,H3317&lt;90,2,H3317&lt;120,3)</f>
        <v>0</v>
      </c>
      <c r="M3317" t="str">
        <f t="shared" si="314"/>
        <v>Low</v>
      </c>
      <c r="N3317" t="str">
        <f t="shared" si="311"/>
        <v>Aug</v>
      </c>
      <c r="O3317">
        <f t="shared" si="312"/>
        <v>2025</v>
      </c>
    </row>
    <row r="3318" spans="1:15" x14ac:dyDescent="0.3">
      <c r="A3318">
        <v>201218</v>
      </c>
      <c r="B3318" t="s">
        <v>99</v>
      </c>
      <c r="C3318" s="2">
        <v>45891</v>
      </c>
      <c r="D3318" s="2">
        <f t="shared" si="310"/>
        <v>45921</v>
      </c>
      <c r="E3318" s="1">
        <f>D3318+5</f>
        <v>45926</v>
      </c>
      <c r="F3318">
        <v>2655</v>
      </c>
      <c r="G3318">
        <v>30</v>
      </c>
      <c r="H3318">
        <f t="shared" si="315"/>
        <v>0</v>
      </c>
      <c r="I3318" t="str">
        <f t="shared" si="313"/>
        <v>On Time</v>
      </c>
      <c r="J3318" cm="1">
        <f t="array" ref="J3318">_xlfn.IFS(H3318&lt;30,0,H3318&lt;60,1,H3318&lt;90,2,H3318&lt;120,3)</f>
        <v>0</v>
      </c>
      <c r="M3318" t="str">
        <f t="shared" si="314"/>
        <v>Low</v>
      </c>
      <c r="N3318" t="str">
        <f t="shared" si="311"/>
        <v>Aug</v>
      </c>
      <c r="O3318">
        <f t="shared" si="312"/>
        <v>2025</v>
      </c>
    </row>
    <row r="3319" spans="1:15" x14ac:dyDescent="0.3">
      <c r="A3319">
        <v>201219</v>
      </c>
      <c r="B3319" t="s">
        <v>100</v>
      </c>
      <c r="C3319" s="2">
        <v>45891</v>
      </c>
      <c r="D3319" s="2">
        <f t="shared" si="310"/>
        <v>45921</v>
      </c>
      <c r="E3319" s="1">
        <f>D3319+2</f>
        <v>45923</v>
      </c>
      <c r="F3319">
        <v>11439</v>
      </c>
      <c r="G3319">
        <v>30</v>
      </c>
      <c r="H3319">
        <f t="shared" si="315"/>
        <v>0</v>
      </c>
      <c r="I3319" t="str">
        <f t="shared" si="313"/>
        <v>On Time</v>
      </c>
      <c r="J3319" cm="1">
        <f t="array" ref="J3319">_xlfn.IFS(H3319&lt;30,0,H3319&lt;60,1,H3319&lt;90,2,H3319&lt;120,3)</f>
        <v>0</v>
      </c>
      <c r="M3319" t="str">
        <f t="shared" si="314"/>
        <v>Low</v>
      </c>
      <c r="N3319" t="str">
        <f t="shared" si="311"/>
        <v>Aug</v>
      </c>
      <c r="O3319">
        <f t="shared" si="312"/>
        <v>2025</v>
      </c>
    </row>
    <row r="3320" spans="1:15" x14ac:dyDescent="0.3">
      <c r="A3320">
        <v>201220</v>
      </c>
      <c r="B3320" t="s">
        <v>101</v>
      </c>
      <c r="C3320" s="2">
        <v>45891</v>
      </c>
      <c r="D3320" s="2">
        <f t="shared" si="310"/>
        <v>45921</v>
      </c>
      <c r="E3320" s="1">
        <f>D3320+5</f>
        <v>45926</v>
      </c>
      <c r="F3320">
        <v>1942</v>
      </c>
      <c r="G3320">
        <v>30</v>
      </c>
      <c r="H3320">
        <f t="shared" si="315"/>
        <v>0</v>
      </c>
      <c r="I3320" t="str">
        <f t="shared" si="313"/>
        <v>On Time</v>
      </c>
      <c r="J3320" cm="1">
        <f t="array" ref="J3320">_xlfn.IFS(H3320&lt;30,0,H3320&lt;60,1,H3320&lt;90,2,H3320&lt;120,3)</f>
        <v>0</v>
      </c>
      <c r="M3320" t="str">
        <f t="shared" si="314"/>
        <v>Low</v>
      </c>
      <c r="N3320" t="str">
        <f t="shared" si="311"/>
        <v>Aug</v>
      </c>
      <c r="O3320">
        <f t="shared" si="312"/>
        <v>2025</v>
      </c>
    </row>
    <row r="3321" spans="1:15" x14ac:dyDescent="0.3">
      <c r="A3321">
        <v>201221</v>
      </c>
      <c r="B3321" t="s">
        <v>102</v>
      </c>
      <c r="C3321" s="2">
        <v>45891</v>
      </c>
      <c r="D3321" s="2">
        <f t="shared" si="310"/>
        <v>45921</v>
      </c>
      <c r="E3321" s="1">
        <f>D3321</f>
        <v>45921</v>
      </c>
      <c r="F3321">
        <v>3239</v>
      </c>
      <c r="G3321">
        <v>30</v>
      </c>
      <c r="H3321">
        <f t="shared" si="315"/>
        <v>0</v>
      </c>
      <c r="I3321" t="str">
        <f t="shared" si="313"/>
        <v>On Time</v>
      </c>
      <c r="J3321" cm="1">
        <f t="array" ref="J3321">_xlfn.IFS(H3321&lt;30,0,H3321&lt;60,1,H3321&lt;90,2,H3321&lt;120,3)</f>
        <v>0</v>
      </c>
      <c r="M3321" t="str">
        <f t="shared" si="314"/>
        <v>Low</v>
      </c>
      <c r="N3321" t="str">
        <f t="shared" si="311"/>
        <v>Aug</v>
      </c>
      <c r="O3321">
        <f t="shared" si="312"/>
        <v>2025</v>
      </c>
    </row>
    <row r="3322" spans="1:15" x14ac:dyDescent="0.3">
      <c r="A3322">
        <v>201222</v>
      </c>
      <c r="B3322" t="s">
        <v>103</v>
      </c>
      <c r="C3322" s="2">
        <v>45891</v>
      </c>
      <c r="D3322" s="2">
        <f t="shared" si="310"/>
        <v>45921</v>
      </c>
      <c r="E3322" s="1">
        <f>D3322</f>
        <v>45921</v>
      </c>
      <c r="F3322">
        <v>4930</v>
      </c>
      <c r="G3322">
        <v>30</v>
      </c>
      <c r="H3322">
        <f t="shared" si="315"/>
        <v>0</v>
      </c>
      <c r="I3322" t="str">
        <f t="shared" si="313"/>
        <v>On Time</v>
      </c>
      <c r="J3322" cm="1">
        <f t="array" ref="J3322">_xlfn.IFS(H3322&lt;30,0,H3322&lt;60,1,H3322&lt;90,2,H3322&lt;120,3)</f>
        <v>0</v>
      </c>
      <c r="M3322" t="str">
        <f t="shared" si="314"/>
        <v>Low</v>
      </c>
      <c r="N3322" t="str">
        <f t="shared" si="311"/>
        <v>Aug</v>
      </c>
      <c r="O3322">
        <f t="shared" si="312"/>
        <v>2025</v>
      </c>
    </row>
    <row r="3323" spans="1:15" x14ac:dyDescent="0.3">
      <c r="A3323">
        <v>201223</v>
      </c>
      <c r="B3323" t="s">
        <v>104</v>
      </c>
      <c r="C3323" s="2">
        <v>45891</v>
      </c>
      <c r="D3323" s="2">
        <f t="shared" si="310"/>
        <v>45921</v>
      </c>
      <c r="E3323" s="1">
        <f>D3323+60</f>
        <v>45981</v>
      </c>
      <c r="F3323">
        <v>2944</v>
      </c>
      <c r="G3323">
        <v>30</v>
      </c>
      <c r="H3323">
        <f t="shared" si="315"/>
        <v>0</v>
      </c>
      <c r="I3323" t="str">
        <f t="shared" si="313"/>
        <v>On Time</v>
      </c>
      <c r="J3323" cm="1">
        <f t="array" ref="J3323">_xlfn.IFS(H3323&lt;30,0,H3323&lt;60,1,H3323&lt;90,2,H3323&lt;120,3)</f>
        <v>0</v>
      </c>
      <c r="M3323" t="str">
        <f t="shared" si="314"/>
        <v>Low</v>
      </c>
      <c r="N3323" t="str">
        <f t="shared" si="311"/>
        <v>Aug</v>
      </c>
      <c r="O3323">
        <f t="shared" si="312"/>
        <v>2025</v>
      </c>
    </row>
    <row r="3324" spans="1:15" x14ac:dyDescent="0.3">
      <c r="A3324">
        <v>201224</v>
      </c>
      <c r="B3324" t="s">
        <v>105</v>
      </c>
      <c r="C3324" s="2">
        <v>45891</v>
      </c>
      <c r="D3324" s="2">
        <f t="shared" si="310"/>
        <v>45921</v>
      </c>
      <c r="E3324" s="1">
        <f>D3324</f>
        <v>45921</v>
      </c>
      <c r="F3324">
        <v>2647</v>
      </c>
      <c r="G3324">
        <v>30</v>
      </c>
      <c r="H3324">
        <f t="shared" si="315"/>
        <v>0</v>
      </c>
      <c r="I3324" t="str">
        <f t="shared" si="313"/>
        <v>On Time</v>
      </c>
      <c r="J3324" cm="1">
        <f t="array" ref="J3324">_xlfn.IFS(H3324&lt;30,0,H3324&lt;60,1,H3324&lt;90,2,H3324&lt;120,3)</f>
        <v>0</v>
      </c>
      <c r="M3324" t="str">
        <f t="shared" si="314"/>
        <v>Low</v>
      </c>
      <c r="N3324" t="str">
        <f t="shared" si="311"/>
        <v>Aug</v>
      </c>
      <c r="O3324">
        <f t="shared" si="312"/>
        <v>2025</v>
      </c>
    </row>
    <row r="3325" spans="1:15" x14ac:dyDescent="0.3">
      <c r="A3325">
        <v>201225</v>
      </c>
      <c r="B3325" t="s">
        <v>106</v>
      </c>
      <c r="C3325" s="2">
        <v>45891</v>
      </c>
      <c r="D3325" s="2">
        <f t="shared" si="310"/>
        <v>45921</v>
      </c>
      <c r="E3325" s="1">
        <f>D3325+3</f>
        <v>45924</v>
      </c>
      <c r="F3325">
        <v>4707</v>
      </c>
      <c r="G3325">
        <v>30</v>
      </c>
      <c r="H3325">
        <f t="shared" si="315"/>
        <v>0</v>
      </c>
      <c r="I3325" t="str">
        <f t="shared" si="313"/>
        <v>On Time</v>
      </c>
      <c r="J3325" cm="1">
        <f t="array" ref="J3325">_xlfn.IFS(H3325&lt;30,0,H3325&lt;60,1,H3325&lt;90,2,H3325&lt;120,3)</f>
        <v>0</v>
      </c>
      <c r="M3325" t="str">
        <f t="shared" si="314"/>
        <v>Low</v>
      </c>
      <c r="N3325" t="str">
        <f t="shared" si="311"/>
        <v>Aug</v>
      </c>
      <c r="O3325">
        <f t="shared" si="312"/>
        <v>2025</v>
      </c>
    </row>
    <row r="3326" spans="1:15" x14ac:dyDescent="0.3">
      <c r="A3326">
        <v>201226</v>
      </c>
      <c r="B3326" t="s">
        <v>107</v>
      </c>
      <c r="C3326" s="2">
        <v>45891</v>
      </c>
      <c r="D3326" s="2">
        <f t="shared" si="310"/>
        <v>45921</v>
      </c>
      <c r="E3326" s="1">
        <f>D3326+3</f>
        <v>45924</v>
      </c>
      <c r="F3326">
        <v>1879</v>
      </c>
      <c r="G3326">
        <v>30</v>
      </c>
      <c r="H3326">
        <f t="shared" si="315"/>
        <v>0</v>
      </c>
      <c r="I3326" t="str">
        <f t="shared" si="313"/>
        <v>On Time</v>
      </c>
      <c r="J3326" cm="1">
        <f t="array" ref="J3326">_xlfn.IFS(H3326&lt;30,0,H3326&lt;60,1,H3326&lt;90,2,H3326&lt;120,3)</f>
        <v>0</v>
      </c>
      <c r="M3326" t="str">
        <f t="shared" si="314"/>
        <v>Low</v>
      </c>
      <c r="N3326" t="str">
        <f t="shared" si="311"/>
        <v>Aug</v>
      </c>
      <c r="O3326">
        <f t="shared" si="312"/>
        <v>2025</v>
      </c>
    </row>
    <row r="3327" spans="1:15" x14ac:dyDescent="0.3">
      <c r="A3327">
        <v>201227</v>
      </c>
      <c r="B3327" t="s">
        <v>56</v>
      </c>
      <c r="C3327" s="2">
        <v>45891</v>
      </c>
      <c r="D3327" s="2">
        <f t="shared" si="310"/>
        <v>45936</v>
      </c>
      <c r="E3327" s="1">
        <f>D3327+1</f>
        <v>45937</v>
      </c>
      <c r="F3327">
        <v>4997</v>
      </c>
      <c r="G3327">
        <v>45</v>
      </c>
      <c r="H3327">
        <f t="shared" si="315"/>
        <v>0</v>
      </c>
      <c r="I3327" t="str">
        <f t="shared" si="313"/>
        <v>On Time</v>
      </c>
      <c r="J3327" cm="1">
        <f t="array" ref="J3327">_xlfn.IFS(H3327&lt;30,0,H3327&lt;60,1,H3327&lt;90,2,H3327&lt;120,3)</f>
        <v>0</v>
      </c>
      <c r="M3327" t="str">
        <f t="shared" si="314"/>
        <v>Low</v>
      </c>
      <c r="N3327" t="str">
        <f t="shared" si="311"/>
        <v>Aug</v>
      </c>
      <c r="O3327">
        <f t="shared" si="312"/>
        <v>2025</v>
      </c>
    </row>
    <row r="3328" spans="1:15" x14ac:dyDescent="0.3">
      <c r="A3328">
        <v>201228</v>
      </c>
      <c r="B3328" t="s">
        <v>57</v>
      </c>
      <c r="C3328" s="2">
        <v>45891</v>
      </c>
      <c r="D3328" s="2">
        <f t="shared" si="310"/>
        <v>45951</v>
      </c>
      <c r="E3328" s="1">
        <f>D3328-1</f>
        <v>45950</v>
      </c>
      <c r="F3328">
        <v>4612</v>
      </c>
      <c r="G3328">
        <v>60</v>
      </c>
      <c r="H3328">
        <f t="shared" si="315"/>
        <v>0</v>
      </c>
      <c r="I3328" t="str">
        <f t="shared" si="313"/>
        <v>On Time</v>
      </c>
      <c r="J3328" cm="1">
        <f t="array" ref="J3328">_xlfn.IFS(H3328&lt;30,0,H3328&lt;60,1,H3328&lt;90,2,H3328&lt;120,3)</f>
        <v>0</v>
      </c>
      <c r="M3328" t="str">
        <f t="shared" si="314"/>
        <v>Low</v>
      </c>
      <c r="N3328" t="str">
        <f t="shared" si="311"/>
        <v>Aug</v>
      </c>
      <c r="O3328">
        <f t="shared" si="312"/>
        <v>2025</v>
      </c>
    </row>
    <row r="3329" spans="1:15" x14ac:dyDescent="0.3">
      <c r="A3329">
        <v>201229</v>
      </c>
      <c r="B3329" t="s">
        <v>58</v>
      </c>
      <c r="C3329" s="2">
        <v>45891</v>
      </c>
      <c r="D3329" s="2">
        <f t="shared" si="310"/>
        <v>45921</v>
      </c>
      <c r="E3329" s="1">
        <f>D3329</f>
        <v>45921</v>
      </c>
      <c r="F3329">
        <v>3261</v>
      </c>
      <c r="G3329">
        <v>30</v>
      </c>
      <c r="H3329">
        <f t="shared" si="315"/>
        <v>0</v>
      </c>
      <c r="I3329" t="str">
        <f t="shared" si="313"/>
        <v>On Time</v>
      </c>
      <c r="J3329" cm="1">
        <f t="array" ref="J3329">_xlfn.IFS(H3329&lt;30,0,H3329&lt;60,1,H3329&lt;90,2,H3329&lt;120,3)</f>
        <v>0</v>
      </c>
      <c r="M3329" t="str">
        <f t="shared" si="314"/>
        <v>Low</v>
      </c>
      <c r="N3329" t="str">
        <f t="shared" si="311"/>
        <v>Aug</v>
      </c>
      <c r="O3329">
        <f t="shared" si="312"/>
        <v>2025</v>
      </c>
    </row>
    <row r="3330" spans="1:15" x14ac:dyDescent="0.3">
      <c r="A3330">
        <v>201230</v>
      </c>
      <c r="B3330" t="s">
        <v>59</v>
      </c>
      <c r="C3330" s="2">
        <v>45891</v>
      </c>
      <c r="D3330" s="2">
        <f t="shared" ref="D3330:D3393" si="316">C3330+G3330</f>
        <v>45921</v>
      </c>
      <c r="E3330" s="1">
        <f>D3330-5</f>
        <v>45916</v>
      </c>
      <c r="F3330">
        <v>844</v>
      </c>
      <c r="G3330">
        <v>30</v>
      </c>
      <c r="H3330">
        <f t="shared" si="315"/>
        <v>0</v>
      </c>
      <c r="I3330" t="str">
        <f t="shared" si="313"/>
        <v>On Time</v>
      </c>
      <c r="J3330" cm="1">
        <f t="array" ref="J3330">_xlfn.IFS(H3330&lt;30,0,H3330&lt;60,1,H3330&lt;90,2,H3330&lt;120,3)</f>
        <v>0</v>
      </c>
      <c r="M3330" t="str">
        <f t="shared" si="314"/>
        <v>Low</v>
      </c>
      <c r="N3330" t="str">
        <f t="shared" ref="N3330:N3393" si="317">TEXT(C3330,"mmm")</f>
        <v>Aug</v>
      </c>
      <c r="O3330">
        <f t="shared" ref="O3330:O3393" si="318">YEAR(C3330)</f>
        <v>2025</v>
      </c>
    </row>
    <row r="3331" spans="1:15" x14ac:dyDescent="0.3">
      <c r="A3331">
        <v>201231</v>
      </c>
      <c r="B3331" t="s">
        <v>60</v>
      </c>
      <c r="C3331" s="2">
        <v>45891</v>
      </c>
      <c r="D3331" s="2">
        <f t="shared" si="316"/>
        <v>45921</v>
      </c>
      <c r="E3331" s="1">
        <f>D3331+35</f>
        <v>45956</v>
      </c>
      <c r="F3331">
        <v>3669</v>
      </c>
      <c r="G3331">
        <v>30</v>
      </c>
      <c r="H3331">
        <f t="shared" si="315"/>
        <v>0</v>
      </c>
      <c r="I3331" t="str">
        <f t="shared" si="313"/>
        <v>On Time</v>
      </c>
      <c r="J3331" cm="1">
        <f t="array" ref="J3331">_xlfn.IFS(H3331&lt;30,0,H3331&lt;60,1,H3331&lt;90,2,H3331&lt;120,3)</f>
        <v>0</v>
      </c>
      <c r="M3331" t="str">
        <f t="shared" si="314"/>
        <v>Low</v>
      </c>
      <c r="N3331" t="str">
        <f t="shared" si="317"/>
        <v>Aug</v>
      </c>
      <c r="O3331">
        <f t="shared" si="318"/>
        <v>2025</v>
      </c>
    </row>
    <row r="3332" spans="1:15" x14ac:dyDescent="0.3">
      <c r="A3332">
        <v>201232</v>
      </c>
      <c r="B3332" t="s">
        <v>61</v>
      </c>
      <c r="C3332" s="2">
        <v>45891</v>
      </c>
      <c r="D3332" s="2">
        <f t="shared" si="316"/>
        <v>45921</v>
      </c>
      <c r="E3332" s="1">
        <f>D3332+59</f>
        <v>45980</v>
      </c>
      <c r="F3332">
        <v>1359</v>
      </c>
      <c r="G3332">
        <v>30</v>
      </c>
      <c r="H3332">
        <f t="shared" si="315"/>
        <v>0</v>
      </c>
      <c r="I3332" t="str">
        <f t="shared" si="313"/>
        <v>On Time</v>
      </c>
      <c r="J3332" cm="1">
        <f t="array" ref="J3332">_xlfn.IFS(H3332&lt;30,0,H3332&lt;60,1,H3332&lt;90,2,H3332&lt;120,3)</f>
        <v>0</v>
      </c>
      <c r="M3332" t="str">
        <f t="shared" si="314"/>
        <v>Low</v>
      </c>
      <c r="N3332" t="str">
        <f t="shared" si="317"/>
        <v>Aug</v>
      </c>
      <c r="O3332">
        <f t="shared" si="318"/>
        <v>2025</v>
      </c>
    </row>
    <row r="3333" spans="1:15" x14ac:dyDescent="0.3">
      <c r="A3333">
        <v>201233</v>
      </c>
      <c r="B3333" t="s">
        <v>62</v>
      </c>
      <c r="C3333" s="2">
        <v>45891</v>
      </c>
      <c r="D3333" s="2">
        <f t="shared" si="316"/>
        <v>45921</v>
      </c>
      <c r="E3333" s="1">
        <f>D3333+5</f>
        <v>45926</v>
      </c>
      <c r="F3333">
        <v>3756</v>
      </c>
      <c r="G3333">
        <v>30</v>
      </c>
      <c r="H3333">
        <f t="shared" si="315"/>
        <v>0</v>
      </c>
      <c r="I3333" t="str">
        <f t="shared" si="313"/>
        <v>On Time</v>
      </c>
      <c r="J3333" cm="1">
        <f t="array" ref="J3333">_xlfn.IFS(H3333&lt;30,0,H3333&lt;60,1,H3333&lt;90,2,H3333&lt;120,3)</f>
        <v>0</v>
      </c>
      <c r="M3333" t="str">
        <f t="shared" si="314"/>
        <v>Low</v>
      </c>
      <c r="N3333" t="str">
        <f t="shared" si="317"/>
        <v>Aug</v>
      </c>
      <c r="O3333">
        <f t="shared" si="318"/>
        <v>2025</v>
      </c>
    </row>
    <row r="3334" spans="1:15" x14ac:dyDescent="0.3">
      <c r="A3334">
        <v>201234</v>
      </c>
      <c r="B3334" t="s">
        <v>63</v>
      </c>
      <c r="C3334" s="2">
        <v>45891</v>
      </c>
      <c r="D3334" s="2">
        <f t="shared" si="316"/>
        <v>45921</v>
      </c>
      <c r="E3334" s="1">
        <f>D3334</f>
        <v>45921</v>
      </c>
      <c r="F3334">
        <v>1399</v>
      </c>
      <c r="G3334">
        <v>30</v>
      </c>
      <c r="H3334">
        <f t="shared" si="315"/>
        <v>0</v>
      </c>
      <c r="I3334" t="str">
        <f t="shared" si="313"/>
        <v>On Time</v>
      </c>
      <c r="J3334" cm="1">
        <f t="array" ref="J3334">_xlfn.IFS(H3334&lt;30,0,H3334&lt;60,1,H3334&lt;90,2,H3334&lt;120,3)</f>
        <v>0</v>
      </c>
      <c r="M3334" t="str">
        <f t="shared" si="314"/>
        <v>Low</v>
      </c>
      <c r="N3334" t="str">
        <f t="shared" si="317"/>
        <v>Aug</v>
      </c>
      <c r="O3334">
        <f t="shared" si="318"/>
        <v>2025</v>
      </c>
    </row>
    <row r="3335" spans="1:15" x14ac:dyDescent="0.3">
      <c r="A3335">
        <v>201235</v>
      </c>
      <c r="B3335" t="s">
        <v>64</v>
      </c>
      <c r="C3335" s="2">
        <v>45891</v>
      </c>
      <c r="D3335" s="2">
        <f t="shared" si="316"/>
        <v>45921</v>
      </c>
      <c r="E3335" s="1">
        <f>D3335-1</f>
        <v>45920</v>
      </c>
      <c r="F3335">
        <v>4836</v>
      </c>
      <c r="G3335">
        <v>30</v>
      </c>
      <c r="H3335">
        <f t="shared" si="315"/>
        <v>0</v>
      </c>
      <c r="I3335" t="str">
        <f t="shared" si="313"/>
        <v>On Time</v>
      </c>
      <c r="J3335" cm="1">
        <f t="array" ref="J3335">_xlfn.IFS(H3335&lt;30,0,H3335&lt;60,1,H3335&lt;90,2,H3335&lt;120,3)</f>
        <v>0</v>
      </c>
      <c r="M3335" t="str">
        <f t="shared" si="314"/>
        <v>Low</v>
      </c>
      <c r="N3335" t="str">
        <f t="shared" si="317"/>
        <v>Aug</v>
      </c>
      <c r="O3335">
        <f t="shared" si="318"/>
        <v>2025</v>
      </c>
    </row>
    <row r="3336" spans="1:15" x14ac:dyDescent="0.3">
      <c r="A3336">
        <v>201236</v>
      </c>
      <c r="B3336" t="s">
        <v>65</v>
      </c>
      <c r="C3336" s="2">
        <v>45891</v>
      </c>
      <c r="D3336" s="2">
        <f t="shared" si="316"/>
        <v>45936</v>
      </c>
      <c r="E3336" s="1">
        <f>D3336</f>
        <v>45936</v>
      </c>
      <c r="F3336">
        <v>3936</v>
      </c>
      <c r="G3336">
        <v>45</v>
      </c>
      <c r="H3336">
        <f t="shared" si="315"/>
        <v>0</v>
      </c>
      <c r="I3336" t="str">
        <f t="shared" si="313"/>
        <v>On Time</v>
      </c>
      <c r="J3336" cm="1">
        <f t="array" ref="J3336">_xlfn.IFS(H3336&lt;30,0,H3336&lt;60,1,H3336&lt;90,2,H3336&lt;120,3)</f>
        <v>0</v>
      </c>
      <c r="M3336" t="str">
        <f t="shared" si="314"/>
        <v>Low</v>
      </c>
      <c r="N3336" t="str">
        <f t="shared" si="317"/>
        <v>Aug</v>
      </c>
      <c r="O3336">
        <f t="shared" si="318"/>
        <v>2025</v>
      </c>
    </row>
    <row r="3337" spans="1:15" x14ac:dyDescent="0.3">
      <c r="A3337">
        <v>201237</v>
      </c>
      <c r="B3337" t="s">
        <v>66</v>
      </c>
      <c r="C3337" s="2">
        <v>45891</v>
      </c>
      <c r="D3337" s="2">
        <f t="shared" si="316"/>
        <v>45951</v>
      </c>
      <c r="E3337" s="1">
        <f>D3337+32</f>
        <v>45983</v>
      </c>
      <c r="F3337">
        <v>11743</v>
      </c>
      <c r="G3337">
        <v>60</v>
      </c>
      <c r="H3337">
        <f t="shared" si="315"/>
        <v>0</v>
      </c>
      <c r="I3337" t="str">
        <f t="shared" si="313"/>
        <v>On Time</v>
      </c>
      <c r="J3337" cm="1">
        <f t="array" ref="J3337">_xlfn.IFS(H3337&lt;30,0,H3337&lt;60,1,H3337&lt;90,2,H3337&lt;120,3)</f>
        <v>0</v>
      </c>
      <c r="M3337" t="str">
        <f t="shared" si="314"/>
        <v>Low</v>
      </c>
      <c r="N3337" t="str">
        <f t="shared" si="317"/>
        <v>Aug</v>
      </c>
      <c r="O3337">
        <f t="shared" si="318"/>
        <v>2025</v>
      </c>
    </row>
    <row r="3338" spans="1:15" x14ac:dyDescent="0.3">
      <c r="A3338">
        <v>201238</v>
      </c>
      <c r="B3338" t="s">
        <v>108</v>
      </c>
      <c r="C3338" s="2">
        <v>45891</v>
      </c>
      <c r="D3338" s="2">
        <f t="shared" si="316"/>
        <v>45921</v>
      </c>
      <c r="E3338" s="1">
        <f>D3338+15</f>
        <v>45936</v>
      </c>
      <c r="F3338">
        <v>726</v>
      </c>
      <c r="G3338">
        <v>30</v>
      </c>
      <c r="H3338">
        <f t="shared" si="315"/>
        <v>0</v>
      </c>
      <c r="I3338" t="str">
        <f t="shared" si="313"/>
        <v>On Time</v>
      </c>
      <c r="J3338" cm="1">
        <f t="array" ref="J3338">_xlfn.IFS(H3338&lt;30,0,H3338&lt;60,1,H3338&lt;90,2,H3338&lt;120,3)</f>
        <v>0</v>
      </c>
      <c r="M3338" t="str">
        <f t="shared" si="314"/>
        <v>Low</v>
      </c>
      <c r="N3338" t="str">
        <f t="shared" si="317"/>
        <v>Aug</v>
      </c>
      <c r="O3338">
        <f t="shared" si="318"/>
        <v>2025</v>
      </c>
    </row>
    <row r="3339" spans="1:15" x14ac:dyDescent="0.3">
      <c r="A3339">
        <v>201239</v>
      </c>
      <c r="B3339" t="s">
        <v>109</v>
      </c>
      <c r="C3339" s="2">
        <v>45891</v>
      </c>
      <c r="D3339" s="2">
        <f t="shared" si="316"/>
        <v>45921</v>
      </c>
      <c r="E3339" s="1">
        <f>D3339</f>
        <v>45921</v>
      </c>
      <c r="F3339">
        <v>3514</v>
      </c>
      <c r="G3339">
        <v>30</v>
      </c>
      <c r="H3339">
        <f t="shared" si="315"/>
        <v>0</v>
      </c>
      <c r="I3339" t="str">
        <f t="shared" si="313"/>
        <v>On Time</v>
      </c>
      <c r="J3339" cm="1">
        <f t="array" ref="J3339">_xlfn.IFS(H3339&lt;30,0,H3339&lt;60,1,H3339&lt;90,2,H3339&lt;120,3)</f>
        <v>0</v>
      </c>
      <c r="M3339" t="str">
        <f t="shared" si="314"/>
        <v>Low</v>
      </c>
      <c r="N3339" t="str">
        <f t="shared" si="317"/>
        <v>Aug</v>
      </c>
      <c r="O3339">
        <f t="shared" si="318"/>
        <v>2025</v>
      </c>
    </row>
    <row r="3340" spans="1:15" x14ac:dyDescent="0.3">
      <c r="A3340">
        <v>201240</v>
      </c>
      <c r="B3340" t="s">
        <v>110</v>
      </c>
      <c r="C3340" s="2">
        <v>45891</v>
      </c>
      <c r="D3340" s="2">
        <f t="shared" si="316"/>
        <v>45936</v>
      </c>
      <c r="E3340" s="1">
        <f>D3340-2</f>
        <v>45934</v>
      </c>
      <c r="F3340">
        <v>4209</v>
      </c>
      <c r="G3340">
        <v>45</v>
      </c>
      <c r="H3340">
        <f t="shared" si="315"/>
        <v>0</v>
      </c>
      <c r="I3340" t="str">
        <f t="shared" si="313"/>
        <v>On Time</v>
      </c>
      <c r="J3340" cm="1">
        <f t="array" ref="J3340">_xlfn.IFS(H3340&lt;30,0,H3340&lt;60,1,H3340&lt;90,2,H3340&lt;120,3)</f>
        <v>0</v>
      </c>
      <c r="M3340" t="str">
        <f t="shared" si="314"/>
        <v>Low</v>
      </c>
      <c r="N3340" t="str">
        <f t="shared" si="317"/>
        <v>Aug</v>
      </c>
      <c r="O3340">
        <f t="shared" si="318"/>
        <v>2025</v>
      </c>
    </row>
    <row r="3341" spans="1:15" x14ac:dyDescent="0.3">
      <c r="A3341">
        <v>201200</v>
      </c>
      <c r="B3341" t="s">
        <v>95</v>
      </c>
      <c r="C3341" s="2">
        <v>45890</v>
      </c>
      <c r="D3341" s="2">
        <f t="shared" si="316"/>
        <v>45935</v>
      </c>
      <c r="E3341" s="1">
        <f>D3341+5</f>
        <v>45940</v>
      </c>
      <c r="F3341">
        <v>13883</v>
      </c>
      <c r="G3341">
        <v>45</v>
      </c>
      <c r="H3341">
        <f t="shared" si="315"/>
        <v>0</v>
      </c>
      <c r="I3341" t="str">
        <f t="shared" si="313"/>
        <v>On Time</v>
      </c>
      <c r="J3341" cm="1">
        <f t="array" ref="J3341">_xlfn.IFS(H3341&lt;30,0,H3341&lt;60,1,H3341&lt;90,2,H3341&lt;120,3)</f>
        <v>0</v>
      </c>
      <c r="M3341" t="str">
        <f t="shared" si="314"/>
        <v>Low</v>
      </c>
      <c r="N3341" t="str">
        <f t="shared" si="317"/>
        <v>Aug</v>
      </c>
      <c r="O3341">
        <f t="shared" si="318"/>
        <v>2025</v>
      </c>
    </row>
    <row r="3342" spans="1:15" x14ac:dyDescent="0.3">
      <c r="A3342">
        <v>201201</v>
      </c>
      <c r="B3342" t="s">
        <v>96</v>
      </c>
      <c r="C3342" s="2">
        <v>45890</v>
      </c>
      <c r="D3342" s="2">
        <f t="shared" si="316"/>
        <v>45950</v>
      </c>
      <c r="E3342" s="1">
        <f>D3342</f>
        <v>45950</v>
      </c>
      <c r="F3342">
        <v>3047</v>
      </c>
      <c r="G3342">
        <v>60</v>
      </c>
      <c r="H3342">
        <f t="shared" si="315"/>
        <v>0</v>
      </c>
      <c r="I3342" t="str">
        <f t="shared" si="313"/>
        <v>On Time</v>
      </c>
      <c r="J3342" cm="1">
        <f t="array" ref="J3342">_xlfn.IFS(H3342&lt;30,0,H3342&lt;60,1,H3342&lt;90,2,H3342&lt;120,3)</f>
        <v>0</v>
      </c>
      <c r="M3342" t="str">
        <f t="shared" si="314"/>
        <v>Low</v>
      </c>
      <c r="N3342" t="str">
        <f t="shared" si="317"/>
        <v>Aug</v>
      </c>
      <c r="O3342">
        <f t="shared" si="318"/>
        <v>2025</v>
      </c>
    </row>
    <row r="3343" spans="1:15" x14ac:dyDescent="0.3">
      <c r="A3343">
        <v>201202</v>
      </c>
      <c r="B3343" t="s">
        <v>97</v>
      </c>
      <c r="C3343" s="2">
        <v>45890</v>
      </c>
      <c r="D3343" s="2">
        <f t="shared" si="316"/>
        <v>45920</v>
      </c>
      <c r="E3343" s="1">
        <f>D3343-1</f>
        <v>45919</v>
      </c>
      <c r="F3343">
        <v>1668</v>
      </c>
      <c r="G3343">
        <v>30</v>
      </c>
      <c r="H3343">
        <f t="shared" si="315"/>
        <v>0</v>
      </c>
      <c r="I3343" t="str">
        <f t="shared" si="313"/>
        <v>On Time</v>
      </c>
      <c r="J3343" cm="1">
        <f t="array" ref="J3343">_xlfn.IFS(H3343&lt;30,0,H3343&lt;60,1,H3343&lt;90,2,H3343&lt;120,3)</f>
        <v>0</v>
      </c>
      <c r="M3343" t="str">
        <f t="shared" si="314"/>
        <v>Low</v>
      </c>
      <c r="N3343" t="str">
        <f t="shared" si="317"/>
        <v>Aug</v>
      </c>
      <c r="O3343">
        <f t="shared" si="318"/>
        <v>2025</v>
      </c>
    </row>
    <row r="3344" spans="1:15" x14ac:dyDescent="0.3">
      <c r="A3344">
        <v>201203</v>
      </c>
      <c r="B3344" t="s">
        <v>98</v>
      </c>
      <c r="C3344" s="2">
        <v>45890</v>
      </c>
      <c r="D3344" s="2">
        <f t="shared" si="316"/>
        <v>45920</v>
      </c>
      <c r="E3344" s="1">
        <f>D3344</f>
        <v>45920</v>
      </c>
      <c r="F3344">
        <v>3123</v>
      </c>
      <c r="G3344">
        <v>30</v>
      </c>
      <c r="H3344">
        <f t="shared" si="315"/>
        <v>0</v>
      </c>
      <c r="I3344" t="str">
        <f t="shared" si="313"/>
        <v>On Time</v>
      </c>
      <c r="J3344" cm="1">
        <f t="array" ref="J3344">_xlfn.IFS(H3344&lt;30,0,H3344&lt;60,1,H3344&lt;90,2,H3344&lt;120,3)</f>
        <v>0</v>
      </c>
      <c r="M3344" t="str">
        <f t="shared" si="314"/>
        <v>Low</v>
      </c>
      <c r="N3344" t="str">
        <f t="shared" si="317"/>
        <v>Aug</v>
      </c>
      <c r="O3344">
        <f t="shared" si="318"/>
        <v>2025</v>
      </c>
    </row>
    <row r="3345" spans="1:15" x14ac:dyDescent="0.3">
      <c r="A3345">
        <v>201204</v>
      </c>
      <c r="B3345" t="s">
        <v>99</v>
      </c>
      <c r="C3345" s="2">
        <v>45890</v>
      </c>
      <c r="D3345" s="2">
        <f t="shared" si="316"/>
        <v>45920</v>
      </c>
      <c r="E3345" s="1">
        <f>D3345+32</f>
        <v>45952</v>
      </c>
      <c r="F3345">
        <v>628</v>
      </c>
      <c r="G3345">
        <v>30</v>
      </c>
      <c r="H3345">
        <f t="shared" si="315"/>
        <v>0</v>
      </c>
      <c r="I3345" t="str">
        <f t="shared" si="313"/>
        <v>On Time</v>
      </c>
      <c r="J3345" cm="1">
        <f t="array" ref="J3345">_xlfn.IFS(H3345&lt;30,0,H3345&lt;60,1,H3345&lt;90,2,H3345&lt;120,3)</f>
        <v>0</v>
      </c>
      <c r="M3345" t="str">
        <f t="shared" si="314"/>
        <v>Low</v>
      </c>
      <c r="N3345" t="str">
        <f t="shared" si="317"/>
        <v>Aug</v>
      </c>
      <c r="O3345">
        <f t="shared" si="318"/>
        <v>2025</v>
      </c>
    </row>
    <row r="3346" spans="1:15" x14ac:dyDescent="0.3">
      <c r="A3346">
        <v>201205</v>
      </c>
      <c r="B3346" t="s">
        <v>100</v>
      </c>
      <c r="C3346" s="2">
        <v>45890</v>
      </c>
      <c r="D3346" s="2">
        <f t="shared" si="316"/>
        <v>45920</v>
      </c>
      <c r="E3346" s="1">
        <f>D3346+15</f>
        <v>45935</v>
      </c>
      <c r="F3346">
        <v>2808</v>
      </c>
      <c r="G3346">
        <v>30</v>
      </c>
      <c r="H3346">
        <f t="shared" si="315"/>
        <v>0</v>
      </c>
      <c r="I3346" t="str">
        <f t="shared" si="313"/>
        <v>On Time</v>
      </c>
      <c r="J3346" cm="1">
        <f t="array" ref="J3346">_xlfn.IFS(H3346&lt;30,0,H3346&lt;60,1,H3346&lt;90,2,H3346&lt;120,3)</f>
        <v>0</v>
      </c>
      <c r="M3346" t="str">
        <f t="shared" si="314"/>
        <v>Low</v>
      </c>
      <c r="N3346" t="str">
        <f t="shared" si="317"/>
        <v>Aug</v>
      </c>
      <c r="O3346">
        <f t="shared" si="318"/>
        <v>2025</v>
      </c>
    </row>
    <row r="3347" spans="1:15" x14ac:dyDescent="0.3">
      <c r="A3347">
        <v>201206</v>
      </c>
      <c r="B3347" t="s">
        <v>101</v>
      </c>
      <c r="C3347" s="2">
        <v>45890</v>
      </c>
      <c r="D3347" s="2">
        <f t="shared" si="316"/>
        <v>45920</v>
      </c>
      <c r="E3347" s="1">
        <f>D3347-2</f>
        <v>45918</v>
      </c>
      <c r="F3347">
        <v>2859</v>
      </c>
      <c r="G3347">
        <v>30</v>
      </c>
      <c r="H3347">
        <f t="shared" si="315"/>
        <v>0</v>
      </c>
      <c r="I3347" t="str">
        <f t="shared" si="313"/>
        <v>On Time</v>
      </c>
      <c r="J3347" cm="1">
        <f t="array" ref="J3347">_xlfn.IFS(H3347&lt;30,0,H3347&lt;60,1,H3347&lt;90,2,H3347&lt;120,3)</f>
        <v>0</v>
      </c>
      <c r="M3347" t="str">
        <f t="shared" si="314"/>
        <v>Low</v>
      </c>
      <c r="N3347" t="str">
        <f t="shared" si="317"/>
        <v>Aug</v>
      </c>
      <c r="O3347">
        <f t="shared" si="318"/>
        <v>2025</v>
      </c>
    </row>
    <row r="3348" spans="1:15" x14ac:dyDescent="0.3">
      <c r="A3348">
        <v>201207</v>
      </c>
      <c r="B3348" t="s">
        <v>102</v>
      </c>
      <c r="C3348" s="2">
        <v>45890</v>
      </c>
      <c r="D3348" s="2">
        <f t="shared" si="316"/>
        <v>45920</v>
      </c>
      <c r="E3348" s="1">
        <f>D3348-2</f>
        <v>45918</v>
      </c>
      <c r="F3348">
        <v>3224</v>
      </c>
      <c r="G3348">
        <v>30</v>
      </c>
      <c r="H3348">
        <f t="shared" si="315"/>
        <v>0</v>
      </c>
      <c r="I3348" t="str">
        <f t="shared" si="313"/>
        <v>On Time</v>
      </c>
      <c r="J3348" cm="1">
        <f t="array" ref="J3348">_xlfn.IFS(H3348&lt;30,0,H3348&lt;60,1,H3348&lt;90,2,H3348&lt;120,3)</f>
        <v>0</v>
      </c>
      <c r="M3348" t="str">
        <f t="shared" si="314"/>
        <v>Low</v>
      </c>
      <c r="N3348" t="str">
        <f t="shared" si="317"/>
        <v>Aug</v>
      </c>
      <c r="O3348">
        <f t="shared" si="318"/>
        <v>2025</v>
      </c>
    </row>
    <row r="3349" spans="1:15" x14ac:dyDescent="0.3">
      <c r="A3349">
        <v>201208</v>
      </c>
      <c r="B3349" t="s">
        <v>38</v>
      </c>
      <c r="C3349" s="2">
        <v>45890</v>
      </c>
      <c r="D3349" s="2">
        <f t="shared" si="316"/>
        <v>45920</v>
      </c>
      <c r="E3349" s="1">
        <f>D3349</f>
        <v>45920</v>
      </c>
      <c r="F3349">
        <v>4523</v>
      </c>
      <c r="G3349">
        <v>30</v>
      </c>
      <c r="H3349">
        <f t="shared" si="315"/>
        <v>0</v>
      </c>
      <c r="I3349" t="str">
        <f t="shared" si="313"/>
        <v>On Time</v>
      </c>
      <c r="J3349" cm="1">
        <f t="array" ref="J3349">_xlfn.IFS(H3349&lt;30,0,H3349&lt;60,1,H3349&lt;90,2,H3349&lt;120,3)</f>
        <v>0</v>
      </c>
      <c r="M3349" t="str">
        <f t="shared" si="314"/>
        <v>Low</v>
      </c>
      <c r="N3349" t="str">
        <f t="shared" si="317"/>
        <v>Aug</v>
      </c>
      <c r="O3349">
        <f t="shared" si="318"/>
        <v>2025</v>
      </c>
    </row>
    <row r="3350" spans="1:15" x14ac:dyDescent="0.3">
      <c r="A3350">
        <v>201209</v>
      </c>
      <c r="B3350" t="s">
        <v>39</v>
      </c>
      <c r="C3350" s="2">
        <v>45890</v>
      </c>
      <c r="D3350" s="2">
        <f t="shared" si="316"/>
        <v>45920</v>
      </c>
      <c r="E3350" s="1">
        <f>D3350+2</f>
        <v>45922</v>
      </c>
      <c r="F3350">
        <v>4900</v>
      </c>
      <c r="G3350">
        <v>30</v>
      </c>
      <c r="H3350">
        <f t="shared" si="315"/>
        <v>0</v>
      </c>
      <c r="I3350" t="str">
        <f t="shared" ref="I3350:I3413" si="319">IF(H3350=0,"On Time",IF(H3350&lt;=15,"Paid Late","Seriously Late"))</f>
        <v>On Time</v>
      </c>
      <c r="J3350" cm="1">
        <f t="array" ref="J3350">_xlfn.IFS(H3350&lt;30,0,H3350&lt;60,1,H3350&lt;90,2,H3350&lt;120,3)</f>
        <v>0</v>
      </c>
      <c r="M3350" t="str">
        <f t="shared" ref="M3350:M3413" si="320">IF(H3350&gt;30,"High",IF(H3350&gt;10,"Medium","Low"))</f>
        <v>Low</v>
      </c>
      <c r="N3350" t="str">
        <f t="shared" si="317"/>
        <v>Aug</v>
      </c>
      <c r="O3350">
        <f t="shared" si="318"/>
        <v>2025</v>
      </c>
    </row>
    <row r="3351" spans="1:15" x14ac:dyDescent="0.3">
      <c r="A3351">
        <v>201210</v>
      </c>
      <c r="B3351" t="s">
        <v>40</v>
      </c>
      <c r="C3351" s="2">
        <v>45890</v>
      </c>
      <c r="D3351" s="2">
        <f t="shared" si="316"/>
        <v>45920</v>
      </c>
      <c r="E3351" s="1">
        <f>D3351+2</f>
        <v>45922</v>
      </c>
      <c r="F3351">
        <v>2286</v>
      </c>
      <c r="G3351">
        <v>30</v>
      </c>
      <c r="H3351">
        <f t="shared" si="315"/>
        <v>0</v>
      </c>
      <c r="I3351" t="str">
        <f t="shared" si="319"/>
        <v>On Time</v>
      </c>
      <c r="J3351" cm="1">
        <f t="array" ref="J3351">_xlfn.IFS(H3351&lt;30,0,H3351&lt;60,1,H3351&lt;90,2,H3351&lt;120,3)</f>
        <v>0</v>
      </c>
      <c r="M3351" t="str">
        <f t="shared" si="320"/>
        <v>Low</v>
      </c>
      <c r="N3351" t="str">
        <f t="shared" si="317"/>
        <v>Aug</v>
      </c>
      <c r="O3351">
        <f t="shared" si="318"/>
        <v>2025</v>
      </c>
    </row>
    <row r="3352" spans="1:15" x14ac:dyDescent="0.3">
      <c r="A3352">
        <v>201211</v>
      </c>
      <c r="B3352" t="s">
        <v>41</v>
      </c>
      <c r="C3352" s="2">
        <v>45890</v>
      </c>
      <c r="D3352" s="2">
        <f t="shared" si="316"/>
        <v>45920</v>
      </c>
      <c r="E3352" s="1">
        <f>D3352+2</f>
        <v>45922</v>
      </c>
      <c r="F3352">
        <v>725</v>
      </c>
      <c r="G3352">
        <v>30</v>
      </c>
      <c r="H3352">
        <f t="shared" si="315"/>
        <v>0</v>
      </c>
      <c r="I3352" t="str">
        <f t="shared" si="319"/>
        <v>On Time</v>
      </c>
      <c r="J3352" cm="1">
        <f t="array" ref="J3352">_xlfn.IFS(H3352&lt;30,0,H3352&lt;60,1,H3352&lt;90,2,H3352&lt;120,3)</f>
        <v>0</v>
      </c>
      <c r="M3352" t="str">
        <f t="shared" si="320"/>
        <v>Low</v>
      </c>
      <c r="N3352" t="str">
        <f t="shared" si="317"/>
        <v>Aug</v>
      </c>
      <c r="O3352">
        <f t="shared" si="318"/>
        <v>2025</v>
      </c>
    </row>
    <row r="3353" spans="1:15" x14ac:dyDescent="0.3">
      <c r="A3353">
        <v>201212</v>
      </c>
      <c r="B3353" t="s">
        <v>42</v>
      </c>
      <c r="C3353" s="2">
        <v>45890</v>
      </c>
      <c r="D3353" s="2">
        <f t="shared" si="316"/>
        <v>45920</v>
      </c>
      <c r="E3353" s="1">
        <f>D3353</f>
        <v>45920</v>
      </c>
      <c r="F3353">
        <v>4743</v>
      </c>
      <c r="G3353">
        <v>30</v>
      </c>
      <c r="H3353">
        <f t="shared" si="315"/>
        <v>0</v>
      </c>
      <c r="I3353" t="str">
        <f t="shared" si="319"/>
        <v>On Time</v>
      </c>
      <c r="J3353" cm="1">
        <f t="array" ref="J3353">_xlfn.IFS(H3353&lt;30,0,H3353&lt;60,1,H3353&lt;90,2,H3353&lt;120,3)</f>
        <v>0</v>
      </c>
      <c r="M3353" t="str">
        <f t="shared" si="320"/>
        <v>Low</v>
      </c>
      <c r="N3353" t="str">
        <f t="shared" si="317"/>
        <v>Aug</v>
      </c>
      <c r="O3353">
        <f t="shared" si="318"/>
        <v>2025</v>
      </c>
    </row>
    <row r="3354" spans="1:15" x14ac:dyDescent="0.3">
      <c r="A3354">
        <v>201213</v>
      </c>
      <c r="B3354" t="s">
        <v>43</v>
      </c>
      <c r="C3354" s="2">
        <v>45890</v>
      </c>
      <c r="D3354" s="2">
        <f t="shared" si="316"/>
        <v>45920</v>
      </c>
      <c r="E3354" s="1">
        <f>D3354+20</f>
        <v>45940</v>
      </c>
      <c r="F3354">
        <v>4756</v>
      </c>
      <c r="G3354">
        <v>30</v>
      </c>
      <c r="H3354">
        <f t="shared" si="315"/>
        <v>0</v>
      </c>
      <c r="I3354" t="str">
        <f t="shared" si="319"/>
        <v>On Time</v>
      </c>
      <c r="J3354" cm="1">
        <f t="array" ref="J3354">_xlfn.IFS(H3354&lt;30,0,H3354&lt;60,1,H3354&lt;90,2,H3354&lt;120,3)</f>
        <v>0</v>
      </c>
      <c r="M3354" t="str">
        <f t="shared" si="320"/>
        <v>Low</v>
      </c>
      <c r="N3354" t="str">
        <f t="shared" si="317"/>
        <v>Aug</v>
      </c>
      <c r="O3354">
        <f t="shared" si="318"/>
        <v>2025</v>
      </c>
    </row>
    <row r="3355" spans="1:15" x14ac:dyDescent="0.3">
      <c r="A3355">
        <v>201214</v>
      </c>
      <c r="B3355" t="s">
        <v>44</v>
      </c>
      <c r="C3355" s="2">
        <v>45890</v>
      </c>
      <c r="D3355" s="2">
        <f t="shared" si="316"/>
        <v>45935</v>
      </c>
      <c r="E3355" s="1">
        <f>D3355</f>
        <v>45935</v>
      </c>
      <c r="F3355">
        <v>480</v>
      </c>
      <c r="G3355">
        <v>45</v>
      </c>
      <c r="H3355">
        <f t="shared" si="315"/>
        <v>0</v>
      </c>
      <c r="I3355" t="str">
        <f t="shared" si="319"/>
        <v>On Time</v>
      </c>
      <c r="J3355" cm="1">
        <f t="array" ref="J3355">_xlfn.IFS(H3355&lt;30,0,H3355&lt;60,1,H3355&lt;90,2,H3355&lt;120,3)</f>
        <v>0</v>
      </c>
      <c r="M3355" t="str">
        <f t="shared" si="320"/>
        <v>Low</v>
      </c>
      <c r="N3355" t="str">
        <f t="shared" si="317"/>
        <v>Aug</v>
      </c>
      <c r="O3355">
        <f t="shared" si="318"/>
        <v>2025</v>
      </c>
    </row>
    <row r="3356" spans="1:15" x14ac:dyDescent="0.3">
      <c r="A3356">
        <v>201215</v>
      </c>
      <c r="B3356" t="s">
        <v>96</v>
      </c>
      <c r="C3356" s="2">
        <v>45890</v>
      </c>
      <c r="D3356" s="2">
        <f t="shared" si="316"/>
        <v>45950</v>
      </c>
      <c r="E3356" s="1">
        <f>D3356+1</f>
        <v>45951</v>
      </c>
      <c r="F3356">
        <v>7785</v>
      </c>
      <c r="G3356">
        <v>60</v>
      </c>
      <c r="H3356">
        <f t="shared" si="315"/>
        <v>0</v>
      </c>
      <c r="I3356" t="str">
        <f t="shared" si="319"/>
        <v>On Time</v>
      </c>
      <c r="J3356" cm="1">
        <f t="array" ref="J3356">_xlfn.IFS(H3356&lt;30,0,H3356&lt;60,1,H3356&lt;90,2,H3356&lt;120,3)</f>
        <v>0</v>
      </c>
      <c r="M3356" t="str">
        <f t="shared" si="320"/>
        <v>Low</v>
      </c>
      <c r="N3356" t="str">
        <f t="shared" si="317"/>
        <v>Aug</v>
      </c>
      <c r="O3356">
        <f t="shared" si="318"/>
        <v>2025</v>
      </c>
    </row>
    <row r="3357" spans="1:15" x14ac:dyDescent="0.3">
      <c r="A3357">
        <v>201216</v>
      </c>
      <c r="B3357" t="s">
        <v>97</v>
      </c>
      <c r="C3357" s="2">
        <v>45890</v>
      </c>
      <c r="D3357" s="2">
        <f t="shared" si="316"/>
        <v>45920</v>
      </c>
      <c r="E3357" s="1">
        <f>D3357</f>
        <v>45920</v>
      </c>
      <c r="F3357">
        <v>804</v>
      </c>
      <c r="G3357">
        <v>30</v>
      </c>
      <c r="H3357">
        <f t="shared" si="315"/>
        <v>0</v>
      </c>
      <c r="I3357" t="str">
        <f t="shared" si="319"/>
        <v>On Time</v>
      </c>
      <c r="J3357" cm="1">
        <f t="array" ref="J3357">_xlfn.IFS(H3357&lt;30,0,H3357&lt;60,1,H3357&lt;90,2,H3357&lt;120,3)</f>
        <v>0</v>
      </c>
      <c r="M3357" t="str">
        <f t="shared" si="320"/>
        <v>Low</v>
      </c>
      <c r="N3357" t="str">
        <f t="shared" si="317"/>
        <v>Aug</v>
      </c>
      <c r="O3357">
        <f t="shared" si="318"/>
        <v>2025</v>
      </c>
    </row>
    <row r="3358" spans="1:15" x14ac:dyDescent="0.3">
      <c r="A3358">
        <v>201179</v>
      </c>
      <c r="B3358" t="s">
        <v>22</v>
      </c>
      <c r="C3358" s="2">
        <v>45889</v>
      </c>
      <c r="D3358" s="2">
        <f t="shared" si="316"/>
        <v>45919</v>
      </c>
      <c r="E3358" s="1">
        <f>D3358</f>
        <v>45919</v>
      </c>
      <c r="F3358">
        <v>4578</v>
      </c>
      <c r="G3358">
        <v>30</v>
      </c>
      <c r="H3358">
        <f t="shared" si="315"/>
        <v>0</v>
      </c>
      <c r="I3358" t="str">
        <f t="shared" si="319"/>
        <v>On Time</v>
      </c>
      <c r="J3358" cm="1">
        <f t="array" ref="J3358">_xlfn.IFS(H3358&lt;30,0,H3358&lt;60,1,H3358&lt;90,2,H3358&lt;120,3)</f>
        <v>0</v>
      </c>
      <c r="M3358" t="str">
        <f t="shared" si="320"/>
        <v>Low</v>
      </c>
      <c r="N3358" t="str">
        <f t="shared" si="317"/>
        <v>Aug</v>
      </c>
      <c r="O3358">
        <f t="shared" si="318"/>
        <v>2025</v>
      </c>
    </row>
    <row r="3359" spans="1:15" x14ac:dyDescent="0.3">
      <c r="A3359">
        <v>201180</v>
      </c>
      <c r="B3359" t="s">
        <v>23</v>
      </c>
      <c r="C3359" s="2">
        <v>45889</v>
      </c>
      <c r="D3359" s="2">
        <f t="shared" si="316"/>
        <v>45934</v>
      </c>
      <c r="E3359" s="1">
        <f>D3359+20</f>
        <v>45954</v>
      </c>
      <c r="F3359">
        <v>1332</v>
      </c>
      <c r="G3359">
        <v>45</v>
      </c>
      <c r="H3359">
        <f t="shared" si="315"/>
        <v>0</v>
      </c>
      <c r="I3359" t="str">
        <f t="shared" si="319"/>
        <v>On Time</v>
      </c>
      <c r="J3359" cm="1">
        <f t="array" ref="J3359">_xlfn.IFS(H3359&lt;30,0,H3359&lt;60,1,H3359&lt;90,2,H3359&lt;120,3)</f>
        <v>0</v>
      </c>
      <c r="M3359" t="str">
        <f t="shared" si="320"/>
        <v>Low</v>
      </c>
      <c r="N3359" t="str">
        <f t="shared" si="317"/>
        <v>Aug</v>
      </c>
      <c r="O3359">
        <f t="shared" si="318"/>
        <v>2025</v>
      </c>
    </row>
    <row r="3360" spans="1:15" x14ac:dyDescent="0.3">
      <c r="A3360">
        <v>201181</v>
      </c>
      <c r="B3360" t="s">
        <v>24</v>
      </c>
      <c r="C3360" s="2">
        <v>45889</v>
      </c>
      <c r="D3360" s="2">
        <f t="shared" si="316"/>
        <v>45934</v>
      </c>
      <c r="E3360" s="1">
        <f>D3360</f>
        <v>45934</v>
      </c>
      <c r="F3360">
        <v>2343</v>
      </c>
      <c r="G3360">
        <v>45</v>
      </c>
      <c r="H3360">
        <f t="shared" si="315"/>
        <v>0</v>
      </c>
      <c r="I3360" t="str">
        <f t="shared" si="319"/>
        <v>On Time</v>
      </c>
      <c r="J3360" cm="1">
        <f t="array" ref="J3360">_xlfn.IFS(H3360&lt;30,0,H3360&lt;60,1,H3360&lt;90,2,H3360&lt;120,3)</f>
        <v>0</v>
      </c>
      <c r="M3360" t="str">
        <f t="shared" si="320"/>
        <v>Low</v>
      </c>
      <c r="N3360" t="str">
        <f t="shared" si="317"/>
        <v>Aug</v>
      </c>
      <c r="O3360">
        <f t="shared" si="318"/>
        <v>2025</v>
      </c>
    </row>
    <row r="3361" spans="1:15" x14ac:dyDescent="0.3">
      <c r="A3361">
        <v>201182</v>
      </c>
      <c r="B3361" t="s">
        <v>25</v>
      </c>
      <c r="C3361" s="2">
        <v>45889</v>
      </c>
      <c r="D3361" s="2">
        <f t="shared" si="316"/>
        <v>45949</v>
      </c>
      <c r="E3361" s="1">
        <f>D3361+1</f>
        <v>45950</v>
      </c>
      <c r="F3361">
        <v>1477</v>
      </c>
      <c r="G3361">
        <v>60</v>
      </c>
      <c r="H3361">
        <f t="shared" si="315"/>
        <v>0</v>
      </c>
      <c r="I3361" t="str">
        <f t="shared" si="319"/>
        <v>On Time</v>
      </c>
      <c r="J3361" cm="1">
        <f t="array" ref="J3361">_xlfn.IFS(H3361&lt;30,0,H3361&lt;60,1,H3361&lt;90,2,H3361&lt;120,3)</f>
        <v>0</v>
      </c>
      <c r="M3361" t="str">
        <f t="shared" si="320"/>
        <v>Low</v>
      </c>
      <c r="N3361" t="str">
        <f t="shared" si="317"/>
        <v>Aug</v>
      </c>
      <c r="O3361">
        <f t="shared" si="318"/>
        <v>2025</v>
      </c>
    </row>
    <row r="3362" spans="1:15" x14ac:dyDescent="0.3">
      <c r="A3362">
        <v>201183</v>
      </c>
      <c r="B3362" t="s">
        <v>26</v>
      </c>
      <c r="C3362" s="2">
        <v>45889</v>
      </c>
      <c r="D3362" s="2">
        <f t="shared" si="316"/>
        <v>45919</v>
      </c>
      <c r="E3362" s="1">
        <f>D3362</f>
        <v>45919</v>
      </c>
      <c r="F3362">
        <v>7924</v>
      </c>
      <c r="G3362">
        <v>30</v>
      </c>
      <c r="H3362">
        <f t="shared" si="315"/>
        <v>0</v>
      </c>
      <c r="I3362" t="str">
        <f t="shared" si="319"/>
        <v>On Time</v>
      </c>
      <c r="J3362" cm="1">
        <f t="array" ref="J3362">_xlfn.IFS(H3362&lt;30,0,H3362&lt;60,1,H3362&lt;90,2,H3362&lt;120,3)</f>
        <v>0</v>
      </c>
      <c r="M3362" t="str">
        <f t="shared" si="320"/>
        <v>Low</v>
      </c>
      <c r="N3362" t="str">
        <f t="shared" si="317"/>
        <v>Aug</v>
      </c>
      <c r="O3362">
        <f t="shared" si="318"/>
        <v>2025</v>
      </c>
    </row>
    <row r="3363" spans="1:15" x14ac:dyDescent="0.3">
      <c r="A3363">
        <v>201184</v>
      </c>
      <c r="B3363" t="s">
        <v>27</v>
      </c>
      <c r="C3363" s="2">
        <v>45889</v>
      </c>
      <c r="D3363" s="2">
        <f t="shared" si="316"/>
        <v>45949</v>
      </c>
      <c r="E3363" s="1">
        <f>D3363</f>
        <v>45949</v>
      </c>
      <c r="F3363">
        <v>3300</v>
      </c>
      <c r="G3363">
        <v>60</v>
      </c>
      <c r="H3363">
        <f t="shared" si="315"/>
        <v>0</v>
      </c>
      <c r="I3363" t="str">
        <f t="shared" si="319"/>
        <v>On Time</v>
      </c>
      <c r="J3363" cm="1">
        <f t="array" ref="J3363">_xlfn.IFS(H3363&lt;30,0,H3363&lt;60,1,H3363&lt;90,2,H3363&lt;120,3)</f>
        <v>0</v>
      </c>
      <c r="M3363" t="str">
        <f t="shared" si="320"/>
        <v>Low</v>
      </c>
      <c r="N3363" t="str">
        <f t="shared" si="317"/>
        <v>Aug</v>
      </c>
      <c r="O3363">
        <f t="shared" si="318"/>
        <v>2025</v>
      </c>
    </row>
    <row r="3364" spans="1:15" x14ac:dyDescent="0.3">
      <c r="A3364">
        <v>201185</v>
      </c>
      <c r="B3364" t="s">
        <v>28</v>
      </c>
      <c r="C3364" s="2">
        <v>45889</v>
      </c>
      <c r="D3364" s="2">
        <f t="shared" si="316"/>
        <v>45919</v>
      </c>
      <c r="E3364" s="1">
        <f>D3364+5</f>
        <v>45924</v>
      </c>
      <c r="F3364">
        <v>4332</v>
      </c>
      <c r="G3364">
        <v>30</v>
      </c>
      <c r="H3364">
        <f t="shared" si="315"/>
        <v>0</v>
      </c>
      <c r="I3364" t="str">
        <f t="shared" si="319"/>
        <v>On Time</v>
      </c>
      <c r="J3364" cm="1">
        <f t="array" ref="J3364">_xlfn.IFS(H3364&lt;30,0,H3364&lt;60,1,H3364&lt;90,2,H3364&lt;120,3)</f>
        <v>0</v>
      </c>
      <c r="M3364" t="str">
        <f t="shared" si="320"/>
        <v>Low</v>
      </c>
      <c r="N3364" t="str">
        <f t="shared" si="317"/>
        <v>Aug</v>
      </c>
      <c r="O3364">
        <f t="shared" si="318"/>
        <v>2025</v>
      </c>
    </row>
    <row r="3365" spans="1:15" x14ac:dyDescent="0.3">
      <c r="A3365">
        <v>201186</v>
      </c>
      <c r="B3365" t="s">
        <v>29</v>
      </c>
      <c r="C3365" s="2">
        <v>45889</v>
      </c>
      <c r="D3365" s="2">
        <f t="shared" si="316"/>
        <v>45919</v>
      </c>
      <c r="E3365" s="1">
        <f>D3365+2</f>
        <v>45921</v>
      </c>
      <c r="F3365">
        <v>2821</v>
      </c>
      <c r="G3365">
        <v>30</v>
      </c>
      <c r="H3365">
        <f t="shared" si="315"/>
        <v>0</v>
      </c>
      <c r="I3365" t="str">
        <f t="shared" si="319"/>
        <v>On Time</v>
      </c>
      <c r="J3365" cm="1">
        <f t="array" ref="J3365">_xlfn.IFS(H3365&lt;30,0,H3365&lt;60,1,H3365&lt;90,2,H3365&lt;120,3)</f>
        <v>0</v>
      </c>
      <c r="M3365" t="str">
        <f t="shared" si="320"/>
        <v>Low</v>
      </c>
      <c r="N3365" t="str">
        <f t="shared" si="317"/>
        <v>Aug</v>
      </c>
      <c r="O3365">
        <f t="shared" si="318"/>
        <v>2025</v>
      </c>
    </row>
    <row r="3366" spans="1:15" x14ac:dyDescent="0.3">
      <c r="A3366">
        <v>201187</v>
      </c>
      <c r="B3366" t="s">
        <v>75</v>
      </c>
      <c r="C3366" s="2">
        <v>45889</v>
      </c>
      <c r="D3366" s="2">
        <f t="shared" si="316"/>
        <v>45949</v>
      </c>
      <c r="E3366" s="1">
        <f>D3366</f>
        <v>45949</v>
      </c>
      <c r="F3366">
        <v>852</v>
      </c>
      <c r="G3366">
        <v>60</v>
      </c>
      <c r="H3366">
        <f t="shared" ref="H3366:H3429" si="321">MAX(0,P3331-D3366)</f>
        <v>0</v>
      </c>
      <c r="I3366" t="str">
        <f t="shared" si="319"/>
        <v>On Time</v>
      </c>
      <c r="J3366" cm="1">
        <f t="array" ref="J3366">_xlfn.IFS(H3366&lt;30,0,H3366&lt;60,1,H3366&lt;90,2,H3366&lt;120,3)</f>
        <v>0</v>
      </c>
      <c r="M3366" t="str">
        <f t="shared" si="320"/>
        <v>Low</v>
      </c>
      <c r="N3366" t="str">
        <f t="shared" si="317"/>
        <v>Aug</v>
      </c>
      <c r="O3366">
        <f t="shared" si="318"/>
        <v>2025</v>
      </c>
    </row>
    <row r="3367" spans="1:15" x14ac:dyDescent="0.3">
      <c r="A3367">
        <v>201188</v>
      </c>
      <c r="B3367" t="s">
        <v>76</v>
      </c>
      <c r="C3367" s="2">
        <v>45889</v>
      </c>
      <c r="D3367" s="2">
        <f t="shared" si="316"/>
        <v>45919</v>
      </c>
      <c r="E3367" s="1">
        <f>D3367</f>
        <v>45919</v>
      </c>
      <c r="F3367">
        <v>2781</v>
      </c>
      <c r="G3367">
        <v>30</v>
      </c>
      <c r="H3367">
        <f t="shared" si="321"/>
        <v>0</v>
      </c>
      <c r="I3367" t="str">
        <f t="shared" si="319"/>
        <v>On Time</v>
      </c>
      <c r="J3367" cm="1">
        <f t="array" ref="J3367">_xlfn.IFS(H3367&lt;30,0,H3367&lt;60,1,H3367&lt;90,2,H3367&lt;120,3)</f>
        <v>0</v>
      </c>
      <c r="M3367" t="str">
        <f t="shared" si="320"/>
        <v>Low</v>
      </c>
      <c r="N3367" t="str">
        <f t="shared" si="317"/>
        <v>Aug</v>
      </c>
      <c r="O3367">
        <f t="shared" si="318"/>
        <v>2025</v>
      </c>
    </row>
    <row r="3368" spans="1:15" x14ac:dyDescent="0.3">
      <c r="A3368">
        <v>201189</v>
      </c>
      <c r="B3368" t="s">
        <v>77</v>
      </c>
      <c r="C3368" s="2">
        <v>45889</v>
      </c>
      <c r="D3368" s="2">
        <f t="shared" si="316"/>
        <v>45919</v>
      </c>
      <c r="E3368" s="1">
        <f>D3368</f>
        <v>45919</v>
      </c>
      <c r="F3368">
        <v>4690</v>
      </c>
      <c r="G3368">
        <v>30</v>
      </c>
      <c r="H3368">
        <f t="shared" si="321"/>
        <v>0</v>
      </c>
      <c r="I3368" t="str">
        <f t="shared" si="319"/>
        <v>On Time</v>
      </c>
      <c r="J3368" cm="1">
        <f t="array" ref="J3368">_xlfn.IFS(H3368&lt;30,0,H3368&lt;60,1,H3368&lt;90,2,H3368&lt;120,3)</f>
        <v>0</v>
      </c>
      <c r="M3368" t="str">
        <f t="shared" si="320"/>
        <v>Low</v>
      </c>
      <c r="N3368" t="str">
        <f t="shared" si="317"/>
        <v>Aug</v>
      </c>
      <c r="O3368">
        <f t="shared" si="318"/>
        <v>2025</v>
      </c>
    </row>
    <row r="3369" spans="1:15" x14ac:dyDescent="0.3">
      <c r="A3369">
        <v>201190</v>
      </c>
      <c r="B3369" t="s">
        <v>78</v>
      </c>
      <c r="C3369" s="2">
        <v>45889</v>
      </c>
      <c r="D3369" s="2">
        <f t="shared" si="316"/>
        <v>45919</v>
      </c>
      <c r="E3369" s="1">
        <f>D3369+60</f>
        <v>45979</v>
      </c>
      <c r="F3369">
        <v>2546</v>
      </c>
      <c r="G3369">
        <v>30</v>
      </c>
      <c r="H3369">
        <f t="shared" si="321"/>
        <v>0</v>
      </c>
      <c r="I3369" t="str">
        <f t="shared" si="319"/>
        <v>On Time</v>
      </c>
      <c r="J3369" cm="1">
        <f t="array" ref="J3369">_xlfn.IFS(H3369&lt;30,0,H3369&lt;60,1,H3369&lt;90,2,H3369&lt;120,3)</f>
        <v>0</v>
      </c>
      <c r="M3369" t="str">
        <f t="shared" si="320"/>
        <v>Low</v>
      </c>
      <c r="N3369" t="str">
        <f t="shared" si="317"/>
        <v>Aug</v>
      </c>
      <c r="O3369">
        <f t="shared" si="318"/>
        <v>2025</v>
      </c>
    </row>
    <row r="3370" spans="1:15" x14ac:dyDescent="0.3">
      <c r="A3370">
        <v>201191</v>
      </c>
      <c r="B3370" t="s">
        <v>79</v>
      </c>
      <c r="C3370" s="2">
        <v>45889</v>
      </c>
      <c r="D3370" s="2">
        <f t="shared" si="316"/>
        <v>45919</v>
      </c>
      <c r="E3370" s="1">
        <f>D3370</f>
        <v>45919</v>
      </c>
      <c r="F3370">
        <v>483</v>
      </c>
      <c r="G3370">
        <v>30</v>
      </c>
      <c r="H3370">
        <f t="shared" si="321"/>
        <v>0</v>
      </c>
      <c r="I3370" t="str">
        <f t="shared" si="319"/>
        <v>On Time</v>
      </c>
      <c r="J3370" cm="1">
        <f t="array" ref="J3370">_xlfn.IFS(H3370&lt;30,0,H3370&lt;60,1,H3370&lt;90,2,H3370&lt;120,3)</f>
        <v>0</v>
      </c>
      <c r="M3370" t="str">
        <f t="shared" si="320"/>
        <v>Low</v>
      </c>
      <c r="N3370" t="str">
        <f t="shared" si="317"/>
        <v>Aug</v>
      </c>
      <c r="O3370">
        <f t="shared" si="318"/>
        <v>2025</v>
      </c>
    </row>
    <row r="3371" spans="1:15" x14ac:dyDescent="0.3">
      <c r="A3371">
        <v>201192</v>
      </c>
      <c r="B3371" t="s">
        <v>80</v>
      </c>
      <c r="C3371" s="2">
        <v>45889</v>
      </c>
      <c r="D3371" s="2">
        <f t="shared" si="316"/>
        <v>45919</v>
      </c>
      <c r="E3371" s="1">
        <f>D3371</f>
        <v>45919</v>
      </c>
      <c r="F3371">
        <v>1646</v>
      </c>
      <c r="G3371">
        <v>30</v>
      </c>
      <c r="H3371">
        <f t="shared" si="321"/>
        <v>0</v>
      </c>
      <c r="I3371" t="str">
        <f t="shared" si="319"/>
        <v>On Time</v>
      </c>
      <c r="J3371" cm="1">
        <f t="array" ref="J3371">_xlfn.IFS(H3371&lt;30,0,H3371&lt;60,1,H3371&lt;90,2,H3371&lt;120,3)</f>
        <v>0</v>
      </c>
      <c r="M3371" t="str">
        <f t="shared" si="320"/>
        <v>Low</v>
      </c>
      <c r="N3371" t="str">
        <f t="shared" si="317"/>
        <v>Aug</v>
      </c>
      <c r="O3371">
        <f t="shared" si="318"/>
        <v>2025</v>
      </c>
    </row>
    <row r="3372" spans="1:15" x14ac:dyDescent="0.3">
      <c r="A3372">
        <v>201193</v>
      </c>
      <c r="B3372" t="s">
        <v>81</v>
      </c>
      <c r="C3372" s="2">
        <v>45889</v>
      </c>
      <c r="D3372" s="2">
        <f t="shared" si="316"/>
        <v>45919</v>
      </c>
      <c r="E3372" s="1">
        <f>D3372+3</f>
        <v>45922</v>
      </c>
      <c r="F3372">
        <v>3853</v>
      </c>
      <c r="G3372">
        <v>30</v>
      </c>
      <c r="H3372">
        <f t="shared" si="321"/>
        <v>0</v>
      </c>
      <c r="I3372" t="str">
        <f t="shared" si="319"/>
        <v>On Time</v>
      </c>
      <c r="J3372" cm="1">
        <f t="array" ref="J3372">_xlfn.IFS(H3372&lt;30,0,H3372&lt;60,1,H3372&lt;90,2,H3372&lt;120,3)</f>
        <v>0</v>
      </c>
      <c r="M3372" t="str">
        <f t="shared" si="320"/>
        <v>Low</v>
      </c>
      <c r="N3372" t="str">
        <f t="shared" si="317"/>
        <v>Aug</v>
      </c>
      <c r="O3372">
        <f t="shared" si="318"/>
        <v>2025</v>
      </c>
    </row>
    <row r="3373" spans="1:15" x14ac:dyDescent="0.3">
      <c r="A3373">
        <v>201194</v>
      </c>
      <c r="B3373" t="s">
        <v>82</v>
      </c>
      <c r="C3373" s="2">
        <v>45889</v>
      </c>
      <c r="D3373" s="2">
        <f t="shared" si="316"/>
        <v>45934</v>
      </c>
      <c r="E3373" s="1">
        <f>D3373+1</f>
        <v>45935</v>
      </c>
      <c r="F3373">
        <v>4689</v>
      </c>
      <c r="G3373">
        <v>45</v>
      </c>
      <c r="H3373">
        <f t="shared" si="321"/>
        <v>0</v>
      </c>
      <c r="I3373" t="str">
        <f t="shared" si="319"/>
        <v>On Time</v>
      </c>
      <c r="J3373" cm="1">
        <f t="array" ref="J3373">_xlfn.IFS(H3373&lt;30,0,H3373&lt;60,1,H3373&lt;90,2,H3373&lt;120,3)</f>
        <v>0</v>
      </c>
      <c r="M3373" t="str">
        <f t="shared" si="320"/>
        <v>Low</v>
      </c>
      <c r="N3373" t="str">
        <f t="shared" si="317"/>
        <v>Aug</v>
      </c>
      <c r="O3373">
        <f t="shared" si="318"/>
        <v>2025</v>
      </c>
    </row>
    <row r="3374" spans="1:15" x14ac:dyDescent="0.3">
      <c r="A3374">
        <v>201195</v>
      </c>
      <c r="B3374" t="s">
        <v>83</v>
      </c>
      <c r="C3374" s="2">
        <v>45889</v>
      </c>
      <c r="D3374" s="2">
        <f t="shared" si="316"/>
        <v>45934</v>
      </c>
      <c r="E3374" s="1">
        <f>D3374-1</f>
        <v>45933</v>
      </c>
      <c r="F3374">
        <v>3562</v>
      </c>
      <c r="G3374">
        <v>45</v>
      </c>
      <c r="H3374">
        <f t="shared" si="321"/>
        <v>0</v>
      </c>
      <c r="I3374" t="str">
        <f t="shared" si="319"/>
        <v>On Time</v>
      </c>
      <c r="J3374" cm="1">
        <f t="array" ref="J3374">_xlfn.IFS(H3374&lt;30,0,H3374&lt;60,1,H3374&lt;90,2,H3374&lt;120,3)</f>
        <v>0</v>
      </c>
      <c r="M3374" t="str">
        <f t="shared" si="320"/>
        <v>Low</v>
      </c>
      <c r="N3374" t="str">
        <f t="shared" si="317"/>
        <v>Aug</v>
      </c>
      <c r="O3374">
        <f t="shared" si="318"/>
        <v>2025</v>
      </c>
    </row>
    <row r="3375" spans="1:15" x14ac:dyDescent="0.3">
      <c r="A3375">
        <v>201196</v>
      </c>
      <c r="B3375" t="s">
        <v>84</v>
      </c>
      <c r="C3375" s="2">
        <v>45889</v>
      </c>
      <c r="D3375" s="2">
        <f t="shared" si="316"/>
        <v>45949</v>
      </c>
      <c r="E3375" s="1">
        <f>D3375</f>
        <v>45949</v>
      </c>
      <c r="F3375">
        <v>3186</v>
      </c>
      <c r="G3375">
        <v>60</v>
      </c>
      <c r="H3375">
        <f t="shared" si="321"/>
        <v>0</v>
      </c>
      <c r="I3375" t="str">
        <f t="shared" si="319"/>
        <v>On Time</v>
      </c>
      <c r="J3375" cm="1">
        <f t="array" ref="J3375">_xlfn.IFS(H3375&lt;30,0,H3375&lt;60,1,H3375&lt;90,2,H3375&lt;120,3)</f>
        <v>0</v>
      </c>
      <c r="M3375" t="str">
        <f t="shared" si="320"/>
        <v>Low</v>
      </c>
      <c r="N3375" t="str">
        <f t="shared" si="317"/>
        <v>Aug</v>
      </c>
      <c r="O3375">
        <f t="shared" si="318"/>
        <v>2025</v>
      </c>
    </row>
    <row r="3376" spans="1:15" x14ac:dyDescent="0.3">
      <c r="A3376">
        <v>201197</v>
      </c>
      <c r="B3376" t="s">
        <v>92</v>
      </c>
      <c r="C3376" s="2">
        <v>45889</v>
      </c>
      <c r="D3376" s="2">
        <f t="shared" si="316"/>
        <v>45919</v>
      </c>
      <c r="E3376" s="1">
        <f>D3376+1</f>
        <v>45920</v>
      </c>
      <c r="F3376">
        <v>1526</v>
      </c>
      <c r="G3376">
        <v>30</v>
      </c>
      <c r="H3376">
        <f t="shared" si="321"/>
        <v>0</v>
      </c>
      <c r="I3376" t="str">
        <f t="shared" si="319"/>
        <v>On Time</v>
      </c>
      <c r="J3376" cm="1">
        <f t="array" ref="J3376">_xlfn.IFS(H3376&lt;30,0,H3376&lt;60,1,H3376&lt;90,2,H3376&lt;120,3)</f>
        <v>0</v>
      </c>
      <c r="M3376" t="str">
        <f t="shared" si="320"/>
        <v>Low</v>
      </c>
      <c r="N3376" t="str">
        <f t="shared" si="317"/>
        <v>Aug</v>
      </c>
      <c r="O3376">
        <f t="shared" si="318"/>
        <v>2025</v>
      </c>
    </row>
    <row r="3377" spans="1:15" x14ac:dyDescent="0.3">
      <c r="A3377">
        <v>201198</v>
      </c>
      <c r="B3377" t="s">
        <v>93</v>
      </c>
      <c r="C3377" s="2">
        <v>45889</v>
      </c>
      <c r="D3377" s="2">
        <f t="shared" si="316"/>
        <v>45919</v>
      </c>
      <c r="E3377" s="1">
        <f>D3377+35</f>
        <v>45954</v>
      </c>
      <c r="F3377">
        <v>3880</v>
      </c>
      <c r="G3377">
        <v>30</v>
      </c>
      <c r="H3377">
        <f t="shared" si="321"/>
        <v>0</v>
      </c>
      <c r="I3377" t="str">
        <f t="shared" si="319"/>
        <v>On Time</v>
      </c>
      <c r="J3377" cm="1">
        <f t="array" ref="J3377">_xlfn.IFS(H3377&lt;30,0,H3377&lt;60,1,H3377&lt;90,2,H3377&lt;120,3)</f>
        <v>0</v>
      </c>
      <c r="M3377" t="str">
        <f t="shared" si="320"/>
        <v>Low</v>
      </c>
      <c r="N3377" t="str">
        <f t="shared" si="317"/>
        <v>Aug</v>
      </c>
      <c r="O3377">
        <f t="shared" si="318"/>
        <v>2025</v>
      </c>
    </row>
    <row r="3378" spans="1:15" x14ac:dyDescent="0.3">
      <c r="A3378">
        <v>201199</v>
      </c>
      <c r="B3378" t="s">
        <v>94</v>
      </c>
      <c r="C3378" s="2">
        <v>45889</v>
      </c>
      <c r="D3378" s="2">
        <f t="shared" si="316"/>
        <v>45919</v>
      </c>
      <c r="E3378" s="1">
        <f>D3378+75</f>
        <v>45994</v>
      </c>
      <c r="F3378">
        <v>1017</v>
      </c>
      <c r="G3378">
        <v>30</v>
      </c>
      <c r="H3378">
        <f t="shared" si="321"/>
        <v>0</v>
      </c>
      <c r="I3378" t="str">
        <f t="shared" si="319"/>
        <v>On Time</v>
      </c>
      <c r="J3378" cm="1">
        <f t="array" ref="J3378">_xlfn.IFS(H3378&lt;30,0,H3378&lt;60,1,H3378&lt;90,2,H3378&lt;120,3)</f>
        <v>0</v>
      </c>
      <c r="M3378" t="str">
        <f t="shared" si="320"/>
        <v>Low</v>
      </c>
      <c r="N3378" t="str">
        <f t="shared" si="317"/>
        <v>Aug</v>
      </c>
      <c r="O3378">
        <f t="shared" si="318"/>
        <v>2025</v>
      </c>
    </row>
    <row r="3379" spans="1:15" x14ac:dyDescent="0.3">
      <c r="A3379">
        <v>201165</v>
      </c>
      <c r="B3379" t="s">
        <v>52</v>
      </c>
      <c r="C3379" s="2">
        <v>45888</v>
      </c>
      <c r="D3379" s="2">
        <f t="shared" si="316"/>
        <v>45918</v>
      </c>
      <c r="E3379" s="1">
        <f>D3379+35</f>
        <v>45953</v>
      </c>
      <c r="F3379">
        <v>16447</v>
      </c>
      <c r="G3379">
        <v>30</v>
      </c>
      <c r="H3379">
        <f t="shared" si="321"/>
        <v>0</v>
      </c>
      <c r="I3379" t="str">
        <f t="shared" si="319"/>
        <v>On Time</v>
      </c>
      <c r="J3379" cm="1">
        <f t="array" ref="J3379">_xlfn.IFS(H3379&lt;30,0,H3379&lt;60,1,H3379&lt;90,2,H3379&lt;120,3)</f>
        <v>0</v>
      </c>
      <c r="M3379" t="str">
        <f t="shared" si="320"/>
        <v>Low</v>
      </c>
      <c r="N3379" t="str">
        <f t="shared" si="317"/>
        <v>Aug</v>
      </c>
      <c r="O3379">
        <f t="shared" si="318"/>
        <v>2025</v>
      </c>
    </row>
    <row r="3380" spans="1:15" x14ac:dyDescent="0.3">
      <c r="A3380">
        <v>201166</v>
      </c>
      <c r="B3380" t="s">
        <v>53</v>
      </c>
      <c r="C3380" s="2">
        <v>45888</v>
      </c>
      <c r="D3380" s="2">
        <f t="shared" si="316"/>
        <v>45918</v>
      </c>
      <c r="E3380" s="1">
        <f>D3380+75</f>
        <v>45993</v>
      </c>
      <c r="F3380">
        <v>573</v>
      </c>
      <c r="G3380">
        <v>30</v>
      </c>
      <c r="H3380">
        <f t="shared" si="321"/>
        <v>0</v>
      </c>
      <c r="I3380" t="str">
        <f t="shared" si="319"/>
        <v>On Time</v>
      </c>
      <c r="J3380" cm="1">
        <f t="array" ref="J3380">_xlfn.IFS(H3380&lt;30,0,H3380&lt;60,1,H3380&lt;90,2,H3380&lt;120,3)</f>
        <v>0</v>
      </c>
      <c r="M3380" t="str">
        <f t="shared" si="320"/>
        <v>Low</v>
      </c>
      <c r="N3380" t="str">
        <f t="shared" si="317"/>
        <v>Aug</v>
      </c>
      <c r="O3380">
        <f t="shared" si="318"/>
        <v>2025</v>
      </c>
    </row>
    <row r="3381" spans="1:15" x14ac:dyDescent="0.3">
      <c r="A3381">
        <v>201167</v>
      </c>
      <c r="B3381" t="s">
        <v>54</v>
      </c>
      <c r="C3381" s="2">
        <v>45888</v>
      </c>
      <c r="D3381" s="2">
        <f t="shared" si="316"/>
        <v>45918</v>
      </c>
      <c r="E3381" s="1">
        <f>D3381+5</f>
        <v>45923</v>
      </c>
      <c r="F3381">
        <v>382</v>
      </c>
      <c r="G3381">
        <v>30</v>
      </c>
      <c r="H3381">
        <f t="shared" si="321"/>
        <v>0</v>
      </c>
      <c r="I3381" t="str">
        <f t="shared" si="319"/>
        <v>On Time</v>
      </c>
      <c r="J3381" cm="1">
        <f t="array" ref="J3381">_xlfn.IFS(H3381&lt;30,0,H3381&lt;60,1,H3381&lt;90,2,H3381&lt;120,3)</f>
        <v>0</v>
      </c>
      <c r="M3381" t="str">
        <f t="shared" si="320"/>
        <v>Low</v>
      </c>
      <c r="N3381" t="str">
        <f t="shared" si="317"/>
        <v>Aug</v>
      </c>
      <c r="O3381">
        <f t="shared" si="318"/>
        <v>2025</v>
      </c>
    </row>
    <row r="3382" spans="1:15" x14ac:dyDescent="0.3">
      <c r="A3382">
        <v>201168</v>
      </c>
      <c r="B3382" t="s">
        <v>36</v>
      </c>
      <c r="C3382" s="2">
        <v>45888</v>
      </c>
      <c r="D3382" s="2">
        <f t="shared" si="316"/>
        <v>45918</v>
      </c>
      <c r="E3382" s="1">
        <f>D3382</f>
        <v>45918</v>
      </c>
      <c r="F3382">
        <v>2723</v>
      </c>
      <c r="G3382">
        <v>30</v>
      </c>
      <c r="H3382">
        <f t="shared" si="321"/>
        <v>0</v>
      </c>
      <c r="I3382" t="str">
        <f t="shared" si="319"/>
        <v>On Time</v>
      </c>
      <c r="J3382" cm="1">
        <f t="array" ref="J3382">_xlfn.IFS(H3382&lt;30,0,H3382&lt;60,1,H3382&lt;90,2,H3382&lt;120,3)</f>
        <v>0</v>
      </c>
      <c r="M3382" t="str">
        <f t="shared" si="320"/>
        <v>Low</v>
      </c>
      <c r="N3382" t="str">
        <f t="shared" si="317"/>
        <v>Aug</v>
      </c>
      <c r="O3382">
        <f t="shared" si="318"/>
        <v>2025</v>
      </c>
    </row>
    <row r="3383" spans="1:15" x14ac:dyDescent="0.3">
      <c r="A3383">
        <v>201169</v>
      </c>
      <c r="B3383" t="s">
        <v>37</v>
      </c>
      <c r="C3383" s="2">
        <v>45888</v>
      </c>
      <c r="D3383" s="2">
        <f t="shared" si="316"/>
        <v>45918</v>
      </c>
      <c r="E3383" s="1">
        <f>D3383-1</f>
        <v>45917</v>
      </c>
      <c r="F3383">
        <v>3264</v>
      </c>
      <c r="G3383">
        <v>30</v>
      </c>
      <c r="H3383">
        <f t="shared" si="321"/>
        <v>0</v>
      </c>
      <c r="I3383" t="str">
        <f t="shared" si="319"/>
        <v>On Time</v>
      </c>
      <c r="J3383" cm="1">
        <f t="array" ref="J3383">_xlfn.IFS(H3383&lt;30,0,H3383&lt;60,1,H3383&lt;90,2,H3383&lt;120,3)</f>
        <v>0</v>
      </c>
      <c r="M3383" t="str">
        <f t="shared" si="320"/>
        <v>Low</v>
      </c>
      <c r="N3383" t="str">
        <f t="shared" si="317"/>
        <v>Aug</v>
      </c>
      <c r="O3383">
        <f t="shared" si="318"/>
        <v>2025</v>
      </c>
    </row>
    <row r="3384" spans="1:15" x14ac:dyDescent="0.3">
      <c r="A3384">
        <v>201170</v>
      </c>
      <c r="B3384" t="s">
        <v>38</v>
      </c>
      <c r="C3384" s="2">
        <v>45888</v>
      </c>
      <c r="D3384" s="2">
        <f t="shared" si="316"/>
        <v>45918</v>
      </c>
      <c r="E3384" s="1">
        <f>D3384</f>
        <v>45918</v>
      </c>
      <c r="F3384">
        <v>2170</v>
      </c>
      <c r="G3384">
        <v>30</v>
      </c>
      <c r="H3384">
        <f t="shared" si="321"/>
        <v>0</v>
      </c>
      <c r="I3384" t="str">
        <f t="shared" si="319"/>
        <v>On Time</v>
      </c>
      <c r="J3384" cm="1">
        <f t="array" ref="J3384">_xlfn.IFS(H3384&lt;30,0,H3384&lt;60,1,H3384&lt;90,2,H3384&lt;120,3)</f>
        <v>0</v>
      </c>
      <c r="M3384" t="str">
        <f t="shared" si="320"/>
        <v>Low</v>
      </c>
      <c r="N3384" t="str">
        <f t="shared" si="317"/>
        <v>Aug</v>
      </c>
      <c r="O3384">
        <f t="shared" si="318"/>
        <v>2025</v>
      </c>
    </row>
    <row r="3385" spans="1:15" x14ac:dyDescent="0.3">
      <c r="A3385">
        <v>201171</v>
      </c>
      <c r="B3385" t="s">
        <v>39</v>
      </c>
      <c r="C3385" s="2">
        <v>45888</v>
      </c>
      <c r="D3385" s="2">
        <f t="shared" si="316"/>
        <v>45918</v>
      </c>
      <c r="E3385" s="1">
        <f>D3385+32</f>
        <v>45950</v>
      </c>
      <c r="F3385">
        <v>161</v>
      </c>
      <c r="G3385">
        <v>30</v>
      </c>
      <c r="H3385">
        <f t="shared" si="321"/>
        <v>0</v>
      </c>
      <c r="I3385" t="str">
        <f t="shared" si="319"/>
        <v>On Time</v>
      </c>
      <c r="J3385" cm="1">
        <f t="array" ref="J3385">_xlfn.IFS(H3385&lt;30,0,H3385&lt;60,1,H3385&lt;90,2,H3385&lt;120,3)</f>
        <v>0</v>
      </c>
      <c r="M3385" t="str">
        <f t="shared" si="320"/>
        <v>Low</v>
      </c>
      <c r="N3385" t="str">
        <f t="shared" si="317"/>
        <v>Aug</v>
      </c>
      <c r="O3385">
        <f t="shared" si="318"/>
        <v>2025</v>
      </c>
    </row>
    <row r="3386" spans="1:15" x14ac:dyDescent="0.3">
      <c r="A3386">
        <v>201172</v>
      </c>
      <c r="B3386" t="s">
        <v>40</v>
      </c>
      <c r="C3386" s="2">
        <v>45888</v>
      </c>
      <c r="D3386" s="2">
        <f t="shared" si="316"/>
        <v>45918</v>
      </c>
      <c r="E3386" s="1">
        <f>D3386+15</f>
        <v>45933</v>
      </c>
      <c r="F3386">
        <v>871</v>
      </c>
      <c r="G3386">
        <v>30</v>
      </c>
      <c r="H3386">
        <f t="shared" si="321"/>
        <v>0</v>
      </c>
      <c r="I3386" t="str">
        <f t="shared" si="319"/>
        <v>On Time</v>
      </c>
      <c r="J3386" cm="1">
        <f t="array" ref="J3386">_xlfn.IFS(H3386&lt;30,0,H3386&lt;60,1,H3386&lt;90,2,H3386&lt;120,3)</f>
        <v>0</v>
      </c>
      <c r="M3386" t="str">
        <f t="shared" si="320"/>
        <v>Low</v>
      </c>
      <c r="N3386" t="str">
        <f t="shared" si="317"/>
        <v>Aug</v>
      </c>
      <c r="O3386">
        <f t="shared" si="318"/>
        <v>2025</v>
      </c>
    </row>
    <row r="3387" spans="1:15" x14ac:dyDescent="0.3">
      <c r="A3387">
        <v>201173</v>
      </c>
      <c r="B3387" t="s">
        <v>41</v>
      </c>
      <c r="C3387" s="2">
        <v>45888</v>
      </c>
      <c r="D3387" s="2">
        <f t="shared" si="316"/>
        <v>45918</v>
      </c>
      <c r="E3387" s="1">
        <f>D3387</f>
        <v>45918</v>
      </c>
      <c r="F3387">
        <v>3706</v>
      </c>
      <c r="G3387">
        <v>30</v>
      </c>
      <c r="H3387">
        <f t="shared" si="321"/>
        <v>0</v>
      </c>
      <c r="I3387" t="str">
        <f t="shared" si="319"/>
        <v>On Time</v>
      </c>
      <c r="J3387" cm="1">
        <f t="array" ref="J3387">_xlfn.IFS(H3387&lt;30,0,H3387&lt;60,1,H3387&lt;90,2,H3387&lt;120,3)</f>
        <v>0</v>
      </c>
      <c r="M3387" t="str">
        <f t="shared" si="320"/>
        <v>Low</v>
      </c>
      <c r="N3387" t="str">
        <f t="shared" si="317"/>
        <v>Aug</v>
      </c>
      <c r="O3387">
        <f t="shared" si="318"/>
        <v>2025</v>
      </c>
    </row>
    <row r="3388" spans="1:15" x14ac:dyDescent="0.3">
      <c r="A3388">
        <v>201174</v>
      </c>
      <c r="B3388" t="s">
        <v>42</v>
      </c>
      <c r="C3388" s="2">
        <v>45888</v>
      </c>
      <c r="D3388" s="2">
        <f t="shared" si="316"/>
        <v>45918</v>
      </c>
      <c r="E3388" s="1">
        <f>D3388-2</f>
        <v>45916</v>
      </c>
      <c r="F3388">
        <v>4232</v>
      </c>
      <c r="G3388">
        <v>30</v>
      </c>
      <c r="H3388">
        <f t="shared" si="321"/>
        <v>0</v>
      </c>
      <c r="I3388" t="str">
        <f t="shared" si="319"/>
        <v>On Time</v>
      </c>
      <c r="J3388" cm="1">
        <f t="array" ref="J3388">_xlfn.IFS(H3388&lt;30,0,H3388&lt;60,1,H3388&lt;90,2,H3388&lt;120,3)</f>
        <v>0</v>
      </c>
      <c r="M3388" t="str">
        <f t="shared" si="320"/>
        <v>Low</v>
      </c>
      <c r="N3388" t="str">
        <f t="shared" si="317"/>
        <v>Aug</v>
      </c>
      <c r="O3388">
        <f t="shared" si="318"/>
        <v>2025</v>
      </c>
    </row>
    <row r="3389" spans="1:15" x14ac:dyDescent="0.3">
      <c r="A3389">
        <v>201175</v>
      </c>
      <c r="B3389" t="s">
        <v>43</v>
      </c>
      <c r="C3389" s="2">
        <v>45888</v>
      </c>
      <c r="D3389" s="2">
        <f t="shared" si="316"/>
        <v>45918</v>
      </c>
      <c r="E3389" s="1">
        <f>D3389</f>
        <v>45918</v>
      </c>
      <c r="F3389">
        <v>1240</v>
      </c>
      <c r="G3389">
        <v>30</v>
      </c>
      <c r="H3389">
        <f t="shared" si="321"/>
        <v>0</v>
      </c>
      <c r="I3389" t="str">
        <f t="shared" si="319"/>
        <v>On Time</v>
      </c>
      <c r="J3389" cm="1">
        <f t="array" ref="J3389">_xlfn.IFS(H3389&lt;30,0,H3389&lt;60,1,H3389&lt;90,2,H3389&lt;120,3)</f>
        <v>0</v>
      </c>
      <c r="M3389" t="str">
        <f t="shared" si="320"/>
        <v>Low</v>
      </c>
      <c r="N3389" t="str">
        <f t="shared" si="317"/>
        <v>Aug</v>
      </c>
      <c r="O3389">
        <f t="shared" si="318"/>
        <v>2025</v>
      </c>
    </row>
    <row r="3390" spans="1:15" x14ac:dyDescent="0.3">
      <c r="A3390">
        <v>201176</v>
      </c>
      <c r="B3390" t="s">
        <v>44</v>
      </c>
      <c r="C3390" s="2">
        <v>45888</v>
      </c>
      <c r="D3390" s="2">
        <f t="shared" si="316"/>
        <v>45933</v>
      </c>
      <c r="E3390" s="1">
        <f>D3390+2</f>
        <v>45935</v>
      </c>
      <c r="F3390">
        <v>833</v>
      </c>
      <c r="G3390">
        <v>45</v>
      </c>
      <c r="H3390">
        <f t="shared" si="321"/>
        <v>0</v>
      </c>
      <c r="I3390" t="str">
        <f t="shared" si="319"/>
        <v>On Time</v>
      </c>
      <c r="J3390" cm="1">
        <f t="array" ref="J3390">_xlfn.IFS(H3390&lt;30,0,H3390&lt;60,1,H3390&lt;90,2,H3390&lt;120,3)</f>
        <v>0</v>
      </c>
      <c r="M3390" t="str">
        <f t="shared" si="320"/>
        <v>Low</v>
      </c>
      <c r="N3390" t="str">
        <f t="shared" si="317"/>
        <v>Aug</v>
      </c>
      <c r="O3390">
        <f t="shared" si="318"/>
        <v>2025</v>
      </c>
    </row>
    <row r="3391" spans="1:15" x14ac:dyDescent="0.3">
      <c r="A3391">
        <v>201177</v>
      </c>
      <c r="B3391" t="s">
        <v>20</v>
      </c>
      <c r="C3391" s="2">
        <v>45888</v>
      </c>
      <c r="D3391" s="2">
        <f t="shared" si="316"/>
        <v>45918</v>
      </c>
      <c r="E3391" s="1">
        <f>D3391+2</f>
        <v>45920</v>
      </c>
      <c r="F3391">
        <v>517</v>
      </c>
      <c r="G3391">
        <v>30</v>
      </c>
      <c r="H3391">
        <f t="shared" si="321"/>
        <v>0</v>
      </c>
      <c r="I3391" t="str">
        <f t="shared" si="319"/>
        <v>On Time</v>
      </c>
      <c r="J3391" cm="1">
        <f t="array" ref="J3391">_xlfn.IFS(H3391&lt;30,0,H3391&lt;60,1,H3391&lt;90,2,H3391&lt;120,3)</f>
        <v>0</v>
      </c>
      <c r="M3391" t="str">
        <f t="shared" si="320"/>
        <v>Low</v>
      </c>
      <c r="N3391" t="str">
        <f t="shared" si="317"/>
        <v>Aug</v>
      </c>
      <c r="O3391">
        <f t="shared" si="318"/>
        <v>2025</v>
      </c>
    </row>
    <row r="3392" spans="1:15" x14ac:dyDescent="0.3">
      <c r="A3392">
        <v>201178</v>
      </c>
      <c r="B3392" t="s">
        <v>21</v>
      </c>
      <c r="C3392" s="2">
        <v>45888</v>
      </c>
      <c r="D3392" s="2">
        <f t="shared" si="316"/>
        <v>45918</v>
      </c>
      <c r="E3392" s="1">
        <f>D3392+2</f>
        <v>45920</v>
      </c>
      <c r="F3392">
        <v>2385</v>
      </c>
      <c r="G3392">
        <v>30</v>
      </c>
      <c r="H3392">
        <f t="shared" si="321"/>
        <v>0</v>
      </c>
      <c r="I3392" t="str">
        <f t="shared" si="319"/>
        <v>On Time</v>
      </c>
      <c r="J3392" cm="1">
        <f t="array" ref="J3392">_xlfn.IFS(H3392&lt;30,0,H3392&lt;60,1,H3392&lt;90,2,H3392&lt;120,3)</f>
        <v>0</v>
      </c>
      <c r="M3392" t="str">
        <f t="shared" si="320"/>
        <v>Low</v>
      </c>
      <c r="N3392" t="str">
        <f t="shared" si="317"/>
        <v>Aug</v>
      </c>
      <c r="O3392">
        <f t="shared" si="318"/>
        <v>2025</v>
      </c>
    </row>
    <row r="3393" spans="1:15" x14ac:dyDescent="0.3">
      <c r="A3393">
        <v>201150</v>
      </c>
      <c r="B3393" t="s">
        <v>70</v>
      </c>
      <c r="C3393" s="2">
        <v>45887</v>
      </c>
      <c r="D3393" s="2">
        <f t="shared" si="316"/>
        <v>45917</v>
      </c>
      <c r="E3393" s="1">
        <f>D3393</f>
        <v>45917</v>
      </c>
      <c r="F3393">
        <v>1338</v>
      </c>
      <c r="G3393">
        <v>30</v>
      </c>
      <c r="H3393">
        <f t="shared" si="321"/>
        <v>0</v>
      </c>
      <c r="I3393" t="str">
        <f t="shared" si="319"/>
        <v>On Time</v>
      </c>
      <c r="J3393" cm="1">
        <f t="array" ref="J3393">_xlfn.IFS(H3393&lt;30,0,H3393&lt;60,1,H3393&lt;90,2,H3393&lt;120,3)</f>
        <v>0</v>
      </c>
      <c r="M3393" t="str">
        <f t="shared" si="320"/>
        <v>Low</v>
      </c>
      <c r="N3393" t="str">
        <f t="shared" si="317"/>
        <v>Aug</v>
      </c>
      <c r="O3393">
        <f t="shared" si="318"/>
        <v>2025</v>
      </c>
    </row>
    <row r="3394" spans="1:15" x14ac:dyDescent="0.3">
      <c r="A3394">
        <v>201151</v>
      </c>
      <c r="B3394" t="s">
        <v>71</v>
      </c>
      <c r="C3394" s="2">
        <v>45887</v>
      </c>
      <c r="D3394" s="2">
        <f t="shared" ref="D3394:D3457" si="322">C3394+G3394</f>
        <v>45917</v>
      </c>
      <c r="E3394" s="1">
        <f>D3394</f>
        <v>45917</v>
      </c>
      <c r="F3394">
        <v>4444</v>
      </c>
      <c r="G3394">
        <v>30</v>
      </c>
      <c r="H3394">
        <f t="shared" si="321"/>
        <v>0</v>
      </c>
      <c r="I3394" t="str">
        <f t="shared" si="319"/>
        <v>On Time</v>
      </c>
      <c r="J3394" cm="1">
        <f t="array" ref="J3394">_xlfn.IFS(H3394&lt;30,0,H3394&lt;60,1,H3394&lt;90,2,H3394&lt;120,3)</f>
        <v>0</v>
      </c>
      <c r="M3394" t="str">
        <f t="shared" si="320"/>
        <v>Low</v>
      </c>
      <c r="N3394" t="str">
        <f t="shared" ref="N3394:N3457" si="323">TEXT(C3394,"mmm")</f>
        <v>Aug</v>
      </c>
      <c r="O3394">
        <f t="shared" ref="O3394:O3457" si="324">YEAR(C3394)</f>
        <v>2025</v>
      </c>
    </row>
    <row r="3395" spans="1:15" x14ac:dyDescent="0.3">
      <c r="A3395">
        <v>201152</v>
      </c>
      <c r="B3395" t="s">
        <v>72</v>
      </c>
      <c r="C3395" s="2">
        <v>45887</v>
      </c>
      <c r="D3395" s="2">
        <f t="shared" si="322"/>
        <v>45917</v>
      </c>
      <c r="E3395" s="1">
        <f>D3395+5</f>
        <v>45922</v>
      </c>
      <c r="F3395">
        <v>1870</v>
      </c>
      <c r="G3395">
        <v>30</v>
      </c>
      <c r="H3395">
        <f t="shared" si="321"/>
        <v>0</v>
      </c>
      <c r="I3395" t="str">
        <f t="shared" si="319"/>
        <v>On Time</v>
      </c>
      <c r="J3395" cm="1">
        <f t="array" ref="J3395">_xlfn.IFS(H3395&lt;30,0,H3395&lt;60,1,H3395&lt;90,2,H3395&lt;120,3)</f>
        <v>0</v>
      </c>
      <c r="M3395" t="str">
        <f t="shared" si="320"/>
        <v>Low</v>
      </c>
      <c r="N3395" t="str">
        <f t="shared" si="323"/>
        <v>Aug</v>
      </c>
      <c r="O3395">
        <f t="shared" si="324"/>
        <v>2025</v>
      </c>
    </row>
    <row r="3396" spans="1:15" x14ac:dyDescent="0.3">
      <c r="A3396">
        <v>201153</v>
      </c>
      <c r="B3396" t="s">
        <v>73</v>
      </c>
      <c r="C3396" s="2">
        <v>45887</v>
      </c>
      <c r="D3396" s="2">
        <f t="shared" si="322"/>
        <v>45932</v>
      </c>
      <c r="E3396" s="1">
        <f>D3396+2</f>
        <v>45934</v>
      </c>
      <c r="F3396">
        <v>3102</v>
      </c>
      <c r="G3396">
        <v>45</v>
      </c>
      <c r="H3396">
        <f t="shared" si="321"/>
        <v>0</v>
      </c>
      <c r="I3396" t="str">
        <f t="shared" si="319"/>
        <v>On Time</v>
      </c>
      <c r="J3396" cm="1">
        <f t="array" ref="J3396">_xlfn.IFS(H3396&lt;30,0,H3396&lt;60,1,H3396&lt;90,2,H3396&lt;120,3)</f>
        <v>0</v>
      </c>
      <c r="M3396" t="str">
        <f t="shared" si="320"/>
        <v>Low</v>
      </c>
      <c r="N3396" t="str">
        <f t="shared" si="323"/>
        <v>Aug</v>
      </c>
      <c r="O3396">
        <f t="shared" si="324"/>
        <v>2025</v>
      </c>
    </row>
    <row r="3397" spans="1:15" x14ac:dyDescent="0.3">
      <c r="A3397">
        <v>201154</v>
      </c>
      <c r="B3397" t="s">
        <v>74</v>
      </c>
      <c r="C3397" s="2">
        <v>45887</v>
      </c>
      <c r="D3397" s="2">
        <f t="shared" si="322"/>
        <v>45932</v>
      </c>
      <c r="E3397" s="1">
        <f>D3397+5</f>
        <v>45937</v>
      </c>
      <c r="F3397">
        <v>3539</v>
      </c>
      <c r="G3397">
        <v>45</v>
      </c>
      <c r="H3397">
        <f t="shared" si="321"/>
        <v>0</v>
      </c>
      <c r="I3397" t="str">
        <f t="shared" si="319"/>
        <v>On Time</v>
      </c>
      <c r="J3397" cm="1">
        <f t="array" ref="J3397">_xlfn.IFS(H3397&lt;30,0,H3397&lt;60,1,H3397&lt;90,2,H3397&lt;120,3)</f>
        <v>0</v>
      </c>
      <c r="M3397" t="str">
        <f t="shared" si="320"/>
        <v>Low</v>
      </c>
      <c r="N3397" t="str">
        <f t="shared" si="323"/>
        <v>Aug</v>
      </c>
      <c r="O3397">
        <f t="shared" si="324"/>
        <v>2025</v>
      </c>
    </row>
    <row r="3398" spans="1:15" x14ac:dyDescent="0.3">
      <c r="A3398">
        <v>201155</v>
      </c>
      <c r="B3398" t="s">
        <v>75</v>
      </c>
      <c r="C3398" s="2">
        <v>45887</v>
      </c>
      <c r="D3398" s="2">
        <f t="shared" si="322"/>
        <v>45947</v>
      </c>
      <c r="E3398" s="1">
        <f>D3398</f>
        <v>45947</v>
      </c>
      <c r="F3398">
        <v>1268</v>
      </c>
      <c r="G3398">
        <v>60</v>
      </c>
      <c r="H3398">
        <f t="shared" si="321"/>
        <v>0</v>
      </c>
      <c r="I3398" t="str">
        <f t="shared" si="319"/>
        <v>On Time</v>
      </c>
      <c r="J3398" cm="1">
        <f t="array" ref="J3398">_xlfn.IFS(H3398&lt;30,0,H3398&lt;60,1,H3398&lt;90,2,H3398&lt;120,3)</f>
        <v>0</v>
      </c>
      <c r="M3398" t="str">
        <f t="shared" si="320"/>
        <v>Low</v>
      </c>
      <c r="N3398" t="str">
        <f t="shared" si="323"/>
        <v>Aug</v>
      </c>
      <c r="O3398">
        <f t="shared" si="324"/>
        <v>2025</v>
      </c>
    </row>
    <row r="3399" spans="1:15" x14ac:dyDescent="0.3">
      <c r="A3399">
        <v>201156</v>
      </c>
      <c r="B3399" t="s">
        <v>76</v>
      </c>
      <c r="C3399" s="2">
        <v>45887</v>
      </c>
      <c r="D3399" s="2">
        <f t="shared" si="322"/>
        <v>45917</v>
      </c>
      <c r="E3399" s="1">
        <f>D3399</f>
        <v>45917</v>
      </c>
      <c r="F3399">
        <v>4146</v>
      </c>
      <c r="G3399">
        <v>30</v>
      </c>
      <c r="H3399">
        <f t="shared" si="321"/>
        <v>0</v>
      </c>
      <c r="I3399" t="str">
        <f t="shared" si="319"/>
        <v>On Time</v>
      </c>
      <c r="J3399" cm="1">
        <f t="array" ref="J3399">_xlfn.IFS(H3399&lt;30,0,H3399&lt;60,1,H3399&lt;90,2,H3399&lt;120,3)</f>
        <v>0</v>
      </c>
      <c r="M3399" t="str">
        <f t="shared" si="320"/>
        <v>Low</v>
      </c>
      <c r="N3399" t="str">
        <f t="shared" si="323"/>
        <v>Aug</v>
      </c>
      <c r="O3399">
        <f t="shared" si="324"/>
        <v>2025</v>
      </c>
    </row>
    <row r="3400" spans="1:15" x14ac:dyDescent="0.3">
      <c r="A3400">
        <v>201157</v>
      </c>
      <c r="B3400" t="s">
        <v>44</v>
      </c>
      <c r="C3400" s="2">
        <v>45887</v>
      </c>
      <c r="D3400" s="2">
        <f t="shared" si="322"/>
        <v>45932</v>
      </c>
      <c r="E3400" s="1">
        <f>D3400+60</f>
        <v>45992</v>
      </c>
      <c r="F3400">
        <v>1294</v>
      </c>
      <c r="G3400">
        <v>45</v>
      </c>
      <c r="H3400">
        <f t="shared" si="321"/>
        <v>0</v>
      </c>
      <c r="I3400" t="str">
        <f t="shared" si="319"/>
        <v>On Time</v>
      </c>
      <c r="J3400" cm="1">
        <f t="array" ref="J3400">_xlfn.IFS(H3400&lt;30,0,H3400&lt;60,1,H3400&lt;90,2,H3400&lt;120,3)</f>
        <v>0</v>
      </c>
      <c r="M3400" t="str">
        <f t="shared" si="320"/>
        <v>Low</v>
      </c>
      <c r="N3400" t="str">
        <f t="shared" si="323"/>
        <v>Aug</v>
      </c>
      <c r="O3400">
        <f t="shared" si="324"/>
        <v>2025</v>
      </c>
    </row>
    <row r="3401" spans="1:15" x14ac:dyDescent="0.3">
      <c r="A3401">
        <v>201158</v>
      </c>
      <c r="B3401" t="s">
        <v>45</v>
      </c>
      <c r="C3401" s="2">
        <v>45887</v>
      </c>
      <c r="D3401" s="2">
        <f t="shared" si="322"/>
        <v>45932</v>
      </c>
      <c r="E3401" s="1">
        <f>D3401</f>
        <v>45932</v>
      </c>
      <c r="F3401">
        <v>3448</v>
      </c>
      <c r="G3401">
        <v>45</v>
      </c>
      <c r="H3401">
        <f t="shared" si="321"/>
        <v>0</v>
      </c>
      <c r="I3401" t="str">
        <f t="shared" si="319"/>
        <v>On Time</v>
      </c>
      <c r="J3401" cm="1">
        <f t="array" ref="J3401">_xlfn.IFS(H3401&lt;30,0,H3401&lt;60,1,H3401&lt;90,2,H3401&lt;120,3)</f>
        <v>0</v>
      </c>
      <c r="M3401" t="str">
        <f t="shared" si="320"/>
        <v>Low</v>
      </c>
      <c r="N3401" t="str">
        <f t="shared" si="323"/>
        <v>Aug</v>
      </c>
      <c r="O3401">
        <f t="shared" si="324"/>
        <v>2025</v>
      </c>
    </row>
    <row r="3402" spans="1:15" x14ac:dyDescent="0.3">
      <c r="A3402">
        <v>201159</v>
      </c>
      <c r="B3402" t="s">
        <v>46</v>
      </c>
      <c r="C3402" s="2">
        <v>45887</v>
      </c>
      <c r="D3402" s="2">
        <f t="shared" si="322"/>
        <v>45947</v>
      </c>
      <c r="F3402">
        <v>715</v>
      </c>
      <c r="G3402">
        <v>60</v>
      </c>
      <c r="H3402">
        <f t="shared" si="321"/>
        <v>0</v>
      </c>
      <c r="I3402" t="str">
        <f t="shared" si="319"/>
        <v>On Time</v>
      </c>
      <c r="J3402" cm="1">
        <f t="array" ref="J3402">_xlfn.IFS(H3402&lt;30,0,H3402&lt;60,1,H3402&lt;90,2,H3402&lt;120,3)</f>
        <v>0</v>
      </c>
      <c r="M3402" t="str">
        <f t="shared" si="320"/>
        <v>Low</v>
      </c>
      <c r="N3402" t="str">
        <f t="shared" si="323"/>
        <v>Aug</v>
      </c>
      <c r="O3402">
        <f t="shared" si="324"/>
        <v>2025</v>
      </c>
    </row>
    <row r="3403" spans="1:15" x14ac:dyDescent="0.3">
      <c r="A3403">
        <v>201160</v>
      </c>
      <c r="B3403" t="s">
        <v>47</v>
      </c>
      <c r="C3403" s="2">
        <v>45887</v>
      </c>
      <c r="D3403" s="2">
        <f t="shared" si="322"/>
        <v>45947</v>
      </c>
      <c r="E3403" s="1">
        <f>D3403+3</f>
        <v>45950</v>
      </c>
      <c r="F3403">
        <v>2992</v>
      </c>
      <c r="G3403">
        <v>60</v>
      </c>
      <c r="H3403">
        <f t="shared" si="321"/>
        <v>0</v>
      </c>
      <c r="I3403" t="str">
        <f t="shared" si="319"/>
        <v>On Time</v>
      </c>
      <c r="J3403" cm="1">
        <f t="array" ref="J3403">_xlfn.IFS(H3403&lt;30,0,H3403&lt;60,1,H3403&lt;90,2,H3403&lt;120,3)</f>
        <v>0</v>
      </c>
      <c r="M3403" t="str">
        <f t="shared" si="320"/>
        <v>Low</v>
      </c>
      <c r="N3403" t="str">
        <f t="shared" si="323"/>
        <v>Aug</v>
      </c>
      <c r="O3403">
        <f t="shared" si="324"/>
        <v>2025</v>
      </c>
    </row>
    <row r="3404" spans="1:15" x14ac:dyDescent="0.3">
      <c r="A3404">
        <v>201161</v>
      </c>
      <c r="B3404" t="s">
        <v>48</v>
      </c>
      <c r="C3404" s="2">
        <v>45887</v>
      </c>
      <c r="D3404" s="2">
        <f t="shared" si="322"/>
        <v>45932</v>
      </c>
      <c r="E3404" s="1">
        <f>D3404+1</f>
        <v>45933</v>
      </c>
      <c r="F3404">
        <v>4189</v>
      </c>
      <c r="G3404">
        <v>45</v>
      </c>
      <c r="H3404">
        <f t="shared" si="321"/>
        <v>0</v>
      </c>
      <c r="I3404" t="str">
        <f t="shared" si="319"/>
        <v>On Time</v>
      </c>
      <c r="J3404" cm="1">
        <f t="array" ref="J3404">_xlfn.IFS(H3404&lt;30,0,H3404&lt;60,1,H3404&lt;90,2,H3404&lt;120,3)</f>
        <v>0</v>
      </c>
      <c r="M3404" t="str">
        <f t="shared" si="320"/>
        <v>Low</v>
      </c>
      <c r="N3404" t="str">
        <f t="shared" si="323"/>
        <v>Aug</v>
      </c>
      <c r="O3404">
        <f t="shared" si="324"/>
        <v>2025</v>
      </c>
    </row>
    <row r="3405" spans="1:15" x14ac:dyDescent="0.3">
      <c r="A3405">
        <v>201162</v>
      </c>
      <c r="B3405" t="s">
        <v>49</v>
      </c>
      <c r="C3405" s="2">
        <v>45887</v>
      </c>
      <c r="D3405" s="2">
        <f t="shared" si="322"/>
        <v>45917</v>
      </c>
      <c r="E3405" s="1">
        <f>D3405-1</f>
        <v>45916</v>
      </c>
      <c r="F3405">
        <v>3589</v>
      </c>
      <c r="G3405">
        <v>30</v>
      </c>
      <c r="H3405">
        <f t="shared" si="321"/>
        <v>0</v>
      </c>
      <c r="I3405" t="str">
        <f t="shared" si="319"/>
        <v>On Time</v>
      </c>
      <c r="J3405" cm="1">
        <f t="array" ref="J3405">_xlfn.IFS(H3405&lt;30,0,H3405&lt;60,1,H3405&lt;90,2,H3405&lt;120,3)</f>
        <v>0</v>
      </c>
      <c r="M3405" t="str">
        <f t="shared" si="320"/>
        <v>Low</v>
      </c>
      <c r="N3405" t="str">
        <f t="shared" si="323"/>
        <v>Aug</v>
      </c>
      <c r="O3405">
        <f t="shared" si="324"/>
        <v>2025</v>
      </c>
    </row>
    <row r="3406" spans="1:15" x14ac:dyDescent="0.3">
      <c r="A3406">
        <v>201163</v>
      </c>
      <c r="B3406" t="s">
        <v>50</v>
      </c>
      <c r="C3406" s="2">
        <v>45887</v>
      </c>
      <c r="D3406" s="2">
        <f t="shared" si="322"/>
        <v>45917</v>
      </c>
      <c r="E3406" s="1">
        <f>D3406</f>
        <v>45917</v>
      </c>
      <c r="F3406">
        <v>4631</v>
      </c>
      <c r="G3406">
        <v>30</v>
      </c>
      <c r="H3406">
        <f t="shared" si="321"/>
        <v>0</v>
      </c>
      <c r="I3406" t="str">
        <f t="shared" si="319"/>
        <v>On Time</v>
      </c>
      <c r="J3406" cm="1">
        <f t="array" ref="J3406">_xlfn.IFS(H3406&lt;30,0,H3406&lt;60,1,H3406&lt;90,2,H3406&lt;120,3)</f>
        <v>0</v>
      </c>
      <c r="M3406" t="str">
        <f t="shared" si="320"/>
        <v>Low</v>
      </c>
      <c r="N3406" t="str">
        <f t="shared" si="323"/>
        <v>Aug</v>
      </c>
      <c r="O3406">
        <f t="shared" si="324"/>
        <v>2025</v>
      </c>
    </row>
    <row r="3407" spans="1:15" x14ac:dyDescent="0.3">
      <c r="A3407">
        <v>201164</v>
      </c>
      <c r="B3407" t="s">
        <v>51</v>
      </c>
      <c r="C3407" s="2">
        <v>45887</v>
      </c>
      <c r="D3407" s="2">
        <f t="shared" si="322"/>
        <v>45917</v>
      </c>
      <c r="E3407" s="1">
        <f>D3407-5</f>
        <v>45912</v>
      </c>
      <c r="F3407">
        <v>2788</v>
      </c>
      <c r="G3407">
        <v>30</v>
      </c>
      <c r="H3407">
        <f t="shared" si="321"/>
        <v>0</v>
      </c>
      <c r="I3407" t="str">
        <f t="shared" si="319"/>
        <v>On Time</v>
      </c>
      <c r="J3407" cm="1">
        <f t="array" ref="J3407">_xlfn.IFS(H3407&lt;30,0,H3407&lt;60,1,H3407&lt;90,2,H3407&lt;120,3)</f>
        <v>0</v>
      </c>
      <c r="M3407" t="str">
        <f t="shared" si="320"/>
        <v>Low</v>
      </c>
      <c r="N3407" t="str">
        <f t="shared" si="323"/>
        <v>Aug</v>
      </c>
      <c r="O3407">
        <f t="shared" si="324"/>
        <v>2025</v>
      </c>
    </row>
    <row r="3408" spans="1:15" x14ac:dyDescent="0.3">
      <c r="A3408">
        <v>201134</v>
      </c>
      <c r="B3408" t="s">
        <v>106</v>
      </c>
      <c r="C3408" s="2">
        <v>45884</v>
      </c>
      <c r="D3408" s="2">
        <f t="shared" si="322"/>
        <v>45914</v>
      </c>
      <c r="E3408" s="1">
        <f>D3408+5</f>
        <v>45919</v>
      </c>
      <c r="F3408">
        <v>1477</v>
      </c>
      <c r="G3408">
        <v>30</v>
      </c>
      <c r="H3408">
        <f t="shared" si="321"/>
        <v>0</v>
      </c>
      <c r="I3408" t="str">
        <f t="shared" si="319"/>
        <v>On Time</v>
      </c>
      <c r="J3408" cm="1">
        <f t="array" ref="J3408">_xlfn.IFS(H3408&lt;30,0,H3408&lt;60,1,H3408&lt;90,2,H3408&lt;120,3)</f>
        <v>0</v>
      </c>
      <c r="M3408" t="str">
        <f t="shared" si="320"/>
        <v>Low</v>
      </c>
      <c r="N3408" t="str">
        <f t="shared" si="323"/>
        <v>Aug</v>
      </c>
      <c r="O3408">
        <f t="shared" si="324"/>
        <v>2025</v>
      </c>
    </row>
    <row r="3409" spans="1:15" x14ac:dyDescent="0.3">
      <c r="A3409">
        <v>201135</v>
      </c>
      <c r="B3409" t="s">
        <v>107</v>
      </c>
      <c r="C3409" s="2">
        <v>45884</v>
      </c>
      <c r="D3409" s="2">
        <f t="shared" si="322"/>
        <v>45914</v>
      </c>
      <c r="E3409" s="1">
        <f>D3409</f>
        <v>45914</v>
      </c>
      <c r="F3409">
        <v>3653</v>
      </c>
      <c r="G3409">
        <v>30</v>
      </c>
      <c r="H3409">
        <f t="shared" si="321"/>
        <v>0</v>
      </c>
      <c r="I3409" t="str">
        <f t="shared" si="319"/>
        <v>On Time</v>
      </c>
      <c r="J3409" cm="1">
        <f t="array" ref="J3409">_xlfn.IFS(H3409&lt;30,0,H3409&lt;60,1,H3409&lt;90,2,H3409&lt;120,3)</f>
        <v>0</v>
      </c>
      <c r="M3409" t="str">
        <f t="shared" si="320"/>
        <v>Low</v>
      </c>
      <c r="N3409" t="str">
        <f t="shared" si="323"/>
        <v>Aug</v>
      </c>
      <c r="O3409">
        <f t="shared" si="324"/>
        <v>2025</v>
      </c>
    </row>
    <row r="3410" spans="1:15" x14ac:dyDescent="0.3">
      <c r="A3410">
        <v>201136</v>
      </c>
      <c r="B3410" t="s">
        <v>108</v>
      </c>
      <c r="C3410" s="2">
        <v>45884</v>
      </c>
      <c r="D3410" s="2">
        <f t="shared" si="322"/>
        <v>45914</v>
      </c>
      <c r="E3410" s="1">
        <f>D3410-1</f>
        <v>45913</v>
      </c>
      <c r="F3410">
        <v>258</v>
      </c>
      <c r="G3410">
        <v>30</v>
      </c>
      <c r="H3410">
        <f t="shared" si="321"/>
        <v>0</v>
      </c>
      <c r="I3410" t="str">
        <f t="shared" si="319"/>
        <v>On Time</v>
      </c>
      <c r="J3410" cm="1">
        <f t="array" ref="J3410">_xlfn.IFS(H3410&lt;30,0,H3410&lt;60,1,H3410&lt;90,2,H3410&lt;120,3)</f>
        <v>0</v>
      </c>
      <c r="M3410" t="str">
        <f t="shared" si="320"/>
        <v>Low</v>
      </c>
      <c r="N3410" t="str">
        <f t="shared" si="323"/>
        <v>Aug</v>
      </c>
      <c r="O3410">
        <f t="shared" si="324"/>
        <v>2025</v>
      </c>
    </row>
    <row r="3411" spans="1:15" x14ac:dyDescent="0.3">
      <c r="A3411">
        <v>201137</v>
      </c>
      <c r="B3411" t="s">
        <v>85</v>
      </c>
      <c r="C3411" s="2">
        <v>45884</v>
      </c>
      <c r="D3411" s="2">
        <f t="shared" si="322"/>
        <v>45944</v>
      </c>
      <c r="E3411" s="1">
        <f>D3411</f>
        <v>45944</v>
      </c>
      <c r="F3411">
        <v>3579</v>
      </c>
      <c r="G3411">
        <v>60</v>
      </c>
      <c r="H3411">
        <f t="shared" si="321"/>
        <v>0</v>
      </c>
      <c r="I3411" t="str">
        <f t="shared" si="319"/>
        <v>On Time</v>
      </c>
      <c r="J3411" cm="1">
        <f t="array" ref="J3411">_xlfn.IFS(H3411&lt;30,0,H3411&lt;60,1,H3411&lt;90,2,H3411&lt;120,3)</f>
        <v>0</v>
      </c>
      <c r="M3411" t="str">
        <f t="shared" si="320"/>
        <v>Low</v>
      </c>
      <c r="N3411" t="str">
        <f t="shared" si="323"/>
        <v>Aug</v>
      </c>
      <c r="O3411">
        <f t="shared" si="324"/>
        <v>2025</v>
      </c>
    </row>
    <row r="3412" spans="1:15" x14ac:dyDescent="0.3">
      <c r="A3412">
        <v>201138</v>
      </c>
      <c r="B3412" t="s">
        <v>86</v>
      </c>
      <c r="C3412" s="2">
        <v>45884</v>
      </c>
      <c r="D3412" s="2">
        <f t="shared" si="322"/>
        <v>45914</v>
      </c>
      <c r="E3412" s="1">
        <f>D3412+32</f>
        <v>45946</v>
      </c>
      <c r="F3412">
        <v>7635</v>
      </c>
      <c r="G3412">
        <v>30</v>
      </c>
      <c r="H3412">
        <f t="shared" si="321"/>
        <v>0</v>
      </c>
      <c r="I3412" t="str">
        <f t="shared" si="319"/>
        <v>On Time</v>
      </c>
      <c r="J3412" cm="1">
        <f t="array" ref="J3412">_xlfn.IFS(H3412&lt;30,0,H3412&lt;60,1,H3412&lt;90,2,H3412&lt;120,3)</f>
        <v>0</v>
      </c>
      <c r="M3412" t="str">
        <f t="shared" si="320"/>
        <v>Low</v>
      </c>
      <c r="N3412" t="str">
        <f t="shared" si="323"/>
        <v>Aug</v>
      </c>
      <c r="O3412">
        <f t="shared" si="324"/>
        <v>2025</v>
      </c>
    </row>
    <row r="3413" spans="1:15" x14ac:dyDescent="0.3">
      <c r="A3413">
        <v>201139</v>
      </c>
      <c r="B3413" t="s">
        <v>87</v>
      </c>
      <c r="C3413" s="2">
        <v>45884</v>
      </c>
      <c r="D3413" s="2">
        <f t="shared" si="322"/>
        <v>45914</v>
      </c>
      <c r="E3413" s="1">
        <f>D3413+15</f>
        <v>45929</v>
      </c>
      <c r="F3413">
        <v>2686</v>
      </c>
      <c r="G3413">
        <v>30</v>
      </c>
      <c r="H3413">
        <f t="shared" si="321"/>
        <v>0</v>
      </c>
      <c r="I3413" t="str">
        <f t="shared" si="319"/>
        <v>On Time</v>
      </c>
      <c r="J3413" cm="1">
        <f t="array" ref="J3413">_xlfn.IFS(H3413&lt;30,0,H3413&lt;60,1,H3413&lt;90,2,H3413&lt;120,3)</f>
        <v>0</v>
      </c>
      <c r="M3413" t="str">
        <f t="shared" si="320"/>
        <v>Low</v>
      </c>
      <c r="N3413" t="str">
        <f t="shared" si="323"/>
        <v>Aug</v>
      </c>
      <c r="O3413">
        <f t="shared" si="324"/>
        <v>2025</v>
      </c>
    </row>
    <row r="3414" spans="1:15" x14ac:dyDescent="0.3">
      <c r="A3414">
        <v>201140</v>
      </c>
      <c r="B3414" t="s">
        <v>88</v>
      </c>
      <c r="C3414" s="2">
        <v>45884</v>
      </c>
      <c r="D3414" s="2">
        <f t="shared" si="322"/>
        <v>45914</v>
      </c>
      <c r="E3414" s="1">
        <f>D3414-2</f>
        <v>45912</v>
      </c>
      <c r="F3414">
        <v>4391</v>
      </c>
      <c r="G3414">
        <v>30</v>
      </c>
      <c r="H3414">
        <f t="shared" si="321"/>
        <v>0</v>
      </c>
      <c r="I3414" t="str">
        <f t="shared" ref="I3414:I3477" si="325">IF(H3414=0,"On Time",IF(H3414&lt;=15,"Paid Late","Seriously Late"))</f>
        <v>On Time</v>
      </c>
      <c r="J3414" cm="1">
        <f t="array" ref="J3414">_xlfn.IFS(H3414&lt;30,0,H3414&lt;60,1,H3414&lt;90,2,H3414&lt;120,3)</f>
        <v>0</v>
      </c>
      <c r="M3414" t="str">
        <f t="shared" ref="M3414:M3477" si="326">IF(H3414&gt;30,"High",IF(H3414&gt;10,"Medium","Low"))</f>
        <v>Low</v>
      </c>
      <c r="N3414" t="str">
        <f t="shared" si="323"/>
        <v>Aug</v>
      </c>
      <c r="O3414">
        <f t="shared" si="324"/>
        <v>2025</v>
      </c>
    </row>
    <row r="3415" spans="1:15" x14ac:dyDescent="0.3">
      <c r="A3415">
        <v>201141</v>
      </c>
      <c r="B3415" t="s">
        <v>89</v>
      </c>
      <c r="C3415" s="2">
        <v>45884</v>
      </c>
      <c r="D3415" s="2">
        <f t="shared" si="322"/>
        <v>45914</v>
      </c>
      <c r="E3415" s="1">
        <f>D3415-2</f>
        <v>45912</v>
      </c>
      <c r="F3415">
        <v>3226</v>
      </c>
      <c r="G3415">
        <v>30</v>
      </c>
      <c r="H3415">
        <f t="shared" si="321"/>
        <v>0</v>
      </c>
      <c r="I3415" t="str">
        <f t="shared" si="325"/>
        <v>On Time</v>
      </c>
      <c r="J3415" cm="1">
        <f t="array" ref="J3415">_xlfn.IFS(H3415&lt;30,0,H3415&lt;60,1,H3415&lt;90,2,H3415&lt;120,3)</f>
        <v>0</v>
      </c>
      <c r="M3415" t="str">
        <f t="shared" si="326"/>
        <v>Low</v>
      </c>
      <c r="N3415" t="str">
        <f t="shared" si="323"/>
        <v>Aug</v>
      </c>
      <c r="O3415">
        <f t="shared" si="324"/>
        <v>2025</v>
      </c>
    </row>
    <row r="3416" spans="1:15" x14ac:dyDescent="0.3">
      <c r="A3416">
        <v>201142</v>
      </c>
      <c r="B3416" t="s">
        <v>90</v>
      </c>
      <c r="C3416" s="2">
        <v>45884</v>
      </c>
      <c r="D3416" s="2">
        <f t="shared" si="322"/>
        <v>45914</v>
      </c>
      <c r="E3416" s="1">
        <f>D3416</f>
        <v>45914</v>
      </c>
      <c r="F3416">
        <v>972</v>
      </c>
      <c r="G3416">
        <v>30</v>
      </c>
      <c r="H3416">
        <f t="shared" si="321"/>
        <v>0</v>
      </c>
      <c r="I3416" t="str">
        <f t="shared" si="325"/>
        <v>On Time</v>
      </c>
      <c r="J3416" cm="1">
        <f t="array" ref="J3416">_xlfn.IFS(H3416&lt;30,0,H3416&lt;60,1,H3416&lt;90,2,H3416&lt;120,3)</f>
        <v>0</v>
      </c>
      <c r="M3416" t="str">
        <f t="shared" si="326"/>
        <v>Low</v>
      </c>
      <c r="N3416" t="str">
        <f t="shared" si="323"/>
        <v>Aug</v>
      </c>
      <c r="O3416">
        <f t="shared" si="324"/>
        <v>2025</v>
      </c>
    </row>
    <row r="3417" spans="1:15" x14ac:dyDescent="0.3">
      <c r="A3417">
        <v>201143</v>
      </c>
      <c r="B3417" t="s">
        <v>91</v>
      </c>
      <c r="C3417" s="2">
        <v>45884</v>
      </c>
      <c r="D3417" s="2">
        <f t="shared" si="322"/>
        <v>45914</v>
      </c>
      <c r="E3417" s="1">
        <f>D3417+2</f>
        <v>45916</v>
      </c>
      <c r="F3417">
        <v>3409</v>
      </c>
      <c r="G3417">
        <v>30</v>
      </c>
      <c r="H3417">
        <f t="shared" si="321"/>
        <v>0</v>
      </c>
      <c r="I3417" t="str">
        <f t="shared" si="325"/>
        <v>On Time</v>
      </c>
      <c r="J3417" cm="1">
        <f t="array" ref="J3417">_xlfn.IFS(H3417&lt;30,0,H3417&lt;60,1,H3417&lt;90,2,H3417&lt;120,3)</f>
        <v>0</v>
      </c>
      <c r="M3417" t="str">
        <f t="shared" si="326"/>
        <v>Low</v>
      </c>
      <c r="N3417" t="str">
        <f t="shared" si="323"/>
        <v>Aug</v>
      </c>
      <c r="O3417">
        <f t="shared" si="324"/>
        <v>2025</v>
      </c>
    </row>
    <row r="3418" spans="1:15" x14ac:dyDescent="0.3">
      <c r="A3418">
        <v>201144</v>
      </c>
      <c r="B3418" t="s">
        <v>92</v>
      </c>
      <c r="C3418" s="2">
        <v>45884</v>
      </c>
      <c r="D3418" s="2">
        <f t="shared" si="322"/>
        <v>45914</v>
      </c>
      <c r="E3418" s="1">
        <f>D3418+2</f>
        <v>45916</v>
      </c>
      <c r="F3418">
        <v>2072</v>
      </c>
      <c r="G3418">
        <v>30</v>
      </c>
      <c r="H3418">
        <f t="shared" si="321"/>
        <v>0</v>
      </c>
      <c r="I3418" t="str">
        <f t="shared" si="325"/>
        <v>On Time</v>
      </c>
      <c r="J3418" cm="1">
        <f t="array" ref="J3418">_xlfn.IFS(H3418&lt;30,0,H3418&lt;60,1,H3418&lt;90,2,H3418&lt;120,3)</f>
        <v>0</v>
      </c>
      <c r="M3418" t="str">
        <f t="shared" si="326"/>
        <v>Low</v>
      </c>
      <c r="N3418" t="str">
        <f t="shared" si="323"/>
        <v>Aug</v>
      </c>
      <c r="O3418">
        <f t="shared" si="324"/>
        <v>2025</v>
      </c>
    </row>
    <row r="3419" spans="1:15" x14ac:dyDescent="0.3">
      <c r="A3419">
        <v>201145</v>
      </c>
      <c r="B3419" t="s">
        <v>93</v>
      </c>
      <c r="C3419" s="2">
        <v>45884</v>
      </c>
      <c r="D3419" s="2">
        <f t="shared" si="322"/>
        <v>45914</v>
      </c>
      <c r="E3419" s="1">
        <f>D3419+2</f>
        <v>45916</v>
      </c>
      <c r="F3419">
        <v>4279</v>
      </c>
      <c r="G3419">
        <v>30</v>
      </c>
      <c r="H3419">
        <f t="shared" si="321"/>
        <v>0</v>
      </c>
      <c r="I3419" t="str">
        <f t="shared" si="325"/>
        <v>On Time</v>
      </c>
      <c r="J3419" cm="1">
        <f t="array" ref="J3419">_xlfn.IFS(H3419&lt;30,0,H3419&lt;60,1,H3419&lt;90,2,H3419&lt;120,3)</f>
        <v>0</v>
      </c>
      <c r="M3419" t="str">
        <f t="shared" si="326"/>
        <v>Low</v>
      </c>
      <c r="N3419" t="str">
        <f t="shared" si="323"/>
        <v>Aug</v>
      </c>
      <c r="O3419">
        <f t="shared" si="324"/>
        <v>2025</v>
      </c>
    </row>
    <row r="3420" spans="1:15" x14ac:dyDescent="0.3">
      <c r="A3420">
        <v>201146</v>
      </c>
      <c r="B3420" t="s">
        <v>94</v>
      </c>
      <c r="C3420" s="2">
        <v>45884</v>
      </c>
      <c r="D3420" s="2">
        <f t="shared" si="322"/>
        <v>45914</v>
      </c>
      <c r="E3420" s="1">
        <f>D3420</f>
        <v>45914</v>
      </c>
      <c r="F3420">
        <v>2673</v>
      </c>
      <c r="G3420">
        <v>30</v>
      </c>
      <c r="H3420">
        <f t="shared" si="321"/>
        <v>0</v>
      </c>
      <c r="I3420" t="str">
        <f t="shared" si="325"/>
        <v>On Time</v>
      </c>
      <c r="J3420" cm="1">
        <f t="array" ref="J3420">_xlfn.IFS(H3420&lt;30,0,H3420&lt;60,1,H3420&lt;90,2,H3420&lt;120,3)</f>
        <v>0</v>
      </c>
      <c r="M3420" t="str">
        <f t="shared" si="326"/>
        <v>Low</v>
      </c>
      <c r="N3420" t="str">
        <f t="shared" si="323"/>
        <v>Aug</v>
      </c>
      <c r="O3420">
        <f t="shared" si="324"/>
        <v>2025</v>
      </c>
    </row>
    <row r="3421" spans="1:15" x14ac:dyDescent="0.3">
      <c r="A3421">
        <v>201147</v>
      </c>
      <c r="B3421" t="s">
        <v>95</v>
      </c>
      <c r="C3421" s="2">
        <v>45884</v>
      </c>
      <c r="D3421" s="2">
        <f t="shared" si="322"/>
        <v>45929</v>
      </c>
      <c r="E3421" s="1">
        <f>D3421+20</f>
        <v>45949</v>
      </c>
      <c r="F3421">
        <v>3111</v>
      </c>
      <c r="G3421">
        <v>45</v>
      </c>
      <c r="H3421">
        <f t="shared" si="321"/>
        <v>0</v>
      </c>
      <c r="I3421" t="str">
        <f t="shared" si="325"/>
        <v>On Time</v>
      </c>
      <c r="J3421" cm="1">
        <f t="array" ref="J3421">_xlfn.IFS(H3421&lt;30,0,H3421&lt;60,1,H3421&lt;90,2,H3421&lt;120,3)</f>
        <v>0</v>
      </c>
      <c r="M3421" t="str">
        <f t="shared" si="326"/>
        <v>Low</v>
      </c>
      <c r="N3421" t="str">
        <f t="shared" si="323"/>
        <v>Aug</v>
      </c>
      <c r="O3421">
        <f t="shared" si="324"/>
        <v>2025</v>
      </c>
    </row>
    <row r="3422" spans="1:15" x14ac:dyDescent="0.3">
      <c r="A3422">
        <v>201148</v>
      </c>
      <c r="B3422" t="s">
        <v>68</v>
      </c>
      <c r="C3422" s="2">
        <v>45884</v>
      </c>
      <c r="D3422" s="2">
        <f t="shared" si="322"/>
        <v>45914</v>
      </c>
      <c r="E3422" s="1">
        <f>D3422</f>
        <v>45914</v>
      </c>
      <c r="F3422">
        <v>4459</v>
      </c>
      <c r="G3422">
        <v>30</v>
      </c>
      <c r="H3422">
        <f t="shared" si="321"/>
        <v>0</v>
      </c>
      <c r="I3422" t="str">
        <f t="shared" si="325"/>
        <v>On Time</v>
      </c>
      <c r="J3422" cm="1">
        <f t="array" ref="J3422">_xlfn.IFS(H3422&lt;30,0,H3422&lt;60,1,H3422&lt;90,2,H3422&lt;120,3)</f>
        <v>0</v>
      </c>
      <c r="M3422" t="str">
        <f t="shared" si="326"/>
        <v>Low</v>
      </c>
      <c r="N3422" t="str">
        <f t="shared" si="323"/>
        <v>Aug</v>
      </c>
      <c r="O3422">
        <f t="shared" si="324"/>
        <v>2025</v>
      </c>
    </row>
    <row r="3423" spans="1:15" x14ac:dyDescent="0.3">
      <c r="A3423">
        <v>201149</v>
      </c>
      <c r="B3423" t="s">
        <v>69</v>
      </c>
      <c r="C3423" s="2">
        <v>45884</v>
      </c>
      <c r="D3423" s="2">
        <f t="shared" si="322"/>
        <v>45914</v>
      </c>
      <c r="E3423" s="1">
        <f>D3423+1</f>
        <v>45915</v>
      </c>
      <c r="F3423">
        <v>4764</v>
      </c>
      <c r="G3423">
        <v>30</v>
      </c>
      <c r="H3423">
        <f t="shared" si="321"/>
        <v>0</v>
      </c>
      <c r="I3423" t="str">
        <f t="shared" si="325"/>
        <v>On Time</v>
      </c>
      <c r="J3423" cm="1">
        <f t="array" ref="J3423">_xlfn.IFS(H3423&lt;30,0,H3423&lt;60,1,H3423&lt;90,2,H3423&lt;120,3)</f>
        <v>0</v>
      </c>
      <c r="M3423" t="str">
        <f t="shared" si="326"/>
        <v>Low</v>
      </c>
      <c r="N3423" t="str">
        <f t="shared" si="323"/>
        <v>Aug</v>
      </c>
      <c r="O3423">
        <f t="shared" si="324"/>
        <v>2025</v>
      </c>
    </row>
    <row r="3424" spans="1:15" x14ac:dyDescent="0.3">
      <c r="A3424">
        <v>201118</v>
      </c>
      <c r="B3424" t="s">
        <v>43</v>
      </c>
      <c r="C3424" s="2">
        <v>45883</v>
      </c>
      <c r="D3424" s="2">
        <f t="shared" si="322"/>
        <v>45913</v>
      </c>
      <c r="E3424" s="1">
        <f>D3424</f>
        <v>45913</v>
      </c>
      <c r="F3424">
        <v>1154</v>
      </c>
      <c r="G3424">
        <v>30</v>
      </c>
      <c r="H3424">
        <f t="shared" si="321"/>
        <v>0</v>
      </c>
      <c r="I3424" t="str">
        <f t="shared" si="325"/>
        <v>On Time</v>
      </c>
      <c r="J3424" cm="1">
        <f t="array" ref="J3424">_xlfn.IFS(H3424&lt;30,0,H3424&lt;60,1,H3424&lt;90,2,H3424&lt;120,3)</f>
        <v>0</v>
      </c>
      <c r="M3424" t="str">
        <f t="shared" si="326"/>
        <v>Low</v>
      </c>
      <c r="N3424" t="str">
        <f t="shared" si="323"/>
        <v>Aug</v>
      </c>
      <c r="O3424">
        <f t="shared" si="324"/>
        <v>2025</v>
      </c>
    </row>
    <row r="3425" spans="1:15" x14ac:dyDescent="0.3">
      <c r="A3425">
        <v>201119</v>
      </c>
      <c r="B3425" t="s">
        <v>44</v>
      </c>
      <c r="C3425" s="2">
        <v>45883</v>
      </c>
      <c r="D3425" s="2">
        <f t="shared" si="322"/>
        <v>45928</v>
      </c>
      <c r="E3425" s="1">
        <f>D3425+5</f>
        <v>45933</v>
      </c>
      <c r="F3425">
        <v>1671</v>
      </c>
      <c r="G3425">
        <v>45</v>
      </c>
      <c r="H3425">
        <f t="shared" si="321"/>
        <v>0</v>
      </c>
      <c r="I3425" t="str">
        <f t="shared" si="325"/>
        <v>On Time</v>
      </c>
      <c r="J3425" cm="1">
        <f t="array" ref="J3425">_xlfn.IFS(H3425&lt;30,0,H3425&lt;60,1,H3425&lt;90,2,H3425&lt;120,3)</f>
        <v>0</v>
      </c>
      <c r="M3425" t="str">
        <f t="shared" si="326"/>
        <v>Low</v>
      </c>
      <c r="N3425" t="str">
        <f t="shared" si="323"/>
        <v>Aug</v>
      </c>
      <c r="O3425">
        <f t="shared" si="324"/>
        <v>2025</v>
      </c>
    </row>
    <row r="3426" spans="1:15" x14ac:dyDescent="0.3">
      <c r="A3426">
        <v>201120</v>
      </c>
      <c r="B3426" t="s">
        <v>45</v>
      </c>
      <c r="C3426" s="2">
        <v>45883</v>
      </c>
      <c r="D3426" s="2">
        <f t="shared" si="322"/>
        <v>45928</v>
      </c>
      <c r="E3426" s="1">
        <f>D3426+2</f>
        <v>45930</v>
      </c>
      <c r="F3426">
        <v>333</v>
      </c>
      <c r="G3426">
        <v>45</v>
      </c>
      <c r="H3426">
        <f t="shared" si="321"/>
        <v>0</v>
      </c>
      <c r="I3426" t="str">
        <f t="shared" si="325"/>
        <v>On Time</v>
      </c>
      <c r="J3426" cm="1">
        <f t="array" ref="J3426">_xlfn.IFS(H3426&lt;30,0,H3426&lt;60,1,H3426&lt;90,2,H3426&lt;120,3)</f>
        <v>0</v>
      </c>
      <c r="M3426" t="str">
        <f t="shared" si="326"/>
        <v>Low</v>
      </c>
      <c r="N3426" t="str">
        <f t="shared" si="323"/>
        <v>Aug</v>
      </c>
      <c r="O3426">
        <f t="shared" si="324"/>
        <v>2025</v>
      </c>
    </row>
    <row r="3427" spans="1:15" x14ac:dyDescent="0.3">
      <c r="A3427">
        <v>201121</v>
      </c>
      <c r="B3427" t="s">
        <v>46</v>
      </c>
      <c r="C3427" s="2">
        <v>45883</v>
      </c>
      <c r="D3427" s="2">
        <f t="shared" si="322"/>
        <v>45943</v>
      </c>
      <c r="E3427" s="1">
        <f>D3427</f>
        <v>45943</v>
      </c>
      <c r="F3427">
        <v>2680</v>
      </c>
      <c r="G3427">
        <v>60</v>
      </c>
      <c r="H3427">
        <f t="shared" si="321"/>
        <v>0</v>
      </c>
      <c r="I3427" t="str">
        <f t="shared" si="325"/>
        <v>On Time</v>
      </c>
      <c r="J3427" cm="1">
        <f t="array" ref="J3427">_xlfn.IFS(H3427&lt;30,0,H3427&lt;60,1,H3427&lt;90,2,H3427&lt;120,3)</f>
        <v>0</v>
      </c>
      <c r="M3427" t="str">
        <f t="shared" si="326"/>
        <v>Low</v>
      </c>
      <c r="N3427" t="str">
        <f t="shared" si="323"/>
        <v>Aug</v>
      </c>
      <c r="O3427">
        <f t="shared" si="324"/>
        <v>2025</v>
      </c>
    </row>
    <row r="3428" spans="1:15" x14ac:dyDescent="0.3">
      <c r="A3428">
        <v>201122</v>
      </c>
      <c r="B3428" t="s">
        <v>114</v>
      </c>
      <c r="C3428" s="2">
        <v>45883</v>
      </c>
      <c r="D3428" s="2">
        <f t="shared" si="322"/>
        <v>45913</v>
      </c>
      <c r="E3428" s="1">
        <f>D3428</f>
        <v>45913</v>
      </c>
      <c r="F3428">
        <v>4374</v>
      </c>
      <c r="G3428">
        <v>30</v>
      </c>
      <c r="H3428">
        <f t="shared" si="321"/>
        <v>0</v>
      </c>
      <c r="I3428" t="str">
        <f t="shared" si="325"/>
        <v>On Time</v>
      </c>
      <c r="J3428" cm="1">
        <f t="array" ref="J3428">_xlfn.IFS(H3428&lt;30,0,H3428&lt;60,1,H3428&lt;90,2,H3428&lt;120,3)</f>
        <v>0</v>
      </c>
      <c r="M3428" t="str">
        <f t="shared" si="326"/>
        <v>Low</v>
      </c>
      <c r="N3428" t="str">
        <f t="shared" si="323"/>
        <v>Aug</v>
      </c>
      <c r="O3428">
        <f t="shared" si="324"/>
        <v>2025</v>
      </c>
    </row>
    <row r="3429" spans="1:15" x14ac:dyDescent="0.3">
      <c r="A3429">
        <v>201123</v>
      </c>
      <c r="B3429" t="s">
        <v>115</v>
      </c>
      <c r="C3429" s="2">
        <v>45883</v>
      </c>
      <c r="D3429" s="2">
        <f t="shared" si="322"/>
        <v>45913</v>
      </c>
      <c r="E3429" s="1">
        <f>D3429</f>
        <v>45913</v>
      </c>
      <c r="F3429">
        <v>3303</v>
      </c>
      <c r="G3429">
        <v>30</v>
      </c>
      <c r="H3429">
        <f t="shared" si="321"/>
        <v>0</v>
      </c>
      <c r="I3429" t="str">
        <f t="shared" si="325"/>
        <v>On Time</v>
      </c>
      <c r="J3429" cm="1">
        <f t="array" ref="J3429">_xlfn.IFS(H3429&lt;30,0,H3429&lt;60,1,H3429&lt;90,2,H3429&lt;120,3)</f>
        <v>0</v>
      </c>
      <c r="M3429" t="str">
        <f t="shared" si="326"/>
        <v>Low</v>
      </c>
      <c r="N3429" t="str">
        <f t="shared" si="323"/>
        <v>Aug</v>
      </c>
      <c r="O3429">
        <f t="shared" si="324"/>
        <v>2025</v>
      </c>
    </row>
    <row r="3430" spans="1:15" x14ac:dyDescent="0.3">
      <c r="A3430">
        <v>201124</v>
      </c>
      <c r="B3430" t="s">
        <v>116</v>
      </c>
      <c r="C3430" s="2">
        <v>45883</v>
      </c>
      <c r="D3430" s="2">
        <f t="shared" si="322"/>
        <v>45913</v>
      </c>
      <c r="E3430" s="1">
        <f>D3430+60</f>
        <v>45973</v>
      </c>
      <c r="F3430">
        <v>3551</v>
      </c>
      <c r="G3430">
        <v>30</v>
      </c>
      <c r="H3430">
        <f t="shared" ref="H3430:H3493" si="327">MAX(0,P3395-D3430)</f>
        <v>0</v>
      </c>
      <c r="I3430" t="str">
        <f t="shared" si="325"/>
        <v>On Time</v>
      </c>
      <c r="J3430" cm="1">
        <f t="array" ref="J3430">_xlfn.IFS(H3430&lt;30,0,H3430&lt;60,1,H3430&lt;90,2,H3430&lt;120,3)</f>
        <v>0</v>
      </c>
      <c r="M3430" t="str">
        <f t="shared" si="326"/>
        <v>Low</v>
      </c>
      <c r="N3430" t="str">
        <f t="shared" si="323"/>
        <v>Aug</v>
      </c>
      <c r="O3430">
        <f t="shared" si="324"/>
        <v>2025</v>
      </c>
    </row>
    <row r="3431" spans="1:15" x14ac:dyDescent="0.3">
      <c r="A3431">
        <v>201125</v>
      </c>
      <c r="B3431" t="s">
        <v>117</v>
      </c>
      <c r="C3431" s="2">
        <v>45883</v>
      </c>
      <c r="D3431" s="2">
        <f t="shared" si="322"/>
        <v>45913</v>
      </c>
      <c r="E3431" s="1">
        <f>D3431</f>
        <v>45913</v>
      </c>
      <c r="F3431">
        <v>2412</v>
      </c>
      <c r="G3431">
        <v>30</v>
      </c>
      <c r="H3431">
        <f t="shared" si="327"/>
        <v>0</v>
      </c>
      <c r="I3431" t="str">
        <f t="shared" si="325"/>
        <v>On Time</v>
      </c>
      <c r="J3431" cm="1">
        <f t="array" ref="J3431">_xlfn.IFS(H3431&lt;30,0,H3431&lt;60,1,H3431&lt;90,2,H3431&lt;120,3)</f>
        <v>0</v>
      </c>
      <c r="M3431" t="str">
        <f t="shared" si="326"/>
        <v>Low</v>
      </c>
      <c r="N3431" t="str">
        <f t="shared" si="323"/>
        <v>Aug</v>
      </c>
      <c r="O3431">
        <f t="shared" si="324"/>
        <v>2025</v>
      </c>
    </row>
    <row r="3432" spans="1:15" x14ac:dyDescent="0.3">
      <c r="A3432">
        <v>201126</v>
      </c>
      <c r="B3432" t="s">
        <v>118</v>
      </c>
      <c r="C3432" s="2">
        <v>45883</v>
      </c>
      <c r="D3432" s="2">
        <f t="shared" si="322"/>
        <v>45913</v>
      </c>
      <c r="E3432" s="1">
        <f>D3432</f>
        <v>45913</v>
      </c>
      <c r="F3432">
        <v>3660</v>
      </c>
      <c r="G3432">
        <v>30</v>
      </c>
      <c r="H3432">
        <f t="shared" si="327"/>
        <v>0</v>
      </c>
      <c r="I3432" t="str">
        <f t="shared" si="325"/>
        <v>On Time</v>
      </c>
      <c r="J3432" cm="1">
        <f t="array" ref="J3432">_xlfn.IFS(H3432&lt;30,0,H3432&lt;60,1,H3432&lt;90,2,H3432&lt;120,3)</f>
        <v>0</v>
      </c>
      <c r="M3432" t="str">
        <f t="shared" si="326"/>
        <v>Low</v>
      </c>
      <c r="N3432" t="str">
        <f t="shared" si="323"/>
        <v>Aug</v>
      </c>
      <c r="O3432">
        <f t="shared" si="324"/>
        <v>2025</v>
      </c>
    </row>
    <row r="3433" spans="1:15" x14ac:dyDescent="0.3">
      <c r="A3433">
        <v>201127</v>
      </c>
      <c r="B3433" t="s">
        <v>119</v>
      </c>
      <c r="C3433" s="2">
        <v>45883</v>
      </c>
      <c r="D3433" s="2">
        <f t="shared" si="322"/>
        <v>45913</v>
      </c>
      <c r="E3433" s="1">
        <f>D3433+3</f>
        <v>45916</v>
      </c>
      <c r="F3433">
        <v>3381</v>
      </c>
      <c r="G3433">
        <v>30</v>
      </c>
      <c r="H3433">
        <f t="shared" si="327"/>
        <v>0</v>
      </c>
      <c r="I3433" t="str">
        <f t="shared" si="325"/>
        <v>On Time</v>
      </c>
      <c r="J3433" cm="1">
        <f t="array" ref="J3433">_xlfn.IFS(H3433&lt;30,0,H3433&lt;60,1,H3433&lt;90,2,H3433&lt;120,3)</f>
        <v>0</v>
      </c>
      <c r="M3433" t="str">
        <f t="shared" si="326"/>
        <v>Low</v>
      </c>
      <c r="N3433" t="str">
        <f t="shared" si="323"/>
        <v>Aug</v>
      </c>
      <c r="O3433">
        <f t="shared" si="324"/>
        <v>2025</v>
      </c>
    </row>
    <row r="3434" spans="1:15" x14ac:dyDescent="0.3">
      <c r="A3434">
        <v>201128</v>
      </c>
      <c r="B3434" t="s">
        <v>100</v>
      </c>
      <c r="C3434" s="2">
        <v>45883</v>
      </c>
      <c r="D3434" s="2">
        <f t="shared" si="322"/>
        <v>45913</v>
      </c>
      <c r="E3434" s="1">
        <f>D3434+1</f>
        <v>45914</v>
      </c>
      <c r="F3434">
        <v>531</v>
      </c>
      <c r="G3434">
        <v>30</v>
      </c>
      <c r="H3434">
        <f t="shared" si="327"/>
        <v>0</v>
      </c>
      <c r="I3434" t="str">
        <f t="shared" si="325"/>
        <v>On Time</v>
      </c>
      <c r="J3434" cm="1">
        <f t="array" ref="J3434">_xlfn.IFS(H3434&lt;30,0,H3434&lt;60,1,H3434&lt;90,2,H3434&lt;120,3)</f>
        <v>0</v>
      </c>
      <c r="M3434" t="str">
        <f t="shared" si="326"/>
        <v>Low</v>
      </c>
      <c r="N3434" t="str">
        <f t="shared" si="323"/>
        <v>Aug</v>
      </c>
      <c r="O3434">
        <f t="shared" si="324"/>
        <v>2025</v>
      </c>
    </row>
    <row r="3435" spans="1:15" x14ac:dyDescent="0.3">
      <c r="A3435">
        <v>201129</v>
      </c>
      <c r="B3435" t="s">
        <v>101</v>
      </c>
      <c r="C3435" s="2">
        <v>45883</v>
      </c>
      <c r="D3435" s="2">
        <f t="shared" si="322"/>
        <v>45913</v>
      </c>
      <c r="E3435" s="1">
        <f>D3435-1</f>
        <v>45912</v>
      </c>
      <c r="F3435">
        <v>4390</v>
      </c>
      <c r="G3435">
        <v>30</v>
      </c>
      <c r="H3435">
        <f t="shared" si="327"/>
        <v>0</v>
      </c>
      <c r="I3435" t="str">
        <f t="shared" si="325"/>
        <v>On Time</v>
      </c>
      <c r="J3435" cm="1">
        <f t="array" ref="J3435">_xlfn.IFS(H3435&lt;30,0,H3435&lt;60,1,H3435&lt;90,2,H3435&lt;120,3)</f>
        <v>0</v>
      </c>
      <c r="M3435" t="str">
        <f t="shared" si="326"/>
        <v>Low</v>
      </c>
      <c r="N3435" t="str">
        <f t="shared" si="323"/>
        <v>Aug</v>
      </c>
      <c r="O3435">
        <f t="shared" si="324"/>
        <v>2025</v>
      </c>
    </row>
    <row r="3436" spans="1:15" x14ac:dyDescent="0.3">
      <c r="A3436">
        <v>201130</v>
      </c>
      <c r="B3436" t="s">
        <v>102</v>
      </c>
      <c r="C3436" s="2">
        <v>45883</v>
      </c>
      <c r="D3436" s="2">
        <f t="shared" si="322"/>
        <v>45913</v>
      </c>
      <c r="E3436" s="1">
        <f>D3436</f>
        <v>45913</v>
      </c>
      <c r="F3436">
        <v>4395</v>
      </c>
      <c r="G3436">
        <v>30</v>
      </c>
      <c r="H3436">
        <f t="shared" si="327"/>
        <v>0</v>
      </c>
      <c r="I3436" t="str">
        <f t="shared" si="325"/>
        <v>On Time</v>
      </c>
      <c r="J3436" cm="1">
        <f t="array" ref="J3436">_xlfn.IFS(H3436&lt;30,0,H3436&lt;60,1,H3436&lt;90,2,H3436&lt;120,3)</f>
        <v>0</v>
      </c>
      <c r="M3436" t="str">
        <f t="shared" si="326"/>
        <v>Low</v>
      </c>
      <c r="N3436" t="str">
        <f t="shared" si="323"/>
        <v>Aug</v>
      </c>
      <c r="O3436">
        <f t="shared" si="324"/>
        <v>2025</v>
      </c>
    </row>
    <row r="3437" spans="1:15" x14ac:dyDescent="0.3">
      <c r="A3437">
        <v>201131</v>
      </c>
      <c r="B3437" t="s">
        <v>103</v>
      </c>
      <c r="C3437" s="2">
        <v>45883</v>
      </c>
      <c r="D3437" s="2">
        <f t="shared" si="322"/>
        <v>45913</v>
      </c>
      <c r="E3437" s="1">
        <f>D3437+1</f>
        <v>45914</v>
      </c>
      <c r="F3437">
        <v>1335</v>
      </c>
      <c r="G3437">
        <v>30</v>
      </c>
      <c r="H3437">
        <f t="shared" si="327"/>
        <v>0</v>
      </c>
      <c r="I3437" t="str">
        <f t="shared" si="325"/>
        <v>On Time</v>
      </c>
      <c r="J3437" cm="1">
        <f t="array" ref="J3437">_xlfn.IFS(H3437&lt;30,0,H3437&lt;60,1,H3437&lt;90,2,H3437&lt;120,3)</f>
        <v>0</v>
      </c>
      <c r="M3437" t="str">
        <f t="shared" si="326"/>
        <v>Low</v>
      </c>
      <c r="N3437" t="str">
        <f t="shared" si="323"/>
        <v>Aug</v>
      </c>
      <c r="O3437">
        <f t="shared" si="324"/>
        <v>2025</v>
      </c>
    </row>
    <row r="3438" spans="1:15" x14ac:dyDescent="0.3">
      <c r="A3438">
        <v>201132</v>
      </c>
      <c r="B3438" t="s">
        <v>104</v>
      </c>
      <c r="C3438" s="2">
        <v>45883</v>
      </c>
      <c r="D3438" s="2">
        <f t="shared" si="322"/>
        <v>45913</v>
      </c>
      <c r="E3438" s="1">
        <f>D3438+35</f>
        <v>45948</v>
      </c>
      <c r="F3438">
        <v>611</v>
      </c>
      <c r="G3438">
        <v>30</v>
      </c>
      <c r="H3438">
        <f t="shared" si="327"/>
        <v>0</v>
      </c>
      <c r="I3438" t="str">
        <f t="shared" si="325"/>
        <v>On Time</v>
      </c>
      <c r="J3438" cm="1">
        <f t="array" ref="J3438">_xlfn.IFS(H3438&lt;30,0,H3438&lt;60,1,H3438&lt;90,2,H3438&lt;120,3)</f>
        <v>0</v>
      </c>
      <c r="M3438" t="str">
        <f t="shared" si="326"/>
        <v>Low</v>
      </c>
      <c r="N3438" t="str">
        <f t="shared" si="323"/>
        <v>Aug</v>
      </c>
      <c r="O3438">
        <f t="shared" si="324"/>
        <v>2025</v>
      </c>
    </row>
    <row r="3439" spans="1:15" x14ac:dyDescent="0.3">
      <c r="A3439">
        <v>201133</v>
      </c>
      <c r="B3439" t="s">
        <v>105</v>
      </c>
      <c r="C3439" s="2">
        <v>45883</v>
      </c>
      <c r="D3439" s="2">
        <f t="shared" si="322"/>
        <v>45913</v>
      </c>
      <c r="E3439" s="1">
        <f>D3439+75</f>
        <v>45988</v>
      </c>
      <c r="F3439">
        <v>3255</v>
      </c>
      <c r="G3439">
        <v>30</v>
      </c>
      <c r="H3439">
        <f t="shared" si="327"/>
        <v>0</v>
      </c>
      <c r="I3439" t="str">
        <f t="shared" si="325"/>
        <v>On Time</v>
      </c>
      <c r="J3439" cm="1">
        <f t="array" ref="J3439">_xlfn.IFS(H3439&lt;30,0,H3439&lt;60,1,H3439&lt;90,2,H3439&lt;120,3)</f>
        <v>0</v>
      </c>
      <c r="M3439" t="str">
        <f t="shared" si="326"/>
        <v>Low</v>
      </c>
      <c r="N3439" t="str">
        <f t="shared" si="323"/>
        <v>Aug</v>
      </c>
      <c r="O3439">
        <f t="shared" si="324"/>
        <v>2025</v>
      </c>
    </row>
    <row r="3440" spans="1:15" x14ac:dyDescent="0.3">
      <c r="A3440">
        <v>201099</v>
      </c>
      <c r="B3440" t="s">
        <v>119</v>
      </c>
      <c r="C3440" s="2">
        <v>45882</v>
      </c>
      <c r="D3440" s="2">
        <f t="shared" si="322"/>
        <v>45912</v>
      </c>
      <c r="E3440" s="1">
        <f>D3440+35</f>
        <v>45947</v>
      </c>
      <c r="F3440">
        <v>2407</v>
      </c>
      <c r="G3440">
        <v>30</v>
      </c>
      <c r="H3440">
        <f t="shared" si="327"/>
        <v>0</v>
      </c>
      <c r="I3440" t="str">
        <f t="shared" si="325"/>
        <v>On Time</v>
      </c>
      <c r="J3440" cm="1">
        <f t="array" ref="J3440">_xlfn.IFS(H3440&lt;30,0,H3440&lt;60,1,H3440&lt;90,2,H3440&lt;120,3)</f>
        <v>0</v>
      </c>
      <c r="M3440" t="str">
        <f t="shared" si="326"/>
        <v>Low</v>
      </c>
      <c r="N3440" t="str">
        <f t="shared" si="323"/>
        <v>Aug</v>
      </c>
      <c r="O3440">
        <f t="shared" si="324"/>
        <v>2025</v>
      </c>
    </row>
    <row r="3441" spans="1:15" x14ac:dyDescent="0.3">
      <c r="A3441">
        <v>201100</v>
      </c>
      <c r="B3441" t="s">
        <v>31</v>
      </c>
      <c r="C3441" s="2">
        <v>45882</v>
      </c>
      <c r="D3441" s="2">
        <f t="shared" si="322"/>
        <v>45927</v>
      </c>
      <c r="E3441" s="1">
        <f>D3441+75</f>
        <v>46002</v>
      </c>
      <c r="F3441">
        <v>984</v>
      </c>
      <c r="G3441">
        <v>45</v>
      </c>
      <c r="H3441">
        <f t="shared" si="327"/>
        <v>0</v>
      </c>
      <c r="I3441" t="str">
        <f t="shared" si="325"/>
        <v>On Time</v>
      </c>
      <c r="J3441" cm="1">
        <f t="array" ref="J3441">_xlfn.IFS(H3441&lt;30,0,H3441&lt;60,1,H3441&lt;90,2,H3441&lt;120,3)</f>
        <v>0</v>
      </c>
      <c r="M3441" t="str">
        <f t="shared" si="326"/>
        <v>Low</v>
      </c>
      <c r="N3441" t="str">
        <f t="shared" si="323"/>
        <v>Aug</v>
      </c>
      <c r="O3441">
        <f t="shared" si="324"/>
        <v>2025</v>
      </c>
    </row>
    <row r="3442" spans="1:15" x14ac:dyDescent="0.3">
      <c r="A3442">
        <v>201101</v>
      </c>
      <c r="B3442" t="s">
        <v>32</v>
      </c>
      <c r="C3442" s="2">
        <v>45882</v>
      </c>
      <c r="D3442" s="2">
        <f t="shared" si="322"/>
        <v>45927</v>
      </c>
      <c r="E3442" s="1">
        <f>D3442+5</f>
        <v>45932</v>
      </c>
      <c r="F3442">
        <v>2545</v>
      </c>
      <c r="G3442">
        <v>45</v>
      </c>
      <c r="H3442">
        <f t="shared" si="327"/>
        <v>0</v>
      </c>
      <c r="I3442" t="str">
        <f t="shared" si="325"/>
        <v>On Time</v>
      </c>
      <c r="J3442" cm="1">
        <f t="array" ref="J3442">_xlfn.IFS(H3442&lt;30,0,H3442&lt;60,1,H3442&lt;90,2,H3442&lt;120,3)</f>
        <v>0</v>
      </c>
      <c r="M3442" t="str">
        <f t="shared" si="326"/>
        <v>Low</v>
      </c>
      <c r="N3442" t="str">
        <f t="shared" si="323"/>
        <v>Aug</v>
      </c>
      <c r="O3442">
        <f t="shared" si="324"/>
        <v>2025</v>
      </c>
    </row>
    <row r="3443" spans="1:15" x14ac:dyDescent="0.3">
      <c r="A3443">
        <v>201102</v>
      </c>
      <c r="B3443" t="s">
        <v>33</v>
      </c>
      <c r="C3443" s="2">
        <v>45882</v>
      </c>
      <c r="D3443" s="2">
        <f t="shared" si="322"/>
        <v>45912</v>
      </c>
      <c r="E3443" s="1">
        <f>D3443</f>
        <v>45912</v>
      </c>
      <c r="F3443">
        <v>137</v>
      </c>
      <c r="G3443">
        <v>30</v>
      </c>
      <c r="H3443">
        <f t="shared" si="327"/>
        <v>0</v>
      </c>
      <c r="I3443" t="str">
        <f t="shared" si="325"/>
        <v>On Time</v>
      </c>
      <c r="J3443" cm="1">
        <f t="array" ref="J3443">_xlfn.IFS(H3443&lt;30,0,H3443&lt;60,1,H3443&lt;90,2,H3443&lt;120,3)</f>
        <v>0</v>
      </c>
      <c r="M3443" t="str">
        <f t="shared" si="326"/>
        <v>Low</v>
      </c>
      <c r="N3443" t="str">
        <f t="shared" si="323"/>
        <v>Aug</v>
      </c>
      <c r="O3443">
        <f t="shared" si="324"/>
        <v>2025</v>
      </c>
    </row>
    <row r="3444" spans="1:15" x14ac:dyDescent="0.3">
      <c r="A3444">
        <v>201103</v>
      </c>
      <c r="B3444" t="s">
        <v>34</v>
      </c>
      <c r="C3444" s="2">
        <v>45882</v>
      </c>
      <c r="D3444" s="2">
        <f t="shared" si="322"/>
        <v>45942</v>
      </c>
      <c r="E3444" s="1">
        <f>D3444-1</f>
        <v>45941</v>
      </c>
      <c r="F3444">
        <v>4230</v>
      </c>
      <c r="G3444">
        <v>60</v>
      </c>
      <c r="H3444">
        <f t="shared" si="327"/>
        <v>0</v>
      </c>
      <c r="I3444" t="str">
        <f t="shared" si="325"/>
        <v>On Time</v>
      </c>
      <c r="J3444" cm="1">
        <f t="array" ref="J3444">_xlfn.IFS(H3444&lt;30,0,H3444&lt;60,1,H3444&lt;90,2,H3444&lt;120,3)</f>
        <v>0</v>
      </c>
      <c r="M3444" t="str">
        <f t="shared" si="326"/>
        <v>Low</v>
      </c>
      <c r="N3444" t="str">
        <f t="shared" si="323"/>
        <v>Aug</v>
      </c>
      <c r="O3444">
        <f t="shared" si="324"/>
        <v>2025</v>
      </c>
    </row>
    <row r="3445" spans="1:15" x14ac:dyDescent="0.3">
      <c r="A3445">
        <v>201104</v>
      </c>
      <c r="B3445" t="s">
        <v>35</v>
      </c>
      <c r="C3445" s="2">
        <v>45882</v>
      </c>
      <c r="D3445" s="2">
        <f t="shared" si="322"/>
        <v>45927</v>
      </c>
      <c r="E3445" s="1">
        <f>D3445</f>
        <v>45927</v>
      </c>
      <c r="F3445">
        <v>4526</v>
      </c>
      <c r="G3445">
        <v>45</v>
      </c>
      <c r="H3445">
        <f t="shared" si="327"/>
        <v>0</v>
      </c>
      <c r="I3445" t="str">
        <f t="shared" si="325"/>
        <v>On Time</v>
      </c>
      <c r="J3445" cm="1">
        <f t="array" ref="J3445">_xlfn.IFS(H3445&lt;30,0,H3445&lt;60,1,H3445&lt;90,2,H3445&lt;120,3)</f>
        <v>0</v>
      </c>
      <c r="M3445" t="str">
        <f t="shared" si="326"/>
        <v>Low</v>
      </c>
      <c r="N3445" t="str">
        <f t="shared" si="323"/>
        <v>Aug</v>
      </c>
      <c r="O3445">
        <f t="shared" si="324"/>
        <v>2025</v>
      </c>
    </row>
    <row r="3446" spans="1:15" x14ac:dyDescent="0.3">
      <c r="A3446">
        <v>201105</v>
      </c>
      <c r="B3446" t="s">
        <v>36</v>
      </c>
      <c r="C3446" s="2">
        <v>45882</v>
      </c>
      <c r="D3446" s="2">
        <f t="shared" si="322"/>
        <v>45912</v>
      </c>
      <c r="E3446" s="1">
        <f>D3446+32</f>
        <v>45944</v>
      </c>
      <c r="F3446">
        <v>4639</v>
      </c>
      <c r="G3446">
        <v>30</v>
      </c>
      <c r="H3446">
        <f t="shared" si="327"/>
        <v>0</v>
      </c>
      <c r="I3446" t="str">
        <f t="shared" si="325"/>
        <v>On Time</v>
      </c>
      <c r="J3446" cm="1">
        <f t="array" ref="J3446">_xlfn.IFS(H3446&lt;30,0,H3446&lt;60,1,H3446&lt;90,2,H3446&lt;120,3)</f>
        <v>0</v>
      </c>
      <c r="M3446" t="str">
        <f t="shared" si="326"/>
        <v>Low</v>
      </c>
      <c r="N3446" t="str">
        <f t="shared" si="323"/>
        <v>Aug</v>
      </c>
      <c r="O3446">
        <f t="shared" si="324"/>
        <v>2025</v>
      </c>
    </row>
    <row r="3447" spans="1:15" x14ac:dyDescent="0.3">
      <c r="A3447">
        <v>201106</v>
      </c>
      <c r="B3447" t="s">
        <v>64</v>
      </c>
      <c r="C3447" s="2">
        <v>45882</v>
      </c>
      <c r="D3447" s="2">
        <f t="shared" si="322"/>
        <v>45912</v>
      </c>
      <c r="E3447" s="1">
        <f>D3447+15</f>
        <v>45927</v>
      </c>
      <c r="F3447">
        <v>1999</v>
      </c>
      <c r="G3447">
        <v>30</v>
      </c>
      <c r="H3447">
        <f t="shared" si="327"/>
        <v>0</v>
      </c>
      <c r="I3447" t="str">
        <f t="shared" si="325"/>
        <v>On Time</v>
      </c>
      <c r="J3447" cm="1">
        <f t="array" ref="J3447">_xlfn.IFS(H3447&lt;30,0,H3447&lt;60,1,H3447&lt;90,2,H3447&lt;120,3)</f>
        <v>0</v>
      </c>
      <c r="M3447" t="str">
        <f t="shared" si="326"/>
        <v>Low</v>
      </c>
      <c r="N3447" t="str">
        <f t="shared" si="323"/>
        <v>Aug</v>
      </c>
      <c r="O3447">
        <f t="shared" si="324"/>
        <v>2025</v>
      </c>
    </row>
    <row r="3448" spans="1:15" x14ac:dyDescent="0.3">
      <c r="A3448">
        <v>201107</v>
      </c>
      <c r="B3448" t="s">
        <v>25</v>
      </c>
      <c r="C3448" s="2">
        <v>45882</v>
      </c>
      <c r="D3448" s="2">
        <f t="shared" si="322"/>
        <v>45942</v>
      </c>
      <c r="E3448" s="1">
        <f>D3448</f>
        <v>45942</v>
      </c>
      <c r="F3448">
        <v>3325</v>
      </c>
      <c r="G3448">
        <v>60</v>
      </c>
      <c r="H3448">
        <f t="shared" si="327"/>
        <v>0</v>
      </c>
      <c r="I3448" t="str">
        <f t="shared" si="325"/>
        <v>On Time</v>
      </c>
      <c r="J3448" cm="1">
        <f t="array" ref="J3448">_xlfn.IFS(H3448&lt;30,0,H3448&lt;60,1,H3448&lt;90,2,H3448&lt;120,3)</f>
        <v>0</v>
      </c>
      <c r="M3448" t="str">
        <f t="shared" si="326"/>
        <v>Low</v>
      </c>
      <c r="N3448" t="str">
        <f t="shared" si="323"/>
        <v>Aug</v>
      </c>
      <c r="O3448">
        <f t="shared" si="324"/>
        <v>2025</v>
      </c>
    </row>
    <row r="3449" spans="1:15" x14ac:dyDescent="0.3">
      <c r="A3449">
        <v>201108</v>
      </c>
      <c r="B3449" t="s">
        <v>26</v>
      </c>
      <c r="C3449" s="2">
        <v>45882</v>
      </c>
      <c r="D3449" s="2">
        <f t="shared" si="322"/>
        <v>45912</v>
      </c>
      <c r="E3449" s="1">
        <f>D3449-2</f>
        <v>45910</v>
      </c>
      <c r="F3449">
        <v>4782</v>
      </c>
      <c r="G3449">
        <v>30</v>
      </c>
      <c r="H3449">
        <f t="shared" si="327"/>
        <v>0</v>
      </c>
      <c r="I3449" t="str">
        <f t="shared" si="325"/>
        <v>On Time</v>
      </c>
      <c r="J3449" cm="1">
        <f t="array" ref="J3449">_xlfn.IFS(H3449&lt;30,0,H3449&lt;60,1,H3449&lt;90,2,H3449&lt;120,3)</f>
        <v>0</v>
      </c>
      <c r="M3449" t="str">
        <f t="shared" si="326"/>
        <v>Low</v>
      </c>
      <c r="N3449" t="str">
        <f t="shared" si="323"/>
        <v>Aug</v>
      </c>
      <c r="O3449">
        <f t="shared" si="324"/>
        <v>2025</v>
      </c>
    </row>
    <row r="3450" spans="1:15" x14ac:dyDescent="0.3">
      <c r="A3450">
        <v>201109</v>
      </c>
      <c r="B3450" t="s">
        <v>27</v>
      </c>
      <c r="C3450" s="2">
        <v>45882</v>
      </c>
      <c r="D3450" s="2">
        <f t="shared" si="322"/>
        <v>45942</v>
      </c>
      <c r="E3450" s="1">
        <f>D3450</f>
        <v>45942</v>
      </c>
      <c r="F3450">
        <v>448</v>
      </c>
      <c r="G3450">
        <v>60</v>
      </c>
      <c r="H3450">
        <f t="shared" si="327"/>
        <v>0</v>
      </c>
      <c r="I3450" t="str">
        <f t="shared" si="325"/>
        <v>On Time</v>
      </c>
      <c r="J3450" cm="1">
        <f t="array" ref="J3450">_xlfn.IFS(H3450&lt;30,0,H3450&lt;60,1,H3450&lt;90,2,H3450&lt;120,3)</f>
        <v>0</v>
      </c>
      <c r="M3450" t="str">
        <f t="shared" si="326"/>
        <v>Low</v>
      </c>
      <c r="N3450" t="str">
        <f t="shared" si="323"/>
        <v>Aug</v>
      </c>
      <c r="O3450">
        <f t="shared" si="324"/>
        <v>2025</v>
      </c>
    </row>
    <row r="3451" spans="1:15" x14ac:dyDescent="0.3">
      <c r="A3451">
        <v>201110</v>
      </c>
      <c r="B3451" t="s">
        <v>28</v>
      </c>
      <c r="C3451" s="2">
        <v>45882</v>
      </c>
      <c r="D3451" s="2">
        <f t="shared" si="322"/>
        <v>45912</v>
      </c>
      <c r="E3451" s="1">
        <f>D3451+2</f>
        <v>45914</v>
      </c>
      <c r="F3451">
        <v>3947</v>
      </c>
      <c r="G3451">
        <v>30</v>
      </c>
      <c r="H3451">
        <f t="shared" si="327"/>
        <v>0</v>
      </c>
      <c r="I3451" t="str">
        <f t="shared" si="325"/>
        <v>On Time</v>
      </c>
      <c r="J3451" cm="1">
        <f t="array" ref="J3451">_xlfn.IFS(H3451&lt;30,0,H3451&lt;60,1,H3451&lt;90,2,H3451&lt;120,3)</f>
        <v>0</v>
      </c>
      <c r="M3451" t="str">
        <f t="shared" si="326"/>
        <v>Low</v>
      </c>
      <c r="N3451" t="str">
        <f t="shared" si="323"/>
        <v>Aug</v>
      </c>
      <c r="O3451">
        <f t="shared" si="324"/>
        <v>2025</v>
      </c>
    </row>
    <row r="3452" spans="1:15" x14ac:dyDescent="0.3">
      <c r="A3452">
        <v>201111</v>
      </c>
      <c r="B3452" t="s">
        <v>29</v>
      </c>
      <c r="C3452" s="2">
        <v>45882</v>
      </c>
      <c r="D3452" s="2">
        <f t="shared" si="322"/>
        <v>45912</v>
      </c>
      <c r="E3452" s="1">
        <f>D3452+2</f>
        <v>45914</v>
      </c>
      <c r="F3452">
        <v>2217</v>
      </c>
      <c r="G3452">
        <v>30</v>
      </c>
      <c r="H3452">
        <f t="shared" si="327"/>
        <v>0</v>
      </c>
      <c r="I3452" t="str">
        <f t="shared" si="325"/>
        <v>On Time</v>
      </c>
      <c r="J3452" cm="1">
        <f t="array" ref="J3452">_xlfn.IFS(H3452&lt;30,0,H3452&lt;60,1,H3452&lt;90,2,H3452&lt;120,3)</f>
        <v>0</v>
      </c>
      <c r="M3452" t="str">
        <f t="shared" si="326"/>
        <v>Low</v>
      </c>
      <c r="N3452" t="str">
        <f t="shared" si="323"/>
        <v>Aug</v>
      </c>
      <c r="O3452">
        <f t="shared" si="324"/>
        <v>2025</v>
      </c>
    </row>
    <row r="3453" spans="1:15" x14ac:dyDescent="0.3">
      <c r="A3453">
        <v>201112</v>
      </c>
      <c r="B3453" t="s">
        <v>30</v>
      </c>
      <c r="C3453" s="2">
        <v>45882</v>
      </c>
      <c r="D3453" s="2">
        <f t="shared" si="322"/>
        <v>45912</v>
      </c>
      <c r="E3453" s="1">
        <f>D3453+2</f>
        <v>45914</v>
      </c>
      <c r="F3453">
        <v>3279</v>
      </c>
      <c r="G3453">
        <v>30</v>
      </c>
      <c r="H3453">
        <f t="shared" si="327"/>
        <v>0</v>
      </c>
      <c r="I3453" t="str">
        <f t="shared" si="325"/>
        <v>On Time</v>
      </c>
      <c r="J3453" cm="1">
        <f t="array" ref="J3453">_xlfn.IFS(H3453&lt;30,0,H3453&lt;60,1,H3453&lt;90,2,H3453&lt;120,3)</f>
        <v>0</v>
      </c>
      <c r="M3453" t="str">
        <f t="shared" si="326"/>
        <v>Low</v>
      </c>
      <c r="N3453" t="str">
        <f t="shared" si="323"/>
        <v>Aug</v>
      </c>
      <c r="O3453">
        <f t="shared" si="324"/>
        <v>2025</v>
      </c>
    </row>
    <row r="3454" spans="1:15" x14ac:dyDescent="0.3">
      <c r="A3454">
        <v>201113</v>
      </c>
      <c r="B3454" t="s">
        <v>31</v>
      </c>
      <c r="C3454" s="2">
        <v>45882</v>
      </c>
      <c r="D3454" s="2">
        <f t="shared" si="322"/>
        <v>45927</v>
      </c>
      <c r="E3454" s="1">
        <f>D3454</f>
        <v>45927</v>
      </c>
      <c r="F3454">
        <v>2063</v>
      </c>
      <c r="G3454">
        <v>45</v>
      </c>
      <c r="H3454">
        <f t="shared" si="327"/>
        <v>0</v>
      </c>
      <c r="I3454" t="str">
        <f t="shared" si="325"/>
        <v>On Time</v>
      </c>
      <c r="J3454" cm="1">
        <f t="array" ref="J3454">_xlfn.IFS(H3454&lt;30,0,H3454&lt;60,1,H3454&lt;90,2,H3454&lt;120,3)</f>
        <v>0</v>
      </c>
      <c r="M3454" t="str">
        <f t="shared" si="326"/>
        <v>Low</v>
      </c>
      <c r="N3454" t="str">
        <f t="shared" si="323"/>
        <v>Aug</v>
      </c>
      <c r="O3454">
        <f t="shared" si="324"/>
        <v>2025</v>
      </c>
    </row>
    <row r="3455" spans="1:15" x14ac:dyDescent="0.3">
      <c r="A3455">
        <v>201114</v>
      </c>
      <c r="B3455" t="s">
        <v>39</v>
      </c>
      <c r="C3455" s="2">
        <v>45882</v>
      </c>
      <c r="D3455" s="2">
        <f t="shared" si="322"/>
        <v>45912</v>
      </c>
      <c r="E3455" s="1">
        <f>D3455+20</f>
        <v>45932</v>
      </c>
      <c r="F3455">
        <v>9371</v>
      </c>
      <c r="G3455">
        <v>30</v>
      </c>
      <c r="H3455">
        <f t="shared" si="327"/>
        <v>0</v>
      </c>
      <c r="I3455" t="str">
        <f t="shared" si="325"/>
        <v>On Time</v>
      </c>
      <c r="J3455" cm="1">
        <f t="array" ref="J3455">_xlfn.IFS(H3455&lt;30,0,H3455&lt;60,1,H3455&lt;90,2,H3455&lt;120,3)</f>
        <v>0</v>
      </c>
      <c r="M3455" t="str">
        <f t="shared" si="326"/>
        <v>Low</v>
      </c>
      <c r="N3455" t="str">
        <f t="shared" si="323"/>
        <v>Aug</v>
      </c>
      <c r="O3455">
        <f t="shared" si="324"/>
        <v>2025</v>
      </c>
    </row>
    <row r="3456" spans="1:15" x14ac:dyDescent="0.3">
      <c r="A3456">
        <v>201115</v>
      </c>
      <c r="B3456" t="s">
        <v>40</v>
      </c>
      <c r="C3456" s="2">
        <v>45882</v>
      </c>
      <c r="D3456" s="2">
        <f t="shared" si="322"/>
        <v>45912</v>
      </c>
      <c r="E3456" s="1">
        <f>D3456</f>
        <v>45912</v>
      </c>
      <c r="F3456">
        <v>1416</v>
      </c>
      <c r="G3456">
        <v>30</v>
      </c>
      <c r="H3456">
        <f t="shared" si="327"/>
        <v>0</v>
      </c>
      <c r="I3456" t="str">
        <f t="shared" si="325"/>
        <v>On Time</v>
      </c>
      <c r="J3456" cm="1">
        <f t="array" ref="J3456">_xlfn.IFS(H3456&lt;30,0,H3456&lt;60,1,H3456&lt;90,2,H3456&lt;120,3)</f>
        <v>0</v>
      </c>
      <c r="M3456" t="str">
        <f t="shared" si="326"/>
        <v>Low</v>
      </c>
      <c r="N3456" t="str">
        <f t="shared" si="323"/>
        <v>Aug</v>
      </c>
      <c r="O3456">
        <f t="shared" si="324"/>
        <v>2025</v>
      </c>
    </row>
    <row r="3457" spans="1:15" x14ac:dyDescent="0.3">
      <c r="A3457">
        <v>201116</v>
      </c>
      <c r="B3457" t="s">
        <v>41</v>
      </c>
      <c r="C3457" s="2">
        <v>45882</v>
      </c>
      <c r="D3457" s="2">
        <f t="shared" si="322"/>
        <v>45912</v>
      </c>
      <c r="E3457" s="1">
        <f>D3457+1</f>
        <v>45913</v>
      </c>
      <c r="F3457">
        <v>2345</v>
      </c>
      <c r="G3457">
        <v>30</v>
      </c>
      <c r="H3457">
        <f t="shared" si="327"/>
        <v>0</v>
      </c>
      <c r="I3457" t="str">
        <f t="shared" si="325"/>
        <v>On Time</v>
      </c>
      <c r="J3457" cm="1">
        <f t="array" ref="J3457">_xlfn.IFS(H3457&lt;30,0,H3457&lt;60,1,H3457&lt;90,2,H3457&lt;120,3)</f>
        <v>0</v>
      </c>
      <c r="M3457" t="str">
        <f t="shared" si="326"/>
        <v>Low</v>
      </c>
      <c r="N3457" t="str">
        <f t="shared" si="323"/>
        <v>Aug</v>
      </c>
      <c r="O3457">
        <f t="shared" si="324"/>
        <v>2025</v>
      </c>
    </row>
    <row r="3458" spans="1:15" x14ac:dyDescent="0.3">
      <c r="A3458">
        <v>201117</v>
      </c>
      <c r="B3458" t="s">
        <v>42</v>
      </c>
      <c r="C3458" s="2">
        <v>45882</v>
      </c>
      <c r="D3458" s="2">
        <f t="shared" ref="D3458:D3521" si="328">C3458+G3458</f>
        <v>45912</v>
      </c>
      <c r="E3458" s="1">
        <f>D3458</f>
        <v>45912</v>
      </c>
      <c r="F3458">
        <v>134</v>
      </c>
      <c r="G3458">
        <v>30</v>
      </c>
      <c r="H3458">
        <f t="shared" si="327"/>
        <v>0</v>
      </c>
      <c r="I3458" t="str">
        <f t="shared" si="325"/>
        <v>On Time</v>
      </c>
      <c r="J3458" cm="1">
        <f t="array" ref="J3458">_xlfn.IFS(H3458&lt;30,0,H3458&lt;60,1,H3458&lt;90,2,H3458&lt;120,3)</f>
        <v>0</v>
      </c>
      <c r="M3458" t="str">
        <f t="shared" si="326"/>
        <v>Low</v>
      </c>
      <c r="N3458" t="str">
        <f t="shared" ref="N3458:N3521" si="329">TEXT(C3458,"mmm")</f>
        <v>Aug</v>
      </c>
      <c r="O3458">
        <f t="shared" ref="O3458:O3521" si="330">YEAR(C3458)</f>
        <v>2025</v>
      </c>
    </row>
    <row r="3459" spans="1:15" x14ac:dyDescent="0.3">
      <c r="A3459">
        <v>201081</v>
      </c>
      <c r="B3459" t="s">
        <v>53</v>
      </c>
      <c r="C3459" s="2">
        <v>45881</v>
      </c>
      <c r="D3459" s="2">
        <f t="shared" si="328"/>
        <v>45911</v>
      </c>
      <c r="E3459" s="1">
        <f>D3459+20</f>
        <v>45931</v>
      </c>
      <c r="F3459">
        <v>3646</v>
      </c>
      <c r="G3459">
        <v>30</v>
      </c>
      <c r="H3459">
        <f t="shared" si="327"/>
        <v>0</v>
      </c>
      <c r="I3459" t="str">
        <f t="shared" si="325"/>
        <v>On Time</v>
      </c>
      <c r="J3459" cm="1">
        <f t="array" ref="J3459">_xlfn.IFS(H3459&lt;30,0,H3459&lt;60,1,H3459&lt;90,2,H3459&lt;120,3)</f>
        <v>0</v>
      </c>
      <c r="M3459" t="str">
        <f t="shared" si="326"/>
        <v>Low</v>
      </c>
      <c r="N3459" t="str">
        <f t="shared" si="329"/>
        <v>Aug</v>
      </c>
      <c r="O3459">
        <f t="shared" si="330"/>
        <v>2025</v>
      </c>
    </row>
    <row r="3460" spans="1:15" x14ac:dyDescent="0.3">
      <c r="A3460">
        <v>201082</v>
      </c>
      <c r="B3460" t="s">
        <v>54</v>
      </c>
      <c r="C3460" s="2">
        <v>45881</v>
      </c>
      <c r="D3460" s="2">
        <f t="shared" si="328"/>
        <v>45911</v>
      </c>
      <c r="E3460" s="1">
        <f>D3460</f>
        <v>45911</v>
      </c>
      <c r="F3460">
        <v>3536</v>
      </c>
      <c r="G3460">
        <v>30</v>
      </c>
      <c r="H3460">
        <f t="shared" si="327"/>
        <v>0</v>
      </c>
      <c r="I3460" t="str">
        <f t="shared" si="325"/>
        <v>On Time</v>
      </c>
      <c r="J3460" cm="1">
        <f t="array" ref="J3460">_xlfn.IFS(H3460&lt;30,0,H3460&lt;60,1,H3460&lt;90,2,H3460&lt;120,3)</f>
        <v>0</v>
      </c>
      <c r="M3460" t="str">
        <f t="shared" si="326"/>
        <v>Low</v>
      </c>
      <c r="N3460" t="str">
        <f t="shared" si="329"/>
        <v>Aug</v>
      </c>
      <c r="O3460">
        <f t="shared" si="330"/>
        <v>2025</v>
      </c>
    </row>
    <row r="3461" spans="1:15" x14ac:dyDescent="0.3">
      <c r="A3461">
        <v>201083</v>
      </c>
      <c r="B3461" t="s">
        <v>36</v>
      </c>
      <c r="C3461" s="2">
        <v>45881</v>
      </c>
      <c r="D3461" s="2">
        <f t="shared" si="328"/>
        <v>45911</v>
      </c>
      <c r="E3461" s="1">
        <f>D3461+1</f>
        <v>45912</v>
      </c>
      <c r="F3461">
        <v>7845</v>
      </c>
      <c r="G3461">
        <v>30</v>
      </c>
      <c r="H3461">
        <f t="shared" si="327"/>
        <v>0</v>
      </c>
      <c r="I3461" t="str">
        <f t="shared" si="325"/>
        <v>On Time</v>
      </c>
      <c r="J3461" cm="1">
        <f t="array" ref="J3461">_xlfn.IFS(H3461&lt;30,0,H3461&lt;60,1,H3461&lt;90,2,H3461&lt;120,3)</f>
        <v>0</v>
      </c>
      <c r="M3461" t="str">
        <f t="shared" si="326"/>
        <v>Low</v>
      </c>
      <c r="N3461" t="str">
        <f t="shared" si="329"/>
        <v>Aug</v>
      </c>
      <c r="O3461">
        <f t="shared" si="330"/>
        <v>2025</v>
      </c>
    </row>
    <row r="3462" spans="1:15" x14ac:dyDescent="0.3">
      <c r="A3462">
        <v>201084</v>
      </c>
      <c r="B3462" t="s">
        <v>37</v>
      </c>
      <c r="C3462" s="2">
        <v>45881</v>
      </c>
      <c r="D3462" s="2">
        <f t="shared" si="328"/>
        <v>45911</v>
      </c>
      <c r="E3462" s="1">
        <f>D3462</f>
        <v>45911</v>
      </c>
      <c r="F3462">
        <v>154</v>
      </c>
      <c r="G3462">
        <v>30</v>
      </c>
      <c r="H3462">
        <f t="shared" si="327"/>
        <v>0</v>
      </c>
      <c r="I3462" t="str">
        <f t="shared" si="325"/>
        <v>On Time</v>
      </c>
      <c r="J3462" cm="1">
        <f t="array" ref="J3462">_xlfn.IFS(H3462&lt;30,0,H3462&lt;60,1,H3462&lt;90,2,H3462&lt;120,3)</f>
        <v>0</v>
      </c>
      <c r="M3462" t="str">
        <f t="shared" si="326"/>
        <v>Low</v>
      </c>
      <c r="N3462" t="str">
        <f t="shared" si="329"/>
        <v>Aug</v>
      </c>
      <c r="O3462">
        <f t="shared" si="330"/>
        <v>2025</v>
      </c>
    </row>
    <row r="3463" spans="1:15" x14ac:dyDescent="0.3">
      <c r="A3463">
        <v>201085</v>
      </c>
      <c r="B3463" t="s">
        <v>38</v>
      </c>
      <c r="C3463" s="2">
        <v>45881</v>
      </c>
      <c r="D3463" s="2">
        <f t="shared" si="328"/>
        <v>45911</v>
      </c>
      <c r="E3463" s="1">
        <f>D3463</f>
        <v>45911</v>
      </c>
      <c r="F3463">
        <v>4692</v>
      </c>
      <c r="G3463">
        <v>30</v>
      </c>
      <c r="H3463">
        <f t="shared" si="327"/>
        <v>0</v>
      </c>
      <c r="I3463" t="str">
        <f t="shared" si="325"/>
        <v>On Time</v>
      </c>
      <c r="J3463" cm="1">
        <f t="array" ref="J3463">_xlfn.IFS(H3463&lt;30,0,H3463&lt;60,1,H3463&lt;90,2,H3463&lt;120,3)</f>
        <v>0</v>
      </c>
      <c r="M3463" t="str">
        <f t="shared" si="326"/>
        <v>Low</v>
      </c>
      <c r="N3463" t="str">
        <f t="shared" si="329"/>
        <v>Aug</v>
      </c>
      <c r="O3463">
        <f t="shared" si="330"/>
        <v>2025</v>
      </c>
    </row>
    <row r="3464" spans="1:15" x14ac:dyDescent="0.3">
      <c r="A3464">
        <v>201086</v>
      </c>
      <c r="B3464" t="s">
        <v>39</v>
      </c>
      <c r="C3464" s="2">
        <v>45881</v>
      </c>
      <c r="D3464" s="2">
        <f t="shared" si="328"/>
        <v>45911</v>
      </c>
      <c r="E3464" s="1">
        <f>D3464+5</f>
        <v>45916</v>
      </c>
      <c r="F3464">
        <v>2335</v>
      </c>
      <c r="G3464">
        <v>30</v>
      </c>
      <c r="H3464">
        <f t="shared" si="327"/>
        <v>0</v>
      </c>
      <c r="I3464" t="str">
        <f t="shared" si="325"/>
        <v>On Time</v>
      </c>
      <c r="J3464" cm="1">
        <f t="array" ref="J3464">_xlfn.IFS(H3464&lt;30,0,H3464&lt;60,1,H3464&lt;90,2,H3464&lt;120,3)</f>
        <v>0</v>
      </c>
      <c r="M3464" t="str">
        <f t="shared" si="326"/>
        <v>Low</v>
      </c>
      <c r="N3464" t="str">
        <f t="shared" si="329"/>
        <v>Aug</v>
      </c>
      <c r="O3464">
        <f t="shared" si="330"/>
        <v>2025</v>
      </c>
    </row>
    <row r="3465" spans="1:15" x14ac:dyDescent="0.3">
      <c r="A3465">
        <v>201087</v>
      </c>
      <c r="B3465" t="s">
        <v>40</v>
      </c>
      <c r="C3465" s="2">
        <v>45881</v>
      </c>
      <c r="D3465" s="2">
        <f t="shared" si="328"/>
        <v>45911</v>
      </c>
      <c r="E3465" s="1">
        <f>D3465+2</f>
        <v>45913</v>
      </c>
      <c r="F3465">
        <v>1360</v>
      </c>
      <c r="G3465">
        <v>30</v>
      </c>
      <c r="H3465">
        <f t="shared" si="327"/>
        <v>0</v>
      </c>
      <c r="I3465" t="str">
        <f t="shared" si="325"/>
        <v>On Time</v>
      </c>
      <c r="J3465" cm="1">
        <f t="array" ref="J3465">_xlfn.IFS(H3465&lt;30,0,H3465&lt;60,1,H3465&lt;90,2,H3465&lt;120,3)</f>
        <v>0</v>
      </c>
      <c r="M3465" t="str">
        <f t="shared" si="326"/>
        <v>Low</v>
      </c>
      <c r="N3465" t="str">
        <f t="shared" si="329"/>
        <v>Aug</v>
      </c>
      <c r="O3465">
        <f t="shared" si="330"/>
        <v>2025</v>
      </c>
    </row>
    <row r="3466" spans="1:15" x14ac:dyDescent="0.3">
      <c r="A3466">
        <v>201088</v>
      </c>
      <c r="B3466" t="s">
        <v>41</v>
      </c>
      <c r="C3466" s="2">
        <v>45881</v>
      </c>
      <c r="D3466" s="2">
        <f t="shared" si="328"/>
        <v>45911</v>
      </c>
      <c r="E3466" s="1">
        <f>D3466+5</f>
        <v>45916</v>
      </c>
      <c r="F3466">
        <v>11867</v>
      </c>
      <c r="G3466">
        <v>30</v>
      </c>
      <c r="H3466">
        <f t="shared" si="327"/>
        <v>0</v>
      </c>
      <c r="I3466" t="str">
        <f t="shared" si="325"/>
        <v>On Time</v>
      </c>
      <c r="J3466" cm="1">
        <f t="array" ref="J3466">_xlfn.IFS(H3466&lt;30,0,H3466&lt;60,1,H3466&lt;90,2,H3466&lt;120,3)</f>
        <v>0</v>
      </c>
      <c r="M3466" t="str">
        <f t="shared" si="326"/>
        <v>Low</v>
      </c>
      <c r="N3466" t="str">
        <f t="shared" si="329"/>
        <v>Aug</v>
      </c>
      <c r="O3466">
        <f t="shared" si="330"/>
        <v>2025</v>
      </c>
    </row>
    <row r="3467" spans="1:15" x14ac:dyDescent="0.3">
      <c r="A3467">
        <v>201089</v>
      </c>
      <c r="B3467" t="s">
        <v>42</v>
      </c>
      <c r="C3467" s="2">
        <v>45881</v>
      </c>
      <c r="D3467" s="2">
        <f t="shared" si="328"/>
        <v>45911</v>
      </c>
      <c r="E3467" s="1">
        <f>D3467</f>
        <v>45911</v>
      </c>
      <c r="F3467">
        <v>3715</v>
      </c>
      <c r="G3467">
        <v>30</v>
      </c>
      <c r="H3467">
        <f t="shared" si="327"/>
        <v>0</v>
      </c>
      <c r="I3467" t="str">
        <f t="shared" si="325"/>
        <v>On Time</v>
      </c>
      <c r="J3467" cm="1">
        <f t="array" ref="J3467">_xlfn.IFS(H3467&lt;30,0,H3467&lt;60,1,H3467&lt;90,2,H3467&lt;120,3)</f>
        <v>0</v>
      </c>
      <c r="M3467" t="str">
        <f t="shared" si="326"/>
        <v>Low</v>
      </c>
      <c r="N3467" t="str">
        <f t="shared" si="329"/>
        <v>Aug</v>
      </c>
      <c r="O3467">
        <f t="shared" si="330"/>
        <v>2025</v>
      </c>
    </row>
    <row r="3468" spans="1:15" x14ac:dyDescent="0.3">
      <c r="A3468">
        <v>201090</v>
      </c>
      <c r="B3468" t="s">
        <v>43</v>
      </c>
      <c r="C3468" s="2">
        <v>45881</v>
      </c>
      <c r="D3468" s="2">
        <f t="shared" si="328"/>
        <v>45911</v>
      </c>
      <c r="E3468" s="1">
        <f>D3468</f>
        <v>45911</v>
      </c>
      <c r="F3468">
        <v>1854</v>
      </c>
      <c r="G3468">
        <v>30</v>
      </c>
      <c r="H3468">
        <f t="shared" si="327"/>
        <v>0</v>
      </c>
      <c r="I3468" t="str">
        <f t="shared" si="325"/>
        <v>On Time</v>
      </c>
      <c r="J3468" cm="1">
        <f t="array" ref="J3468">_xlfn.IFS(H3468&lt;30,0,H3468&lt;60,1,H3468&lt;90,2,H3468&lt;120,3)</f>
        <v>0</v>
      </c>
      <c r="M3468" t="str">
        <f t="shared" si="326"/>
        <v>Low</v>
      </c>
      <c r="N3468" t="str">
        <f t="shared" si="329"/>
        <v>Aug</v>
      </c>
      <c r="O3468">
        <f t="shared" si="330"/>
        <v>2025</v>
      </c>
    </row>
    <row r="3469" spans="1:15" x14ac:dyDescent="0.3">
      <c r="A3469">
        <v>201091</v>
      </c>
      <c r="B3469" t="s">
        <v>103</v>
      </c>
      <c r="C3469" s="2">
        <v>45881</v>
      </c>
      <c r="D3469" s="2">
        <f t="shared" si="328"/>
        <v>45911</v>
      </c>
      <c r="E3469" s="1">
        <f>D3469+60</f>
        <v>45971</v>
      </c>
      <c r="F3469">
        <v>2045</v>
      </c>
      <c r="G3469">
        <v>30</v>
      </c>
      <c r="H3469">
        <f t="shared" si="327"/>
        <v>0</v>
      </c>
      <c r="I3469" t="str">
        <f t="shared" si="325"/>
        <v>On Time</v>
      </c>
      <c r="J3469" cm="1">
        <f t="array" ref="J3469">_xlfn.IFS(H3469&lt;30,0,H3469&lt;60,1,H3469&lt;90,2,H3469&lt;120,3)</f>
        <v>0</v>
      </c>
      <c r="M3469" t="str">
        <f t="shared" si="326"/>
        <v>Low</v>
      </c>
      <c r="N3469" t="str">
        <f t="shared" si="329"/>
        <v>Aug</v>
      </c>
      <c r="O3469">
        <f t="shared" si="330"/>
        <v>2025</v>
      </c>
    </row>
    <row r="3470" spans="1:15" x14ac:dyDescent="0.3">
      <c r="A3470">
        <v>201092</v>
      </c>
      <c r="B3470" t="s">
        <v>104</v>
      </c>
      <c r="C3470" s="2">
        <v>45881</v>
      </c>
      <c r="D3470" s="2">
        <f t="shared" si="328"/>
        <v>45911</v>
      </c>
      <c r="E3470" s="1">
        <f>D3470</f>
        <v>45911</v>
      </c>
      <c r="F3470">
        <v>786</v>
      </c>
      <c r="G3470">
        <v>30</v>
      </c>
      <c r="H3470">
        <f t="shared" si="327"/>
        <v>0</v>
      </c>
      <c r="I3470" t="str">
        <f t="shared" si="325"/>
        <v>On Time</v>
      </c>
      <c r="J3470" cm="1">
        <f t="array" ref="J3470">_xlfn.IFS(H3470&lt;30,0,H3470&lt;60,1,H3470&lt;90,2,H3470&lt;120,3)</f>
        <v>0</v>
      </c>
      <c r="M3470" t="str">
        <f t="shared" si="326"/>
        <v>Low</v>
      </c>
      <c r="N3470" t="str">
        <f t="shared" si="329"/>
        <v>Aug</v>
      </c>
      <c r="O3470">
        <f t="shared" si="330"/>
        <v>2025</v>
      </c>
    </row>
    <row r="3471" spans="1:15" x14ac:dyDescent="0.3">
      <c r="A3471">
        <v>201093</v>
      </c>
      <c r="B3471" t="s">
        <v>105</v>
      </c>
      <c r="C3471" s="2">
        <v>45881</v>
      </c>
      <c r="D3471" s="2">
        <f t="shared" si="328"/>
        <v>45911</v>
      </c>
      <c r="F3471">
        <v>2783</v>
      </c>
      <c r="G3471">
        <v>30</v>
      </c>
      <c r="H3471">
        <f t="shared" si="327"/>
        <v>0</v>
      </c>
      <c r="I3471" t="str">
        <f t="shared" si="325"/>
        <v>On Time</v>
      </c>
      <c r="J3471" cm="1">
        <f t="array" ref="J3471">_xlfn.IFS(H3471&lt;30,0,H3471&lt;60,1,H3471&lt;90,2,H3471&lt;120,3)</f>
        <v>0</v>
      </c>
      <c r="M3471" t="str">
        <f t="shared" si="326"/>
        <v>Low</v>
      </c>
      <c r="N3471" t="str">
        <f t="shared" si="329"/>
        <v>Aug</v>
      </c>
      <c r="O3471">
        <f t="shared" si="330"/>
        <v>2025</v>
      </c>
    </row>
    <row r="3472" spans="1:15" x14ac:dyDescent="0.3">
      <c r="A3472">
        <v>201094</v>
      </c>
      <c r="B3472" t="s">
        <v>114</v>
      </c>
      <c r="C3472" s="2">
        <v>45881</v>
      </c>
      <c r="D3472" s="2">
        <f t="shared" si="328"/>
        <v>45911</v>
      </c>
      <c r="E3472" s="1">
        <f>D3472+3</f>
        <v>45914</v>
      </c>
      <c r="F3472">
        <v>18479</v>
      </c>
      <c r="G3472">
        <v>30</v>
      </c>
      <c r="H3472">
        <f t="shared" si="327"/>
        <v>0</v>
      </c>
      <c r="I3472" t="str">
        <f t="shared" si="325"/>
        <v>On Time</v>
      </c>
      <c r="J3472" cm="1">
        <f t="array" ref="J3472">_xlfn.IFS(H3472&lt;30,0,H3472&lt;60,1,H3472&lt;90,2,H3472&lt;120,3)</f>
        <v>0</v>
      </c>
      <c r="M3472" t="str">
        <f t="shared" si="326"/>
        <v>Low</v>
      </c>
      <c r="N3472" t="str">
        <f t="shared" si="329"/>
        <v>Aug</v>
      </c>
      <c r="O3472">
        <f t="shared" si="330"/>
        <v>2025</v>
      </c>
    </row>
    <row r="3473" spans="1:15" x14ac:dyDescent="0.3">
      <c r="A3473">
        <v>201095</v>
      </c>
      <c r="B3473" t="s">
        <v>115</v>
      </c>
      <c r="C3473" s="2">
        <v>45881</v>
      </c>
      <c r="D3473" s="2">
        <f t="shared" si="328"/>
        <v>45911</v>
      </c>
      <c r="E3473" s="1">
        <f>D3473+1</f>
        <v>45912</v>
      </c>
      <c r="F3473">
        <v>4080</v>
      </c>
      <c r="G3473">
        <v>30</v>
      </c>
      <c r="H3473">
        <f t="shared" si="327"/>
        <v>0</v>
      </c>
      <c r="I3473" t="str">
        <f t="shared" si="325"/>
        <v>On Time</v>
      </c>
      <c r="J3473" cm="1">
        <f t="array" ref="J3473">_xlfn.IFS(H3473&lt;30,0,H3473&lt;60,1,H3473&lt;90,2,H3473&lt;120,3)</f>
        <v>0</v>
      </c>
      <c r="M3473" t="str">
        <f t="shared" si="326"/>
        <v>Low</v>
      </c>
      <c r="N3473" t="str">
        <f t="shared" si="329"/>
        <v>Aug</v>
      </c>
      <c r="O3473">
        <f t="shared" si="330"/>
        <v>2025</v>
      </c>
    </row>
    <row r="3474" spans="1:15" x14ac:dyDescent="0.3">
      <c r="A3474">
        <v>201096</v>
      </c>
      <c r="B3474" t="s">
        <v>116</v>
      </c>
      <c r="C3474" s="2">
        <v>45881</v>
      </c>
      <c r="D3474" s="2">
        <f t="shared" si="328"/>
        <v>45911</v>
      </c>
      <c r="E3474" s="1">
        <f>D3474-1</f>
        <v>45910</v>
      </c>
      <c r="F3474">
        <v>1636</v>
      </c>
      <c r="G3474">
        <v>30</v>
      </c>
      <c r="H3474">
        <f t="shared" si="327"/>
        <v>0</v>
      </c>
      <c r="I3474" t="str">
        <f t="shared" si="325"/>
        <v>On Time</v>
      </c>
      <c r="J3474" cm="1">
        <f t="array" ref="J3474">_xlfn.IFS(H3474&lt;30,0,H3474&lt;60,1,H3474&lt;90,2,H3474&lt;120,3)</f>
        <v>0</v>
      </c>
      <c r="M3474" t="str">
        <f t="shared" si="326"/>
        <v>Low</v>
      </c>
      <c r="N3474" t="str">
        <f t="shared" si="329"/>
        <v>Aug</v>
      </c>
      <c r="O3474">
        <f t="shared" si="330"/>
        <v>2025</v>
      </c>
    </row>
    <row r="3475" spans="1:15" x14ac:dyDescent="0.3">
      <c r="A3475">
        <v>201097</v>
      </c>
      <c r="B3475" t="s">
        <v>117</v>
      </c>
      <c r="C3475" s="2">
        <v>45881</v>
      </c>
      <c r="D3475" s="2">
        <f t="shared" si="328"/>
        <v>45911</v>
      </c>
      <c r="E3475" s="1">
        <f>D3475</f>
        <v>45911</v>
      </c>
      <c r="F3475">
        <v>1203</v>
      </c>
      <c r="G3475">
        <v>30</v>
      </c>
      <c r="H3475">
        <f t="shared" si="327"/>
        <v>0</v>
      </c>
      <c r="I3475" t="str">
        <f t="shared" si="325"/>
        <v>On Time</v>
      </c>
      <c r="J3475" cm="1">
        <f t="array" ref="J3475">_xlfn.IFS(H3475&lt;30,0,H3475&lt;60,1,H3475&lt;90,2,H3475&lt;120,3)</f>
        <v>0</v>
      </c>
      <c r="M3475" t="str">
        <f t="shared" si="326"/>
        <v>Low</v>
      </c>
      <c r="N3475" t="str">
        <f t="shared" si="329"/>
        <v>Aug</v>
      </c>
      <c r="O3475">
        <f t="shared" si="330"/>
        <v>2025</v>
      </c>
    </row>
    <row r="3476" spans="1:15" x14ac:dyDescent="0.3">
      <c r="A3476">
        <v>201098</v>
      </c>
      <c r="B3476" t="s">
        <v>118</v>
      </c>
      <c r="C3476" s="2">
        <v>45881</v>
      </c>
      <c r="D3476" s="2">
        <f t="shared" si="328"/>
        <v>45911</v>
      </c>
      <c r="E3476" s="1">
        <f>D3476-5</f>
        <v>45906</v>
      </c>
      <c r="F3476">
        <v>2009</v>
      </c>
      <c r="G3476">
        <v>30</v>
      </c>
      <c r="H3476">
        <f t="shared" si="327"/>
        <v>0</v>
      </c>
      <c r="I3476" t="str">
        <f t="shared" si="325"/>
        <v>On Time</v>
      </c>
      <c r="J3476" cm="1">
        <f t="array" ref="J3476">_xlfn.IFS(H3476&lt;30,0,H3476&lt;60,1,H3476&lt;90,2,H3476&lt;120,3)</f>
        <v>0</v>
      </c>
      <c r="M3476" t="str">
        <f t="shared" si="326"/>
        <v>Low</v>
      </c>
      <c r="N3476" t="str">
        <f t="shared" si="329"/>
        <v>Aug</v>
      </c>
      <c r="O3476">
        <f t="shared" si="330"/>
        <v>2025</v>
      </c>
    </row>
    <row r="3477" spans="1:15" x14ac:dyDescent="0.3">
      <c r="A3477">
        <v>201063</v>
      </c>
      <c r="B3477" t="s">
        <v>93</v>
      </c>
      <c r="C3477" s="2">
        <v>45880</v>
      </c>
      <c r="D3477" s="2">
        <f t="shared" si="328"/>
        <v>45910</v>
      </c>
      <c r="E3477" s="1">
        <f>D3477-1</f>
        <v>45909</v>
      </c>
      <c r="F3477">
        <v>2174</v>
      </c>
      <c r="G3477">
        <v>30</v>
      </c>
      <c r="H3477">
        <f t="shared" si="327"/>
        <v>0</v>
      </c>
      <c r="I3477" t="str">
        <f t="shared" si="325"/>
        <v>On Time</v>
      </c>
      <c r="J3477" cm="1">
        <f t="array" ref="J3477">_xlfn.IFS(H3477&lt;30,0,H3477&lt;60,1,H3477&lt;90,2,H3477&lt;120,3)</f>
        <v>0</v>
      </c>
      <c r="M3477" t="str">
        <f t="shared" si="326"/>
        <v>Low</v>
      </c>
      <c r="N3477" t="str">
        <f t="shared" si="329"/>
        <v>Aug</v>
      </c>
      <c r="O3477">
        <f t="shared" si="330"/>
        <v>2025</v>
      </c>
    </row>
    <row r="3478" spans="1:15" x14ac:dyDescent="0.3">
      <c r="A3478">
        <v>201064</v>
      </c>
      <c r="B3478" t="s">
        <v>94</v>
      </c>
      <c r="C3478" s="2">
        <v>45880</v>
      </c>
      <c r="D3478" s="2">
        <f t="shared" si="328"/>
        <v>45910</v>
      </c>
      <c r="E3478" s="1">
        <f>D3478</f>
        <v>45910</v>
      </c>
      <c r="F3478">
        <v>2966</v>
      </c>
      <c r="G3478">
        <v>30</v>
      </c>
      <c r="H3478">
        <f t="shared" si="327"/>
        <v>0</v>
      </c>
      <c r="I3478" t="str">
        <f t="shared" ref="I3478:I3541" si="331">IF(H3478=0,"On Time",IF(H3478&lt;=15,"Paid Late","Seriously Late"))</f>
        <v>On Time</v>
      </c>
      <c r="J3478" cm="1">
        <f t="array" ref="J3478">_xlfn.IFS(H3478&lt;30,0,H3478&lt;60,1,H3478&lt;90,2,H3478&lt;120,3)</f>
        <v>0</v>
      </c>
      <c r="M3478" t="str">
        <f t="shared" ref="M3478:M3541" si="332">IF(H3478&gt;30,"High",IF(H3478&gt;10,"Medium","Low"))</f>
        <v>Low</v>
      </c>
      <c r="N3478" t="str">
        <f t="shared" si="329"/>
        <v>Aug</v>
      </c>
      <c r="O3478">
        <f t="shared" si="330"/>
        <v>2025</v>
      </c>
    </row>
    <row r="3479" spans="1:15" x14ac:dyDescent="0.3">
      <c r="A3479">
        <v>201065</v>
      </c>
      <c r="B3479" t="s">
        <v>95</v>
      </c>
      <c r="C3479" s="2">
        <v>45880</v>
      </c>
      <c r="D3479" s="2">
        <f t="shared" si="328"/>
        <v>45925</v>
      </c>
      <c r="E3479" s="1">
        <f>D3479+1</f>
        <v>45926</v>
      </c>
      <c r="F3479">
        <v>3815</v>
      </c>
      <c r="G3479">
        <v>45</v>
      </c>
      <c r="H3479">
        <f t="shared" si="327"/>
        <v>0</v>
      </c>
      <c r="I3479" t="str">
        <f t="shared" si="331"/>
        <v>On Time</v>
      </c>
      <c r="J3479" cm="1">
        <f t="array" ref="J3479">_xlfn.IFS(H3479&lt;30,0,H3479&lt;60,1,H3479&lt;90,2,H3479&lt;120,3)</f>
        <v>0</v>
      </c>
      <c r="M3479" t="str">
        <f t="shared" si="332"/>
        <v>Low</v>
      </c>
      <c r="N3479" t="str">
        <f t="shared" si="329"/>
        <v>Aug</v>
      </c>
      <c r="O3479">
        <f t="shared" si="330"/>
        <v>2025</v>
      </c>
    </row>
    <row r="3480" spans="1:15" x14ac:dyDescent="0.3">
      <c r="A3480">
        <v>201066</v>
      </c>
      <c r="B3480" t="s">
        <v>68</v>
      </c>
      <c r="C3480" s="2">
        <v>45880</v>
      </c>
      <c r="D3480" s="2">
        <f t="shared" si="328"/>
        <v>45910</v>
      </c>
      <c r="E3480" s="1">
        <f>D3480+35</f>
        <v>45945</v>
      </c>
      <c r="F3480">
        <v>3741</v>
      </c>
      <c r="G3480">
        <v>30</v>
      </c>
      <c r="H3480">
        <f t="shared" si="327"/>
        <v>0</v>
      </c>
      <c r="I3480" t="str">
        <f t="shared" si="331"/>
        <v>On Time</v>
      </c>
      <c r="J3480" cm="1">
        <f t="array" ref="J3480">_xlfn.IFS(H3480&lt;30,0,H3480&lt;60,1,H3480&lt;90,2,H3480&lt;120,3)</f>
        <v>0</v>
      </c>
      <c r="M3480" t="str">
        <f t="shared" si="332"/>
        <v>Low</v>
      </c>
      <c r="N3480" t="str">
        <f t="shared" si="329"/>
        <v>Aug</v>
      </c>
      <c r="O3480">
        <f t="shared" si="330"/>
        <v>2025</v>
      </c>
    </row>
    <row r="3481" spans="1:15" x14ac:dyDescent="0.3">
      <c r="A3481">
        <v>201067</v>
      </c>
      <c r="B3481" t="s">
        <v>69</v>
      </c>
      <c r="C3481" s="2">
        <v>45880</v>
      </c>
      <c r="D3481" s="2">
        <f t="shared" si="328"/>
        <v>45910</v>
      </c>
      <c r="E3481" s="1">
        <f>D3481+63</f>
        <v>45973</v>
      </c>
      <c r="F3481">
        <v>129</v>
      </c>
      <c r="G3481">
        <v>30</v>
      </c>
      <c r="H3481">
        <f t="shared" si="327"/>
        <v>0</v>
      </c>
      <c r="I3481" t="str">
        <f t="shared" si="331"/>
        <v>On Time</v>
      </c>
      <c r="J3481" cm="1">
        <f t="array" ref="J3481">_xlfn.IFS(H3481&lt;30,0,H3481&lt;60,1,H3481&lt;90,2,H3481&lt;120,3)</f>
        <v>0</v>
      </c>
      <c r="M3481" t="str">
        <f t="shared" si="332"/>
        <v>Low</v>
      </c>
      <c r="N3481" t="str">
        <f t="shared" si="329"/>
        <v>Aug</v>
      </c>
      <c r="O3481">
        <f t="shared" si="330"/>
        <v>2025</v>
      </c>
    </row>
    <row r="3482" spans="1:15" x14ac:dyDescent="0.3">
      <c r="A3482">
        <v>201068</v>
      </c>
      <c r="B3482" t="s">
        <v>70</v>
      </c>
      <c r="C3482" s="2">
        <v>45880</v>
      </c>
      <c r="D3482" s="2">
        <f t="shared" si="328"/>
        <v>45910</v>
      </c>
      <c r="E3482" s="1">
        <f>D3482+5</f>
        <v>45915</v>
      </c>
      <c r="F3482">
        <v>4776</v>
      </c>
      <c r="G3482">
        <v>30</v>
      </c>
      <c r="H3482">
        <f t="shared" si="327"/>
        <v>0</v>
      </c>
      <c r="I3482" t="str">
        <f t="shared" si="331"/>
        <v>On Time</v>
      </c>
      <c r="J3482" cm="1">
        <f t="array" ref="J3482">_xlfn.IFS(H3482&lt;30,0,H3482&lt;60,1,H3482&lt;90,2,H3482&lt;120,3)</f>
        <v>0</v>
      </c>
      <c r="M3482" t="str">
        <f t="shared" si="332"/>
        <v>Low</v>
      </c>
      <c r="N3482" t="str">
        <f t="shared" si="329"/>
        <v>Aug</v>
      </c>
      <c r="O3482">
        <f t="shared" si="330"/>
        <v>2025</v>
      </c>
    </row>
    <row r="3483" spans="1:15" x14ac:dyDescent="0.3">
      <c r="A3483">
        <v>201069</v>
      </c>
      <c r="B3483" t="s">
        <v>71</v>
      </c>
      <c r="C3483" s="2">
        <v>45880</v>
      </c>
      <c r="D3483" s="2">
        <f t="shared" si="328"/>
        <v>45910</v>
      </c>
      <c r="E3483" s="1">
        <f>D3483</f>
        <v>45910</v>
      </c>
      <c r="F3483">
        <v>4554</v>
      </c>
      <c r="G3483">
        <v>30</v>
      </c>
      <c r="H3483">
        <f t="shared" si="327"/>
        <v>0</v>
      </c>
      <c r="I3483" t="str">
        <f t="shared" si="331"/>
        <v>On Time</v>
      </c>
      <c r="J3483" cm="1">
        <f t="array" ref="J3483">_xlfn.IFS(H3483&lt;30,0,H3483&lt;60,1,H3483&lt;90,2,H3483&lt;120,3)</f>
        <v>0</v>
      </c>
      <c r="M3483" t="str">
        <f t="shared" si="332"/>
        <v>Low</v>
      </c>
      <c r="N3483" t="str">
        <f t="shared" si="329"/>
        <v>Aug</v>
      </c>
      <c r="O3483">
        <f t="shared" si="330"/>
        <v>2025</v>
      </c>
    </row>
    <row r="3484" spans="1:15" x14ac:dyDescent="0.3">
      <c r="A3484">
        <v>201070</v>
      </c>
      <c r="B3484" t="s">
        <v>72</v>
      </c>
      <c r="C3484" s="2">
        <v>45880</v>
      </c>
      <c r="D3484" s="2">
        <f t="shared" si="328"/>
        <v>45910</v>
      </c>
      <c r="E3484" s="1">
        <f>D3484-1</f>
        <v>45909</v>
      </c>
      <c r="F3484">
        <v>1770</v>
      </c>
      <c r="G3484">
        <v>30</v>
      </c>
      <c r="H3484">
        <f t="shared" si="327"/>
        <v>0</v>
      </c>
      <c r="I3484" t="str">
        <f t="shared" si="331"/>
        <v>On Time</v>
      </c>
      <c r="J3484" cm="1">
        <f t="array" ref="J3484">_xlfn.IFS(H3484&lt;30,0,H3484&lt;60,1,H3484&lt;90,2,H3484&lt;120,3)</f>
        <v>0</v>
      </c>
      <c r="M3484" t="str">
        <f t="shared" si="332"/>
        <v>Low</v>
      </c>
      <c r="N3484" t="str">
        <f t="shared" si="329"/>
        <v>Aug</v>
      </c>
      <c r="O3484">
        <f t="shared" si="330"/>
        <v>2025</v>
      </c>
    </row>
    <row r="3485" spans="1:15" x14ac:dyDescent="0.3">
      <c r="A3485">
        <v>201071</v>
      </c>
      <c r="B3485" t="s">
        <v>73</v>
      </c>
      <c r="C3485" s="2">
        <v>45880</v>
      </c>
      <c r="D3485" s="2">
        <f t="shared" si="328"/>
        <v>45925</v>
      </c>
      <c r="E3485" s="1">
        <f>D3485</f>
        <v>45925</v>
      </c>
      <c r="F3485">
        <v>922</v>
      </c>
      <c r="G3485">
        <v>45</v>
      </c>
      <c r="H3485">
        <f t="shared" si="327"/>
        <v>0</v>
      </c>
      <c r="I3485" t="str">
        <f t="shared" si="331"/>
        <v>On Time</v>
      </c>
      <c r="J3485" cm="1">
        <f t="array" ref="J3485">_xlfn.IFS(H3485&lt;30,0,H3485&lt;60,1,H3485&lt;90,2,H3485&lt;120,3)</f>
        <v>0</v>
      </c>
      <c r="M3485" t="str">
        <f t="shared" si="332"/>
        <v>Low</v>
      </c>
      <c r="N3485" t="str">
        <f t="shared" si="329"/>
        <v>Aug</v>
      </c>
      <c r="O3485">
        <f t="shared" si="330"/>
        <v>2025</v>
      </c>
    </row>
    <row r="3486" spans="1:15" x14ac:dyDescent="0.3">
      <c r="A3486">
        <v>201072</v>
      </c>
      <c r="B3486" t="s">
        <v>74</v>
      </c>
      <c r="C3486" s="2">
        <v>45880</v>
      </c>
      <c r="D3486" s="2">
        <f t="shared" si="328"/>
        <v>45925</v>
      </c>
      <c r="E3486" s="1">
        <f>D3486+32</f>
        <v>45957</v>
      </c>
      <c r="F3486">
        <v>3086</v>
      </c>
      <c r="G3486">
        <v>45</v>
      </c>
      <c r="H3486">
        <f t="shared" si="327"/>
        <v>0</v>
      </c>
      <c r="I3486" t="str">
        <f t="shared" si="331"/>
        <v>On Time</v>
      </c>
      <c r="J3486" cm="1">
        <f t="array" ref="J3486">_xlfn.IFS(H3486&lt;30,0,H3486&lt;60,1,H3486&lt;90,2,H3486&lt;120,3)</f>
        <v>0</v>
      </c>
      <c r="M3486" t="str">
        <f t="shared" si="332"/>
        <v>Low</v>
      </c>
      <c r="N3486" t="str">
        <f t="shared" si="329"/>
        <v>Aug</v>
      </c>
      <c r="O3486">
        <f t="shared" si="330"/>
        <v>2025</v>
      </c>
    </row>
    <row r="3487" spans="1:15" x14ac:dyDescent="0.3">
      <c r="A3487">
        <v>201073</v>
      </c>
      <c r="B3487" t="s">
        <v>45</v>
      </c>
      <c r="C3487" s="2">
        <v>45880</v>
      </c>
      <c r="D3487" s="2">
        <f t="shared" si="328"/>
        <v>45925</v>
      </c>
      <c r="E3487" s="1">
        <f>D3487+15</f>
        <v>45940</v>
      </c>
      <c r="F3487">
        <v>4261</v>
      </c>
      <c r="G3487">
        <v>45</v>
      </c>
      <c r="H3487">
        <f t="shared" si="327"/>
        <v>0</v>
      </c>
      <c r="I3487" t="str">
        <f t="shared" si="331"/>
        <v>On Time</v>
      </c>
      <c r="J3487" cm="1">
        <f t="array" ref="J3487">_xlfn.IFS(H3487&lt;30,0,H3487&lt;60,1,H3487&lt;90,2,H3487&lt;120,3)</f>
        <v>0</v>
      </c>
      <c r="M3487" t="str">
        <f t="shared" si="332"/>
        <v>Low</v>
      </c>
      <c r="N3487" t="str">
        <f t="shared" si="329"/>
        <v>Aug</v>
      </c>
      <c r="O3487">
        <f t="shared" si="330"/>
        <v>2025</v>
      </c>
    </row>
    <row r="3488" spans="1:15" x14ac:dyDescent="0.3">
      <c r="A3488">
        <v>201074</v>
      </c>
      <c r="B3488" t="s">
        <v>46</v>
      </c>
      <c r="C3488" s="2">
        <v>45880</v>
      </c>
      <c r="D3488" s="2">
        <f t="shared" si="328"/>
        <v>45940</v>
      </c>
      <c r="E3488" s="1">
        <f>D3488-2</f>
        <v>45938</v>
      </c>
      <c r="F3488">
        <v>1767</v>
      </c>
      <c r="G3488">
        <v>60</v>
      </c>
      <c r="H3488">
        <f t="shared" si="327"/>
        <v>0</v>
      </c>
      <c r="I3488" t="str">
        <f t="shared" si="331"/>
        <v>On Time</v>
      </c>
      <c r="J3488" cm="1">
        <f t="array" ref="J3488">_xlfn.IFS(H3488&lt;30,0,H3488&lt;60,1,H3488&lt;90,2,H3488&lt;120,3)</f>
        <v>0</v>
      </c>
      <c r="M3488" t="str">
        <f t="shared" si="332"/>
        <v>Low</v>
      </c>
      <c r="N3488" t="str">
        <f t="shared" si="329"/>
        <v>Aug</v>
      </c>
      <c r="O3488">
        <f t="shared" si="330"/>
        <v>2025</v>
      </c>
    </row>
    <row r="3489" spans="1:15" x14ac:dyDescent="0.3">
      <c r="A3489">
        <v>201075</v>
      </c>
      <c r="B3489" t="s">
        <v>47</v>
      </c>
      <c r="C3489" s="2">
        <v>45880</v>
      </c>
      <c r="D3489" s="2">
        <f t="shared" si="328"/>
        <v>45940</v>
      </c>
      <c r="E3489" s="1">
        <f>D3489-2</f>
        <v>45938</v>
      </c>
      <c r="F3489">
        <v>2996</v>
      </c>
      <c r="G3489">
        <v>60</v>
      </c>
      <c r="H3489">
        <f t="shared" si="327"/>
        <v>0</v>
      </c>
      <c r="I3489" t="str">
        <f t="shared" si="331"/>
        <v>On Time</v>
      </c>
      <c r="J3489" cm="1">
        <f t="array" ref="J3489">_xlfn.IFS(H3489&lt;30,0,H3489&lt;60,1,H3489&lt;90,2,H3489&lt;120,3)</f>
        <v>0</v>
      </c>
      <c r="M3489" t="str">
        <f t="shared" si="332"/>
        <v>Low</v>
      </c>
      <c r="N3489" t="str">
        <f t="shared" si="329"/>
        <v>Aug</v>
      </c>
      <c r="O3489">
        <f t="shared" si="330"/>
        <v>2025</v>
      </c>
    </row>
    <row r="3490" spans="1:15" x14ac:dyDescent="0.3">
      <c r="A3490">
        <v>201076</v>
      </c>
      <c r="B3490" t="s">
        <v>48</v>
      </c>
      <c r="C3490" s="2">
        <v>45880</v>
      </c>
      <c r="D3490" s="2">
        <f t="shared" si="328"/>
        <v>45925</v>
      </c>
      <c r="E3490" s="1">
        <f>D3490</f>
        <v>45925</v>
      </c>
      <c r="F3490">
        <v>2016</v>
      </c>
      <c r="G3490">
        <v>45</v>
      </c>
      <c r="H3490">
        <f t="shared" si="327"/>
        <v>0</v>
      </c>
      <c r="I3490" t="str">
        <f t="shared" si="331"/>
        <v>On Time</v>
      </c>
      <c r="J3490" cm="1">
        <f t="array" ref="J3490">_xlfn.IFS(H3490&lt;30,0,H3490&lt;60,1,H3490&lt;90,2,H3490&lt;120,3)</f>
        <v>0</v>
      </c>
      <c r="M3490" t="str">
        <f t="shared" si="332"/>
        <v>Low</v>
      </c>
      <c r="N3490" t="str">
        <f t="shared" si="329"/>
        <v>Aug</v>
      </c>
      <c r="O3490">
        <f t="shared" si="330"/>
        <v>2025</v>
      </c>
    </row>
    <row r="3491" spans="1:15" x14ac:dyDescent="0.3">
      <c r="A3491">
        <v>201077</v>
      </c>
      <c r="B3491" t="s">
        <v>49</v>
      </c>
      <c r="C3491" s="2">
        <v>45880</v>
      </c>
      <c r="D3491" s="2">
        <f t="shared" si="328"/>
        <v>45910</v>
      </c>
      <c r="E3491" s="1">
        <f>D3491+2</f>
        <v>45912</v>
      </c>
      <c r="F3491">
        <v>3256</v>
      </c>
      <c r="G3491">
        <v>30</v>
      </c>
      <c r="H3491">
        <f t="shared" si="327"/>
        <v>0</v>
      </c>
      <c r="I3491" t="str">
        <f t="shared" si="331"/>
        <v>On Time</v>
      </c>
      <c r="J3491" cm="1">
        <f t="array" ref="J3491">_xlfn.IFS(H3491&lt;30,0,H3491&lt;60,1,H3491&lt;90,2,H3491&lt;120,3)</f>
        <v>0</v>
      </c>
      <c r="M3491" t="str">
        <f t="shared" si="332"/>
        <v>Low</v>
      </c>
      <c r="N3491" t="str">
        <f t="shared" si="329"/>
        <v>Aug</v>
      </c>
      <c r="O3491">
        <f t="shared" si="330"/>
        <v>2025</v>
      </c>
    </row>
    <row r="3492" spans="1:15" x14ac:dyDescent="0.3">
      <c r="A3492">
        <v>201078</v>
      </c>
      <c r="B3492" t="s">
        <v>50</v>
      </c>
      <c r="C3492" s="2">
        <v>45880</v>
      </c>
      <c r="D3492" s="2">
        <f t="shared" si="328"/>
        <v>45910</v>
      </c>
      <c r="E3492" s="1">
        <f>D3492+2</f>
        <v>45912</v>
      </c>
      <c r="F3492">
        <v>1369</v>
      </c>
      <c r="G3492">
        <v>30</v>
      </c>
      <c r="H3492">
        <f t="shared" si="327"/>
        <v>0</v>
      </c>
      <c r="I3492" t="str">
        <f t="shared" si="331"/>
        <v>On Time</v>
      </c>
      <c r="J3492" cm="1">
        <f t="array" ref="J3492">_xlfn.IFS(H3492&lt;30,0,H3492&lt;60,1,H3492&lt;90,2,H3492&lt;120,3)</f>
        <v>0</v>
      </c>
      <c r="M3492" t="str">
        <f t="shared" si="332"/>
        <v>Low</v>
      </c>
      <c r="N3492" t="str">
        <f t="shared" si="329"/>
        <v>Aug</v>
      </c>
      <c r="O3492">
        <f t="shared" si="330"/>
        <v>2025</v>
      </c>
    </row>
    <row r="3493" spans="1:15" x14ac:dyDescent="0.3">
      <c r="A3493">
        <v>201079</v>
      </c>
      <c r="B3493" t="s">
        <v>51</v>
      </c>
      <c r="C3493" s="2">
        <v>45880</v>
      </c>
      <c r="D3493" s="2">
        <f t="shared" si="328"/>
        <v>45910</v>
      </c>
      <c r="E3493" s="1">
        <f>D3493+2</f>
        <v>45912</v>
      </c>
      <c r="F3493">
        <v>1134</v>
      </c>
      <c r="G3493">
        <v>30</v>
      </c>
      <c r="H3493">
        <f t="shared" si="327"/>
        <v>0</v>
      </c>
      <c r="I3493" t="str">
        <f t="shared" si="331"/>
        <v>On Time</v>
      </c>
      <c r="J3493" cm="1">
        <f t="array" ref="J3493">_xlfn.IFS(H3493&lt;30,0,H3493&lt;60,1,H3493&lt;90,2,H3493&lt;120,3)</f>
        <v>0</v>
      </c>
      <c r="M3493" t="str">
        <f t="shared" si="332"/>
        <v>Low</v>
      </c>
      <c r="N3493" t="str">
        <f t="shared" si="329"/>
        <v>Aug</v>
      </c>
      <c r="O3493">
        <f t="shared" si="330"/>
        <v>2025</v>
      </c>
    </row>
    <row r="3494" spans="1:15" x14ac:dyDescent="0.3">
      <c r="A3494">
        <v>201080</v>
      </c>
      <c r="B3494" t="s">
        <v>52</v>
      </c>
      <c r="C3494" s="2">
        <v>45880</v>
      </c>
      <c r="D3494" s="2">
        <f t="shared" si="328"/>
        <v>45910</v>
      </c>
      <c r="E3494" s="1">
        <f>D3494</f>
        <v>45910</v>
      </c>
      <c r="F3494">
        <v>4226</v>
      </c>
      <c r="G3494">
        <v>30</v>
      </c>
      <c r="H3494">
        <f t="shared" ref="H3494:H3557" si="333">MAX(0,P3459-D3494)</f>
        <v>0</v>
      </c>
      <c r="I3494" t="str">
        <f t="shared" si="331"/>
        <v>On Time</v>
      </c>
      <c r="J3494" cm="1">
        <f t="array" ref="J3494">_xlfn.IFS(H3494&lt;30,0,H3494&lt;60,1,H3494&lt;90,2,H3494&lt;120,3)</f>
        <v>0</v>
      </c>
      <c r="M3494" t="str">
        <f t="shared" si="332"/>
        <v>Low</v>
      </c>
      <c r="N3494" t="str">
        <f t="shared" si="329"/>
        <v>Aug</v>
      </c>
      <c r="O3494">
        <f t="shared" si="330"/>
        <v>2025</v>
      </c>
    </row>
    <row r="3495" spans="1:15" x14ac:dyDescent="0.3">
      <c r="A3495">
        <v>201043</v>
      </c>
      <c r="B3495" t="s">
        <v>46</v>
      </c>
      <c r="C3495" s="2">
        <v>45877</v>
      </c>
      <c r="D3495" s="2">
        <f t="shared" si="328"/>
        <v>45937</v>
      </c>
      <c r="E3495" s="1">
        <f>D3495</f>
        <v>45937</v>
      </c>
      <c r="F3495">
        <v>4652</v>
      </c>
      <c r="G3495">
        <v>60</v>
      </c>
      <c r="H3495">
        <f t="shared" si="333"/>
        <v>0</v>
      </c>
      <c r="I3495" t="str">
        <f t="shared" si="331"/>
        <v>On Time</v>
      </c>
      <c r="J3495" cm="1">
        <f t="array" ref="J3495">_xlfn.IFS(H3495&lt;30,0,H3495&lt;60,1,H3495&lt;90,2,H3495&lt;120,3)</f>
        <v>0</v>
      </c>
      <c r="M3495" t="str">
        <f t="shared" si="332"/>
        <v>Low</v>
      </c>
      <c r="N3495" t="str">
        <f t="shared" si="329"/>
        <v>Aug</v>
      </c>
      <c r="O3495">
        <f t="shared" si="330"/>
        <v>2025</v>
      </c>
    </row>
    <row r="3496" spans="1:15" x14ac:dyDescent="0.3">
      <c r="A3496">
        <v>201044</v>
      </c>
      <c r="B3496" t="s">
        <v>114</v>
      </c>
      <c r="C3496" s="2">
        <v>45877</v>
      </c>
      <c r="D3496" s="2">
        <f t="shared" si="328"/>
        <v>45907</v>
      </c>
      <c r="E3496" s="1">
        <f>D3496+2</f>
        <v>45909</v>
      </c>
      <c r="F3496">
        <v>3574</v>
      </c>
      <c r="G3496">
        <v>30</v>
      </c>
      <c r="H3496">
        <f t="shared" si="333"/>
        <v>0</v>
      </c>
      <c r="I3496" t="str">
        <f t="shared" si="331"/>
        <v>On Time</v>
      </c>
      <c r="J3496" cm="1">
        <f t="array" ref="J3496">_xlfn.IFS(H3496&lt;30,0,H3496&lt;60,1,H3496&lt;90,2,H3496&lt;120,3)</f>
        <v>0</v>
      </c>
      <c r="M3496" t="str">
        <f t="shared" si="332"/>
        <v>Low</v>
      </c>
      <c r="N3496" t="str">
        <f t="shared" si="329"/>
        <v>Aug</v>
      </c>
      <c r="O3496">
        <f t="shared" si="330"/>
        <v>2025</v>
      </c>
    </row>
    <row r="3497" spans="1:15" x14ac:dyDescent="0.3">
      <c r="A3497">
        <v>201045</v>
      </c>
      <c r="B3497" t="s">
        <v>115</v>
      </c>
      <c r="C3497" s="2">
        <v>45877</v>
      </c>
      <c r="D3497" s="2">
        <f t="shared" si="328"/>
        <v>45907</v>
      </c>
      <c r="E3497" s="1">
        <f>D3497+2</f>
        <v>45909</v>
      </c>
      <c r="F3497">
        <v>2035</v>
      </c>
      <c r="G3497">
        <v>30</v>
      </c>
      <c r="H3497">
        <f t="shared" si="333"/>
        <v>0</v>
      </c>
      <c r="I3497" t="str">
        <f t="shared" si="331"/>
        <v>On Time</v>
      </c>
      <c r="J3497" cm="1">
        <f t="array" ref="J3497">_xlfn.IFS(H3497&lt;30,0,H3497&lt;60,1,H3497&lt;90,2,H3497&lt;120,3)</f>
        <v>0</v>
      </c>
      <c r="M3497" t="str">
        <f t="shared" si="332"/>
        <v>Low</v>
      </c>
      <c r="N3497" t="str">
        <f t="shared" si="329"/>
        <v>Aug</v>
      </c>
      <c r="O3497">
        <f t="shared" si="330"/>
        <v>2025</v>
      </c>
    </row>
    <row r="3498" spans="1:15" x14ac:dyDescent="0.3">
      <c r="A3498">
        <v>201046</v>
      </c>
      <c r="B3498" t="s">
        <v>116</v>
      </c>
      <c r="C3498" s="2">
        <v>45877</v>
      </c>
      <c r="D3498" s="2">
        <f t="shared" si="328"/>
        <v>45907</v>
      </c>
      <c r="E3498" s="1">
        <f>D3498+2</f>
        <v>45909</v>
      </c>
      <c r="F3498">
        <v>2508</v>
      </c>
      <c r="G3498">
        <v>30</v>
      </c>
      <c r="H3498">
        <f t="shared" si="333"/>
        <v>0</v>
      </c>
      <c r="I3498" t="str">
        <f t="shared" si="331"/>
        <v>On Time</v>
      </c>
      <c r="J3498" cm="1">
        <f t="array" ref="J3498">_xlfn.IFS(H3498&lt;30,0,H3498&lt;60,1,H3498&lt;90,2,H3498&lt;120,3)</f>
        <v>0</v>
      </c>
      <c r="M3498" t="str">
        <f t="shared" si="332"/>
        <v>Low</v>
      </c>
      <c r="N3498" t="str">
        <f t="shared" si="329"/>
        <v>Aug</v>
      </c>
      <c r="O3498">
        <f t="shared" si="330"/>
        <v>2025</v>
      </c>
    </row>
    <row r="3499" spans="1:15" x14ac:dyDescent="0.3">
      <c r="A3499">
        <v>201047</v>
      </c>
      <c r="B3499" t="s">
        <v>117</v>
      </c>
      <c r="C3499" s="2">
        <v>45877</v>
      </c>
      <c r="D3499" s="2">
        <f t="shared" si="328"/>
        <v>45907</v>
      </c>
      <c r="E3499" s="1">
        <f>D3499</f>
        <v>45907</v>
      </c>
      <c r="F3499">
        <v>4458</v>
      </c>
      <c r="G3499">
        <v>30</v>
      </c>
      <c r="H3499">
        <f t="shared" si="333"/>
        <v>0</v>
      </c>
      <c r="I3499" t="str">
        <f t="shared" si="331"/>
        <v>On Time</v>
      </c>
      <c r="J3499" cm="1">
        <f t="array" ref="J3499">_xlfn.IFS(H3499&lt;30,0,H3499&lt;60,1,H3499&lt;90,2,H3499&lt;120,3)</f>
        <v>0</v>
      </c>
      <c r="M3499" t="str">
        <f t="shared" si="332"/>
        <v>Low</v>
      </c>
      <c r="N3499" t="str">
        <f t="shared" si="329"/>
        <v>Aug</v>
      </c>
      <c r="O3499">
        <f t="shared" si="330"/>
        <v>2025</v>
      </c>
    </row>
    <row r="3500" spans="1:15" x14ac:dyDescent="0.3">
      <c r="A3500">
        <v>201048</v>
      </c>
      <c r="B3500" t="s">
        <v>118</v>
      </c>
      <c r="C3500" s="2">
        <v>45877</v>
      </c>
      <c r="D3500" s="2">
        <f t="shared" si="328"/>
        <v>45907</v>
      </c>
      <c r="E3500" s="1">
        <f>D3500+20</f>
        <v>45927</v>
      </c>
      <c r="F3500">
        <v>3307</v>
      </c>
      <c r="G3500">
        <v>30</v>
      </c>
      <c r="H3500">
        <f t="shared" si="333"/>
        <v>0</v>
      </c>
      <c r="I3500" t="str">
        <f t="shared" si="331"/>
        <v>On Time</v>
      </c>
      <c r="J3500" cm="1">
        <f t="array" ref="J3500">_xlfn.IFS(H3500&lt;30,0,H3500&lt;60,1,H3500&lt;90,2,H3500&lt;120,3)</f>
        <v>0</v>
      </c>
      <c r="M3500" t="str">
        <f t="shared" si="332"/>
        <v>Low</v>
      </c>
      <c r="N3500" t="str">
        <f t="shared" si="329"/>
        <v>Aug</v>
      </c>
      <c r="O3500">
        <f t="shared" si="330"/>
        <v>2025</v>
      </c>
    </row>
    <row r="3501" spans="1:15" x14ac:dyDescent="0.3">
      <c r="A3501">
        <v>201049</v>
      </c>
      <c r="B3501" t="s">
        <v>119</v>
      </c>
      <c r="C3501" s="2">
        <v>45877</v>
      </c>
      <c r="D3501" s="2">
        <f t="shared" si="328"/>
        <v>45907</v>
      </c>
      <c r="E3501" s="1">
        <f>D3501</f>
        <v>45907</v>
      </c>
      <c r="F3501">
        <v>1335</v>
      </c>
      <c r="G3501">
        <v>30</v>
      </c>
      <c r="H3501">
        <f t="shared" si="333"/>
        <v>0</v>
      </c>
      <c r="I3501" t="str">
        <f t="shared" si="331"/>
        <v>On Time</v>
      </c>
      <c r="J3501" cm="1">
        <f t="array" ref="J3501">_xlfn.IFS(H3501&lt;30,0,H3501&lt;60,1,H3501&lt;90,2,H3501&lt;120,3)</f>
        <v>0</v>
      </c>
      <c r="M3501" t="str">
        <f t="shared" si="332"/>
        <v>Low</v>
      </c>
      <c r="N3501" t="str">
        <f t="shared" si="329"/>
        <v>Aug</v>
      </c>
      <c r="O3501">
        <f t="shared" si="330"/>
        <v>2025</v>
      </c>
    </row>
    <row r="3502" spans="1:15" x14ac:dyDescent="0.3">
      <c r="A3502">
        <v>201050</v>
      </c>
      <c r="B3502" t="s">
        <v>100</v>
      </c>
      <c r="C3502" s="2">
        <v>45877</v>
      </c>
      <c r="D3502" s="2">
        <f t="shared" si="328"/>
        <v>45907</v>
      </c>
      <c r="E3502" s="1">
        <f>D3502+1</f>
        <v>45908</v>
      </c>
      <c r="F3502">
        <v>2005</v>
      </c>
      <c r="G3502">
        <v>30</v>
      </c>
      <c r="H3502">
        <f t="shared" si="333"/>
        <v>0</v>
      </c>
      <c r="I3502" t="str">
        <f t="shared" si="331"/>
        <v>On Time</v>
      </c>
      <c r="J3502" cm="1">
        <f t="array" ref="J3502">_xlfn.IFS(H3502&lt;30,0,H3502&lt;60,1,H3502&lt;90,2,H3502&lt;120,3)</f>
        <v>0</v>
      </c>
      <c r="M3502" t="str">
        <f t="shared" si="332"/>
        <v>Low</v>
      </c>
      <c r="N3502" t="str">
        <f t="shared" si="329"/>
        <v>Aug</v>
      </c>
      <c r="O3502">
        <f t="shared" si="330"/>
        <v>2025</v>
      </c>
    </row>
    <row r="3503" spans="1:15" x14ac:dyDescent="0.3">
      <c r="A3503">
        <v>201051</v>
      </c>
      <c r="B3503" t="s">
        <v>101</v>
      </c>
      <c r="C3503" s="2">
        <v>45877</v>
      </c>
      <c r="D3503" s="2">
        <f t="shared" si="328"/>
        <v>45907</v>
      </c>
      <c r="E3503" s="1">
        <f>D3503</f>
        <v>45907</v>
      </c>
      <c r="F3503">
        <v>1380</v>
      </c>
      <c r="G3503">
        <v>30</v>
      </c>
      <c r="H3503">
        <f t="shared" si="333"/>
        <v>0</v>
      </c>
      <c r="I3503" t="str">
        <f t="shared" si="331"/>
        <v>On Time</v>
      </c>
      <c r="J3503" cm="1">
        <f t="array" ref="J3503">_xlfn.IFS(H3503&lt;30,0,H3503&lt;60,1,H3503&lt;90,2,H3503&lt;120,3)</f>
        <v>0</v>
      </c>
      <c r="M3503" t="str">
        <f t="shared" si="332"/>
        <v>Low</v>
      </c>
      <c r="N3503" t="str">
        <f t="shared" si="329"/>
        <v>Aug</v>
      </c>
      <c r="O3503">
        <f t="shared" si="330"/>
        <v>2025</v>
      </c>
    </row>
    <row r="3504" spans="1:15" x14ac:dyDescent="0.3">
      <c r="A3504">
        <v>201052</v>
      </c>
      <c r="B3504" t="s">
        <v>102</v>
      </c>
      <c r="C3504" s="2">
        <v>45877</v>
      </c>
      <c r="D3504" s="2">
        <f t="shared" si="328"/>
        <v>45907</v>
      </c>
      <c r="E3504" s="1">
        <f>D3504</f>
        <v>45907</v>
      </c>
      <c r="F3504">
        <v>1814</v>
      </c>
      <c r="G3504">
        <v>30</v>
      </c>
      <c r="H3504">
        <f t="shared" si="333"/>
        <v>0</v>
      </c>
      <c r="I3504" t="str">
        <f t="shared" si="331"/>
        <v>On Time</v>
      </c>
      <c r="J3504" cm="1">
        <f t="array" ref="J3504">_xlfn.IFS(H3504&lt;30,0,H3504&lt;60,1,H3504&lt;90,2,H3504&lt;120,3)</f>
        <v>0</v>
      </c>
      <c r="M3504" t="str">
        <f t="shared" si="332"/>
        <v>Low</v>
      </c>
      <c r="N3504" t="str">
        <f t="shared" si="329"/>
        <v>Aug</v>
      </c>
      <c r="O3504">
        <f t="shared" si="330"/>
        <v>2025</v>
      </c>
    </row>
    <row r="3505" spans="1:15" x14ac:dyDescent="0.3">
      <c r="A3505">
        <v>201053</v>
      </c>
      <c r="B3505" t="s">
        <v>103</v>
      </c>
      <c r="C3505" s="2">
        <v>45877</v>
      </c>
      <c r="D3505" s="2">
        <f t="shared" si="328"/>
        <v>45907</v>
      </c>
      <c r="E3505" s="1">
        <f>D3505+5</f>
        <v>45912</v>
      </c>
      <c r="F3505">
        <v>3630</v>
      </c>
      <c r="G3505">
        <v>30</v>
      </c>
      <c r="H3505">
        <f t="shared" si="333"/>
        <v>0</v>
      </c>
      <c r="I3505" t="str">
        <f t="shared" si="331"/>
        <v>On Time</v>
      </c>
      <c r="J3505" cm="1">
        <f t="array" ref="J3505">_xlfn.IFS(H3505&lt;30,0,H3505&lt;60,1,H3505&lt;90,2,H3505&lt;120,3)</f>
        <v>0</v>
      </c>
      <c r="M3505" t="str">
        <f t="shared" si="332"/>
        <v>Low</v>
      </c>
      <c r="N3505" t="str">
        <f t="shared" si="329"/>
        <v>Aug</v>
      </c>
      <c r="O3505">
        <f t="shared" si="330"/>
        <v>2025</v>
      </c>
    </row>
    <row r="3506" spans="1:15" x14ac:dyDescent="0.3">
      <c r="A3506">
        <v>201054</v>
      </c>
      <c r="B3506" t="s">
        <v>104</v>
      </c>
      <c r="C3506" s="2">
        <v>45877</v>
      </c>
      <c r="D3506" s="2">
        <f t="shared" si="328"/>
        <v>45907</v>
      </c>
      <c r="E3506" s="1">
        <f>D3506+2</f>
        <v>45909</v>
      </c>
      <c r="F3506">
        <v>228</v>
      </c>
      <c r="G3506">
        <v>30</v>
      </c>
      <c r="H3506">
        <f t="shared" si="333"/>
        <v>0</v>
      </c>
      <c r="I3506" t="str">
        <f t="shared" si="331"/>
        <v>On Time</v>
      </c>
      <c r="J3506" cm="1">
        <f t="array" ref="J3506">_xlfn.IFS(H3506&lt;30,0,H3506&lt;60,1,H3506&lt;90,2,H3506&lt;120,3)</f>
        <v>0</v>
      </c>
      <c r="M3506" t="str">
        <f t="shared" si="332"/>
        <v>Low</v>
      </c>
      <c r="N3506" t="str">
        <f t="shared" si="329"/>
        <v>Aug</v>
      </c>
      <c r="O3506">
        <f t="shared" si="330"/>
        <v>2025</v>
      </c>
    </row>
    <row r="3507" spans="1:15" x14ac:dyDescent="0.3">
      <c r="A3507">
        <v>201055</v>
      </c>
      <c r="B3507" t="s">
        <v>105</v>
      </c>
      <c r="C3507" s="2">
        <v>45877</v>
      </c>
      <c r="D3507" s="2">
        <f t="shared" si="328"/>
        <v>45907</v>
      </c>
      <c r="E3507" s="1">
        <f>D3507</f>
        <v>45907</v>
      </c>
      <c r="F3507">
        <v>12866</v>
      </c>
      <c r="G3507">
        <v>30</v>
      </c>
      <c r="H3507">
        <f t="shared" si="333"/>
        <v>0</v>
      </c>
      <c r="I3507" t="str">
        <f t="shared" si="331"/>
        <v>On Time</v>
      </c>
      <c r="J3507" cm="1">
        <f t="array" ref="J3507">_xlfn.IFS(H3507&lt;30,0,H3507&lt;60,1,H3507&lt;90,2,H3507&lt;120,3)</f>
        <v>0</v>
      </c>
      <c r="M3507" t="str">
        <f t="shared" si="332"/>
        <v>Low</v>
      </c>
      <c r="N3507" t="str">
        <f t="shared" si="329"/>
        <v>Aug</v>
      </c>
      <c r="O3507">
        <f t="shared" si="330"/>
        <v>2025</v>
      </c>
    </row>
    <row r="3508" spans="1:15" x14ac:dyDescent="0.3">
      <c r="A3508">
        <v>201056</v>
      </c>
      <c r="B3508" t="s">
        <v>86</v>
      </c>
      <c r="C3508" s="2">
        <v>45877</v>
      </c>
      <c r="D3508" s="2">
        <f t="shared" si="328"/>
        <v>45907</v>
      </c>
      <c r="E3508" s="1">
        <f>D3508</f>
        <v>45907</v>
      </c>
      <c r="F3508">
        <v>1519</v>
      </c>
      <c r="G3508">
        <v>30</v>
      </c>
      <c r="H3508">
        <f t="shared" si="333"/>
        <v>0</v>
      </c>
      <c r="I3508" t="str">
        <f t="shared" si="331"/>
        <v>On Time</v>
      </c>
      <c r="J3508" cm="1">
        <f t="array" ref="J3508">_xlfn.IFS(H3508&lt;30,0,H3508&lt;60,1,H3508&lt;90,2,H3508&lt;120,3)</f>
        <v>0</v>
      </c>
      <c r="M3508" t="str">
        <f t="shared" si="332"/>
        <v>Low</v>
      </c>
      <c r="N3508" t="str">
        <f t="shared" si="329"/>
        <v>Aug</v>
      </c>
      <c r="O3508">
        <f t="shared" si="330"/>
        <v>2025</v>
      </c>
    </row>
    <row r="3509" spans="1:15" x14ac:dyDescent="0.3">
      <c r="A3509">
        <v>201057</v>
      </c>
      <c r="B3509" t="s">
        <v>87</v>
      </c>
      <c r="C3509" s="2">
        <v>45877</v>
      </c>
      <c r="D3509" s="2">
        <f t="shared" si="328"/>
        <v>45907</v>
      </c>
      <c r="E3509" s="1">
        <f>D3509</f>
        <v>45907</v>
      </c>
      <c r="F3509">
        <v>4433</v>
      </c>
      <c r="G3509">
        <v>30</v>
      </c>
      <c r="H3509">
        <f t="shared" si="333"/>
        <v>0</v>
      </c>
      <c r="I3509" t="str">
        <f t="shared" si="331"/>
        <v>On Time</v>
      </c>
      <c r="J3509" cm="1">
        <f t="array" ref="J3509">_xlfn.IFS(H3509&lt;30,0,H3509&lt;60,1,H3509&lt;90,2,H3509&lt;120,3)</f>
        <v>0</v>
      </c>
      <c r="M3509" t="str">
        <f t="shared" si="332"/>
        <v>Low</v>
      </c>
      <c r="N3509" t="str">
        <f t="shared" si="329"/>
        <v>Aug</v>
      </c>
      <c r="O3509">
        <f t="shared" si="330"/>
        <v>2025</v>
      </c>
    </row>
    <row r="3510" spans="1:15" x14ac:dyDescent="0.3">
      <c r="A3510">
        <v>201058</v>
      </c>
      <c r="B3510" t="s">
        <v>88</v>
      </c>
      <c r="C3510" s="2">
        <v>45877</v>
      </c>
      <c r="D3510" s="2">
        <f t="shared" si="328"/>
        <v>45907</v>
      </c>
      <c r="E3510" s="1">
        <f>D3510+60</f>
        <v>45967</v>
      </c>
      <c r="F3510">
        <v>2075</v>
      </c>
      <c r="G3510">
        <v>30</v>
      </c>
      <c r="H3510">
        <f t="shared" si="333"/>
        <v>0</v>
      </c>
      <c r="I3510" t="str">
        <f t="shared" si="331"/>
        <v>On Time</v>
      </c>
      <c r="J3510" cm="1">
        <f t="array" ref="J3510">_xlfn.IFS(H3510&lt;30,0,H3510&lt;60,1,H3510&lt;90,2,H3510&lt;120,3)</f>
        <v>0</v>
      </c>
      <c r="M3510" t="str">
        <f t="shared" si="332"/>
        <v>Low</v>
      </c>
      <c r="N3510" t="str">
        <f t="shared" si="329"/>
        <v>Aug</v>
      </c>
      <c r="O3510">
        <f t="shared" si="330"/>
        <v>2025</v>
      </c>
    </row>
    <row r="3511" spans="1:15" x14ac:dyDescent="0.3">
      <c r="A3511">
        <v>201059</v>
      </c>
      <c r="B3511" t="s">
        <v>89</v>
      </c>
      <c r="C3511" s="2">
        <v>45877</v>
      </c>
      <c r="D3511" s="2">
        <f t="shared" si="328"/>
        <v>45907</v>
      </c>
      <c r="E3511" s="1">
        <f>D3511</f>
        <v>45907</v>
      </c>
      <c r="F3511">
        <v>3914</v>
      </c>
      <c r="G3511">
        <v>30</v>
      </c>
      <c r="H3511">
        <f t="shared" si="333"/>
        <v>0</v>
      </c>
      <c r="I3511" t="str">
        <f t="shared" si="331"/>
        <v>On Time</v>
      </c>
      <c r="J3511" cm="1">
        <f t="array" ref="J3511">_xlfn.IFS(H3511&lt;30,0,H3511&lt;60,1,H3511&lt;90,2,H3511&lt;120,3)</f>
        <v>0</v>
      </c>
      <c r="M3511" t="str">
        <f t="shared" si="332"/>
        <v>Low</v>
      </c>
      <c r="N3511" t="str">
        <f t="shared" si="329"/>
        <v>Aug</v>
      </c>
      <c r="O3511">
        <f t="shared" si="330"/>
        <v>2025</v>
      </c>
    </row>
    <row r="3512" spans="1:15" x14ac:dyDescent="0.3">
      <c r="A3512">
        <v>201060</v>
      </c>
      <c r="B3512" t="s">
        <v>90</v>
      </c>
      <c r="C3512" s="2">
        <v>45877</v>
      </c>
      <c r="D3512" s="2">
        <f t="shared" si="328"/>
        <v>45907</v>
      </c>
      <c r="E3512" s="1">
        <f>D3512</f>
        <v>45907</v>
      </c>
      <c r="F3512">
        <v>498</v>
      </c>
      <c r="G3512">
        <v>30</v>
      </c>
      <c r="H3512">
        <f t="shared" si="333"/>
        <v>0</v>
      </c>
      <c r="I3512" t="str">
        <f t="shared" si="331"/>
        <v>On Time</v>
      </c>
      <c r="J3512" cm="1">
        <f t="array" ref="J3512">_xlfn.IFS(H3512&lt;30,0,H3512&lt;60,1,H3512&lt;90,2,H3512&lt;120,3)</f>
        <v>0</v>
      </c>
      <c r="M3512" t="str">
        <f t="shared" si="332"/>
        <v>Low</v>
      </c>
      <c r="N3512" t="str">
        <f t="shared" si="329"/>
        <v>Aug</v>
      </c>
      <c r="O3512">
        <f t="shared" si="330"/>
        <v>2025</v>
      </c>
    </row>
    <row r="3513" spans="1:15" x14ac:dyDescent="0.3">
      <c r="A3513">
        <v>201061</v>
      </c>
      <c r="B3513" t="s">
        <v>91</v>
      </c>
      <c r="C3513" s="2">
        <v>45877</v>
      </c>
      <c r="D3513" s="2">
        <f t="shared" si="328"/>
        <v>45907</v>
      </c>
      <c r="E3513" s="1">
        <f>D3513+3</f>
        <v>45910</v>
      </c>
      <c r="F3513">
        <v>4407</v>
      </c>
      <c r="G3513">
        <v>30</v>
      </c>
      <c r="H3513">
        <f t="shared" si="333"/>
        <v>0</v>
      </c>
      <c r="I3513" t="str">
        <f t="shared" si="331"/>
        <v>On Time</v>
      </c>
      <c r="J3513" cm="1">
        <f t="array" ref="J3513">_xlfn.IFS(H3513&lt;30,0,H3513&lt;60,1,H3513&lt;90,2,H3513&lt;120,3)</f>
        <v>0</v>
      </c>
      <c r="M3513" t="str">
        <f t="shared" si="332"/>
        <v>Low</v>
      </c>
      <c r="N3513" t="str">
        <f t="shared" si="329"/>
        <v>Aug</v>
      </c>
      <c r="O3513">
        <f t="shared" si="330"/>
        <v>2025</v>
      </c>
    </row>
    <row r="3514" spans="1:15" x14ac:dyDescent="0.3">
      <c r="A3514">
        <v>201062</v>
      </c>
      <c r="B3514" t="s">
        <v>92</v>
      </c>
      <c r="C3514" s="2">
        <v>45877</v>
      </c>
      <c r="D3514" s="2">
        <f t="shared" si="328"/>
        <v>45907</v>
      </c>
      <c r="E3514" s="1">
        <f>D3514+1</f>
        <v>45908</v>
      </c>
      <c r="F3514">
        <v>652</v>
      </c>
      <c r="G3514">
        <v>30</v>
      </c>
      <c r="H3514">
        <f t="shared" si="333"/>
        <v>0</v>
      </c>
      <c r="I3514" t="str">
        <f t="shared" si="331"/>
        <v>On Time</v>
      </c>
      <c r="J3514" cm="1">
        <f t="array" ref="J3514">_xlfn.IFS(H3514&lt;30,0,H3514&lt;60,1,H3514&lt;90,2,H3514&lt;120,3)</f>
        <v>0</v>
      </c>
      <c r="M3514" t="str">
        <f t="shared" si="332"/>
        <v>Low</v>
      </c>
      <c r="N3514" t="str">
        <f t="shared" si="329"/>
        <v>Aug</v>
      </c>
      <c r="O3514">
        <f t="shared" si="330"/>
        <v>2025</v>
      </c>
    </row>
    <row r="3515" spans="1:15" x14ac:dyDescent="0.3">
      <c r="A3515">
        <v>201026</v>
      </c>
      <c r="B3515" t="s">
        <v>103</v>
      </c>
      <c r="C3515" s="2">
        <v>45876</v>
      </c>
      <c r="D3515" s="2">
        <f t="shared" si="328"/>
        <v>45906</v>
      </c>
      <c r="E3515" s="1">
        <f>D3515</f>
        <v>45906</v>
      </c>
      <c r="F3515">
        <v>11993</v>
      </c>
      <c r="G3515">
        <v>30</v>
      </c>
      <c r="H3515">
        <f t="shared" si="333"/>
        <v>0</v>
      </c>
      <c r="I3515" t="str">
        <f t="shared" si="331"/>
        <v>On Time</v>
      </c>
      <c r="J3515" cm="1">
        <f t="array" ref="J3515">_xlfn.IFS(H3515&lt;30,0,H3515&lt;60,1,H3515&lt;90,2,H3515&lt;120,3)</f>
        <v>0</v>
      </c>
      <c r="M3515" t="str">
        <f t="shared" si="332"/>
        <v>Low</v>
      </c>
      <c r="N3515" t="str">
        <f t="shared" si="329"/>
        <v>Aug</v>
      </c>
      <c r="O3515">
        <f t="shared" si="330"/>
        <v>2025</v>
      </c>
    </row>
    <row r="3516" spans="1:15" x14ac:dyDescent="0.3">
      <c r="A3516">
        <v>201027</v>
      </c>
      <c r="B3516" t="s">
        <v>104</v>
      </c>
      <c r="C3516" s="2">
        <v>45876</v>
      </c>
      <c r="D3516" s="2">
        <f t="shared" si="328"/>
        <v>45906</v>
      </c>
      <c r="F3516">
        <v>4676</v>
      </c>
      <c r="G3516">
        <v>30</v>
      </c>
      <c r="H3516">
        <f t="shared" si="333"/>
        <v>0</v>
      </c>
      <c r="I3516" t="str">
        <f t="shared" si="331"/>
        <v>On Time</v>
      </c>
      <c r="J3516" cm="1">
        <f t="array" ref="J3516">_xlfn.IFS(H3516&lt;30,0,H3516&lt;60,1,H3516&lt;90,2,H3516&lt;120,3)</f>
        <v>0</v>
      </c>
      <c r="M3516" t="str">
        <f t="shared" si="332"/>
        <v>Low</v>
      </c>
      <c r="N3516" t="str">
        <f t="shared" si="329"/>
        <v>Aug</v>
      </c>
      <c r="O3516">
        <f t="shared" si="330"/>
        <v>2025</v>
      </c>
    </row>
    <row r="3517" spans="1:15" x14ac:dyDescent="0.3">
      <c r="A3517">
        <v>201028</v>
      </c>
      <c r="B3517" t="s">
        <v>105</v>
      </c>
      <c r="C3517" s="2">
        <v>45876</v>
      </c>
      <c r="D3517" s="2">
        <f t="shared" si="328"/>
        <v>45906</v>
      </c>
      <c r="E3517" s="1">
        <f>D3517+3</f>
        <v>45909</v>
      </c>
      <c r="F3517">
        <v>1889</v>
      </c>
      <c r="G3517">
        <v>30</v>
      </c>
      <c r="H3517">
        <f t="shared" si="333"/>
        <v>0</v>
      </c>
      <c r="I3517" t="str">
        <f t="shared" si="331"/>
        <v>On Time</v>
      </c>
      <c r="J3517" cm="1">
        <f t="array" ref="J3517">_xlfn.IFS(H3517&lt;30,0,H3517&lt;60,1,H3517&lt;90,2,H3517&lt;120,3)</f>
        <v>0</v>
      </c>
      <c r="M3517" t="str">
        <f t="shared" si="332"/>
        <v>Low</v>
      </c>
      <c r="N3517" t="str">
        <f t="shared" si="329"/>
        <v>Aug</v>
      </c>
      <c r="O3517">
        <f t="shared" si="330"/>
        <v>2025</v>
      </c>
    </row>
    <row r="3518" spans="1:15" x14ac:dyDescent="0.3">
      <c r="A3518">
        <v>201029</v>
      </c>
      <c r="B3518" t="s">
        <v>114</v>
      </c>
      <c r="C3518" s="2">
        <v>45876</v>
      </c>
      <c r="D3518" s="2">
        <f t="shared" si="328"/>
        <v>45906</v>
      </c>
      <c r="E3518" s="1">
        <f>D3518+1</f>
        <v>45907</v>
      </c>
      <c r="F3518">
        <v>4298</v>
      </c>
      <c r="G3518">
        <v>30</v>
      </c>
      <c r="H3518">
        <f t="shared" si="333"/>
        <v>0</v>
      </c>
      <c r="I3518" t="str">
        <f t="shared" si="331"/>
        <v>On Time</v>
      </c>
      <c r="J3518" cm="1">
        <f t="array" ref="J3518">_xlfn.IFS(H3518&lt;30,0,H3518&lt;60,1,H3518&lt;90,2,H3518&lt;120,3)</f>
        <v>0</v>
      </c>
      <c r="M3518" t="str">
        <f t="shared" si="332"/>
        <v>Low</v>
      </c>
      <c r="N3518" t="str">
        <f t="shared" si="329"/>
        <v>Aug</v>
      </c>
      <c r="O3518">
        <f t="shared" si="330"/>
        <v>2025</v>
      </c>
    </row>
    <row r="3519" spans="1:15" x14ac:dyDescent="0.3">
      <c r="A3519">
        <v>201030</v>
      </c>
      <c r="B3519" t="s">
        <v>115</v>
      </c>
      <c r="C3519" s="2">
        <v>45876</v>
      </c>
      <c r="D3519" s="2">
        <f t="shared" si="328"/>
        <v>45906</v>
      </c>
      <c r="E3519" s="1">
        <f>D3519-1</f>
        <v>45905</v>
      </c>
      <c r="F3519">
        <v>4670</v>
      </c>
      <c r="G3519">
        <v>30</v>
      </c>
      <c r="H3519">
        <f t="shared" si="333"/>
        <v>0</v>
      </c>
      <c r="I3519" t="str">
        <f t="shared" si="331"/>
        <v>On Time</v>
      </c>
      <c r="J3519" cm="1">
        <f t="array" ref="J3519">_xlfn.IFS(H3519&lt;30,0,H3519&lt;60,1,H3519&lt;90,2,H3519&lt;120,3)</f>
        <v>0</v>
      </c>
      <c r="M3519" t="str">
        <f t="shared" si="332"/>
        <v>Low</v>
      </c>
      <c r="N3519" t="str">
        <f t="shared" si="329"/>
        <v>Aug</v>
      </c>
      <c r="O3519">
        <f t="shared" si="330"/>
        <v>2025</v>
      </c>
    </row>
    <row r="3520" spans="1:15" x14ac:dyDescent="0.3">
      <c r="A3520">
        <v>201031</v>
      </c>
      <c r="B3520" t="s">
        <v>116</v>
      </c>
      <c r="C3520" s="2">
        <v>45876</v>
      </c>
      <c r="D3520" s="2">
        <f t="shared" si="328"/>
        <v>45906</v>
      </c>
      <c r="E3520" s="1">
        <f>D3520</f>
        <v>45906</v>
      </c>
      <c r="F3520">
        <v>1173</v>
      </c>
      <c r="G3520">
        <v>30</v>
      </c>
      <c r="H3520">
        <f t="shared" si="333"/>
        <v>0</v>
      </c>
      <c r="I3520" t="str">
        <f t="shared" si="331"/>
        <v>On Time</v>
      </c>
      <c r="J3520" cm="1">
        <f t="array" ref="J3520">_xlfn.IFS(H3520&lt;30,0,H3520&lt;60,1,H3520&lt;90,2,H3520&lt;120,3)</f>
        <v>0</v>
      </c>
      <c r="M3520" t="str">
        <f t="shared" si="332"/>
        <v>Low</v>
      </c>
      <c r="N3520" t="str">
        <f t="shared" si="329"/>
        <v>Aug</v>
      </c>
      <c r="O3520">
        <f t="shared" si="330"/>
        <v>2025</v>
      </c>
    </row>
    <row r="3521" spans="1:15" x14ac:dyDescent="0.3">
      <c r="A3521">
        <v>201032</v>
      </c>
      <c r="B3521" t="s">
        <v>117</v>
      </c>
      <c r="C3521" s="2">
        <v>45876</v>
      </c>
      <c r="D3521" s="2">
        <f t="shared" si="328"/>
        <v>45906</v>
      </c>
      <c r="E3521" s="1">
        <f>D3521-5</f>
        <v>45901</v>
      </c>
      <c r="F3521">
        <v>2756</v>
      </c>
      <c r="G3521">
        <v>30</v>
      </c>
      <c r="H3521">
        <f t="shared" si="333"/>
        <v>0</v>
      </c>
      <c r="I3521" t="str">
        <f t="shared" si="331"/>
        <v>On Time</v>
      </c>
      <c r="J3521" cm="1">
        <f t="array" ref="J3521">_xlfn.IFS(H3521&lt;30,0,H3521&lt;60,1,H3521&lt;90,2,H3521&lt;120,3)</f>
        <v>0</v>
      </c>
      <c r="M3521" t="str">
        <f t="shared" si="332"/>
        <v>Low</v>
      </c>
      <c r="N3521" t="str">
        <f t="shared" si="329"/>
        <v>Aug</v>
      </c>
      <c r="O3521">
        <f t="shared" si="330"/>
        <v>2025</v>
      </c>
    </row>
    <row r="3522" spans="1:15" x14ac:dyDescent="0.3">
      <c r="A3522">
        <v>201033</v>
      </c>
      <c r="B3522" t="s">
        <v>118</v>
      </c>
      <c r="C3522" s="2">
        <v>45876</v>
      </c>
      <c r="D3522" s="2">
        <f t="shared" ref="D3522:D3585" si="334">C3522+G3522</f>
        <v>45906</v>
      </c>
      <c r="E3522" s="1">
        <f>D3522+35</f>
        <v>45941</v>
      </c>
      <c r="F3522">
        <v>1271</v>
      </c>
      <c r="G3522">
        <v>30</v>
      </c>
      <c r="H3522">
        <f t="shared" si="333"/>
        <v>0</v>
      </c>
      <c r="I3522" t="str">
        <f t="shared" si="331"/>
        <v>On Time</v>
      </c>
      <c r="J3522" cm="1">
        <f t="array" ref="J3522">_xlfn.IFS(H3522&lt;30,0,H3522&lt;60,1,H3522&lt;90,2,H3522&lt;120,3)</f>
        <v>0</v>
      </c>
      <c r="M3522" t="str">
        <f t="shared" si="332"/>
        <v>Low</v>
      </c>
      <c r="N3522" t="str">
        <f t="shared" ref="N3522:N3585" si="335">TEXT(C3522,"mmm")</f>
        <v>Aug</v>
      </c>
      <c r="O3522">
        <f t="shared" ref="O3522:O3585" si="336">YEAR(C3522)</f>
        <v>2025</v>
      </c>
    </row>
    <row r="3523" spans="1:15" x14ac:dyDescent="0.3">
      <c r="A3523">
        <v>201034</v>
      </c>
      <c r="B3523" t="s">
        <v>119</v>
      </c>
      <c r="C3523" s="2">
        <v>45876</v>
      </c>
      <c r="D3523" s="2">
        <f t="shared" si="334"/>
        <v>45906</v>
      </c>
      <c r="E3523" s="1">
        <f>D3523+75</f>
        <v>45981</v>
      </c>
      <c r="F3523">
        <v>4990</v>
      </c>
      <c r="G3523">
        <v>30</v>
      </c>
      <c r="H3523">
        <f t="shared" si="333"/>
        <v>0</v>
      </c>
      <c r="I3523" t="str">
        <f t="shared" si="331"/>
        <v>On Time</v>
      </c>
      <c r="J3523" cm="1">
        <f t="array" ref="J3523">_xlfn.IFS(H3523&lt;30,0,H3523&lt;60,1,H3523&lt;90,2,H3523&lt;120,3)</f>
        <v>0</v>
      </c>
      <c r="M3523" t="str">
        <f t="shared" si="332"/>
        <v>Low</v>
      </c>
      <c r="N3523" t="str">
        <f t="shared" si="335"/>
        <v>Aug</v>
      </c>
      <c r="O3523">
        <f t="shared" si="336"/>
        <v>2025</v>
      </c>
    </row>
    <row r="3524" spans="1:15" x14ac:dyDescent="0.3">
      <c r="A3524">
        <v>201035</v>
      </c>
      <c r="B3524" t="s">
        <v>31</v>
      </c>
      <c r="C3524" s="2">
        <v>45876</v>
      </c>
      <c r="D3524" s="2">
        <f t="shared" si="334"/>
        <v>45921</v>
      </c>
      <c r="E3524" s="1">
        <f>D3524+5</f>
        <v>45926</v>
      </c>
      <c r="F3524">
        <v>3282</v>
      </c>
      <c r="G3524">
        <v>45</v>
      </c>
      <c r="H3524">
        <f t="shared" si="333"/>
        <v>0</v>
      </c>
      <c r="I3524" t="str">
        <f t="shared" si="331"/>
        <v>On Time</v>
      </c>
      <c r="J3524" cm="1">
        <f t="array" ref="J3524">_xlfn.IFS(H3524&lt;30,0,H3524&lt;60,1,H3524&lt;90,2,H3524&lt;120,3)</f>
        <v>0</v>
      </c>
      <c r="M3524" t="str">
        <f t="shared" si="332"/>
        <v>Low</v>
      </c>
      <c r="N3524" t="str">
        <f t="shared" si="335"/>
        <v>Aug</v>
      </c>
      <c r="O3524">
        <f t="shared" si="336"/>
        <v>2025</v>
      </c>
    </row>
    <row r="3525" spans="1:15" x14ac:dyDescent="0.3">
      <c r="A3525">
        <v>201036</v>
      </c>
      <c r="B3525" t="s">
        <v>32</v>
      </c>
      <c r="C3525" s="2">
        <v>45876</v>
      </c>
      <c r="D3525" s="2">
        <f t="shared" si="334"/>
        <v>45921</v>
      </c>
      <c r="E3525" s="1">
        <f>D3525</f>
        <v>45921</v>
      </c>
      <c r="F3525">
        <v>3469</v>
      </c>
      <c r="G3525">
        <v>45</v>
      </c>
      <c r="H3525">
        <f t="shared" si="333"/>
        <v>0</v>
      </c>
      <c r="I3525" t="str">
        <f t="shared" si="331"/>
        <v>On Time</v>
      </c>
      <c r="J3525" cm="1">
        <f t="array" ref="J3525">_xlfn.IFS(H3525&lt;30,0,H3525&lt;60,1,H3525&lt;90,2,H3525&lt;120,3)</f>
        <v>0</v>
      </c>
      <c r="M3525" t="str">
        <f t="shared" si="332"/>
        <v>Low</v>
      </c>
      <c r="N3525" t="str">
        <f t="shared" si="335"/>
        <v>Aug</v>
      </c>
      <c r="O3525">
        <f t="shared" si="336"/>
        <v>2025</v>
      </c>
    </row>
    <row r="3526" spans="1:15" x14ac:dyDescent="0.3">
      <c r="A3526">
        <v>201037</v>
      </c>
      <c r="B3526" t="s">
        <v>33</v>
      </c>
      <c r="C3526" s="2">
        <v>45876</v>
      </c>
      <c r="D3526" s="2">
        <f t="shared" si="334"/>
        <v>45906</v>
      </c>
      <c r="E3526" s="1">
        <f>D3526-1</f>
        <v>45905</v>
      </c>
      <c r="F3526">
        <v>2313</v>
      </c>
      <c r="G3526">
        <v>30</v>
      </c>
      <c r="H3526">
        <f t="shared" si="333"/>
        <v>0</v>
      </c>
      <c r="I3526" t="str">
        <f t="shared" si="331"/>
        <v>On Time</v>
      </c>
      <c r="J3526" cm="1">
        <f t="array" ref="J3526">_xlfn.IFS(H3526&lt;30,0,H3526&lt;60,1,H3526&lt;90,2,H3526&lt;120,3)</f>
        <v>0</v>
      </c>
      <c r="M3526" t="str">
        <f t="shared" si="332"/>
        <v>Low</v>
      </c>
      <c r="N3526" t="str">
        <f t="shared" si="335"/>
        <v>Aug</v>
      </c>
      <c r="O3526">
        <f t="shared" si="336"/>
        <v>2025</v>
      </c>
    </row>
    <row r="3527" spans="1:15" x14ac:dyDescent="0.3">
      <c r="A3527">
        <v>201038</v>
      </c>
      <c r="B3527" t="s">
        <v>34</v>
      </c>
      <c r="C3527" s="2">
        <v>45876</v>
      </c>
      <c r="D3527" s="2">
        <f t="shared" si="334"/>
        <v>45936</v>
      </c>
      <c r="E3527" s="1">
        <f>D3527</f>
        <v>45936</v>
      </c>
      <c r="F3527">
        <v>3532</v>
      </c>
      <c r="G3527">
        <v>60</v>
      </c>
      <c r="H3527">
        <f t="shared" si="333"/>
        <v>0</v>
      </c>
      <c r="I3527" t="str">
        <f t="shared" si="331"/>
        <v>On Time</v>
      </c>
      <c r="J3527" cm="1">
        <f t="array" ref="J3527">_xlfn.IFS(H3527&lt;30,0,H3527&lt;60,1,H3527&lt;90,2,H3527&lt;120,3)</f>
        <v>0</v>
      </c>
      <c r="M3527" t="str">
        <f t="shared" si="332"/>
        <v>Low</v>
      </c>
      <c r="N3527" t="str">
        <f t="shared" si="335"/>
        <v>Aug</v>
      </c>
      <c r="O3527">
        <f t="shared" si="336"/>
        <v>2025</v>
      </c>
    </row>
    <row r="3528" spans="1:15" x14ac:dyDescent="0.3">
      <c r="A3528">
        <v>201039</v>
      </c>
      <c r="B3528" t="s">
        <v>35</v>
      </c>
      <c r="C3528" s="2">
        <v>45876</v>
      </c>
      <c r="D3528" s="2">
        <f t="shared" si="334"/>
        <v>45921</v>
      </c>
      <c r="E3528" s="1">
        <f>D3528+32</f>
        <v>45953</v>
      </c>
      <c r="F3528">
        <v>7319</v>
      </c>
      <c r="G3528">
        <v>45</v>
      </c>
      <c r="H3528">
        <f t="shared" si="333"/>
        <v>0</v>
      </c>
      <c r="I3528" t="str">
        <f t="shared" si="331"/>
        <v>On Time</v>
      </c>
      <c r="J3528" cm="1">
        <f t="array" ref="J3528">_xlfn.IFS(H3528&lt;30,0,H3528&lt;60,1,H3528&lt;90,2,H3528&lt;120,3)</f>
        <v>0</v>
      </c>
      <c r="M3528" t="str">
        <f t="shared" si="332"/>
        <v>Low</v>
      </c>
      <c r="N3528" t="str">
        <f t="shared" si="335"/>
        <v>Aug</v>
      </c>
      <c r="O3528">
        <f t="shared" si="336"/>
        <v>2025</v>
      </c>
    </row>
    <row r="3529" spans="1:15" x14ac:dyDescent="0.3">
      <c r="A3529">
        <v>201040</v>
      </c>
      <c r="B3529" t="s">
        <v>36</v>
      </c>
      <c r="C3529" s="2">
        <v>45876</v>
      </c>
      <c r="D3529" s="2">
        <f t="shared" si="334"/>
        <v>45906</v>
      </c>
      <c r="E3529" s="1">
        <f>D3529+15</f>
        <v>45921</v>
      </c>
      <c r="F3529">
        <v>497</v>
      </c>
      <c r="G3529">
        <v>30</v>
      </c>
      <c r="H3529">
        <f t="shared" si="333"/>
        <v>0</v>
      </c>
      <c r="I3529" t="str">
        <f t="shared" si="331"/>
        <v>On Time</v>
      </c>
      <c r="J3529" cm="1">
        <f t="array" ref="J3529">_xlfn.IFS(H3529&lt;30,0,H3529&lt;60,1,H3529&lt;90,2,H3529&lt;120,3)</f>
        <v>0</v>
      </c>
      <c r="M3529" t="str">
        <f t="shared" si="332"/>
        <v>Low</v>
      </c>
      <c r="N3529" t="str">
        <f t="shared" si="335"/>
        <v>Aug</v>
      </c>
      <c r="O3529">
        <f t="shared" si="336"/>
        <v>2025</v>
      </c>
    </row>
    <row r="3530" spans="1:15" x14ac:dyDescent="0.3">
      <c r="A3530">
        <v>201041</v>
      </c>
      <c r="B3530" t="s">
        <v>64</v>
      </c>
      <c r="C3530" s="2">
        <v>45876</v>
      </c>
      <c r="D3530" s="2">
        <f t="shared" si="334"/>
        <v>45906</v>
      </c>
      <c r="E3530" s="1">
        <f>D3530</f>
        <v>45906</v>
      </c>
      <c r="F3530">
        <v>460</v>
      </c>
      <c r="G3530">
        <v>30</v>
      </c>
      <c r="H3530">
        <f t="shared" si="333"/>
        <v>0</v>
      </c>
      <c r="I3530" t="str">
        <f t="shared" si="331"/>
        <v>On Time</v>
      </c>
      <c r="J3530" cm="1">
        <f t="array" ref="J3530">_xlfn.IFS(H3530&lt;30,0,H3530&lt;60,1,H3530&lt;90,2,H3530&lt;120,3)</f>
        <v>0</v>
      </c>
      <c r="M3530" t="str">
        <f t="shared" si="332"/>
        <v>Low</v>
      </c>
      <c r="N3530" t="str">
        <f t="shared" si="335"/>
        <v>Aug</v>
      </c>
      <c r="O3530">
        <f t="shared" si="336"/>
        <v>2025</v>
      </c>
    </row>
    <row r="3531" spans="1:15" x14ac:dyDescent="0.3">
      <c r="A3531">
        <v>201042</v>
      </c>
      <c r="B3531" t="s">
        <v>45</v>
      </c>
      <c r="C3531" s="2">
        <v>45876</v>
      </c>
      <c r="D3531" s="2">
        <f t="shared" si="334"/>
        <v>45921</v>
      </c>
      <c r="E3531" s="1">
        <f>D3531-2</f>
        <v>45919</v>
      </c>
      <c r="F3531">
        <v>2457</v>
      </c>
      <c r="G3531">
        <v>45</v>
      </c>
      <c r="H3531">
        <f t="shared" si="333"/>
        <v>0</v>
      </c>
      <c r="I3531" t="str">
        <f t="shared" si="331"/>
        <v>On Time</v>
      </c>
      <c r="J3531" cm="1">
        <f t="array" ref="J3531">_xlfn.IFS(H3531&lt;30,0,H3531&lt;60,1,H3531&lt;90,2,H3531&lt;120,3)</f>
        <v>0</v>
      </c>
      <c r="M3531" t="str">
        <f t="shared" si="332"/>
        <v>Low</v>
      </c>
      <c r="N3531" t="str">
        <f t="shared" si="335"/>
        <v>Aug</v>
      </c>
      <c r="O3531">
        <f t="shared" si="336"/>
        <v>2025</v>
      </c>
    </row>
    <row r="3532" spans="1:15" x14ac:dyDescent="0.3">
      <c r="A3532">
        <v>201007</v>
      </c>
      <c r="B3532" t="s">
        <v>119</v>
      </c>
      <c r="C3532" s="2">
        <v>45875</v>
      </c>
      <c r="D3532" s="2">
        <f t="shared" si="334"/>
        <v>45905</v>
      </c>
      <c r="E3532" s="1">
        <f>D3532+15</f>
        <v>45920</v>
      </c>
      <c r="F3532">
        <v>4731</v>
      </c>
      <c r="G3532">
        <v>30</v>
      </c>
      <c r="H3532">
        <f t="shared" si="333"/>
        <v>0</v>
      </c>
      <c r="I3532" t="str">
        <f t="shared" si="331"/>
        <v>On Time</v>
      </c>
      <c r="J3532" cm="1">
        <f t="array" ref="J3532">_xlfn.IFS(H3532&lt;30,0,H3532&lt;60,1,H3532&lt;90,2,H3532&lt;120,3)</f>
        <v>0</v>
      </c>
      <c r="M3532" t="str">
        <f t="shared" si="332"/>
        <v>Low</v>
      </c>
      <c r="N3532" t="str">
        <f t="shared" si="335"/>
        <v>Aug</v>
      </c>
      <c r="O3532">
        <f t="shared" si="336"/>
        <v>2025</v>
      </c>
    </row>
    <row r="3533" spans="1:15" x14ac:dyDescent="0.3">
      <c r="A3533">
        <v>201008</v>
      </c>
      <c r="B3533" t="s">
        <v>31</v>
      </c>
      <c r="C3533" s="2">
        <v>45875</v>
      </c>
      <c r="D3533" s="2">
        <f t="shared" si="334"/>
        <v>45920</v>
      </c>
      <c r="E3533" s="1">
        <f>D3533-2</f>
        <v>45918</v>
      </c>
      <c r="F3533">
        <v>433</v>
      </c>
      <c r="G3533">
        <v>45</v>
      </c>
      <c r="H3533">
        <f t="shared" si="333"/>
        <v>0</v>
      </c>
      <c r="I3533" t="str">
        <f t="shared" si="331"/>
        <v>On Time</v>
      </c>
      <c r="J3533" cm="1">
        <f t="array" ref="J3533">_xlfn.IFS(H3533&lt;30,0,H3533&lt;60,1,H3533&lt;90,2,H3533&lt;120,3)</f>
        <v>0</v>
      </c>
      <c r="M3533" t="str">
        <f t="shared" si="332"/>
        <v>Low</v>
      </c>
      <c r="N3533" t="str">
        <f t="shared" si="335"/>
        <v>Aug</v>
      </c>
      <c r="O3533">
        <f t="shared" si="336"/>
        <v>2025</v>
      </c>
    </row>
    <row r="3534" spans="1:15" x14ac:dyDescent="0.3">
      <c r="A3534">
        <v>201009</v>
      </c>
      <c r="B3534" t="s">
        <v>32</v>
      </c>
      <c r="C3534" s="2">
        <v>45875</v>
      </c>
      <c r="D3534" s="2">
        <f t="shared" si="334"/>
        <v>45920</v>
      </c>
      <c r="E3534" s="1">
        <f>D3534-2</f>
        <v>45918</v>
      </c>
      <c r="F3534">
        <v>2639</v>
      </c>
      <c r="G3534">
        <v>45</v>
      </c>
      <c r="H3534">
        <f t="shared" si="333"/>
        <v>0</v>
      </c>
      <c r="I3534" t="str">
        <f t="shared" si="331"/>
        <v>On Time</v>
      </c>
      <c r="J3534" cm="1">
        <f t="array" ref="J3534">_xlfn.IFS(H3534&lt;30,0,H3534&lt;60,1,H3534&lt;90,2,H3534&lt;120,3)</f>
        <v>0</v>
      </c>
      <c r="M3534" t="str">
        <f t="shared" si="332"/>
        <v>Low</v>
      </c>
      <c r="N3534" t="str">
        <f t="shared" si="335"/>
        <v>Aug</v>
      </c>
      <c r="O3534">
        <f t="shared" si="336"/>
        <v>2025</v>
      </c>
    </row>
    <row r="3535" spans="1:15" x14ac:dyDescent="0.3">
      <c r="A3535">
        <v>201010</v>
      </c>
      <c r="B3535" t="s">
        <v>33</v>
      </c>
      <c r="C3535" s="2">
        <v>45875</v>
      </c>
      <c r="D3535" s="2">
        <f t="shared" si="334"/>
        <v>45905</v>
      </c>
      <c r="E3535" s="1">
        <f>D3535</f>
        <v>45905</v>
      </c>
      <c r="F3535">
        <v>2946</v>
      </c>
      <c r="G3535">
        <v>30</v>
      </c>
      <c r="H3535">
        <f t="shared" si="333"/>
        <v>0</v>
      </c>
      <c r="I3535" t="str">
        <f t="shared" si="331"/>
        <v>On Time</v>
      </c>
      <c r="J3535" cm="1">
        <f t="array" ref="J3535">_xlfn.IFS(H3535&lt;30,0,H3535&lt;60,1,H3535&lt;90,2,H3535&lt;120,3)</f>
        <v>0</v>
      </c>
      <c r="M3535" t="str">
        <f t="shared" si="332"/>
        <v>Low</v>
      </c>
      <c r="N3535" t="str">
        <f t="shared" si="335"/>
        <v>Aug</v>
      </c>
      <c r="O3535">
        <f t="shared" si="336"/>
        <v>2025</v>
      </c>
    </row>
    <row r="3536" spans="1:15" x14ac:dyDescent="0.3">
      <c r="A3536">
        <v>201011</v>
      </c>
      <c r="B3536" t="s">
        <v>34</v>
      </c>
      <c r="C3536" s="2">
        <v>45875</v>
      </c>
      <c r="D3536" s="2">
        <f t="shared" si="334"/>
        <v>45935</v>
      </c>
      <c r="E3536" s="1">
        <f>D3536+2</f>
        <v>45937</v>
      </c>
      <c r="F3536">
        <v>2161</v>
      </c>
      <c r="G3536">
        <v>60</v>
      </c>
      <c r="H3536">
        <f t="shared" si="333"/>
        <v>0</v>
      </c>
      <c r="I3536" t="str">
        <f t="shared" si="331"/>
        <v>On Time</v>
      </c>
      <c r="J3536" cm="1">
        <f t="array" ref="J3536">_xlfn.IFS(H3536&lt;30,0,H3536&lt;60,1,H3536&lt;90,2,H3536&lt;120,3)</f>
        <v>0</v>
      </c>
      <c r="M3536" t="str">
        <f t="shared" si="332"/>
        <v>Low</v>
      </c>
      <c r="N3536" t="str">
        <f t="shared" si="335"/>
        <v>Aug</v>
      </c>
      <c r="O3536">
        <f t="shared" si="336"/>
        <v>2025</v>
      </c>
    </row>
    <row r="3537" spans="1:15" x14ac:dyDescent="0.3">
      <c r="A3537">
        <v>201012</v>
      </c>
      <c r="B3537" t="s">
        <v>35</v>
      </c>
      <c r="C3537" s="2">
        <v>45875</v>
      </c>
      <c r="D3537" s="2">
        <f t="shared" si="334"/>
        <v>45920</v>
      </c>
      <c r="E3537" s="1">
        <f>D3537+2</f>
        <v>45922</v>
      </c>
      <c r="F3537">
        <v>1038</v>
      </c>
      <c r="G3537">
        <v>45</v>
      </c>
      <c r="H3537">
        <f t="shared" si="333"/>
        <v>0</v>
      </c>
      <c r="I3537" t="str">
        <f t="shared" si="331"/>
        <v>On Time</v>
      </c>
      <c r="J3537" cm="1">
        <f t="array" ref="J3537">_xlfn.IFS(H3537&lt;30,0,H3537&lt;60,1,H3537&lt;90,2,H3537&lt;120,3)</f>
        <v>0</v>
      </c>
      <c r="M3537" t="str">
        <f t="shared" si="332"/>
        <v>Low</v>
      </c>
      <c r="N3537" t="str">
        <f t="shared" si="335"/>
        <v>Aug</v>
      </c>
      <c r="O3537">
        <f t="shared" si="336"/>
        <v>2025</v>
      </c>
    </row>
    <row r="3538" spans="1:15" x14ac:dyDescent="0.3">
      <c r="A3538">
        <v>201013</v>
      </c>
      <c r="B3538" t="s">
        <v>36</v>
      </c>
      <c r="C3538" s="2">
        <v>45875</v>
      </c>
      <c r="D3538" s="2">
        <f t="shared" si="334"/>
        <v>45905</v>
      </c>
      <c r="E3538" s="1">
        <f>D3538+2</f>
        <v>45907</v>
      </c>
      <c r="F3538">
        <v>3355</v>
      </c>
      <c r="G3538">
        <v>30</v>
      </c>
      <c r="H3538">
        <f t="shared" si="333"/>
        <v>0</v>
      </c>
      <c r="I3538" t="str">
        <f t="shared" si="331"/>
        <v>On Time</v>
      </c>
      <c r="J3538" cm="1">
        <f t="array" ref="J3538">_xlfn.IFS(H3538&lt;30,0,H3538&lt;60,1,H3538&lt;90,2,H3538&lt;120,3)</f>
        <v>0</v>
      </c>
      <c r="M3538" t="str">
        <f t="shared" si="332"/>
        <v>Low</v>
      </c>
      <c r="N3538" t="str">
        <f t="shared" si="335"/>
        <v>Aug</v>
      </c>
      <c r="O3538">
        <f t="shared" si="336"/>
        <v>2025</v>
      </c>
    </row>
    <row r="3539" spans="1:15" x14ac:dyDescent="0.3">
      <c r="A3539">
        <v>201014</v>
      </c>
      <c r="B3539" t="s">
        <v>64</v>
      </c>
      <c r="C3539" s="2">
        <v>45875</v>
      </c>
      <c r="D3539" s="2">
        <f t="shared" si="334"/>
        <v>45905</v>
      </c>
      <c r="E3539" s="1">
        <f>D3539</f>
        <v>45905</v>
      </c>
      <c r="F3539">
        <v>2972</v>
      </c>
      <c r="G3539">
        <v>30</v>
      </c>
      <c r="H3539">
        <f t="shared" si="333"/>
        <v>0</v>
      </c>
      <c r="I3539" t="str">
        <f t="shared" si="331"/>
        <v>On Time</v>
      </c>
      <c r="J3539" cm="1">
        <f t="array" ref="J3539">_xlfn.IFS(H3539&lt;30,0,H3539&lt;60,1,H3539&lt;90,2,H3539&lt;120,3)</f>
        <v>0</v>
      </c>
      <c r="M3539" t="str">
        <f t="shared" si="332"/>
        <v>Low</v>
      </c>
      <c r="N3539" t="str">
        <f t="shared" si="335"/>
        <v>Aug</v>
      </c>
      <c r="O3539">
        <f t="shared" si="336"/>
        <v>2025</v>
      </c>
    </row>
    <row r="3540" spans="1:15" x14ac:dyDescent="0.3">
      <c r="A3540">
        <v>201015</v>
      </c>
      <c r="B3540" t="s">
        <v>65</v>
      </c>
      <c r="C3540" s="2">
        <v>45875</v>
      </c>
      <c r="D3540" s="2">
        <f t="shared" si="334"/>
        <v>45920</v>
      </c>
      <c r="E3540" s="1">
        <f>D3540+20</f>
        <v>45940</v>
      </c>
      <c r="F3540">
        <v>16493</v>
      </c>
      <c r="G3540">
        <v>45</v>
      </c>
      <c r="H3540">
        <f t="shared" si="333"/>
        <v>0</v>
      </c>
      <c r="I3540" t="str">
        <f t="shared" si="331"/>
        <v>On Time</v>
      </c>
      <c r="J3540" cm="1">
        <f t="array" ref="J3540">_xlfn.IFS(H3540&lt;30,0,H3540&lt;60,1,H3540&lt;90,2,H3540&lt;120,3)</f>
        <v>0</v>
      </c>
      <c r="M3540" t="str">
        <f t="shared" si="332"/>
        <v>Low</v>
      </c>
      <c r="N3540" t="str">
        <f t="shared" si="335"/>
        <v>Aug</v>
      </c>
      <c r="O3540">
        <f t="shared" si="336"/>
        <v>2025</v>
      </c>
    </row>
    <row r="3541" spans="1:15" x14ac:dyDescent="0.3">
      <c r="A3541">
        <v>201016</v>
      </c>
      <c r="B3541" t="s">
        <v>66</v>
      </c>
      <c r="C3541" s="2">
        <v>45875</v>
      </c>
      <c r="D3541" s="2">
        <f t="shared" si="334"/>
        <v>45935</v>
      </c>
      <c r="E3541" s="1">
        <f>D3541</f>
        <v>45935</v>
      </c>
      <c r="F3541">
        <v>3643</v>
      </c>
      <c r="G3541">
        <v>60</v>
      </c>
      <c r="H3541">
        <f t="shared" si="333"/>
        <v>0</v>
      </c>
      <c r="I3541" t="str">
        <f t="shared" si="331"/>
        <v>On Time</v>
      </c>
      <c r="J3541" cm="1">
        <f t="array" ref="J3541">_xlfn.IFS(H3541&lt;30,0,H3541&lt;60,1,H3541&lt;90,2,H3541&lt;120,3)</f>
        <v>0</v>
      </c>
      <c r="M3541" t="str">
        <f t="shared" si="332"/>
        <v>Low</v>
      </c>
      <c r="N3541" t="str">
        <f t="shared" si="335"/>
        <v>Aug</v>
      </c>
      <c r="O3541">
        <f t="shared" si="336"/>
        <v>2025</v>
      </c>
    </row>
    <row r="3542" spans="1:15" x14ac:dyDescent="0.3">
      <c r="A3542">
        <v>201017</v>
      </c>
      <c r="B3542" t="s">
        <v>67</v>
      </c>
      <c r="C3542" s="2">
        <v>45875</v>
      </c>
      <c r="D3542" s="2">
        <f t="shared" si="334"/>
        <v>45905</v>
      </c>
      <c r="E3542" s="1">
        <f>D3542+1</f>
        <v>45906</v>
      </c>
      <c r="F3542">
        <v>4557</v>
      </c>
      <c r="G3542">
        <v>30</v>
      </c>
      <c r="H3542">
        <f t="shared" si="333"/>
        <v>0</v>
      </c>
      <c r="I3542" t="str">
        <f t="shared" ref="I3542:I3605" si="337">IF(H3542=0,"On Time",IF(H3542&lt;=15,"Paid Late","Seriously Late"))</f>
        <v>On Time</v>
      </c>
      <c r="J3542" cm="1">
        <f t="array" ref="J3542">_xlfn.IFS(H3542&lt;30,0,H3542&lt;60,1,H3542&lt;90,2,H3542&lt;120,3)</f>
        <v>0</v>
      </c>
      <c r="M3542" t="str">
        <f t="shared" ref="M3542:M3605" si="338">IF(H3542&gt;30,"High",IF(H3542&gt;10,"Medium","Low"))</f>
        <v>Low</v>
      </c>
      <c r="N3542" t="str">
        <f t="shared" si="335"/>
        <v>Aug</v>
      </c>
      <c r="O3542">
        <f t="shared" si="336"/>
        <v>2025</v>
      </c>
    </row>
    <row r="3543" spans="1:15" x14ac:dyDescent="0.3">
      <c r="A3543">
        <v>201018</v>
      </c>
      <c r="B3543" t="s">
        <v>68</v>
      </c>
      <c r="C3543" s="2">
        <v>45875</v>
      </c>
      <c r="D3543" s="2">
        <f t="shared" si="334"/>
        <v>45905</v>
      </c>
      <c r="E3543" s="1">
        <f>D3543</f>
        <v>45905</v>
      </c>
      <c r="F3543">
        <v>3670</v>
      </c>
      <c r="G3543">
        <v>30</v>
      </c>
      <c r="H3543">
        <f t="shared" si="333"/>
        <v>0</v>
      </c>
      <c r="I3543" t="str">
        <f t="shared" si="337"/>
        <v>On Time</v>
      </c>
      <c r="J3543" cm="1">
        <f t="array" ref="J3543">_xlfn.IFS(H3543&lt;30,0,H3543&lt;60,1,H3543&lt;90,2,H3543&lt;120,3)</f>
        <v>0</v>
      </c>
      <c r="M3543" t="str">
        <f t="shared" si="338"/>
        <v>Low</v>
      </c>
      <c r="N3543" t="str">
        <f t="shared" si="335"/>
        <v>Aug</v>
      </c>
      <c r="O3543">
        <f t="shared" si="336"/>
        <v>2025</v>
      </c>
    </row>
    <row r="3544" spans="1:15" x14ac:dyDescent="0.3">
      <c r="A3544">
        <v>201019</v>
      </c>
      <c r="B3544" t="s">
        <v>69</v>
      </c>
      <c r="C3544" s="2">
        <v>45875</v>
      </c>
      <c r="D3544" s="2">
        <f t="shared" si="334"/>
        <v>45905</v>
      </c>
      <c r="E3544" s="1">
        <f>D3544</f>
        <v>45905</v>
      </c>
      <c r="F3544">
        <v>1077</v>
      </c>
      <c r="G3544">
        <v>30</v>
      </c>
      <c r="H3544">
        <f t="shared" si="333"/>
        <v>0</v>
      </c>
      <c r="I3544" t="str">
        <f t="shared" si="337"/>
        <v>On Time</v>
      </c>
      <c r="J3544" cm="1">
        <f t="array" ref="J3544">_xlfn.IFS(H3544&lt;30,0,H3544&lt;60,1,H3544&lt;90,2,H3544&lt;120,3)</f>
        <v>0</v>
      </c>
      <c r="M3544" t="str">
        <f t="shared" si="338"/>
        <v>Low</v>
      </c>
      <c r="N3544" t="str">
        <f t="shared" si="335"/>
        <v>Aug</v>
      </c>
      <c r="O3544">
        <f t="shared" si="336"/>
        <v>2025</v>
      </c>
    </row>
    <row r="3545" spans="1:15" x14ac:dyDescent="0.3">
      <c r="A3545">
        <v>201020</v>
      </c>
      <c r="B3545" t="s">
        <v>70</v>
      </c>
      <c r="C3545" s="2">
        <v>45875</v>
      </c>
      <c r="D3545" s="2">
        <f t="shared" si="334"/>
        <v>45905</v>
      </c>
      <c r="E3545" s="1">
        <f>D3545+5</f>
        <v>45910</v>
      </c>
      <c r="F3545">
        <v>4558</v>
      </c>
      <c r="G3545">
        <v>30</v>
      </c>
      <c r="H3545">
        <f t="shared" si="333"/>
        <v>0</v>
      </c>
      <c r="I3545" t="str">
        <f t="shared" si="337"/>
        <v>On Time</v>
      </c>
      <c r="J3545" cm="1">
        <f t="array" ref="J3545">_xlfn.IFS(H3545&lt;30,0,H3545&lt;60,1,H3545&lt;90,2,H3545&lt;120,3)</f>
        <v>0</v>
      </c>
      <c r="M3545" t="str">
        <f t="shared" si="338"/>
        <v>Low</v>
      </c>
      <c r="N3545" t="str">
        <f t="shared" si="335"/>
        <v>Aug</v>
      </c>
      <c r="O3545">
        <f t="shared" si="336"/>
        <v>2025</v>
      </c>
    </row>
    <row r="3546" spans="1:15" x14ac:dyDescent="0.3">
      <c r="A3546">
        <v>201021</v>
      </c>
      <c r="B3546" t="s">
        <v>71</v>
      </c>
      <c r="C3546" s="2">
        <v>45875</v>
      </c>
      <c r="D3546" s="2">
        <f t="shared" si="334"/>
        <v>45905</v>
      </c>
      <c r="E3546" s="1">
        <f>D3546+2</f>
        <v>45907</v>
      </c>
      <c r="F3546">
        <v>2279</v>
      </c>
      <c r="G3546">
        <v>30</v>
      </c>
      <c r="H3546">
        <f t="shared" si="333"/>
        <v>0</v>
      </c>
      <c r="I3546" t="str">
        <f t="shared" si="337"/>
        <v>On Time</v>
      </c>
      <c r="J3546" cm="1">
        <f t="array" ref="J3546">_xlfn.IFS(H3546&lt;30,0,H3546&lt;60,1,H3546&lt;90,2,H3546&lt;120,3)</f>
        <v>0</v>
      </c>
      <c r="M3546" t="str">
        <f t="shared" si="338"/>
        <v>Low</v>
      </c>
      <c r="N3546" t="str">
        <f t="shared" si="335"/>
        <v>Aug</v>
      </c>
      <c r="O3546">
        <f t="shared" si="336"/>
        <v>2025</v>
      </c>
    </row>
    <row r="3547" spans="1:15" x14ac:dyDescent="0.3">
      <c r="A3547">
        <v>201022</v>
      </c>
      <c r="B3547" t="s">
        <v>72</v>
      </c>
      <c r="C3547" s="2">
        <v>45875</v>
      </c>
      <c r="D3547" s="2">
        <f t="shared" si="334"/>
        <v>45905</v>
      </c>
      <c r="E3547" s="1">
        <f>D3547+5</f>
        <v>45910</v>
      </c>
      <c r="F3547">
        <v>3834</v>
      </c>
      <c r="G3547">
        <v>30</v>
      </c>
      <c r="H3547">
        <f t="shared" si="333"/>
        <v>0</v>
      </c>
      <c r="I3547" t="str">
        <f t="shared" si="337"/>
        <v>On Time</v>
      </c>
      <c r="J3547" cm="1">
        <f t="array" ref="J3547">_xlfn.IFS(H3547&lt;30,0,H3547&lt;60,1,H3547&lt;90,2,H3547&lt;120,3)</f>
        <v>0</v>
      </c>
      <c r="M3547" t="str">
        <f t="shared" si="338"/>
        <v>Low</v>
      </c>
      <c r="N3547" t="str">
        <f t="shared" si="335"/>
        <v>Aug</v>
      </c>
      <c r="O3547">
        <f t="shared" si="336"/>
        <v>2025</v>
      </c>
    </row>
    <row r="3548" spans="1:15" x14ac:dyDescent="0.3">
      <c r="A3548">
        <v>201023</v>
      </c>
      <c r="B3548" t="s">
        <v>73</v>
      </c>
      <c r="C3548" s="2">
        <v>45875</v>
      </c>
      <c r="D3548" s="2">
        <f t="shared" si="334"/>
        <v>45920</v>
      </c>
      <c r="E3548" s="1">
        <f>D3548</f>
        <v>45920</v>
      </c>
      <c r="F3548">
        <v>3792</v>
      </c>
      <c r="G3548">
        <v>45</v>
      </c>
      <c r="H3548">
        <f t="shared" si="333"/>
        <v>0</v>
      </c>
      <c r="I3548" t="str">
        <f t="shared" si="337"/>
        <v>On Time</v>
      </c>
      <c r="J3548" cm="1">
        <f t="array" ref="J3548">_xlfn.IFS(H3548&lt;30,0,H3548&lt;60,1,H3548&lt;90,2,H3548&lt;120,3)</f>
        <v>0</v>
      </c>
      <c r="M3548" t="str">
        <f t="shared" si="338"/>
        <v>Low</v>
      </c>
      <c r="N3548" t="str">
        <f t="shared" si="335"/>
        <v>Aug</v>
      </c>
      <c r="O3548">
        <f t="shared" si="336"/>
        <v>2025</v>
      </c>
    </row>
    <row r="3549" spans="1:15" x14ac:dyDescent="0.3">
      <c r="A3549">
        <v>201024</v>
      </c>
      <c r="B3549" t="s">
        <v>101</v>
      </c>
      <c r="C3549" s="2">
        <v>45875</v>
      </c>
      <c r="D3549" s="2">
        <f t="shared" si="334"/>
        <v>45905</v>
      </c>
      <c r="E3549" s="1">
        <f>D3549</f>
        <v>45905</v>
      </c>
      <c r="F3549">
        <v>2654</v>
      </c>
      <c r="G3549">
        <v>30</v>
      </c>
      <c r="H3549">
        <f t="shared" si="333"/>
        <v>0</v>
      </c>
      <c r="I3549" t="str">
        <f t="shared" si="337"/>
        <v>On Time</v>
      </c>
      <c r="J3549" cm="1">
        <f t="array" ref="J3549">_xlfn.IFS(H3549&lt;30,0,H3549&lt;60,1,H3549&lt;90,2,H3549&lt;120,3)</f>
        <v>0</v>
      </c>
      <c r="M3549" t="str">
        <f t="shared" si="338"/>
        <v>Low</v>
      </c>
      <c r="N3549" t="str">
        <f t="shared" si="335"/>
        <v>Aug</v>
      </c>
      <c r="O3549">
        <f t="shared" si="336"/>
        <v>2025</v>
      </c>
    </row>
    <row r="3550" spans="1:15" x14ac:dyDescent="0.3">
      <c r="A3550">
        <v>201025</v>
      </c>
      <c r="B3550" t="s">
        <v>102</v>
      </c>
      <c r="C3550" s="2">
        <v>45875</v>
      </c>
      <c r="D3550" s="2">
        <f t="shared" si="334"/>
        <v>45905</v>
      </c>
      <c r="E3550" s="1">
        <f>D3550+60</f>
        <v>45965</v>
      </c>
      <c r="F3550">
        <v>3121</v>
      </c>
      <c r="G3550">
        <v>30</v>
      </c>
      <c r="H3550">
        <f t="shared" si="333"/>
        <v>0</v>
      </c>
      <c r="I3550" t="str">
        <f t="shared" si="337"/>
        <v>On Time</v>
      </c>
      <c r="J3550" cm="1">
        <f t="array" ref="J3550">_xlfn.IFS(H3550&lt;30,0,H3550&lt;60,1,H3550&lt;90,2,H3550&lt;120,3)</f>
        <v>0</v>
      </c>
      <c r="M3550" t="str">
        <f t="shared" si="338"/>
        <v>Low</v>
      </c>
      <c r="N3550" t="str">
        <f t="shared" si="335"/>
        <v>Aug</v>
      </c>
      <c r="O3550">
        <f t="shared" si="336"/>
        <v>2025</v>
      </c>
    </row>
    <row r="3551" spans="1:15" x14ac:dyDescent="0.3">
      <c r="A3551">
        <v>200989</v>
      </c>
      <c r="B3551" t="s">
        <v>65</v>
      </c>
      <c r="C3551" s="2">
        <v>45874</v>
      </c>
      <c r="D3551" s="2">
        <f t="shared" si="334"/>
        <v>45919</v>
      </c>
      <c r="E3551" s="1">
        <f>D3551</f>
        <v>45919</v>
      </c>
      <c r="F3551">
        <v>8501</v>
      </c>
      <c r="G3551">
        <v>45</v>
      </c>
      <c r="H3551">
        <f t="shared" si="333"/>
        <v>0</v>
      </c>
      <c r="I3551" t="str">
        <f t="shared" si="337"/>
        <v>On Time</v>
      </c>
      <c r="J3551" cm="1">
        <f t="array" ref="J3551">_xlfn.IFS(H3551&lt;30,0,H3551&lt;60,1,H3551&lt;90,2,H3551&lt;120,3)</f>
        <v>0</v>
      </c>
      <c r="M3551" t="str">
        <f t="shared" si="338"/>
        <v>Low</v>
      </c>
      <c r="N3551" t="str">
        <f t="shared" si="335"/>
        <v>Aug</v>
      </c>
      <c r="O3551">
        <f t="shared" si="336"/>
        <v>2025</v>
      </c>
    </row>
    <row r="3552" spans="1:15" x14ac:dyDescent="0.3">
      <c r="A3552">
        <v>200990</v>
      </c>
      <c r="B3552" t="s">
        <v>94</v>
      </c>
      <c r="C3552" s="2">
        <v>45874</v>
      </c>
      <c r="D3552" s="2">
        <f t="shared" si="334"/>
        <v>45904</v>
      </c>
      <c r="E3552" s="1">
        <f>D3552</f>
        <v>45904</v>
      </c>
      <c r="F3552">
        <v>2499</v>
      </c>
      <c r="G3552">
        <v>30</v>
      </c>
      <c r="H3552">
        <f t="shared" si="333"/>
        <v>0</v>
      </c>
      <c r="I3552" t="str">
        <f t="shared" si="337"/>
        <v>On Time</v>
      </c>
      <c r="J3552" cm="1">
        <f t="array" ref="J3552">_xlfn.IFS(H3552&lt;30,0,H3552&lt;60,1,H3552&lt;90,2,H3552&lt;120,3)</f>
        <v>0</v>
      </c>
      <c r="M3552" t="str">
        <f t="shared" si="338"/>
        <v>Low</v>
      </c>
      <c r="N3552" t="str">
        <f t="shared" si="335"/>
        <v>Aug</v>
      </c>
      <c r="O3552">
        <f t="shared" si="336"/>
        <v>2025</v>
      </c>
    </row>
    <row r="3553" spans="1:15" x14ac:dyDescent="0.3">
      <c r="A3553">
        <v>200991</v>
      </c>
      <c r="B3553" t="s">
        <v>95</v>
      </c>
      <c r="C3553" s="2">
        <v>45874</v>
      </c>
      <c r="D3553" s="2">
        <f t="shared" si="334"/>
        <v>45919</v>
      </c>
      <c r="E3553" s="1">
        <f>D3553</f>
        <v>45919</v>
      </c>
      <c r="F3553">
        <v>1624</v>
      </c>
      <c r="G3553">
        <v>45</v>
      </c>
      <c r="H3553">
        <f t="shared" si="333"/>
        <v>0</v>
      </c>
      <c r="I3553" t="str">
        <f t="shared" si="337"/>
        <v>On Time</v>
      </c>
      <c r="J3553" cm="1">
        <f t="array" ref="J3553">_xlfn.IFS(H3553&lt;30,0,H3553&lt;60,1,H3553&lt;90,2,H3553&lt;120,3)</f>
        <v>0</v>
      </c>
      <c r="M3553" t="str">
        <f t="shared" si="338"/>
        <v>Low</v>
      </c>
      <c r="N3553" t="str">
        <f t="shared" si="335"/>
        <v>Aug</v>
      </c>
      <c r="O3553">
        <f t="shared" si="336"/>
        <v>2025</v>
      </c>
    </row>
    <row r="3554" spans="1:15" x14ac:dyDescent="0.3">
      <c r="A3554">
        <v>200992</v>
      </c>
      <c r="B3554" t="s">
        <v>96</v>
      </c>
      <c r="C3554" s="2">
        <v>45874</v>
      </c>
      <c r="D3554" s="2">
        <f t="shared" si="334"/>
        <v>45934</v>
      </c>
      <c r="E3554" s="1">
        <f>D3554+58</f>
        <v>45992</v>
      </c>
      <c r="F3554">
        <v>2890</v>
      </c>
      <c r="G3554">
        <v>60</v>
      </c>
      <c r="H3554">
        <f t="shared" si="333"/>
        <v>0</v>
      </c>
      <c r="I3554" t="str">
        <f t="shared" si="337"/>
        <v>On Time</v>
      </c>
      <c r="J3554" cm="1">
        <f t="array" ref="J3554">_xlfn.IFS(H3554&lt;30,0,H3554&lt;60,1,H3554&lt;90,2,H3554&lt;120,3)</f>
        <v>0</v>
      </c>
      <c r="M3554" t="str">
        <f t="shared" si="338"/>
        <v>Low</v>
      </c>
      <c r="N3554" t="str">
        <f t="shared" si="335"/>
        <v>Aug</v>
      </c>
      <c r="O3554">
        <f t="shared" si="336"/>
        <v>2025</v>
      </c>
    </row>
    <row r="3555" spans="1:15" x14ac:dyDescent="0.3">
      <c r="A3555">
        <v>200993</v>
      </c>
      <c r="B3555" t="s">
        <v>97</v>
      </c>
      <c r="C3555" s="2">
        <v>45874</v>
      </c>
      <c r="D3555" s="2">
        <f t="shared" si="334"/>
        <v>45904</v>
      </c>
      <c r="E3555" s="1">
        <f>D3555</f>
        <v>45904</v>
      </c>
      <c r="F3555">
        <v>3180</v>
      </c>
      <c r="G3555">
        <v>30</v>
      </c>
      <c r="H3555">
        <f t="shared" si="333"/>
        <v>0</v>
      </c>
      <c r="I3555" t="str">
        <f t="shared" si="337"/>
        <v>On Time</v>
      </c>
      <c r="J3555" cm="1">
        <f t="array" ref="J3555">_xlfn.IFS(H3555&lt;30,0,H3555&lt;60,1,H3555&lt;90,2,H3555&lt;120,3)</f>
        <v>0</v>
      </c>
      <c r="M3555" t="str">
        <f t="shared" si="338"/>
        <v>Low</v>
      </c>
      <c r="N3555" t="str">
        <f t="shared" si="335"/>
        <v>Aug</v>
      </c>
      <c r="O3555">
        <f t="shared" si="336"/>
        <v>2025</v>
      </c>
    </row>
    <row r="3556" spans="1:15" x14ac:dyDescent="0.3">
      <c r="A3556">
        <v>200994</v>
      </c>
      <c r="B3556" t="s">
        <v>98</v>
      </c>
      <c r="C3556" s="2">
        <v>45874</v>
      </c>
      <c r="D3556" s="2">
        <f t="shared" si="334"/>
        <v>45904</v>
      </c>
      <c r="E3556" s="1">
        <f>D3556</f>
        <v>45904</v>
      </c>
      <c r="F3556">
        <v>768</v>
      </c>
      <c r="G3556">
        <v>30</v>
      </c>
      <c r="H3556">
        <f t="shared" si="333"/>
        <v>0</v>
      </c>
      <c r="I3556" t="str">
        <f t="shared" si="337"/>
        <v>On Time</v>
      </c>
      <c r="J3556" cm="1">
        <f t="array" ref="J3556">_xlfn.IFS(H3556&lt;30,0,H3556&lt;60,1,H3556&lt;90,2,H3556&lt;120,3)</f>
        <v>0</v>
      </c>
      <c r="M3556" t="str">
        <f t="shared" si="338"/>
        <v>Low</v>
      </c>
      <c r="N3556" t="str">
        <f t="shared" si="335"/>
        <v>Aug</v>
      </c>
      <c r="O3556">
        <f t="shared" si="336"/>
        <v>2025</v>
      </c>
    </row>
    <row r="3557" spans="1:15" x14ac:dyDescent="0.3">
      <c r="A3557">
        <v>200995</v>
      </c>
      <c r="B3557" t="s">
        <v>99</v>
      </c>
      <c r="C3557" s="2">
        <v>45874</v>
      </c>
      <c r="D3557" s="2">
        <f t="shared" si="334"/>
        <v>45904</v>
      </c>
      <c r="E3557" s="1">
        <f>D3557+3</f>
        <v>45907</v>
      </c>
      <c r="F3557">
        <v>1469</v>
      </c>
      <c r="G3557">
        <v>30</v>
      </c>
      <c r="H3557">
        <f t="shared" si="333"/>
        <v>0</v>
      </c>
      <c r="I3557" t="str">
        <f t="shared" si="337"/>
        <v>On Time</v>
      </c>
      <c r="J3557" cm="1">
        <f t="array" ref="J3557">_xlfn.IFS(H3557&lt;30,0,H3557&lt;60,1,H3557&lt;90,2,H3557&lt;120,3)</f>
        <v>0</v>
      </c>
      <c r="M3557" t="str">
        <f t="shared" si="338"/>
        <v>Low</v>
      </c>
      <c r="N3557" t="str">
        <f t="shared" si="335"/>
        <v>Aug</v>
      </c>
      <c r="O3557">
        <f t="shared" si="336"/>
        <v>2025</v>
      </c>
    </row>
    <row r="3558" spans="1:15" x14ac:dyDescent="0.3">
      <c r="A3558">
        <v>200996</v>
      </c>
      <c r="B3558" t="s">
        <v>100</v>
      </c>
      <c r="C3558" s="2">
        <v>45874</v>
      </c>
      <c r="D3558" s="2">
        <f t="shared" si="334"/>
        <v>45904</v>
      </c>
      <c r="E3558" s="1">
        <f>D3558+1</f>
        <v>45905</v>
      </c>
      <c r="F3558">
        <v>1347</v>
      </c>
      <c r="G3558">
        <v>30</v>
      </c>
      <c r="H3558">
        <f t="shared" ref="H3558:H3621" si="339">MAX(0,P3523-D3558)</f>
        <v>0</v>
      </c>
      <c r="I3558" t="str">
        <f t="shared" si="337"/>
        <v>On Time</v>
      </c>
      <c r="J3558" cm="1">
        <f t="array" ref="J3558">_xlfn.IFS(H3558&lt;30,0,H3558&lt;60,1,H3558&lt;90,2,H3558&lt;120,3)</f>
        <v>0</v>
      </c>
      <c r="M3558" t="str">
        <f t="shared" si="338"/>
        <v>Low</v>
      </c>
      <c r="N3558" t="str">
        <f t="shared" si="335"/>
        <v>Aug</v>
      </c>
      <c r="O3558">
        <f t="shared" si="336"/>
        <v>2025</v>
      </c>
    </row>
    <row r="3559" spans="1:15" x14ac:dyDescent="0.3">
      <c r="A3559">
        <v>200997</v>
      </c>
      <c r="B3559" t="s">
        <v>101</v>
      </c>
      <c r="C3559" s="2">
        <v>45874</v>
      </c>
      <c r="D3559" s="2">
        <f t="shared" si="334"/>
        <v>45904</v>
      </c>
      <c r="E3559" s="1">
        <f>D3559-1</f>
        <v>45903</v>
      </c>
      <c r="F3559">
        <v>2987</v>
      </c>
      <c r="G3559">
        <v>30</v>
      </c>
      <c r="H3559">
        <f t="shared" si="339"/>
        <v>0</v>
      </c>
      <c r="I3559" t="str">
        <f t="shared" si="337"/>
        <v>On Time</v>
      </c>
      <c r="J3559" cm="1">
        <f t="array" ref="J3559">_xlfn.IFS(H3559&lt;30,0,H3559&lt;60,1,H3559&lt;90,2,H3559&lt;120,3)</f>
        <v>0</v>
      </c>
      <c r="M3559" t="str">
        <f t="shared" si="338"/>
        <v>Low</v>
      </c>
      <c r="N3559" t="str">
        <f t="shared" si="335"/>
        <v>Aug</v>
      </c>
      <c r="O3559">
        <f t="shared" si="336"/>
        <v>2025</v>
      </c>
    </row>
    <row r="3560" spans="1:15" x14ac:dyDescent="0.3">
      <c r="A3560">
        <v>200998</v>
      </c>
      <c r="B3560" t="s">
        <v>102</v>
      </c>
      <c r="C3560" s="2">
        <v>45874</v>
      </c>
      <c r="D3560" s="2">
        <f t="shared" si="334"/>
        <v>45904</v>
      </c>
      <c r="E3560" s="1">
        <f>D3560</f>
        <v>45904</v>
      </c>
      <c r="F3560">
        <v>2294</v>
      </c>
      <c r="G3560">
        <v>30</v>
      </c>
      <c r="H3560">
        <f t="shared" si="339"/>
        <v>0</v>
      </c>
      <c r="I3560" t="str">
        <f t="shared" si="337"/>
        <v>On Time</v>
      </c>
      <c r="J3560" cm="1">
        <f t="array" ref="J3560">_xlfn.IFS(H3560&lt;30,0,H3560&lt;60,1,H3560&lt;90,2,H3560&lt;120,3)</f>
        <v>0</v>
      </c>
      <c r="M3560" t="str">
        <f t="shared" si="338"/>
        <v>Low</v>
      </c>
      <c r="N3560" t="str">
        <f t="shared" si="335"/>
        <v>Aug</v>
      </c>
      <c r="O3560">
        <f t="shared" si="336"/>
        <v>2025</v>
      </c>
    </row>
    <row r="3561" spans="1:15" x14ac:dyDescent="0.3">
      <c r="A3561">
        <v>200999</v>
      </c>
      <c r="B3561" t="s">
        <v>103</v>
      </c>
      <c r="C3561" s="2">
        <v>45874</v>
      </c>
      <c r="D3561" s="2">
        <f t="shared" si="334"/>
        <v>45904</v>
      </c>
      <c r="E3561" s="1">
        <f>D3561+1</f>
        <v>45905</v>
      </c>
      <c r="F3561">
        <v>2684</v>
      </c>
      <c r="G3561">
        <v>30</v>
      </c>
      <c r="H3561">
        <f t="shared" si="339"/>
        <v>0</v>
      </c>
      <c r="I3561" t="str">
        <f t="shared" si="337"/>
        <v>On Time</v>
      </c>
      <c r="J3561" cm="1">
        <f t="array" ref="J3561">_xlfn.IFS(H3561&lt;30,0,H3561&lt;60,1,H3561&lt;90,2,H3561&lt;120,3)</f>
        <v>0</v>
      </c>
      <c r="M3561" t="str">
        <f t="shared" si="338"/>
        <v>Low</v>
      </c>
      <c r="N3561" t="str">
        <f t="shared" si="335"/>
        <v>Aug</v>
      </c>
      <c r="O3561">
        <f t="shared" si="336"/>
        <v>2025</v>
      </c>
    </row>
    <row r="3562" spans="1:15" x14ac:dyDescent="0.3">
      <c r="A3562">
        <v>201000</v>
      </c>
      <c r="B3562" t="s">
        <v>104</v>
      </c>
      <c r="C3562" s="2">
        <v>45874</v>
      </c>
      <c r="D3562" s="2">
        <f t="shared" si="334"/>
        <v>45904</v>
      </c>
      <c r="E3562" s="1">
        <f>D3562+35</f>
        <v>45939</v>
      </c>
      <c r="F3562">
        <v>4107</v>
      </c>
      <c r="G3562">
        <v>30</v>
      </c>
      <c r="H3562">
        <f t="shared" si="339"/>
        <v>0</v>
      </c>
      <c r="I3562" t="str">
        <f t="shared" si="337"/>
        <v>On Time</v>
      </c>
      <c r="J3562" cm="1">
        <f t="array" ref="J3562">_xlfn.IFS(H3562&lt;30,0,H3562&lt;60,1,H3562&lt;90,2,H3562&lt;120,3)</f>
        <v>0</v>
      </c>
      <c r="M3562" t="str">
        <f t="shared" si="338"/>
        <v>Low</v>
      </c>
      <c r="N3562" t="str">
        <f t="shared" si="335"/>
        <v>Aug</v>
      </c>
      <c r="O3562">
        <f t="shared" si="336"/>
        <v>2025</v>
      </c>
    </row>
    <row r="3563" spans="1:15" x14ac:dyDescent="0.3">
      <c r="A3563">
        <v>201001</v>
      </c>
      <c r="B3563" t="s">
        <v>105</v>
      </c>
      <c r="C3563" s="2">
        <v>45874</v>
      </c>
      <c r="D3563" s="2">
        <f t="shared" si="334"/>
        <v>45904</v>
      </c>
      <c r="E3563" s="1">
        <f>D3563+75</f>
        <v>45979</v>
      </c>
      <c r="F3563">
        <v>2785</v>
      </c>
      <c r="G3563">
        <v>30</v>
      </c>
      <c r="H3563">
        <f t="shared" si="339"/>
        <v>0</v>
      </c>
      <c r="I3563" t="str">
        <f t="shared" si="337"/>
        <v>On Time</v>
      </c>
      <c r="J3563" cm="1">
        <f t="array" ref="J3563">_xlfn.IFS(H3563&lt;30,0,H3563&lt;60,1,H3563&lt;90,2,H3563&lt;120,3)</f>
        <v>0</v>
      </c>
      <c r="M3563" t="str">
        <f t="shared" si="338"/>
        <v>Low</v>
      </c>
      <c r="N3563" t="str">
        <f t="shared" si="335"/>
        <v>Aug</v>
      </c>
      <c r="O3563">
        <f t="shared" si="336"/>
        <v>2025</v>
      </c>
    </row>
    <row r="3564" spans="1:15" x14ac:dyDescent="0.3">
      <c r="A3564">
        <v>201002</v>
      </c>
      <c r="B3564" t="s">
        <v>114</v>
      </c>
      <c r="C3564" s="2">
        <v>45874</v>
      </c>
      <c r="D3564" s="2">
        <f t="shared" si="334"/>
        <v>45904</v>
      </c>
      <c r="E3564" s="1">
        <f>D3564+5</f>
        <v>45909</v>
      </c>
      <c r="F3564">
        <v>4204</v>
      </c>
      <c r="G3564">
        <v>30</v>
      </c>
      <c r="H3564">
        <f t="shared" si="339"/>
        <v>0</v>
      </c>
      <c r="I3564" t="str">
        <f t="shared" si="337"/>
        <v>On Time</v>
      </c>
      <c r="J3564" cm="1">
        <f t="array" ref="J3564">_xlfn.IFS(H3564&lt;30,0,H3564&lt;60,1,H3564&lt;90,2,H3564&lt;120,3)</f>
        <v>0</v>
      </c>
      <c r="M3564" t="str">
        <f t="shared" si="338"/>
        <v>Low</v>
      </c>
      <c r="N3564" t="str">
        <f t="shared" si="335"/>
        <v>Aug</v>
      </c>
      <c r="O3564">
        <f t="shared" si="336"/>
        <v>2025</v>
      </c>
    </row>
    <row r="3565" spans="1:15" x14ac:dyDescent="0.3">
      <c r="A3565">
        <v>201003</v>
      </c>
      <c r="B3565" t="s">
        <v>115</v>
      </c>
      <c r="C3565" s="2">
        <v>45874</v>
      </c>
      <c r="D3565" s="2">
        <f t="shared" si="334"/>
        <v>45904</v>
      </c>
      <c r="E3565" s="1">
        <f>D3565</f>
        <v>45904</v>
      </c>
      <c r="F3565">
        <v>3700</v>
      </c>
      <c r="G3565">
        <v>30</v>
      </c>
      <c r="H3565">
        <f t="shared" si="339"/>
        <v>0</v>
      </c>
      <c r="I3565" t="str">
        <f t="shared" si="337"/>
        <v>On Time</v>
      </c>
      <c r="J3565" cm="1">
        <f t="array" ref="J3565">_xlfn.IFS(H3565&lt;30,0,H3565&lt;60,1,H3565&lt;90,2,H3565&lt;120,3)</f>
        <v>0</v>
      </c>
      <c r="M3565" t="str">
        <f t="shared" si="338"/>
        <v>Low</v>
      </c>
      <c r="N3565" t="str">
        <f t="shared" si="335"/>
        <v>Aug</v>
      </c>
      <c r="O3565">
        <f t="shared" si="336"/>
        <v>2025</v>
      </c>
    </row>
    <row r="3566" spans="1:15" x14ac:dyDescent="0.3">
      <c r="A3566">
        <v>201004</v>
      </c>
      <c r="B3566" t="s">
        <v>116</v>
      </c>
      <c r="C3566" s="2">
        <v>45874</v>
      </c>
      <c r="D3566" s="2">
        <f t="shared" si="334"/>
        <v>45904</v>
      </c>
      <c r="E3566" s="1">
        <f>D3566-1</f>
        <v>45903</v>
      </c>
      <c r="F3566">
        <v>960</v>
      </c>
      <c r="G3566">
        <v>30</v>
      </c>
      <c r="H3566">
        <f t="shared" si="339"/>
        <v>0</v>
      </c>
      <c r="I3566" t="str">
        <f t="shared" si="337"/>
        <v>On Time</v>
      </c>
      <c r="J3566" cm="1">
        <f t="array" ref="J3566">_xlfn.IFS(H3566&lt;30,0,H3566&lt;60,1,H3566&lt;90,2,H3566&lt;120,3)</f>
        <v>0</v>
      </c>
      <c r="M3566" t="str">
        <f t="shared" si="338"/>
        <v>Low</v>
      </c>
      <c r="N3566" t="str">
        <f t="shared" si="335"/>
        <v>Aug</v>
      </c>
      <c r="O3566">
        <f t="shared" si="336"/>
        <v>2025</v>
      </c>
    </row>
    <row r="3567" spans="1:15" x14ac:dyDescent="0.3">
      <c r="A3567">
        <v>201005</v>
      </c>
      <c r="B3567" t="s">
        <v>117</v>
      </c>
      <c r="C3567" s="2">
        <v>45874</v>
      </c>
      <c r="D3567" s="2">
        <f t="shared" si="334"/>
        <v>45904</v>
      </c>
      <c r="E3567" s="1">
        <f>D3567</f>
        <v>45904</v>
      </c>
      <c r="F3567">
        <v>2281</v>
      </c>
      <c r="G3567">
        <v>30</v>
      </c>
      <c r="H3567">
        <f t="shared" si="339"/>
        <v>0</v>
      </c>
      <c r="I3567" t="str">
        <f t="shared" si="337"/>
        <v>On Time</v>
      </c>
      <c r="J3567" cm="1">
        <f t="array" ref="J3567">_xlfn.IFS(H3567&lt;30,0,H3567&lt;60,1,H3567&lt;90,2,H3567&lt;120,3)</f>
        <v>0</v>
      </c>
      <c r="M3567" t="str">
        <f t="shared" si="338"/>
        <v>Low</v>
      </c>
      <c r="N3567" t="str">
        <f t="shared" si="335"/>
        <v>Aug</v>
      </c>
      <c r="O3567">
        <f t="shared" si="336"/>
        <v>2025</v>
      </c>
    </row>
    <row r="3568" spans="1:15" x14ac:dyDescent="0.3">
      <c r="A3568">
        <v>201006</v>
      </c>
      <c r="B3568" t="s">
        <v>118</v>
      </c>
      <c r="C3568" s="2">
        <v>45874</v>
      </c>
      <c r="D3568" s="2">
        <f t="shared" si="334"/>
        <v>45904</v>
      </c>
      <c r="E3568" s="1">
        <f>D3568+32</f>
        <v>45936</v>
      </c>
      <c r="F3568">
        <v>1748</v>
      </c>
      <c r="G3568">
        <v>30</v>
      </c>
      <c r="H3568">
        <f t="shared" si="339"/>
        <v>0</v>
      </c>
      <c r="I3568" t="str">
        <f t="shared" si="337"/>
        <v>On Time</v>
      </c>
      <c r="J3568" cm="1">
        <f t="array" ref="J3568">_xlfn.IFS(H3568&lt;30,0,H3568&lt;60,1,H3568&lt;90,2,H3568&lt;120,3)</f>
        <v>0</v>
      </c>
      <c r="M3568" t="str">
        <f t="shared" si="338"/>
        <v>Low</v>
      </c>
      <c r="N3568" t="str">
        <f t="shared" si="335"/>
        <v>Aug</v>
      </c>
      <c r="O3568">
        <f t="shared" si="336"/>
        <v>2025</v>
      </c>
    </row>
    <row r="3569" spans="1:15" x14ac:dyDescent="0.3">
      <c r="A3569">
        <v>200976</v>
      </c>
      <c r="B3569" t="s">
        <v>30</v>
      </c>
      <c r="C3569" s="2">
        <v>45873</v>
      </c>
      <c r="D3569" s="2">
        <f t="shared" si="334"/>
        <v>45903</v>
      </c>
      <c r="E3569" s="1">
        <f>D3569-2</f>
        <v>45901</v>
      </c>
      <c r="F3569">
        <v>4047</v>
      </c>
      <c r="G3569">
        <v>30</v>
      </c>
      <c r="H3569">
        <f t="shared" si="339"/>
        <v>0</v>
      </c>
      <c r="I3569" t="str">
        <f t="shared" si="337"/>
        <v>On Time</v>
      </c>
      <c r="J3569" cm="1">
        <f t="array" ref="J3569">_xlfn.IFS(H3569&lt;30,0,H3569&lt;60,1,H3569&lt;90,2,H3569&lt;120,3)</f>
        <v>0</v>
      </c>
      <c r="M3569" t="str">
        <f t="shared" si="338"/>
        <v>Low</v>
      </c>
      <c r="N3569" t="str">
        <f t="shared" si="335"/>
        <v>Aug</v>
      </c>
      <c r="O3569">
        <f t="shared" si="336"/>
        <v>2025</v>
      </c>
    </row>
    <row r="3570" spans="1:15" x14ac:dyDescent="0.3">
      <c r="A3570">
        <v>200977</v>
      </c>
      <c r="B3570" t="s">
        <v>31</v>
      </c>
      <c r="C3570" s="2">
        <v>45873</v>
      </c>
      <c r="D3570" s="2">
        <f t="shared" si="334"/>
        <v>45918</v>
      </c>
      <c r="E3570" s="1">
        <f>D3570</f>
        <v>45918</v>
      </c>
      <c r="F3570">
        <v>319</v>
      </c>
      <c r="G3570">
        <v>45</v>
      </c>
      <c r="H3570">
        <f t="shared" si="339"/>
        <v>0</v>
      </c>
      <c r="I3570" t="str">
        <f t="shared" si="337"/>
        <v>On Time</v>
      </c>
      <c r="J3570" cm="1">
        <f t="array" ref="J3570">_xlfn.IFS(H3570&lt;30,0,H3570&lt;60,1,H3570&lt;90,2,H3570&lt;120,3)</f>
        <v>0</v>
      </c>
      <c r="M3570" t="str">
        <f t="shared" si="338"/>
        <v>Low</v>
      </c>
      <c r="N3570" t="str">
        <f t="shared" si="335"/>
        <v>Aug</v>
      </c>
      <c r="O3570">
        <f t="shared" si="336"/>
        <v>2025</v>
      </c>
    </row>
    <row r="3571" spans="1:15" x14ac:dyDescent="0.3">
      <c r="A3571">
        <v>200978</v>
      </c>
      <c r="B3571" t="s">
        <v>54</v>
      </c>
      <c r="C3571" s="2">
        <v>45873</v>
      </c>
      <c r="D3571" s="2">
        <f t="shared" si="334"/>
        <v>45903</v>
      </c>
      <c r="E3571" s="1">
        <f>D3571+2</f>
        <v>45905</v>
      </c>
      <c r="F3571">
        <v>3097</v>
      </c>
      <c r="G3571">
        <v>30</v>
      </c>
      <c r="H3571">
        <f t="shared" si="339"/>
        <v>0</v>
      </c>
      <c r="I3571" t="str">
        <f t="shared" si="337"/>
        <v>On Time</v>
      </c>
      <c r="J3571" cm="1">
        <f t="array" ref="J3571">_xlfn.IFS(H3571&lt;30,0,H3571&lt;60,1,H3571&lt;90,2,H3571&lt;120,3)</f>
        <v>0</v>
      </c>
      <c r="M3571" t="str">
        <f t="shared" si="338"/>
        <v>Low</v>
      </c>
      <c r="N3571" t="str">
        <f t="shared" si="335"/>
        <v>Aug</v>
      </c>
      <c r="O3571">
        <f t="shared" si="336"/>
        <v>2025</v>
      </c>
    </row>
    <row r="3572" spans="1:15" x14ac:dyDescent="0.3">
      <c r="A3572">
        <v>200979</v>
      </c>
      <c r="B3572" t="s">
        <v>55</v>
      </c>
      <c r="C3572" s="2">
        <v>45873</v>
      </c>
      <c r="D3572" s="2">
        <f t="shared" si="334"/>
        <v>45903</v>
      </c>
      <c r="E3572" s="1">
        <f>D3572+2</f>
        <v>45905</v>
      </c>
      <c r="F3572">
        <v>2295</v>
      </c>
      <c r="G3572">
        <v>30</v>
      </c>
      <c r="H3572">
        <f t="shared" si="339"/>
        <v>0</v>
      </c>
      <c r="I3572" t="str">
        <f t="shared" si="337"/>
        <v>On Time</v>
      </c>
      <c r="J3572" cm="1">
        <f t="array" ref="J3572">_xlfn.IFS(H3572&lt;30,0,H3572&lt;60,1,H3572&lt;90,2,H3572&lt;120,3)</f>
        <v>0</v>
      </c>
      <c r="M3572" t="str">
        <f t="shared" si="338"/>
        <v>Low</v>
      </c>
      <c r="N3572" t="str">
        <f t="shared" si="335"/>
        <v>Aug</v>
      </c>
      <c r="O3572">
        <f t="shared" si="336"/>
        <v>2025</v>
      </c>
    </row>
    <row r="3573" spans="1:15" x14ac:dyDescent="0.3">
      <c r="A3573">
        <v>200980</v>
      </c>
      <c r="B3573" t="s">
        <v>56</v>
      </c>
      <c r="C3573" s="2">
        <v>45873</v>
      </c>
      <c r="D3573" s="2">
        <f t="shared" si="334"/>
        <v>45918</v>
      </c>
      <c r="E3573" s="1">
        <f>D3573+2</f>
        <v>45920</v>
      </c>
      <c r="F3573">
        <v>4080</v>
      </c>
      <c r="G3573">
        <v>45</v>
      </c>
      <c r="H3573">
        <f t="shared" si="339"/>
        <v>0</v>
      </c>
      <c r="I3573" t="str">
        <f t="shared" si="337"/>
        <v>On Time</v>
      </c>
      <c r="J3573" cm="1">
        <f t="array" ref="J3573">_xlfn.IFS(H3573&lt;30,0,H3573&lt;60,1,H3573&lt;90,2,H3573&lt;120,3)</f>
        <v>0</v>
      </c>
      <c r="M3573" t="str">
        <f t="shared" si="338"/>
        <v>Low</v>
      </c>
      <c r="N3573" t="str">
        <f t="shared" si="335"/>
        <v>Aug</v>
      </c>
      <c r="O3573">
        <f t="shared" si="336"/>
        <v>2025</v>
      </c>
    </row>
    <row r="3574" spans="1:15" x14ac:dyDescent="0.3">
      <c r="A3574">
        <v>200981</v>
      </c>
      <c r="B3574" t="s">
        <v>57</v>
      </c>
      <c r="C3574" s="2">
        <v>45873</v>
      </c>
      <c r="D3574" s="2">
        <f t="shared" si="334"/>
        <v>45933</v>
      </c>
      <c r="E3574" s="1">
        <f>D3574</f>
        <v>45933</v>
      </c>
      <c r="F3574">
        <v>464</v>
      </c>
      <c r="G3574">
        <v>60</v>
      </c>
      <c r="H3574">
        <f t="shared" si="339"/>
        <v>0</v>
      </c>
      <c r="I3574" t="str">
        <f t="shared" si="337"/>
        <v>On Time</v>
      </c>
      <c r="J3574" cm="1">
        <f t="array" ref="J3574">_xlfn.IFS(H3574&lt;30,0,H3574&lt;60,1,H3574&lt;90,2,H3574&lt;120,3)</f>
        <v>0</v>
      </c>
      <c r="M3574" t="str">
        <f t="shared" si="338"/>
        <v>Low</v>
      </c>
      <c r="N3574" t="str">
        <f t="shared" si="335"/>
        <v>Aug</v>
      </c>
      <c r="O3574">
        <f t="shared" si="336"/>
        <v>2025</v>
      </c>
    </row>
    <row r="3575" spans="1:15" x14ac:dyDescent="0.3">
      <c r="A3575">
        <v>200982</v>
      </c>
      <c r="B3575" t="s">
        <v>58</v>
      </c>
      <c r="C3575" s="2">
        <v>45873</v>
      </c>
      <c r="D3575" s="2">
        <f t="shared" si="334"/>
        <v>45903</v>
      </c>
      <c r="E3575" s="1">
        <f>D3575+20</f>
        <v>45923</v>
      </c>
      <c r="F3575">
        <v>805</v>
      </c>
      <c r="G3575">
        <v>30</v>
      </c>
      <c r="H3575">
        <f t="shared" si="339"/>
        <v>0</v>
      </c>
      <c r="I3575" t="str">
        <f t="shared" si="337"/>
        <v>On Time</v>
      </c>
      <c r="J3575" cm="1">
        <f t="array" ref="J3575">_xlfn.IFS(H3575&lt;30,0,H3575&lt;60,1,H3575&lt;90,2,H3575&lt;120,3)</f>
        <v>0</v>
      </c>
      <c r="M3575" t="str">
        <f t="shared" si="338"/>
        <v>Low</v>
      </c>
      <c r="N3575" t="str">
        <f t="shared" si="335"/>
        <v>Aug</v>
      </c>
      <c r="O3575">
        <f t="shared" si="336"/>
        <v>2025</v>
      </c>
    </row>
    <row r="3576" spans="1:15" x14ac:dyDescent="0.3">
      <c r="A3576">
        <v>200983</v>
      </c>
      <c r="B3576" t="s">
        <v>59</v>
      </c>
      <c r="C3576" s="2">
        <v>45873</v>
      </c>
      <c r="D3576" s="2">
        <f t="shared" si="334"/>
        <v>45903</v>
      </c>
      <c r="E3576" s="1">
        <f>D3576</f>
        <v>45903</v>
      </c>
      <c r="F3576">
        <v>2786</v>
      </c>
      <c r="G3576">
        <v>30</v>
      </c>
      <c r="H3576">
        <f t="shared" si="339"/>
        <v>0</v>
      </c>
      <c r="I3576" t="str">
        <f t="shared" si="337"/>
        <v>On Time</v>
      </c>
      <c r="J3576" cm="1">
        <f t="array" ref="J3576">_xlfn.IFS(H3576&lt;30,0,H3576&lt;60,1,H3576&lt;90,2,H3576&lt;120,3)</f>
        <v>0</v>
      </c>
      <c r="M3576" t="str">
        <f t="shared" si="338"/>
        <v>Low</v>
      </c>
      <c r="N3576" t="str">
        <f t="shared" si="335"/>
        <v>Aug</v>
      </c>
      <c r="O3576">
        <f t="shared" si="336"/>
        <v>2025</v>
      </c>
    </row>
    <row r="3577" spans="1:15" x14ac:dyDescent="0.3">
      <c r="A3577">
        <v>200984</v>
      </c>
      <c r="B3577" t="s">
        <v>60</v>
      </c>
      <c r="C3577" s="2">
        <v>45873</v>
      </c>
      <c r="D3577" s="2">
        <f t="shared" si="334"/>
        <v>45903</v>
      </c>
      <c r="E3577" s="1">
        <f>D3577+1</f>
        <v>45904</v>
      </c>
      <c r="F3577">
        <v>4063</v>
      </c>
      <c r="G3577">
        <v>30</v>
      </c>
      <c r="H3577">
        <f t="shared" si="339"/>
        <v>0</v>
      </c>
      <c r="I3577" t="str">
        <f t="shared" si="337"/>
        <v>On Time</v>
      </c>
      <c r="J3577" cm="1">
        <f t="array" ref="J3577">_xlfn.IFS(H3577&lt;30,0,H3577&lt;60,1,H3577&lt;90,2,H3577&lt;120,3)</f>
        <v>0</v>
      </c>
      <c r="M3577" t="str">
        <f t="shared" si="338"/>
        <v>Low</v>
      </c>
      <c r="N3577" t="str">
        <f t="shared" si="335"/>
        <v>Aug</v>
      </c>
      <c r="O3577">
        <f t="shared" si="336"/>
        <v>2025</v>
      </c>
    </row>
    <row r="3578" spans="1:15" x14ac:dyDescent="0.3">
      <c r="A3578">
        <v>200985</v>
      </c>
      <c r="B3578" t="s">
        <v>61</v>
      </c>
      <c r="C3578" s="2">
        <v>45873</v>
      </c>
      <c r="D3578" s="2">
        <f t="shared" si="334"/>
        <v>45903</v>
      </c>
      <c r="E3578" s="1">
        <f>D3578</f>
        <v>45903</v>
      </c>
      <c r="F3578">
        <v>4140</v>
      </c>
      <c r="G3578">
        <v>30</v>
      </c>
      <c r="H3578">
        <f t="shared" si="339"/>
        <v>0</v>
      </c>
      <c r="I3578" t="str">
        <f t="shared" si="337"/>
        <v>On Time</v>
      </c>
      <c r="J3578" cm="1">
        <f t="array" ref="J3578">_xlfn.IFS(H3578&lt;30,0,H3578&lt;60,1,H3578&lt;90,2,H3578&lt;120,3)</f>
        <v>0</v>
      </c>
      <c r="M3578" t="str">
        <f t="shared" si="338"/>
        <v>Low</v>
      </c>
      <c r="N3578" t="str">
        <f t="shared" si="335"/>
        <v>Aug</v>
      </c>
      <c r="O3578">
        <f t="shared" si="336"/>
        <v>2025</v>
      </c>
    </row>
    <row r="3579" spans="1:15" x14ac:dyDescent="0.3">
      <c r="A3579">
        <v>200986</v>
      </c>
      <c r="B3579" t="s">
        <v>62</v>
      </c>
      <c r="C3579" s="2">
        <v>45873</v>
      </c>
      <c r="D3579" s="2">
        <f t="shared" si="334"/>
        <v>45903</v>
      </c>
      <c r="E3579" s="1">
        <f>D3579</f>
        <v>45903</v>
      </c>
      <c r="F3579">
        <v>290</v>
      </c>
      <c r="G3579">
        <v>30</v>
      </c>
      <c r="H3579">
        <f t="shared" si="339"/>
        <v>0</v>
      </c>
      <c r="I3579" t="str">
        <f t="shared" si="337"/>
        <v>On Time</v>
      </c>
      <c r="J3579" cm="1">
        <f t="array" ref="J3579">_xlfn.IFS(H3579&lt;30,0,H3579&lt;60,1,H3579&lt;90,2,H3579&lt;120,3)</f>
        <v>0</v>
      </c>
      <c r="M3579" t="str">
        <f t="shared" si="338"/>
        <v>Low</v>
      </c>
      <c r="N3579" t="str">
        <f t="shared" si="335"/>
        <v>Aug</v>
      </c>
      <c r="O3579">
        <f t="shared" si="336"/>
        <v>2025</v>
      </c>
    </row>
    <row r="3580" spans="1:15" x14ac:dyDescent="0.3">
      <c r="A3580">
        <v>200987</v>
      </c>
      <c r="B3580" t="s">
        <v>63</v>
      </c>
      <c r="C3580" s="2">
        <v>45873</v>
      </c>
      <c r="D3580" s="2">
        <f t="shared" si="334"/>
        <v>45903</v>
      </c>
      <c r="E3580" s="1">
        <f>D3580+5</f>
        <v>45908</v>
      </c>
      <c r="F3580">
        <v>4294</v>
      </c>
      <c r="G3580">
        <v>30</v>
      </c>
      <c r="H3580">
        <f t="shared" si="339"/>
        <v>0</v>
      </c>
      <c r="I3580" t="str">
        <f t="shared" si="337"/>
        <v>On Time</v>
      </c>
      <c r="J3580" cm="1">
        <f t="array" ref="J3580">_xlfn.IFS(H3580&lt;30,0,H3580&lt;60,1,H3580&lt;90,2,H3580&lt;120,3)</f>
        <v>0</v>
      </c>
      <c r="M3580" t="str">
        <f t="shared" si="338"/>
        <v>Low</v>
      </c>
      <c r="N3580" t="str">
        <f t="shared" si="335"/>
        <v>Aug</v>
      </c>
      <c r="O3580">
        <f t="shared" si="336"/>
        <v>2025</v>
      </c>
    </row>
    <row r="3581" spans="1:15" x14ac:dyDescent="0.3">
      <c r="A3581">
        <v>200988</v>
      </c>
      <c r="B3581" t="s">
        <v>64</v>
      </c>
      <c r="C3581" s="2">
        <v>45873</v>
      </c>
      <c r="D3581" s="2">
        <f t="shared" si="334"/>
        <v>45903</v>
      </c>
      <c r="E3581" s="1">
        <f>D3581+2</f>
        <v>45905</v>
      </c>
      <c r="F3581">
        <v>409</v>
      </c>
      <c r="G3581">
        <v>30</v>
      </c>
      <c r="H3581">
        <f t="shared" si="339"/>
        <v>0</v>
      </c>
      <c r="I3581" t="str">
        <f t="shared" si="337"/>
        <v>On Time</v>
      </c>
      <c r="J3581" cm="1">
        <f t="array" ref="J3581">_xlfn.IFS(H3581&lt;30,0,H3581&lt;60,1,H3581&lt;90,2,H3581&lt;120,3)</f>
        <v>0</v>
      </c>
      <c r="M3581" t="str">
        <f t="shared" si="338"/>
        <v>Low</v>
      </c>
      <c r="N3581" t="str">
        <f t="shared" si="335"/>
        <v>Aug</v>
      </c>
      <c r="O3581">
        <f t="shared" si="336"/>
        <v>2025</v>
      </c>
    </row>
    <row r="3582" spans="1:15" x14ac:dyDescent="0.3">
      <c r="A3582">
        <v>200961</v>
      </c>
      <c r="B3582" t="s">
        <v>112</v>
      </c>
      <c r="C3582" s="2">
        <v>45870</v>
      </c>
      <c r="D3582" s="2">
        <f t="shared" si="334"/>
        <v>45915</v>
      </c>
      <c r="F3582">
        <v>1238</v>
      </c>
      <c r="G3582">
        <v>45</v>
      </c>
      <c r="H3582">
        <f t="shared" si="339"/>
        <v>0</v>
      </c>
      <c r="I3582" t="str">
        <f t="shared" si="337"/>
        <v>On Time</v>
      </c>
      <c r="J3582" cm="1">
        <f t="array" ref="J3582">_xlfn.IFS(H3582&lt;30,0,H3582&lt;60,1,H3582&lt;90,2,H3582&lt;120,3)</f>
        <v>0</v>
      </c>
      <c r="M3582" t="str">
        <f t="shared" si="338"/>
        <v>Low</v>
      </c>
      <c r="N3582" t="str">
        <f t="shared" si="335"/>
        <v>Aug</v>
      </c>
      <c r="O3582">
        <f t="shared" si="336"/>
        <v>2025</v>
      </c>
    </row>
    <row r="3583" spans="1:15" x14ac:dyDescent="0.3">
      <c r="A3583">
        <v>200962</v>
      </c>
      <c r="B3583" t="s">
        <v>113</v>
      </c>
      <c r="C3583" s="2">
        <v>45870</v>
      </c>
      <c r="D3583" s="2">
        <f t="shared" si="334"/>
        <v>45915</v>
      </c>
      <c r="E3583" s="1">
        <f>D3583+3</f>
        <v>45918</v>
      </c>
      <c r="F3583">
        <v>1889</v>
      </c>
      <c r="G3583">
        <v>45</v>
      </c>
      <c r="H3583">
        <f t="shared" si="339"/>
        <v>0</v>
      </c>
      <c r="I3583" t="str">
        <f t="shared" si="337"/>
        <v>On Time</v>
      </c>
      <c r="J3583" cm="1">
        <f t="array" ref="J3583">_xlfn.IFS(H3583&lt;30,0,H3583&lt;60,1,H3583&lt;90,2,H3583&lt;120,3)</f>
        <v>0</v>
      </c>
      <c r="M3583" t="str">
        <f t="shared" si="338"/>
        <v>Low</v>
      </c>
      <c r="N3583" t="str">
        <f t="shared" si="335"/>
        <v>Aug</v>
      </c>
      <c r="O3583">
        <f t="shared" si="336"/>
        <v>2025</v>
      </c>
    </row>
    <row r="3584" spans="1:15" x14ac:dyDescent="0.3">
      <c r="A3584">
        <v>200963</v>
      </c>
      <c r="B3584" t="s">
        <v>114</v>
      </c>
      <c r="C3584" s="2">
        <v>45870</v>
      </c>
      <c r="D3584" s="2">
        <f t="shared" si="334"/>
        <v>45900</v>
      </c>
      <c r="E3584" s="1">
        <f>D3584+1</f>
        <v>45901</v>
      </c>
      <c r="F3584">
        <v>4667</v>
      </c>
      <c r="G3584">
        <v>30</v>
      </c>
      <c r="H3584">
        <f t="shared" si="339"/>
        <v>0</v>
      </c>
      <c r="I3584" t="str">
        <f t="shared" si="337"/>
        <v>On Time</v>
      </c>
      <c r="J3584" cm="1">
        <f t="array" ref="J3584">_xlfn.IFS(H3584&lt;30,0,H3584&lt;60,1,H3584&lt;90,2,H3584&lt;120,3)</f>
        <v>0</v>
      </c>
      <c r="M3584" t="str">
        <f t="shared" si="338"/>
        <v>Low</v>
      </c>
      <c r="N3584" t="str">
        <f t="shared" si="335"/>
        <v>Aug</v>
      </c>
      <c r="O3584">
        <f t="shared" si="336"/>
        <v>2025</v>
      </c>
    </row>
    <row r="3585" spans="1:15" x14ac:dyDescent="0.3">
      <c r="A3585">
        <v>200964</v>
      </c>
      <c r="B3585" t="s">
        <v>115</v>
      </c>
      <c r="C3585" s="2">
        <v>45870</v>
      </c>
      <c r="D3585" s="2">
        <f t="shared" si="334"/>
        <v>45900</v>
      </c>
      <c r="E3585" s="1">
        <f>D3585-1</f>
        <v>45899</v>
      </c>
      <c r="F3585">
        <v>169</v>
      </c>
      <c r="G3585">
        <v>30</v>
      </c>
      <c r="H3585">
        <f t="shared" si="339"/>
        <v>0</v>
      </c>
      <c r="I3585" t="str">
        <f t="shared" si="337"/>
        <v>On Time</v>
      </c>
      <c r="J3585" cm="1">
        <f t="array" ref="J3585">_xlfn.IFS(H3585&lt;30,0,H3585&lt;60,1,H3585&lt;90,2,H3585&lt;120,3)</f>
        <v>0</v>
      </c>
      <c r="M3585" t="str">
        <f t="shared" si="338"/>
        <v>Low</v>
      </c>
      <c r="N3585" t="str">
        <f t="shared" si="335"/>
        <v>Aug</v>
      </c>
      <c r="O3585">
        <f t="shared" si="336"/>
        <v>2025</v>
      </c>
    </row>
    <row r="3586" spans="1:15" x14ac:dyDescent="0.3">
      <c r="A3586">
        <v>200965</v>
      </c>
      <c r="B3586" t="s">
        <v>116</v>
      </c>
      <c r="C3586" s="2">
        <v>45870</v>
      </c>
      <c r="D3586" s="2">
        <f t="shared" ref="D3586:D3649" si="340">C3586+G3586</f>
        <v>45900</v>
      </c>
      <c r="E3586" s="1">
        <f>D3586</f>
        <v>45900</v>
      </c>
      <c r="F3586">
        <v>3339</v>
      </c>
      <c r="G3586">
        <v>30</v>
      </c>
      <c r="H3586">
        <f t="shared" si="339"/>
        <v>0</v>
      </c>
      <c r="I3586" t="str">
        <f t="shared" si="337"/>
        <v>On Time</v>
      </c>
      <c r="J3586" cm="1">
        <f t="array" ref="J3586">_xlfn.IFS(H3586&lt;30,0,H3586&lt;60,1,H3586&lt;90,2,H3586&lt;120,3)</f>
        <v>0</v>
      </c>
      <c r="M3586" t="str">
        <f t="shared" si="338"/>
        <v>Low</v>
      </c>
      <c r="N3586" t="str">
        <f t="shared" ref="N3586:N3649" si="341">TEXT(C3586,"mmm")</f>
        <v>Aug</v>
      </c>
      <c r="O3586">
        <f t="shared" ref="O3586:O3649" si="342">YEAR(C3586)</f>
        <v>2025</v>
      </c>
    </row>
    <row r="3587" spans="1:15" x14ac:dyDescent="0.3">
      <c r="A3587">
        <v>200966</v>
      </c>
      <c r="B3587" t="s">
        <v>20</v>
      </c>
      <c r="C3587" s="2">
        <v>45870</v>
      </c>
      <c r="D3587" s="2">
        <f t="shared" si="340"/>
        <v>45900</v>
      </c>
      <c r="E3587" s="1">
        <f>D3587-5</f>
        <v>45895</v>
      </c>
      <c r="F3587">
        <v>848</v>
      </c>
      <c r="G3587">
        <v>30</v>
      </c>
      <c r="H3587">
        <f t="shared" si="339"/>
        <v>0</v>
      </c>
      <c r="I3587" t="str">
        <f t="shared" si="337"/>
        <v>On Time</v>
      </c>
      <c r="J3587" cm="1">
        <f t="array" ref="J3587">_xlfn.IFS(H3587&lt;30,0,H3587&lt;60,1,H3587&lt;90,2,H3587&lt;120,3)</f>
        <v>0</v>
      </c>
      <c r="M3587" t="str">
        <f t="shared" si="338"/>
        <v>Low</v>
      </c>
      <c r="N3587" t="str">
        <f t="shared" si="341"/>
        <v>Aug</v>
      </c>
      <c r="O3587">
        <f t="shared" si="342"/>
        <v>2025</v>
      </c>
    </row>
    <row r="3588" spans="1:15" x14ac:dyDescent="0.3">
      <c r="A3588">
        <v>200967</v>
      </c>
      <c r="B3588" t="s">
        <v>21</v>
      </c>
      <c r="C3588" s="2">
        <v>45870</v>
      </c>
      <c r="D3588" s="2">
        <f t="shared" si="340"/>
        <v>45900</v>
      </c>
      <c r="E3588" s="1">
        <f>D3588+35</f>
        <v>45935</v>
      </c>
      <c r="F3588">
        <v>4284</v>
      </c>
      <c r="G3588">
        <v>30</v>
      </c>
      <c r="H3588">
        <f t="shared" si="339"/>
        <v>0</v>
      </c>
      <c r="I3588" t="str">
        <f t="shared" si="337"/>
        <v>On Time</v>
      </c>
      <c r="J3588" cm="1">
        <f t="array" ref="J3588">_xlfn.IFS(H3588&lt;30,0,H3588&lt;60,1,H3588&lt;90,2,H3588&lt;120,3)</f>
        <v>0</v>
      </c>
      <c r="M3588" t="str">
        <f t="shared" si="338"/>
        <v>Low</v>
      </c>
      <c r="N3588" t="str">
        <f t="shared" si="341"/>
        <v>Aug</v>
      </c>
      <c r="O3588">
        <f t="shared" si="342"/>
        <v>2025</v>
      </c>
    </row>
    <row r="3589" spans="1:15" x14ac:dyDescent="0.3">
      <c r="A3589">
        <v>200968</v>
      </c>
      <c r="B3589" t="s">
        <v>22</v>
      </c>
      <c r="C3589" s="2">
        <v>45870</v>
      </c>
      <c r="D3589" s="2">
        <f t="shared" si="340"/>
        <v>45900</v>
      </c>
      <c r="E3589" s="1">
        <f>D3589+75</f>
        <v>45975</v>
      </c>
      <c r="F3589">
        <v>3051</v>
      </c>
      <c r="G3589">
        <v>30</v>
      </c>
      <c r="H3589">
        <f t="shared" si="339"/>
        <v>0</v>
      </c>
      <c r="I3589" t="str">
        <f t="shared" si="337"/>
        <v>On Time</v>
      </c>
      <c r="J3589" cm="1">
        <f t="array" ref="J3589">_xlfn.IFS(H3589&lt;30,0,H3589&lt;60,1,H3589&lt;90,2,H3589&lt;120,3)</f>
        <v>0</v>
      </c>
      <c r="M3589" t="str">
        <f t="shared" si="338"/>
        <v>Low</v>
      </c>
      <c r="N3589" t="str">
        <f t="shared" si="341"/>
        <v>Aug</v>
      </c>
      <c r="O3589">
        <f t="shared" si="342"/>
        <v>2025</v>
      </c>
    </row>
    <row r="3590" spans="1:15" x14ac:dyDescent="0.3">
      <c r="A3590">
        <v>200969</v>
      </c>
      <c r="B3590" t="s">
        <v>23</v>
      </c>
      <c r="C3590" s="2">
        <v>45870</v>
      </c>
      <c r="D3590" s="2">
        <f t="shared" si="340"/>
        <v>45915</v>
      </c>
      <c r="E3590" s="1">
        <f>D3590+5</f>
        <v>45920</v>
      </c>
      <c r="F3590">
        <v>1044</v>
      </c>
      <c r="G3590">
        <v>45</v>
      </c>
      <c r="H3590">
        <f t="shared" si="339"/>
        <v>0</v>
      </c>
      <c r="I3590" t="str">
        <f t="shared" si="337"/>
        <v>On Time</v>
      </c>
      <c r="J3590" cm="1">
        <f t="array" ref="J3590">_xlfn.IFS(H3590&lt;30,0,H3590&lt;60,1,H3590&lt;90,2,H3590&lt;120,3)</f>
        <v>0</v>
      </c>
      <c r="M3590" t="str">
        <f t="shared" si="338"/>
        <v>Low</v>
      </c>
      <c r="N3590" t="str">
        <f t="shared" si="341"/>
        <v>Aug</v>
      </c>
      <c r="O3590">
        <f t="shared" si="342"/>
        <v>2025</v>
      </c>
    </row>
    <row r="3591" spans="1:15" x14ac:dyDescent="0.3">
      <c r="A3591">
        <v>200970</v>
      </c>
      <c r="B3591" t="s">
        <v>24</v>
      </c>
      <c r="C3591" s="2">
        <v>45870</v>
      </c>
      <c r="D3591" s="2">
        <f t="shared" si="340"/>
        <v>45915</v>
      </c>
      <c r="E3591" s="1">
        <f>D3591</f>
        <v>45915</v>
      </c>
      <c r="F3591">
        <v>3639</v>
      </c>
      <c r="G3591">
        <v>45</v>
      </c>
      <c r="H3591">
        <f t="shared" si="339"/>
        <v>0</v>
      </c>
      <c r="I3591" t="str">
        <f t="shared" si="337"/>
        <v>On Time</v>
      </c>
      <c r="J3591" cm="1">
        <f t="array" ref="J3591">_xlfn.IFS(H3591&lt;30,0,H3591&lt;60,1,H3591&lt;90,2,H3591&lt;120,3)</f>
        <v>0</v>
      </c>
      <c r="M3591" t="str">
        <f t="shared" si="338"/>
        <v>Low</v>
      </c>
      <c r="N3591" t="str">
        <f t="shared" si="341"/>
        <v>Aug</v>
      </c>
      <c r="O3591">
        <f t="shared" si="342"/>
        <v>2025</v>
      </c>
    </row>
    <row r="3592" spans="1:15" x14ac:dyDescent="0.3">
      <c r="A3592">
        <v>200971</v>
      </c>
      <c r="B3592" t="s">
        <v>25</v>
      </c>
      <c r="C3592" s="2">
        <v>45870</v>
      </c>
      <c r="D3592" s="2">
        <f t="shared" si="340"/>
        <v>45930</v>
      </c>
      <c r="E3592" s="1">
        <f>D3592-1</f>
        <v>45929</v>
      </c>
      <c r="F3592">
        <v>4240</v>
      </c>
      <c r="G3592">
        <v>60</v>
      </c>
      <c r="H3592">
        <f t="shared" si="339"/>
        <v>0</v>
      </c>
      <c r="I3592" t="str">
        <f t="shared" si="337"/>
        <v>On Time</v>
      </c>
      <c r="J3592" cm="1">
        <f t="array" ref="J3592">_xlfn.IFS(H3592&lt;30,0,H3592&lt;60,1,H3592&lt;90,2,H3592&lt;120,3)</f>
        <v>0</v>
      </c>
      <c r="M3592" t="str">
        <f t="shared" si="338"/>
        <v>Low</v>
      </c>
      <c r="N3592" t="str">
        <f t="shared" si="341"/>
        <v>Aug</v>
      </c>
      <c r="O3592">
        <f t="shared" si="342"/>
        <v>2025</v>
      </c>
    </row>
    <row r="3593" spans="1:15" x14ac:dyDescent="0.3">
      <c r="A3593">
        <v>200972</v>
      </c>
      <c r="B3593" t="s">
        <v>26</v>
      </c>
      <c r="C3593" s="2">
        <v>45870</v>
      </c>
      <c r="D3593" s="2">
        <f t="shared" si="340"/>
        <v>45900</v>
      </c>
      <c r="E3593" s="1">
        <f>D3593</f>
        <v>45900</v>
      </c>
      <c r="F3593">
        <v>19663</v>
      </c>
      <c r="G3593">
        <v>30</v>
      </c>
      <c r="H3593">
        <f t="shared" si="339"/>
        <v>0</v>
      </c>
      <c r="I3593" t="str">
        <f t="shared" si="337"/>
        <v>On Time</v>
      </c>
      <c r="J3593" cm="1">
        <f t="array" ref="J3593">_xlfn.IFS(H3593&lt;30,0,H3593&lt;60,1,H3593&lt;90,2,H3593&lt;120,3)</f>
        <v>0</v>
      </c>
      <c r="M3593" t="str">
        <f t="shared" si="338"/>
        <v>Low</v>
      </c>
      <c r="N3593" t="str">
        <f t="shared" si="341"/>
        <v>Aug</v>
      </c>
      <c r="O3593">
        <f t="shared" si="342"/>
        <v>2025</v>
      </c>
    </row>
    <row r="3594" spans="1:15" x14ac:dyDescent="0.3">
      <c r="A3594">
        <v>200973</v>
      </c>
      <c r="B3594" t="s">
        <v>27</v>
      </c>
      <c r="C3594" s="2">
        <v>45870</v>
      </c>
      <c r="D3594" s="2">
        <f t="shared" si="340"/>
        <v>45930</v>
      </c>
      <c r="E3594" s="1">
        <f>D3594+32</f>
        <v>45962</v>
      </c>
      <c r="F3594">
        <v>942</v>
      </c>
      <c r="G3594">
        <v>60</v>
      </c>
      <c r="H3594">
        <f t="shared" si="339"/>
        <v>0</v>
      </c>
      <c r="I3594" t="str">
        <f t="shared" si="337"/>
        <v>On Time</v>
      </c>
      <c r="J3594" cm="1">
        <f t="array" ref="J3594">_xlfn.IFS(H3594&lt;30,0,H3594&lt;60,1,H3594&lt;90,2,H3594&lt;120,3)</f>
        <v>0</v>
      </c>
      <c r="M3594" t="str">
        <f t="shared" si="338"/>
        <v>Low</v>
      </c>
      <c r="N3594" t="str">
        <f t="shared" si="341"/>
        <v>Aug</v>
      </c>
      <c r="O3594">
        <f t="shared" si="342"/>
        <v>2025</v>
      </c>
    </row>
    <row r="3595" spans="1:15" x14ac:dyDescent="0.3">
      <c r="A3595">
        <v>200974</v>
      </c>
      <c r="B3595" t="s">
        <v>28</v>
      </c>
      <c r="C3595" s="2">
        <v>45870</v>
      </c>
      <c r="D3595" s="2">
        <f t="shared" si="340"/>
        <v>45900</v>
      </c>
      <c r="E3595" s="1">
        <f>D3595+15</f>
        <v>45915</v>
      </c>
      <c r="F3595">
        <v>2802</v>
      </c>
      <c r="G3595">
        <v>30</v>
      </c>
      <c r="H3595">
        <f t="shared" si="339"/>
        <v>0</v>
      </c>
      <c r="I3595" t="str">
        <f t="shared" si="337"/>
        <v>On Time</v>
      </c>
      <c r="J3595" cm="1">
        <f t="array" ref="J3595">_xlfn.IFS(H3595&lt;30,0,H3595&lt;60,1,H3595&lt;90,2,H3595&lt;120,3)</f>
        <v>0</v>
      </c>
      <c r="M3595" t="str">
        <f t="shared" si="338"/>
        <v>Low</v>
      </c>
      <c r="N3595" t="str">
        <f t="shared" si="341"/>
        <v>Aug</v>
      </c>
      <c r="O3595">
        <f t="shared" si="342"/>
        <v>2025</v>
      </c>
    </row>
    <row r="3596" spans="1:15" x14ac:dyDescent="0.3">
      <c r="A3596">
        <v>200975</v>
      </c>
      <c r="B3596" t="s">
        <v>29</v>
      </c>
      <c r="C3596" s="2">
        <v>45870</v>
      </c>
      <c r="D3596" s="2">
        <f t="shared" si="340"/>
        <v>45900</v>
      </c>
      <c r="E3596" s="1">
        <f>D3596</f>
        <v>45900</v>
      </c>
      <c r="F3596">
        <v>1652</v>
      </c>
      <c r="G3596">
        <v>30</v>
      </c>
      <c r="H3596">
        <f t="shared" si="339"/>
        <v>0</v>
      </c>
      <c r="I3596" t="str">
        <f t="shared" si="337"/>
        <v>On Time</v>
      </c>
      <c r="J3596" cm="1">
        <f t="array" ref="J3596">_xlfn.IFS(H3596&lt;30,0,H3596&lt;60,1,H3596&lt;90,2,H3596&lt;120,3)</f>
        <v>0</v>
      </c>
      <c r="M3596" t="str">
        <f t="shared" si="338"/>
        <v>Low</v>
      </c>
      <c r="N3596" t="str">
        <f t="shared" si="341"/>
        <v>Aug</v>
      </c>
      <c r="O3596">
        <f t="shared" si="342"/>
        <v>2025</v>
      </c>
    </row>
    <row r="3597" spans="1:15" x14ac:dyDescent="0.3">
      <c r="A3597">
        <v>200942</v>
      </c>
      <c r="B3597" t="s">
        <v>104</v>
      </c>
      <c r="C3597" s="2">
        <v>45869</v>
      </c>
      <c r="D3597" s="2">
        <f t="shared" si="340"/>
        <v>45899</v>
      </c>
      <c r="E3597" s="1">
        <f>D3597-2</f>
        <v>45897</v>
      </c>
      <c r="F3597">
        <v>5079</v>
      </c>
      <c r="G3597">
        <v>30</v>
      </c>
      <c r="H3597">
        <f t="shared" si="339"/>
        <v>0</v>
      </c>
      <c r="I3597" t="str">
        <f t="shared" si="337"/>
        <v>On Time</v>
      </c>
      <c r="J3597" cm="1">
        <f t="array" ref="J3597">_xlfn.IFS(H3597&lt;30,0,H3597&lt;60,1,H3597&lt;90,2,H3597&lt;120,3)</f>
        <v>0</v>
      </c>
      <c r="M3597" t="str">
        <f t="shared" si="338"/>
        <v>Low</v>
      </c>
      <c r="N3597" t="str">
        <f t="shared" si="341"/>
        <v>Jul</v>
      </c>
      <c r="O3597">
        <f t="shared" si="342"/>
        <v>2025</v>
      </c>
    </row>
    <row r="3598" spans="1:15" x14ac:dyDescent="0.3">
      <c r="A3598">
        <v>200943</v>
      </c>
      <c r="B3598" t="s">
        <v>105</v>
      </c>
      <c r="C3598" s="2">
        <v>45869</v>
      </c>
      <c r="D3598" s="2">
        <f t="shared" si="340"/>
        <v>45899</v>
      </c>
      <c r="E3598" s="1">
        <f>D3598-2</f>
        <v>45897</v>
      </c>
      <c r="F3598">
        <v>311</v>
      </c>
      <c r="G3598">
        <v>30</v>
      </c>
      <c r="H3598">
        <f t="shared" si="339"/>
        <v>0</v>
      </c>
      <c r="I3598" t="str">
        <f t="shared" si="337"/>
        <v>On Time</v>
      </c>
      <c r="J3598" cm="1">
        <f t="array" ref="J3598">_xlfn.IFS(H3598&lt;30,0,H3598&lt;60,1,H3598&lt;90,2,H3598&lt;120,3)</f>
        <v>0</v>
      </c>
      <c r="M3598" t="str">
        <f t="shared" si="338"/>
        <v>Low</v>
      </c>
      <c r="N3598" t="str">
        <f t="shared" si="341"/>
        <v>Jul</v>
      </c>
      <c r="O3598">
        <f t="shared" si="342"/>
        <v>2025</v>
      </c>
    </row>
    <row r="3599" spans="1:15" x14ac:dyDescent="0.3">
      <c r="A3599">
        <v>200944</v>
      </c>
      <c r="B3599" t="s">
        <v>106</v>
      </c>
      <c r="C3599" s="2">
        <v>45869</v>
      </c>
      <c r="D3599" s="2">
        <f t="shared" si="340"/>
        <v>45899</v>
      </c>
      <c r="E3599" s="1">
        <f>D3599</f>
        <v>45899</v>
      </c>
      <c r="F3599">
        <v>3992</v>
      </c>
      <c r="G3599">
        <v>30</v>
      </c>
      <c r="H3599">
        <f t="shared" si="339"/>
        <v>0</v>
      </c>
      <c r="I3599" t="str">
        <f t="shared" si="337"/>
        <v>On Time</v>
      </c>
      <c r="J3599" cm="1">
        <f t="array" ref="J3599">_xlfn.IFS(H3599&lt;30,0,H3599&lt;60,1,H3599&lt;90,2,H3599&lt;120,3)</f>
        <v>0</v>
      </c>
      <c r="M3599" t="str">
        <f t="shared" si="338"/>
        <v>Low</v>
      </c>
      <c r="N3599" t="str">
        <f t="shared" si="341"/>
        <v>Jul</v>
      </c>
      <c r="O3599">
        <f t="shared" si="342"/>
        <v>2025</v>
      </c>
    </row>
    <row r="3600" spans="1:15" x14ac:dyDescent="0.3">
      <c r="A3600">
        <v>200945</v>
      </c>
      <c r="B3600" t="s">
        <v>107</v>
      </c>
      <c r="C3600" s="2">
        <v>45869</v>
      </c>
      <c r="D3600" s="2">
        <f t="shared" si="340"/>
        <v>45899</v>
      </c>
      <c r="E3600" s="1">
        <f>D3600+2</f>
        <v>45901</v>
      </c>
      <c r="F3600">
        <v>2572</v>
      </c>
      <c r="G3600">
        <v>30</v>
      </c>
      <c r="H3600">
        <f t="shared" si="339"/>
        <v>0</v>
      </c>
      <c r="I3600" t="str">
        <f t="shared" si="337"/>
        <v>On Time</v>
      </c>
      <c r="J3600" cm="1">
        <f t="array" ref="J3600">_xlfn.IFS(H3600&lt;30,0,H3600&lt;60,1,H3600&lt;90,2,H3600&lt;120,3)</f>
        <v>0</v>
      </c>
      <c r="M3600" t="str">
        <f t="shared" si="338"/>
        <v>Low</v>
      </c>
      <c r="N3600" t="str">
        <f t="shared" si="341"/>
        <v>Jul</v>
      </c>
      <c r="O3600">
        <f t="shared" si="342"/>
        <v>2025</v>
      </c>
    </row>
    <row r="3601" spans="1:15" x14ac:dyDescent="0.3">
      <c r="A3601">
        <v>200946</v>
      </c>
      <c r="B3601" t="s">
        <v>56</v>
      </c>
      <c r="C3601" s="2">
        <v>45869</v>
      </c>
      <c r="D3601" s="2">
        <f t="shared" si="340"/>
        <v>45914</v>
      </c>
      <c r="E3601" s="1">
        <f>D3601+2</f>
        <v>45916</v>
      </c>
      <c r="F3601">
        <v>1458</v>
      </c>
      <c r="G3601">
        <v>45</v>
      </c>
      <c r="H3601">
        <f t="shared" si="339"/>
        <v>0</v>
      </c>
      <c r="I3601" t="str">
        <f t="shared" si="337"/>
        <v>On Time</v>
      </c>
      <c r="J3601" cm="1">
        <f t="array" ref="J3601">_xlfn.IFS(H3601&lt;30,0,H3601&lt;60,1,H3601&lt;90,2,H3601&lt;120,3)</f>
        <v>0</v>
      </c>
      <c r="M3601" t="str">
        <f t="shared" si="338"/>
        <v>Low</v>
      </c>
      <c r="N3601" t="str">
        <f t="shared" si="341"/>
        <v>Jul</v>
      </c>
      <c r="O3601">
        <f t="shared" si="342"/>
        <v>2025</v>
      </c>
    </row>
    <row r="3602" spans="1:15" x14ac:dyDescent="0.3">
      <c r="A3602">
        <v>200947</v>
      </c>
      <c r="B3602" t="s">
        <v>57</v>
      </c>
      <c r="C3602" s="2">
        <v>45869</v>
      </c>
      <c r="D3602" s="2">
        <f t="shared" si="340"/>
        <v>45929</v>
      </c>
      <c r="E3602" s="1">
        <f>D3602+2</f>
        <v>45931</v>
      </c>
      <c r="F3602">
        <v>3045</v>
      </c>
      <c r="G3602">
        <v>60</v>
      </c>
      <c r="H3602">
        <f t="shared" si="339"/>
        <v>0</v>
      </c>
      <c r="I3602" t="str">
        <f t="shared" si="337"/>
        <v>On Time</v>
      </c>
      <c r="J3602" cm="1">
        <f t="array" ref="J3602">_xlfn.IFS(H3602&lt;30,0,H3602&lt;60,1,H3602&lt;90,2,H3602&lt;120,3)</f>
        <v>0</v>
      </c>
      <c r="M3602" t="str">
        <f t="shared" si="338"/>
        <v>Low</v>
      </c>
      <c r="N3602" t="str">
        <f t="shared" si="341"/>
        <v>Jul</v>
      </c>
      <c r="O3602">
        <f t="shared" si="342"/>
        <v>2025</v>
      </c>
    </row>
    <row r="3603" spans="1:15" x14ac:dyDescent="0.3">
      <c r="A3603">
        <v>200948</v>
      </c>
      <c r="B3603" t="s">
        <v>58</v>
      </c>
      <c r="C3603" s="2">
        <v>45869</v>
      </c>
      <c r="D3603" s="2">
        <f t="shared" si="340"/>
        <v>45899</v>
      </c>
      <c r="E3603" s="1">
        <f>D3603</f>
        <v>45899</v>
      </c>
      <c r="F3603">
        <v>2261</v>
      </c>
      <c r="G3603">
        <v>30</v>
      </c>
      <c r="H3603">
        <f t="shared" si="339"/>
        <v>0</v>
      </c>
      <c r="I3603" t="str">
        <f t="shared" si="337"/>
        <v>On Time</v>
      </c>
      <c r="J3603" cm="1">
        <f t="array" ref="J3603">_xlfn.IFS(H3603&lt;30,0,H3603&lt;60,1,H3603&lt;90,2,H3603&lt;120,3)</f>
        <v>0</v>
      </c>
      <c r="M3603" t="str">
        <f t="shared" si="338"/>
        <v>Low</v>
      </c>
      <c r="N3603" t="str">
        <f t="shared" si="341"/>
        <v>Jul</v>
      </c>
      <c r="O3603">
        <f t="shared" si="342"/>
        <v>2025</v>
      </c>
    </row>
    <row r="3604" spans="1:15" x14ac:dyDescent="0.3">
      <c r="A3604">
        <v>200949</v>
      </c>
      <c r="B3604" t="s">
        <v>59</v>
      </c>
      <c r="C3604" s="2">
        <v>45869</v>
      </c>
      <c r="D3604" s="2">
        <f t="shared" si="340"/>
        <v>45899</v>
      </c>
      <c r="E3604" s="1">
        <f>D3604+20</f>
        <v>45919</v>
      </c>
      <c r="F3604">
        <v>4954</v>
      </c>
      <c r="G3604">
        <v>30</v>
      </c>
      <c r="H3604">
        <f t="shared" si="339"/>
        <v>0</v>
      </c>
      <c r="I3604" t="str">
        <f t="shared" si="337"/>
        <v>On Time</v>
      </c>
      <c r="J3604" cm="1">
        <f t="array" ref="J3604">_xlfn.IFS(H3604&lt;30,0,H3604&lt;60,1,H3604&lt;90,2,H3604&lt;120,3)</f>
        <v>0</v>
      </c>
      <c r="M3604" t="str">
        <f t="shared" si="338"/>
        <v>Low</v>
      </c>
      <c r="N3604" t="str">
        <f t="shared" si="341"/>
        <v>Jul</v>
      </c>
      <c r="O3604">
        <f t="shared" si="342"/>
        <v>2025</v>
      </c>
    </row>
    <row r="3605" spans="1:15" x14ac:dyDescent="0.3">
      <c r="A3605">
        <v>200950</v>
      </c>
      <c r="B3605" t="s">
        <v>60</v>
      </c>
      <c r="C3605" s="2">
        <v>45869</v>
      </c>
      <c r="D3605" s="2">
        <f t="shared" si="340"/>
        <v>45899</v>
      </c>
      <c r="E3605" s="1">
        <f>D3605</f>
        <v>45899</v>
      </c>
      <c r="F3605">
        <v>3620</v>
      </c>
      <c r="G3605">
        <v>30</v>
      </c>
      <c r="H3605">
        <f t="shared" si="339"/>
        <v>0</v>
      </c>
      <c r="I3605" t="str">
        <f t="shared" si="337"/>
        <v>On Time</v>
      </c>
      <c r="J3605" cm="1">
        <f t="array" ref="J3605">_xlfn.IFS(H3605&lt;30,0,H3605&lt;60,1,H3605&lt;90,2,H3605&lt;120,3)</f>
        <v>0</v>
      </c>
      <c r="M3605" t="str">
        <f t="shared" si="338"/>
        <v>Low</v>
      </c>
      <c r="N3605" t="str">
        <f t="shared" si="341"/>
        <v>Jul</v>
      </c>
      <c r="O3605">
        <f t="shared" si="342"/>
        <v>2025</v>
      </c>
    </row>
    <row r="3606" spans="1:15" x14ac:dyDescent="0.3">
      <c r="A3606">
        <v>200951</v>
      </c>
      <c r="B3606" t="s">
        <v>61</v>
      </c>
      <c r="C3606" s="2">
        <v>45869</v>
      </c>
      <c r="D3606" s="2">
        <f t="shared" si="340"/>
        <v>45899</v>
      </c>
      <c r="E3606" s="1">
        <f>D3606+1</f>
        <v>45900</v>
      </c>
      <c r="F3606">
        <v>3693</v>
      </c>
      <c r="G3606">
        <v>30</v>
      </c>
      <c r="H3606">
        <f t="shared" si="339"/>
        <v>0</v>
      </c>
      <c r="I3606" t="str">
        <f t="shared" ref="I3606:I3669" si="343">IF(H3606=0,"On Time",IF(H3606&lt;=15,"Paid Late","Seriously Late"))</f>
        <v>On Time</v>
      </c>
      <c r="J3606" cm="1">
        <f t="array" ref="J3606">_xlfn.IFS(H3606&lt;30,0,H3606&lt;60,1,H3606&lt;90,2,H3606&lt;120,3)</f>
        <v>0</v>
      </c>
      <c r="M3606" t="str">
        <f t="shared" ref="M3606:M3669" si="344">IF(H3606&gt;30,"High",IF(H3606&gt;10,"Medium","Low"))</f>
        <v>Low</v>
      </c>
      <c r="N3606" t="str">
        <f t="shared" si="341"/>
        <v>Jul</v>
      </c>
      <c r="O3606">
        <f t="shared" si="342"/>
        <v>2025</v>
      </c>
    </row>
    <row r="3607" spans="1:15" x14ac:dyDescent="0.3">
      <c r="A3607">
        <v>200952</v>
      </c>
      <c r="B3607" t="s">
        <v>62</v>
      </c>
      <c r="C3607" s="2">
        <v>45869</v>
      </c>
      <c r="D3607" s="2">
        <f t="shared" si="340"/>
        <v>45899</v>
      </c>
      <c r="E3607" s="1">
        <f>D3607</f>
        <v>45899</v>
      </c>
      <c r="F3607">
        <v>977</v>
      </c>
      <c r="G3607">
        <v>30</v>
      </c>
      <c r="H3607">
        <f t="shared" si="339"/>
        <v>0</v>
      </c>
      <c r="I3607" t="str">
        <f t="shared" si="343"/>
        <v>On Time</v>
      </c>
      <c r="J3607" cm="1">
        <f t="array" ref="J3607">_xlfn.IFS(H3607&lt;30,0,H3607&lt;60,1,H3607&lt;90,2,H3607&lt;120,3)</f>
        <v>0</v>
      </c>
      <c r="M3607" t="str">
        <f t="shared" si="344"/>
        <v>Low</v>
      </c>
      <c r="N3607" t="str">
        <f t="shared" si="341"/>
        <v>Jul</v>
      </c>
      <c r="O3607">
        <f t="shared" si="342"/>
        <v>2025</v>
      </c>
    </row>
    <row r="3608" spans="1:15" x14ac:dyDescent="0.3">
      <c r="A3608">
        <v>200953</v>
      </c>
      <c r="B3608" t="s">
        <v>63</v>
      </c>
      <c r="C3608" s="2">
        <v>45869</v>
      </c>
      <c r="D3608" s="2">
        <f t="shared" si="340"/>
        <v>45899</v>
      </c>
      <c r="E3608" s="1">
        <f>D3608</f>
        <v>45899</v>
      </c>
      <c r="F3608">
        <v>2564</v>
      </c>
      <c r="G3608">
        <v>30</v>
      </c>
      <c r="H3608">
        <f t="shared" si="339"/>
        <v>0</v>
      </c>
      <c r="I3608" t="str">
        <f t="shared" si="343"/>
        <v>On Time</v>
      </c>
      <c r="J3608" cm="1">
        <f t="array" ref="J3608">_xlfn.IFS(H3608&lt;30,0,H3608&lt;60,1,H3608&lt;90,2,H3608&lt;120,3)</f>
        <v>0</v>
      </c>
      <c r="M3608" t="str">
        <f t="shared" si="344"/>
        <v>Low</v>
      </c>
      <c r="N3608" t="str">
        <f t="shared" si="341"/>
        <v>Jul</v>
      </c>
      <c r="O3608">
        <f t="shared" si="342"/>
        <v>2025</v>
      </c>
    </row>
    <row r="3609" spans="1:15" x14ac:dyDescent="0.3">
      <c r="A3609">
        <v>200954</v>
      </c>
      <c r="B3609" t="s">
        <v>64</v>
      </c>
      <c r="C3609" s="2">
        <v>45869</v>
      </c>
      <c r="D3609" s="2">
        <f t="shared" si="340"/>
        <v>45899</v>
      </c>
      <c r="E3609" s="1">
        <f>D3609+5</f>
        <v>45904</v>
      </c>
      <c r="F3609">
        <v>2944</v>
      </c>
      <c r="G3609">
        <v>30</v>
      </c>
      <c r="H3609">
        <f t="shared" si="339"/>
        <v>0</v>
      </c>
      <c r="I3609" t="str">
        <f t="shared" si="343"/>
        <v>On Time</v>
      </c>
      <c r="J3609" cm="1">
        <f t="array" ref="J3609">_xlfn.IFS(H3609&lt;30,0,H3609&lt;60,1,H3609&lt;90,2,H3609&lt;120,3)</f>
        <v>0</v>
      </c>
      <c r="M3609" t="str">
        <f t="shared" si="344"/>
        <v>Low</v>
      </c>
      <c r="N3609" t="str">
        <f t="shared" si="341"/>
        <v>Jul</v>
      </c>
      <c r="O3609">
        <f t="shared" si="342"/>
        <v>2025</v>
      </c>
    </row>
    <row r="3610" spans="1:15" x14ac:dyDescent="0.3">
      <c r="A3610">
        <v>200955</v>
      </c>
      <c r="B3610" t="s">
        <v>65</v>
      </c>
      <c r="C3610" s="2">
        <v>45869</v>
      </c>
      <c r="D3610" s="2">
        <f t="shared" si="340"/>
        <v>45914</v>
      </c>
      <c r="E3610" s="1">
        <f>D3610+2</f>
        <v>45916</v>
      </c>
      <c r="F3610">
        <v>1642</v>
      </c>
      <c r="G3610">
        <v>45</v>
      </c>
      <c r="H3610">
        <f t="shared" si="339"/>
        <v>0</v>
      </c>
      <c r="I3610" t="str">
        <f t="shared" si="343"/>
        <v>On Time</v>
      </c>
      <c r="J3610" cm="1">
        <f t="array" ref="J3610">_xlfn.IFS(H3610&lt;30,0,H3610&lt;60,1,H3610&lt;90,2,H3610&lt;120,3)</f>
        <v>0</v>
      </c>
      <c r="M3610" t="str">
        <f t="shared" si="344"/>
        <v>Low</v>
      </c>
      <c r="N3610" t="str">
        <f t="shared" si="341"/>
        <v>Jul</v>
      </c>
      <c r="O3610">
        <f t="shared" si="342"/>
        <v>2025</v>
      </c>
    </row>
    <row r="3611" spans="1:15" x14ac:dyDescent="0.3">
      <c r="A3611">
        <v>200956</v>
      </c>
      <c r="B3611" t="s">
        <v>66</v>
      </c>
      <c r="C3611" s="2">
        <v>45869</v>
      </c>
      <c r="D3611" s="2">
        <f t="shared" si="340"/>
        <v>45929</v>
      </c>
      <c r="E3611" s="1">
        <f>D3611+5</f>
        <v>45934</v>
      </c>
      <c r="F3611">
        <v>1831</v>
      </c>
      <c r="G3611">
        <v>60</v>
      </c>
      <c r="H3611">
        <f t="shared" si="339"/>
        <v>0</v>
      </c>
      <c r="I3611" t="str">
        <f t="shared" si="343"/>
        <v>On Time</v>
      </c>
      <c r="J3611" cm="1">
        <f t="array" ref="J3611">_xlfn.IFS(H3611&lt;30,0,H3611&lt;60,1,H3611&lt;90,2,H3611&lt;120,3)</f>
        <v>0</v>
      </c>
      <c r="M3611" t="str">
        <f t="shared" si="344"/>
        <v>Low</v>
      </c>
      <c r="N3611" t="str">
        <f t="shared" si="341"/>
        <v>Jul</v>
      </c>
      <c r="O3611">
        <f t="shared" si="342"/>
        <v>2025</v>
      </c>
    </row>
    <row r="3612" spans="1:15" x14ac:dyDescent="0.3">
      <c r="A3612">
        <v>200957</v>
      </c>
      <c r="B3612" t="s">
        <v>108</v>
      </c>
      <c r="C3612" s="2">
        <v>45869</v>
      </c>
      <c r="D3612" s="2">
        <f t="shared" si="340"/>
        <v>45899</v>
      </c>
      <c r="E3612" s="1">
        <f>D3612</f>
        <v>45899</v>
      </c>
      <c r="F3612">
        <v>758</v>
      </c>
      <c r="G3612">
        <v>30</v>
      </c>
      <c r="H3612">
        <f t="shared" si="339"/>
        <v>0</v>
      </c>
      <c r="I3612" t="str">
        <f t="shared" si="343"/>
        <v>On Time</v>
      </c>
      <c r="J3612" cm="1">
        <f t="array" ref="J3612">_xlfn.IFS(H3612&lt;30,0,H3612&lt;60,1,H3612&lt;90,2,H3612&lt;120,3)</f>
        <v>0</v>
      </c>
      <c r="M3612" t="str">
        <f t="shared" si="344"/>
        <v>Low</v>
      </c>
      <c r="N3612" t="str">
        <f t="shared" si="341"/>
        <v>Jul</v>
      </c>
      <c r="O3612">
        <f t="shared" si="342"/>
        <v>2025</v>
      </c>
    </row>
    <row r="3613" spans="1:15" x14ac:dyDescent="0.3">
      <c r="A3613">
        <v>200958</v>
      </c>
      <c r="B3613" t="s">
        <v>109</v>
      </c>
      <c r="C3613" s="2">
        <v>45869</v>
      </c>
      <c r="D3613" s="2">
        <f t="shared" si="340"/>
        <v>45899</v>
      </c>
      <c r="E3613" s="1">
        <f>D3613</f>
        <v>45899</v>
      </c>
      <c r="F3613">
        <v>3860</v>
      </c>
      <c r="G3613">
        <v>30</v>
      </c>
      <c r="H3613">
        <f t="shared" si="339"/>
        <v>0</v>
      </c>
      <c r="I3613" t="str">
        <f t="shared" si="343"/>
        <v>On Time</v>
      </c>
      <c r="J3613" cm="1">
        <f t="array" ref="J3613">_xlfn.IFS(H3613&lt;30,0,H3613&lt;60,1,H3613&lt;90,2,H3613&lt;120,3)</f>
        <v>0</v>
      </c>
      <c r="M3613" t="str">
        <f t="shared" si="344"/>
        <v>Low</v>
      </c>
      <c r="N3613" t="str">
        <f t="shared" si="341"/>
        <v>Jul</v>
      </c>
      <c r="O3613">
        <f t="shared" si="342"/>
        <v>2025</v>
      </c>
    </row>
    <row r="3614" spans="1:15" x14ac:dyDescent="0.3">
      <c r="A3614">
        <v>200959</v>
      </c>
      <c r="B3614" t="s">
        <v>110</v>
      </c>
      <c r="C3614" s="2">
        <v>45869</v>
      </c>
      <c r="D3614" s="2">
        <f t="shared" si="340"/>
        <v>45914</v>
      </c>
      <c r="E3614" s="1">
        <f>D3614+60</f>
        <v>45974</v>
      </c>
      <c r="F3614">
        <v>4146</v>
      </c>
      <c r="G3614">
        <v>45</v>
      </c>
      <c r="H3614">
        <f t="shared" si="339"/>
        <v>0</v>
      </c>
      <c r="I3614" t="str">
        <f t="shared" si="343"/>
        <v>On Time</v>
      </c>
      <c r="J3614" cm="1">
        <f t="array" ref="J3614">_xlfn.IFS(H3614&lt;30,0,H3614&lt;60,1,H3614&lt;90,2,H3614&lt;120,3)</f>
        <v>0</v>
      </c>
      <c r="M3614" t="str">
        <f t="shared" si="344"/>
        <v>Low</v>
      </c>
      <c r="N3614" t="str">
        <f t="shared" si="341"/>
        <v>Jul</v>
      </c>
      <c r="O3614">
        <f t="shared" si="342"/>
        <v>2025</v>
      </c>
    </row>
    <row r="3615" spans="1:15" x14ac:dyDescent="0.3">
      <c r="A3615">
        <v>200960</v>
      </c>
      <c r="B3615" t="s">
        <v>111</v>
      </c>
      <c r="C3615" s="2">
        <v>45869</v>
      </c>
      <c r="D3615" s="2">
        <f t="shared" si="340"/>
        <v>45929</v>
      </c>
      <c r="E3615" s="1">
        <f>D3615</f>
        <v>45929</v>
      </c>
      <c r="F3615">
        <v>4276</v>
      </c>
      <c r="G3615">
        <v>60</v>
      </c>
      <c r="H3615">
        <f t="shared" si="339"/>
        <v>0</v>
      </c>
      <c r="I3615" t="str">
        <f t="shared" si="343"/>
        <v>On Time</v>
      </c>
      <c r="J3615" cm="1">
        <f t="array" ref="J3615">_xlfn.IFS(H3615&lt;30,0,H3615&lt;60,1,H3615&lt;90,2,H3615&lt;120,3)</f>
        <v>0</v>
      </c>
      <c r="M3615" t="str">
        <f t="shared" si="344"/>
        <v>Low</v>
      </c>
      <c r="N3615" t="str">
        <f t="shared" si="341"/>
        <v>Jul</v>
      </c>
      <c r="O3615">
        <f t="shared" si="342"/>
        <v>2025</v>
      </c>
    </row>
    <row r="3616" spans="1:15" x14ac:dyDescent="0.3">
      <c r="A3616">
        <v>200923</v>
      </c>
      <c r="B3616" t="s">
        <v>99</v>
      </c>
      <c r="C3616" s="2">
        <v>45868</v>
      </c>
      <c r="D3616" s="2">
        <f t="shared" si="340"/>
        <v>45898</v>
      </c>
      <c r="E3616" s="1">
        <f>D3616</f>
        <v>45898</v>
      </c>
      <c r="F3616">
        <v>4089</v>
      </c>
      <c r="G3616">
        <v>30</v>
      </c>
      <c r="H3616">
        <f t="shared" si="339"/>
        <v>0</v>
      </c>
      <c r="I3616" t="str">
        <f t="shared" si="343"/>
        <v>On Time</v>
      </c>
      <c r="J3616" cm="1">
        <f t="array" ref="J3616">_xlfn.IFS(H3616&lt;30,0,H3616&lt;60,1,H3616&lt;90,2,H3616&lt;120,3)</f>
        <v>0</v>
      </c>
      <c r="M3616" t="str">
        <f t="shared" si="344"/>
        <v>Low</v>
      </c>
      <c r="N3616" t="str">
        <f t="shared" si="341"/>
        <v>Jul</v>
      </c>
      <c r="O3616">
        <f t="shared" si="342"/>
        <v>2025</v>
      </c>
    </row>
    <row r="3617" spans="1:15" x14ac:dyDescent="0.3">
      <c r="A3617">
        <v>200924</v>
      </c>
      <c r="B3617" t="s">
        <v>100</v>
      </c>
      <c r="C3617" s="2">
        <v>45868</v>
      </c>
      <c r="D3617" s="2">
        <f t="shared" si="340"/>
        <v>45898</v>
      </c>
      <c r="E3617" s="1">
        <f>D3617</f>
        <v>45898</v>
      </c>
      <c r="F3617">
        <v>2979</v>
      </c>
      <c r="G3617">
        <v>30</v>
      </c>
      <c r="H3617">
        <f t="shared" si="339"/>
        <v>0</v>
      </c>
      <c r="I3617" t="str">
        <f t="shared" si="343"/>
        <v>On Time</v>
      </c>
      <c r="J3617" cm="1">
        <f t="array" ref="J3617">_xlfn.IFS(H3617&lt;30,0,H3617&lt;60,1,H3617&lt;90,2,H3617&lt;120,3)</f>
        <v>0</v>
      </c>
      <c r="M3617" t="str">
        <f t="shared" si="344"/>
        <v>Low</v>
      </c>
      <c r="N3617" t="str">
        <f t="shared" si="341"/>
        <v>Jul</v>
      </c>
      <c r="O3617">
        <f t="shared" si="342"/>
        <v>2025</v>
      </c>
    </row>
    <row r="3618" spans="1:15" x14ac:dyDescent="0.3">
      <c r="A3618">
        <v>200925</v>
      </c>
      <c r="B3618" t="s">
        <v>101</v>
      </c>
      <c r="C3618" s="2">
        <v>45868</v>
      </c>
      <c r="D3618" s="2">
        <f t="shared" si="340"/>
        <v>45898</v>
      </c>
      <c r="E3618" s="1">
        <f>D3618</f>
        <v>45898</v>
      </c>
      <c r="F3618">
        <v>2445</v>
      </c>
      <c r="G3618">
        <v>30</v>
      </c>
      <c r="H3618">
        <f t="shared" si="339"/>
        <v>0</v>
      </c>
      <c r="I3618" t="str">
        <f t="shared" si="343"/>
        <v>On Time</v>
      </c>
      <c r="J3618" cm="1">
        <f t="array" ref="J3618">_xlfn.IFS(H3618&lt;30,0,H3618&lt;60,1,H3618&lt;90,2,H3618&lt;120,3)</f>
        <v>0</v>
      </c>
      <c r="M3618" t="str">
        <f t="shared" si="344"/>
        <v>Low</v>
      </c>
      <c r="N3618" t="str">
        <f t="shared" si="341"/>
        <v>Jul</v>
      </c>
      <c r="O3618">
        <f t="shared" si="342"/>
        <v>2025</v>
      </c>
    </row>
    <row r="3619" spans="1:15" x14ac:dyDescent="0.3">
      <c r="A3619">
        <v>200926</v>
      </c>
      <c r="B3619" t="s">
        <v>102</v>
      </c>
      <c r="C3619" s="2">
        <v>45868</v>
      </c>
      <c r="D3619" s="2">
        <f t="shared" si="340"/>
        <v>45898</v>
      </c>
      <c r="E3619" s="1">
        <f>D3619+60</f>
        <v>45958</v>
      </c>
      <c r="F3619">
        <v>3387</v>
      </c>
      <c r="G3619">
        <v>30</v>
      </c>
      <c r="H3619">
        <f t="shared" si="339"/>
        <v>0</v>
      </c>
      <c r="I3619" t="str">
        <f t="shared" si="343"/>
        <v>On Time</v>
      </c>
      <c r="J3619" cm="1">
        <f t="array" ref="J3619">_xlfn.IFS(H3619&lt;30,0,H3619&lt;60,1,H3619&lt;90,2,H3619&lt;120,3)</f>
        <v>0</v>
      </c>
      <c r="M3619" t="str">
        <f t="shared" si="344"/>
        <v>Low</v>
      </c>
      <c r="N3619" t="str">
        <f t="shared" si="341"/>
        <v>Jul</v>
      </c>
      <c r="O3619">
        <f t="shared" si="342"/>
        <v>2025</v>
      </c>
    </row>
    <row r="3620" spans="1:15" x14ac:dyDescent="0.3">
      <c r="A3620">
        <v>200927</v>
      </c>
      <c r="B3620" t="s">
        <v>38</v>
      </c>
      <c r="C3620" s="2">
        <v>45868</v>
      </c>
      <c r="D3620" s="2">
        <f t="shared" si="340"/>
        <v>45898</v>
      </c>
      <c r="E3620" s="1">
        <f>D3620</f>
        <v>45898</v>
      </c>
      <c r="F3620">
        <v>4882</v>
      </c>
      <c r="G3620">
        <v>30</v>
      </c>
      <c r="H3620">
        <f t="shared" si="339"/>
        <v>0</v>
      </c>
      <c r="I3620" t="str">
        <f t="shared" si="343"/>
        <v>On Time</v>
      </c>
      <c r="J3620" cm="1">
        <f t="array" ref="J3620">_xlfn.IFS(H3620&lt;30,0,H3620&lt;60,1,H3620&lt;90,2,H3620&lt;120,3)</f>
        <v>0</v>
      </c>
      <c r="M3620" t="str">
        <f t="shared" si="344"/>
        <v>Low</v>
      </c>
      <c r="N3620" t="str">
        <f t="shared" si="341"/>
        <v>Jul</v>
      </c>
      <c r="O3620">
        <f t="shared" si="342"/>
        <v>2025</v>
      </c>
    </row>
    <row r="3621" spans="1:15" x14ac:dyDescent="0.3">
      <c r="A3621">
        <v>200928</v>
      </c>
      <c r="B3621" t="s">
        <v>39</v>
      </c>
      <c r="C3621" s="2">
        <v>45868</v>
      </c>
      <c r="D3621" s="2">
        <f t="shared" si="340"/>
        <v>45898</v>
      </c>
      <c r="E3621" s="1">
        <f>D3621</f>
        <v>45898</v>
      </c>
      <c r="F3621">
        <v>3801</v>
      </c>
      <c r="G3621">
        <v>30</v>
      </c>
      <c r="H3621">
        <f t="shared" si="339"/>
        <v>0</v>
      </c>
      <c r="I3621" t="str">
        <f t="shared" si="343"/>
        <v>On Time</v>
      </c>
      <c r="J3621" cm="1">
        <f t="array" ref="J3621">_xlfn.IFS(H3621&lt;30,0,H3621&lt;60,1,H3621&lt;90,2,H3621&lt;120,3)</f>
        <v>0</v>
      </c>
      <c r="M3621" t="str">
        <f t="shared" si="344"/>
        <v>Low</v>
      </c>
      <c r="N3621" t="str">
        <f t="shared" si="341"/>
        <v>Jul</v>
      </c>
      <c r="O3621">
        <f t="shared" si="342"/>
        <v>2025</v>
      </c>
    </row>
    <row r="3622" spans="1:15" x14ac:dyDescent="0.3">
      <c r="A3622">
        <v>200929</v>
      </c>
      <c r="B3622" t="s">
        <v>40</v>
      </c>
      <c r="C3622" s="2">
        <v>45868</v>
      </c>
      <c r="D3622" s="2">
        <f t="shared" si="340"/>
        <v>45898</v>
      </c>
      <c r="E3622" s="1">
        <f>D3622+3</f>
        <v>45901</v>
      </c>
      <c r="F3622">
        <v>2495</v>
      </c>
      <c r="G3622">
        <v>30</v>
      </c>
      <c r="H3622">
        <f t="shared" ref="H3622:H3685" si="345">MAX(0,P3587-D3622)</f>
        <v>0</v>
      </c>
      <c r="I3622" t="str">
        <f t="shared" si="343"/>
        <v>On Time</v>
      </c>
      <c r="J3622" cm="1">
        <f t="array" ref="J3622">_xlfn.IFS(H3622&lt;30,0,H3622&lt;60,1,H3622&lt;90,2,H3622&lt;120,3)</f>
        <v>0</v>
      </c>
      <c r="M3622" t="str">
        <f t="shared" si="344"/>
        <v>Low</v>
      </c>
      <c r="N3622" t="str">
        <f t="shared" si="341"/>
        <v>Jul</v>
      </c>
      <c r="O3622">
        <f t="shared" si="342"/>
        <v>2025</v>
      </c>
    </row>
    <row r="3623" spans="1:15" x14ac:dyDescent="0.3">
      <c r="A3623">
        <v>200930</v>
      </c>
      <c r="B3623" t="s">
        <v>41</v>
      </c>
      <c r="C3623" s="2">
        <v>45868</v>
      </c>
      <c r="D3623" s="2">
        <f t="shared" si="340"/>
        <v>45898</v>
      </c>
      <c r="E3623" s="1">
        <f>D3623+1</f>
        <v>45899</v>
      </c>
      <c r="F3623">
        <v>2991</v>
      </c>
      <c r="G3623">
        <v>30</v>
      </c>
      <c r="H3623">
        <f t="shared" si="345"/>
        <v>0</v>
      </c>
      <c r="I3623" t="str">
        <f t="shared" si="343"/>
        <v>On Time</v>
      </c>
      <c r="J3623" cm="1">
        <f t="array" ref="J3623">_xlfn.IFS(H3623&lt;30,0,H3623&lt;60,1,H3623&lt;90,2,H3623&lt;120,3)</f>
        <v>0</v>
      </c>
      <c r="M3623" t="str">
        <f t="shared" si="344"/>
        <v>Low</v>
      </c>
      <c r="N3623" t="str">
        <f t="shared" si="341"/>
        <v>Jul</v>
      </c>
      <c r="O3623">
        <f t="shared" si="342"/>
        <v>2025</v>
      </c>
    </row>
    <row r="3624" spans="1:15" x14ac:dyDescent="0.3">
      <c r="A3624">
        <v>200931</v>
      </c>
      <c r="B3624" t="s">
        <v>42</v>
      </c>
      <c r="C3624" s="2">
        <v>45868</v>
      </c>
      <c r="D3624" s="2">
        <f t="shared" si="340"/>
        <v>45898</v>
      </c>
      <c r="E3624" s="1">
        <f>D3624-1</f>
        <v>45897</v>
      </c>
      <c r="F3624">
        <v>117</v>
      </c>
      <c r="G3624">
        <v>30</v>
      </c>
      <c r="H3624">
        <f t="shared" si="345"/>
        <v>0</v>
      </c>
      <c r="I3624" t="str">
        <f t="shared" si="343"/>
        <v>On Time</v>
      </c>
      <c r="J3624" cm="1">
        <f t="array" ref="J3624">_xlfn.IFS(H3624&lt;30,0,H3624&lt;60,1,H3624&lt;90,2,H3624&lt;120,3)</f>
        <v>0</v>
      </c>
      <c r="M3624" t="str">
        <f t="shared" si="344"/>
        <v>Low</v>
      </c>
      <c r="N3624" t="str">
        <f t="shared" si="341"/>
        <v>Jul</v>
      </c>
      <c r="O3624">
        <f t="shared" si="342"/>
        <v>2025</v>
      </c>
    </row>
    <row r="3625" spans="1:15" x14ac:dyDescent="0.3">
      <c r="A3625">
        <v>200932</v>
      </c>
      <c r="B3625" t="s">
        <v>43</v>
      </c>
      <c r="C3625" s="2">
        <v>45868</v>
      </c>
      <c r="D3625" s="2">
        <f t="shared" si="340"/>
        <v>45898</v>
      </c>
      <c r="E3625" s="1">
        <f>D3625</f>
        <v>45898</v>
      </c>
      <c r="F3625">
        <v>519</v>
      </c>
      <c r="G3625">
        <v>30</v>
      </c>
      <c r="H3625">
        <f t="shared" si="345"/>
        <v>0</v>
      </c>
      <c r="I3625" t="str">
        <f t="shared" si="343"/>
        <v>On Time</v>
      </c>
      <c r="J3625" cm="1">
        <f t="array" ref="J3625">_xlfn.IFS(H3625&lt;30,0,H3625&lt;60,1,H3625&lt;90,2,H3625&lt;120,3)</f>
        <v>0</v>
      </c>
      <c r="M3625" t="str">
        <f t="shared" si="344"/>
        <v>Low</v>
      </c>
      <c r="N3625" t="str">
        <f t="shared" si="341"/>
        <v>Jul</v>
      </c>
      <c r="O3625">
        <f t="shared" si="342"/>
        <v>2025</v>
      </c>
    </row>
    <row r="3626" spans="1:15" x14ac:dyDescent="0.3">
      <c r="A3626">
        <v>200933</v>
      </c>
      <c r="B3626" t="s">
        <v>44</v>
      </c>
      <c r="C3626" s="2">
        <v>45868</v>
      </c>
      <c r="D3626" s="2">
        <f t="shared" si="340"/>
        <v>45913</v>
      </c>
      <c r="E3626" s="1">
        <f>D3626+1</f>
        <v>45914</v>
      </c>
      <c r="F3626">
        <v>12396</v>
      </c>
      <c r="G3626">
        <v>45</v>
      </c>
      <c r="H3626">
        <f t="shared" si="345"/>
        <v>0</v>
      </c>
      <c r="I3626" t="str">
        <f t="shared" si="343"/>
        <v>On Time</v>
      </c>
      <c r="J3626" cm="1">
        <f t="array" ref="J3626">_xlfn.IFS(H3626&lt;30,0,H3626&lt;60,1,H3626&lt;90,2,H3626&lt;120,3)</f>
        <v>0</v>
      </c>
      <c r="M3626" t="str">
        <f t="shared" si="344"/>
        <v>Low</v>
      </c>
      <c r="N3626" t="str">
        <f t="shared" si="341"/>
        <v>Jul</v>
      </c>
      <c r="O3626">
        <f t="shared" si="342"/>
        <v>2025</v>
      </c>
    </row>
    <row r="3627" spans="1:15" x14ac:dyDescent="0.3">
      <c r="A3627">
        <v>200934</v>
      </c>
      <c r="B3627" t="s">
        <v>96</v>
      </c>
      <c r="C3627" s="2">
        <v>45868</v>
      </c>
      <c r="D3627" s="2">
        <f t="shared" si="340"/>
        <v>45928</v>
      </c>
      <c r="E3627" s="1">
        <f>D3627+35</f>
        <v>45963</v>
      </c>
      <c r="F3627">
        <v>490</v>
      </c>
      <c r="G3627">
        <v>60</v>
      </c>
      <c r="H3627">
        <f t="shared" si="345"/>
        <v>0</v>
      </c>
      <c r="I3627" t="str">
        <f t="shared" si="343"/>
        <v>On Time</v>
      </c>
      <c r="J3627" cm="1">
        <f t="array" ref="J3627">_xlfn.IFS(H3627&lt;30,0,H3627&lt;60,1,H3627&lt;90,2,H3627&lt;120,3)</f>
        <v>0</v>
      </c>
      <c r="M3627" t="str">
        <f t="shared" si="344"/>
        <v>Low</v>
      </c>
      <c r="N3627" t="str">
        <f t="shared" si="341"/>
        <v>Jul</v>
      </c>
      <c r="O3627">
        <f t="shared" si="342"/>
        <v>2025</v>
      </c>
    </row>
    <row r="3628" spans="1:15" x14ac:dyDescent="0.3">
      <c r="A3628">
        <v>200935</v>
      </c>
      <c r="B3628" t="s">
        <v>97</v>
      </c>
      <c r="C3628" s="2">
        <v>45868</v>
      </c>
      <c r="D3628" s="2">
        <f t="shared" si="340"/>
        <v>45898</v>
      </c>
      <c r="E3628" s="1">
        <f>D3628+75</f>
        <v>45973</v>
      </c>
      <c r="F3628">
        <v>318</v>
      </c>
      <c r="G3628">
        <v>30</v>
      </c>
      <c r="H3628">
        <f t="shared" si="345"/>
        <v>0</v>
      </c>
      <c r="I3628" t="str">
        <f t="shared" si="343"/>
        <v>On Time</v>
      </c>
      <c r="J3628" cm="1">
        <f t="array" ref="J3628">_xlfn.IFS(H3628&lt;30,0,H3628&lt;60,1,H3628&lt;90,2,H3628&lt;120,3)</f>
        <v>0</v>
      </c>
      <c r="M3628" t="str">
        <f t="shared" si="344"/>
        <v>Low</v>
      </c>
      <c r="N3628" t="str">
        <f t="shared" si="341"/>
        <v>Jul</v>
      </c>
      <c r="O3628">
        <f t="shared" si="342"/>
        <v>2025</v>
      </c>
    </row>
    <row r="3629" spans="1:15" x14ac:dyDescent="0.3">
      <c r="A3629">
        <v>200936</v>
      </c>
      <c r="B3629" t="s">
        <v>98</v>
      </c>
      <c r="C3629" s="2">
        <v>45868</v>
      </c>
      <c r="D3629" s="2">
        <f t="shared" si="340"/>
        <v>45898</v>
      </c>
      <c r="E3629" s="1">
        <f>D3629+5</f>
        <v>45903</v>
      </c>
      <c r="F3629">
        <v>1656</v>
      </c>
      <c r="G3629">
        <v>30</v>
      </c>
      <c r="H3629">
        <f t="shared" si="345"/>
        <v>0</v>
      </c>
      <c r="I3629" t="str">
        <f t="shared" si="343"/>
        <v>On Time</v>
      </c>
      <c r="J3629" cm="1">
        <f t="array" ref="J3629">_xlfn.IFS(H3629&lt;30,0,H3629&lt;60,1,H3629&lt;90,2,H3629&lt;120,3)</f>
        <v>0</v>
      </c>
      <c r="M3629" t="str">
        <f t="shared" si="344"/>
        <v>Low</v>
      </c>
      <c r="N3629" t="str">
        <f t="shared" si="341"/>
        <v>Jul</v>
      </c>
      <c r="O3629">
        <f t="shared" si="342"/>
        <v>2025</v>
      </c>
    </row>
    <row r="3630" spans="1:15" x14ac:dyDescent="0.3">
      <c r="A3630">
        <v>200937</v>
      </c>
      <c r="B3630" t="s">
        <v>99</v>
      </c>
      <c r="C3630" s="2">
        <v>45868</v>
      </c>
      <c r="D3630" s="2">
        <f t="shared" si="340"/>
        <v>45898</v>
      </c>
      <c r="E3630" s="1">
        <f>D3630</f>
        <v>45898</v>
      </c>
      <c r="F3630">
        <v>1020</v>
      </c>
      <c r="G3630">
        <v>30</v>
      </c>
      <c r="H3630">
        <f t="shared" si="345"/>
        <v>0</v>
      </c>
      <c r="I3630" t="str">
        <f t="shared" si="343"/>
        <v>On Time</v>
      </c>
      <c r="J3630" cm="1">
        <f t="array" ref="J3630">_xlfn.IFS(H3630&lt;30,0,H3630&lt;60,1,H3630&lt;90,2,H3630&lt;120,3)</f>
        <v>0</v>
      </c>
      <c r="M3630" t="str">
        <f t="shared" si="344"/>
        <v>Low</v>
      </c>
      <c r="N3630" t="str">
        <f t="shared" si="341"/>
        <v>Jul</v>
      </c>
      <c r="O3630">
        <f t="shared" si="342"/>
        <v>2025</v>
      </c>
    </row>
    <row r="3631" spans="1:15" x14ac:dyDescent="0.3">
      <c r="A3631">
        <v>200938</v>
      </c>
      <c r="B3631" t="s">
        <v>100</v>
      </c>
      <c r="C3631" s="2">
        <v>45868</v>
      </c>
      <c r="D3631" s="2">
        <f t="shared" si="340"/>
        <v>45898</v>
      </c>
      <c r="E3631" s="1">
        <f>D3631-1</f>
        <v>45897</v>
      </c>
      <c r="F3631">
        <v>3746</v>
      </c>
      <c r="G3631">
        <v>30</v>
      </c>
      <c r="H3631">
        <f t="shared" si="345"/>
        <v>0</v>
      </c>
      <c r="I3631" t="str">
        <f t="shared" si="343"/>
        <v>On Time</v>
      </c>
      <c r="J3631" cm="1">
        <f t="array" ref="J3631">_xlfn.IFS(H3631&lt;30,0,H3631&lt;60,1,H3631&lt;90,2,H3631&lt;120,3)</f>
        <v>0</v>
      </c>
      <c r="M3631" t="str">
        <f t="shared" si="344"/>
        <v>Low</v>
      </c>
      <c r="N3631" t="str">
        <f t="shared" si="341"/>
        <v>Jul</v>
      </c>
      <c r="O3631">
        <f t="shared" si="342"/>
        <v>2025</v>
      </c>
    </row>
    <row r="3632" spans="1:15" x14ac:dyDescent="0.3">
      <c r="A3632">
        <v>200939</v>
      </c>
      <c r="B3632" t="s">
        <v>101</v>
      </c>
      <c r="C3632" s="2">
        <v>45868</v>
      </c>
      <c r="D3632" s="2">
        <f t="shared" si="340"/>
        <v>45898</v>
      </c>
      <c r="E3632" s="1">
        <f>D3632</f>
        <v>45898</v>
      </c>
      <c r="F3632">
        <v>1957</v>
      </c>
      <c r="G3632">
        <v>30</v>
      </c>
      <c r="H3632">
        <f t="shared" si="345"/>
        <v>0</v>
      </c>
      <c r="I3632" t="str">
        <f t="shared" si="343"/>
        <v>On Time</v>
      </c>
      <c r="J3632" cm="1">
        <f t="array" ref="J3632">_xlfn.IFS(H3632&lt;30,0,H3632&lt;60,1,H3632&lt;90,2,H3632&lt;120,3)</f>
        <v>0</v>
      </c>
      <c r="M3632" t="str">
        <f t="shared" si="344"/>
        <v>Low</v>
      </c>
      <c r="N3632" t="str">
        <f t="shared" si="341"/>
        <v>Jul</v>
      </c>
      <c r="O3632">
        <f t="shared" si="342"/>
        <v>2025</v>
      </c>
    </row>
    <row r="3633" spans="1:15" x14ac:dyDescent="0.3">
      <c r="A3633">
        <v>200940</v>
      </c>
      <c r="B3633" t="s">
        <v>102</v>
      </c>
      <c r="C3633" s="2">
        <v>45868</v>
      </c>
      <c r="D3633" s="2">
        <f t="shared" si="340"/>
        <v>45898</v>
      </c>
      <c r="E3633" s="1">
        <f>D3633+32</f>
        <v>45930</v>
      </c>
      <c r="F3633">
        <v>1416</v>
      </c>
      <c r="G3633">
        <v>30</v>
      </c>
      <c r="H3633">
        <f t="shared" si="345"/>
        <v>0</v>
      </c>
      <c r="I3633" t="str">
        <f t="shared" si="343"/>
        <v>On Time</v>
      </c>
      <c r="J3633" cm="1">
        <f t="array" ref="J3633">_xlfn.IFS(H3633&lt;30,0,H3633&lt;60,1,H3633&lt;90,2,H3633&lt;120,3)</f>
        <v>0</v>
      </c>
      <c r="M3633" t="str">
        <f t="shared" si="344"/>
        <v>Low</v>
      </c>
      <c r="N3633" t="str">
        <f t="shared" si="341"/>
        <v>Jul</v>
      </c>
      <c r="O3633">
        <f t="shared" si="342"/>
        <v>2025</v>
      </c>
    </row>
    <row r="3634" spans="1:15" x14ac:dyDescent="0.3">
      <c r="A3634">
        <v>200941</v>
      </c>
      <c r="B3634" t="s">
        <v>103</v>
      </c>
      <c r="C3634" s="2">
        <v>45868</v>
      </c>
      <c r="D3634" s="2">
        <f t="shared" si="340"/>
        <v>45898</v>
      </c>
      <c r="E3634" s="1">
        <f>D3634+15</f>
        <v>45913</v>
      </c>
      <c r="F3634">
        <v>1852</v>
      </c>
      <c r="G3634">
        <v>30</v>
      </c>
      <c r="H3634">
        <f t="shared" si="345"/>
        <v>0</v>
      </c>
      <c r="I3634" t="str">
        <f t="shared" si="343"/>
        <v>On Time</v>
      </c>
      <c r="J3634" cm="1">
        <f t="array" ref="J3634">_xlfn.IFS(H3634&lt;30,0,H3634&lt;60,1,H3634&lt;90,2,H3634&lt;120,3)</f>
        <v>0</v>
      </c>
      <c r="M3634" t="str">
        <f t="shared" si="344"/>
        <v>Low</v>
      </c>
      <c r="N3634" t="str">
        <f t="shared" si="341"/>
        <v>Jul</v>
      </c>
      <c r="O3634">
        <f t="shared" si="342"/>
        <v>2025</v>
      </c>
    </row>
    <row r="3635" spans="1:15" x14ac:dyDescent="0.3">
      <c r="A3635">
        <v>200904</v>
      </c>
      <c r="B3635" t="s">
        <v>28</v>
      </c>
      <c r="C3635" s="2">
        <v>45867</v>
      </c>
      <c r="D3635" s="2">
        <f t="shared" si="340"/>
        <v>45897</v>
      </c>
      <c r="E3635" s="1">
        <f>D3635</f>
        <v>45897</v>
      </c>
      <c r="F3635">
        <v>5821</v>
      </c>
      <c r="G3635">
        <v>30</v>
      </c>
      <c r="H3635">
        <f t="shared" si="345"/>
        <v>0</v>
      </c>
      <c r="I3635" t="str">
        <f t="shared" si="343"/>
        <v>On Time</v>
      </c>
      <c r="J3635" cm="1">
        <f t="array" ref="J3635">_xlfn.IFS(H3635&lt;30,0,H3635&lt;60,1,H3635&lt;90,2,H3635&lt;120,3)</f>
        <v>0</v>
      </c>
      <c r="M3635" t="str">
        <f t="shared" si="344"/>
        <v>Low</v>
      </c>
      <c r="N3635" t="str">
        <f t="shared" si="341"/>
        <v>Jul</v>
      </c>
      <c r="O3635">
        <f t="shared" si="342"/>
        <v>2025</v>
      </c>
    </row>
    <row r="3636" spans="1:15" x14ac:dyDescent="0.3">
      <c r="A3636">
        <v>200905</v>
      </c>
      <c r="B3636" t="s">
        <v>29</v>
      </c>
      <c r="C3636" s="2">
        <v>45867</v>
      </c>
      <c r="D3636" s="2">
        <f t="shared" si="340"/>
        <v>45897</v>
      </c>
      <c r="E3636" s="1">
        <f>D3636-1</f>
        <v>45896</v>
      </c>
      <c r="F3636">
        <v>2830</v>
      </c>
      <c r="G3636">
        <v>30</v>
      </c>
      <c r="H3636">
        <f t="shared" si="345"/>
        <v>0</v>
      </c>
      <c r="I3636" t="str">
        <f t="shared" si="343"/>
        <v>On Time</v>
      </c>
      <c r="J3636" cm="1">
        <f t="array" ref="J3636">_xlfn.IFS(H3636&lt;30,0,H3636&lt;60,1,H3636&lt;90,2,H3636&lt;120,3)</f>
        <v>0</v>
      </c>
      <c r="M3636" t="str">
        <f t="shared" si="344"/>
        <v>Low</v>
      </c>
      <c r="N3636" t="str">
        <f t="shared" si="341"/>
        <v>Jul</v>
      </c>
      <c r="O3636">
        <f t="shared" si="342"/>
        <v>2025</v>
      </c>
    </row>
    <row r="3637" spans="1:15" x14ac:dyDescent="0.3">
      <c r="A3637">
        <v>200906</v>
      </c>
      <c r="B3637" t="s">
        <v>75</v>
      </c>
      <c r="C3637" s="2">
        <v>45867</v>
      </c>
      <c r="D3637" s="2">
        <f t="shared" si="340"/>
        <v>45927</v>
      </c>
      <c r="E3637" s="1">
        <f>D3637</f>
        <v>45927</v>
      </c>
      <c r="F3637">
        <v>4754</v>
      </c>
      <c r="G3637">
        <v>60</v>
      </c>
      <c r="H3637">
        <f t="shared" si="345"/>
        <v>0</v>
      </c>
      <c r="I3637" t="str">
        <f t="shared" si="343"/>
        <v>On Time</v>
      </c>
      <c r="J3637" cm="1">
        <f t="array" ref="J3637">_xlfn.IFS(H3637&lt;30,0,H3637&lt;60,1,H3637&lt;90,2,H3637&lt;120,3)</f>
        <v>0</v>
      </c>
      <c r="M3637" t="str">
        <f t="shared" si="344"/>
        <v>Low</v>
      </c>
      <c r="N3637" t="str">
        <f t="shared" si="341"/>
        <v>Jul</v>
      </c>
      <c r="O3637">
        <f t="shared" si="342"/>
        <v>2025</v>
      </c>
    </row>
    <row r="3638" spans="1:15" x14ac:dyDescent="0.3">
      <c r="A3638">
        <v>200907</v>
      </c>
      <c r="B3638" t="s">
        <v>76</v>
      </c>
      <c r="C3638" s="2">
        <v>45867</v>
      </c>
      <c r="D3638" s="2">
        <f t="shared" si="340"/>
        <v>45897</v>
      </c>
      <c r="E3638" s="1">
        <f>D3638+32</f>
        <v>45929</v>
      </c>
      <c r="F3638">
        <v>2482</v>
      </c>
      <c r="G3638">
        <v>30</v>
      </c>
      <c r="H3638">
        <f t="shared" si="345"/>
        <v>0</v>
      </c>
      <c r="I3638" t="str">
        <f t="shared" si="343"/>
        <v>On Time</v>
      </c>
      <c r="J3638" cm="1">
        <f t="array" ref="J3638">_xlfn.IFS(H3638&lt;30,0,H3638&lt;60,1,H3638&lt;90,2,H3638&lt;120,3)</f>
        <v>0</v>
      </c>
      <c r="M3638" t="str">
        <f t="shared" si="344"/>
        <v>Low</v>
      </c>
      <c r="N3638" t="str">
        <f t="shared" si="341"/>
        <v>Jul</v>
      </c>
      <c r="O3638">
        <f t="shared" si="342"/>
        <v>2025</v>
      </c>
    </row>
    <row r="3639" spans="1:15" x14ac:dyDescent="0.3">
      <c r="A3639">
        <v>200908</v>
      </c>
      <c r="B3639" t="s">
        <v>77</v>
      </c>
      <c r="C3639" s="2">
        <v>45867</v>
      </c>
      <c r="D3639" s="2">
        <f t="shared" si="340"/>
        <v>45897</v>
      </c>
      <c r="E3639" s="1">
        <f>D3639+15</f>
        <v>45912</v>
      </c>
      <c r="F3639">
        <v>1921</v>
      </c>
      <c r="G3639">
        <v>30</v>
      </c>
      <c r="H3639">
        <f t="shared" si="345"/>
        <v>0</v>
      </c>
      <c r="I3639" t="str">
        <f t="shared" si="343"/>
        <v>On Time</v>
      </c>
      <c r="J3639" cm="1">
        <f t="array" ref="J3639">_xlfn.IFS(H3639&lt;30,0,H3639&lt;60,1,H3639&lt;90,2,H3639&lt;120,3)</f>
        <v>0</v>
      </c>
      <c r="M3639" t="str">
        <f t="shared" si="344"/>
        <v>Low</v>
      </c>
      <c r="N3639" t="str">
        <f t="shared" si="341"/>
        <v>Jul</v>
      </c>
      <c r="O3639">
        <f t="shared" si="342"/>
        <v>2025</v>
      </c>
    </row>
    <row r="3640" spans="1:15" x14ac:dyDescent="0.3">
      <c r="A3640">
        <v>200909</v>
      </c>
      <c r="B3640" t="s">
        <v>78</v>
      </c>
      <c r="C3640" s="2">
        <v>45867</v>
      </c>
      <c r="D3640" s="2">
        <f t="shared" si="340"/>
        <v>45897</v>
      </c>
      <c r="E3640" s="1">
        <f>D3640</f>
        <v>45897</v>
      </c>
      <c r="F3640">
        <v>4001</v>
      </c>
      <c r="G3640">
        <v>30</v>
      </c>
      <c r="H3640">
        <f t="shared" si="345"/>
        <v>0</v>
      </c>
      <c r="I3640" t="str">
        <f t="shared" si="343"/>
        <v>On Time</v>
      </c>
      <c r="J3640" cm="1">
        <f t="array" ref="J3640">_xlfn.IFS(H3640&lt;30,0,H3640&lt;60,1,H3640&lt;90,2,H3640&lt;120,3)</f>
        <v>0</v>
      </c>
      <c r="M3640" t="str">
        <f t="shared" si="344"/>
        <v>Low</v>
      </c>
      <c r="N3640" t="str">
        <f t="shared" si="341"/>
        <v>Jul</v>
      </c>
      <c r="O3640">
        <f t="shared" si="342"/>
        <v>2025</v>
      </c>
    </row>
    <row r="3641" spans="1:15" x14ac:dyDescent="0.3">
      <c r="A3641">
        <v>200910</v>
      </c>
      <c r="B3641" t="s">
        <v>79</v>
      </c>
      <c r="C3641" s="2">
        <v>45867</v>
      </c>
      <c r="D3641" s="2">
        <f t="shared" si="340"/>
        <v>45897</v>
      </c>
      <c r="E3641" s="1">
        <f>D3641-2</f>
        <v>45895</v>
      </c>
      <c r="F3641">
        <v>4192</v>
      </c>
      <c r="G3641">
        <v>30</v>
      </c>
      <c r="H3641">
        <f t="shared" si="345"/>
        <v>0</v>
      </c>
      <c r="I3641" t="str">
        <f t="shared" si="343"/>
        <v>On Time</v>
      </c>
      <c r="J3641" cm="1">
        <f t="array" ref="J3641">_xlfn.IFS(H3641&lt;30,0,H3641&lt;60,1,H3641&lt;90,2,H3641&lt;120,3)</f>
        <v>0</v>
      </c>
      <c r="M3641" t="str">
        <f t="shared" si="344"/>
        <v>Low</v>
      </c>
      <c r="N3641" t="str">
        <f t="shared" si="341"/>
        <v>Jul</v>
      </c>
      <c r="O3641">
        <f t="shared" si="342"/>
        <v>2025</v>
      </c>
    </row>
    <row r="3642" spans="1:15" x14ac:dyDescent="0.3">
      <c r="A3642">
        <v>200911</v>
      </c>
      <c r="B3642" t="s">
        <v>80</v>
      </c>
      <c r="C3642" s="2">
        <v>45867</v>
      </c>
      <c r="D3642" s="2">
        <f t="shared" si="340"/>
        <v>45897</v>
      </c>
      <c r="E3642" s="1">
        <f>D3642</f>
        <v>45897</v>
      </c>
      <c r="F3642">
        <v>3441</v>
      </c>
      <c r="G3642">
        <v>30</v>
      </c>
      <c r="H3642">
        <f t="shared" si="345"/>
        <v>0</v>
      </c>
      <c r="I3642" t="str">
        <f t="shared" si="343"/>
        <v>On Time</v>
      </c>
      <c r="J3642" cm="1">
        <f t="array" ref="J3642">_xlfn.IFS(H3642&lt;30,0,H3642&lt;60,1,H3642&lt;90,2,H3642&lt;120,3)</f>
        <v>0</v>
      </c>
      <c r="M3642" t="str">
        <f t="shared" si="344"/>
        <v>Low</v>
      </c>
      <c r="N3642" t="str">
        <f t="shared" si="341"/>
        <v>Jul</v>
      </c>
      <c r="O3642">
        <f t="shared" si="342"/>
        <v>2025</v>
      </c>
    </row>
    <row r="3643" spans="1:15" x14ac:dyDescent="0.3">
      <c r="A3643">
        <v>200912</v>
      </c>
      <c r="B3643" t="s">
        <v>81</v>
      </c>
      <c r="C3643" s="2">
        <v>45867</v>
      </c>
      <c r="D3643" s="2">
        <f t="shared" si="340"/>
        <v>45897</v>
      </c>
      <c r="E3643" s="1">
        <f>D3643+2</f>
        <v>45899</v>
      </c>
      <c r="F3643">
        <v>630</v>
      </c>
      <c r="G3643">
        <v>30</v>
      </c>
      <c r="H3643">
        <f t="shared" si="345"/>
        <v>0</v>
      </c>
      <c r="I3643" t="str">
        <f t="shared" si="343"/>
        <v>On Time</v>
      </c>
      <c r="J3643" cm="1">
        <f t="array" ref="J3643">_xlfn.IFS(H3643&lt;30,0,H3643&lt;60,1,H3643&lt;90,2,H3643&lt;120,3)</f>
        <v>0</v>
      </c>
      <c r="M3643" t="str">
        <f t="shared" si="344"/>
        <v>Low</v>
      </c>
      <c r="N3643" t="str">
        <f t="shared" si="341"/>
        <v>Jul</v>
      </c>
      <c r="O3643">
        <f t="shared" si="342"/>
        <v>2025</v>
      </c>
    </row>
    <row r="3644" spans="1:15" x14ac:dyDescent="0.3">
      <c r="A3644">
        <v>200913</v>
      </c>
      <c r="B3644" t="s">
        <v>82</v>
      </c>
      <c r="C3644" s="2">
        <v>45867</v>
      </c>
      <c r="D3644" s="2">
        <f t="shared" si="340"/>
        <v>45912</v>
      </c>
      <c r="E3644" s="1">
        <f>D3644+2</f>
        <v>45914</v>
      </c>
      <c r="F3644">
        <v>452</v>
      </c>
      <c r="G3644">
        <v>45</v>
      </c>
      <c r="H3644">
        <f t="shared" si="345"/>
        <v>0</v>
      </c>
      <c r="I3644" t="str">
        <f t="shared" si="343"/>
        <v>On Time</v>
      </c>
      <c r="J3644" cm="1">
        <f t="array" ref="J3644">_xlfn.IFS(H3644&lt;30,0,H3644&lt;60,1,H3644&lt;90,2,H3644&lt;120,3)</f>
        <v>0</v>
      </c>
      <c r="M3644" t="str">
        <f t="shared" si="344"/>
        <v>Low</v>
      </c>
      <c r="N3644" t="str">
        <f t="shared" si="341"/>
        <v>Jul</v>
      </c>
      <c r="O3644">
        <f t="shared" si="342"/>
        <v>2025</v>
      </c>
    </row>
    <row r="3645" spans="1:15" x14ac:dyDescent="0.3">
      <c r="A3645">
        <v>200914</v>
      </c>
      <c r="B3645" t="s">
        <v>83</v>
      </c>
      <c r="C3645" s="2">
        <v>45867</v>
      </c>
      <c r="D3645" s="2">
        <f t="shared" si="340"/>
        <v>45912</v>
      </c>
      <c r="E3645" s="1">
        <f>D3645+2</f>
        <v>45914</v>
      </c>
      <c r="F3645">
        <v>4594</v>
      </c>
      <c r="G3645">
        <v>45</v>
      </c>
      <c r="H3645">
        <f t="shared" si="345"/>
        <v>0</v>
      </c>
      <c r="I3645" t="str">
        <f t="shared" si="343"/>
        <v>On Time</v>
      </c>
      <c r="J3645" cm="1">
        <f t="array" ref="J3645">_xlfn.IFS(H3645&lt;30,0,H3645&lt;60,1,H3645&lt;90,2,H3645&lt;120,3)</f>
        <v>0</v>
      </c>
      <c r="M3645" t="str">
        <f t="shared" si="344"/>
        <v>Low</v>
      </c>
      <c r="N3645" t="str">
        <f t="shared" si="341"/>
        <v>Jul</v>
      </c>
      <c r="O3645">
        <f t="shared" si="342"/>
        <v>2025</v>
      </c>
    </row>
    <row r="3646" spans="1:15" x14ac:dyDescent="0.3">
      <c r="A3646">
        <v>200915</v>
      </c>
      <c r="B3646" t="s">
        <v>84</v>
      </c>
      <c r="C3646" s="2">
        <v>45867</v>
      </c>
      <c r="D3646" s="2">
        <f t="shared" si="340"/>
        <v>45927</v>
      </c>
      <c r="E3646" s="1">
        <f>D3646</f>
        <v>45927</v>
      </c>
      <c r="F3646">
        <v>145</v>
      </c>
      <c r="G3646">
        <v>60</v>
      </c>
      <c r="H3646">
        <f t="shared" si="345"/>
        <v>0</v>
      </c>
      <c r="I3646" t="str">
        <f t="shared" si="343"/>
        <v>On Time</v>
      </c>
      <c r="J3646" cm="1">
        <f t="array" ref="J3646">_xlfn.IFS(H3646&lt;30,0,H3646&lt;60,1,H3646&lt;90,2,H3646&lt;120,3)</f>
        <v>0</v>
      </c>
      <c r="M3646" t="str">
        <f t="shared" si="344"/>
        <v>Low</v>
      </c>
      <c r="N3646" t="str">
        <f t="shared" si="341"/>
        <v>Jul</v>
      </c>
      <c r="O3646">
        <f t="shared" si="342"/>
        <v>2025</v>
      </c>
    </row>
    <row r="3647" spans="1:15" x14ac:dyDescent="0.3">
      <c r="A3647">
        <v>200916</v>
      </c>
      <c r="B3647" t="s">
        <v>92</v>
      </c>
      <c r="C3647" s="2">
        <v>45867</v>
      </c>
      <c r="D3647" s="2">
        <f t="shared" si="340"/>
        <v>45897</v>
      </c>
      <c r="E3647" s="1">
        <f>D3647+20</f>
        <v>45917</v>
      </c>
      <c r="F3647">
        <v>3088</v>
      </c>
      <c r="G3647">
        <v>30</v>
      </c>
      <c r="H3647">
        <f t="shared" si="345"/>
        <v>0</v>
      </c>
      <c r="I3647" t="str">
        <f t="shared" si="343"/>
        <v>On Time</v>
      </c>
      <c r="J3647" cm="1">
        <f t="array" ref="J3647">_xlfn.IFS(H3647&lt;30,0,H3647&lt;60,1,H3647&lt;90,2,H3647&lt;120,3)</f>
        <v>0</v>
      </c>
      <c r="M3647" t="str">
        <f t="shared" si="344"/>
        <v>Low</v>
      </c>
      <c r="N3647" t="str">
        <f t="shared" si="341"/>
        <v>Jul</v>
      </c>
      <c r="O3647">
        <f t="shared" si="342"/>
        <v>2025</v>
      </c>
    </row>
    <row r="3648" spans="1:15" x14ac:dyDescent="0.3">
      <c r="A3648">
        <v>200917</v>
      </c>
      <c r="B3648" t="s">
        <v>93</v>
      </c>
      <c r="C3648" s="2">
        <v>45867</v>
      </c>
      <c r="D3648" s="2">
        <f t="shared" si="340"/>
        <v>45897</v>
      </c>
      <c r="E3648" s="1">
        <f>D3648</f>
        <v>45897</v>
      </c>
      <c r="F3648">
        <v>4364</v>
      </c>
      <c r="G3648">
        <v>30</v>
      </c>
      <c r="H3648">
        <f t="shared" si="345"/>
        <v>0</v>
      </c>
      <c r="I3648" t="str">
        <f t="shared" si="343"/>
        <v>On Time</v>
      </c>
      <c r="J3648" cm="1">
        <f t="array" ref="J3648">_xlfn.IFS(H3648&lt;30,0,H3648&lt;60,1,H3648&lt;90,2,H3648&lt;120,3)</f>
        <v>0</v>
      </c>
      <c r="M3648" t="str">
        <f t="shared" si="344"/>
        <v>Low</v>
      </c>
      <c r="N3648" t="str">
        <f t="shared" si="341"/>
        <v>Jul</v>
      </c>
      <c r="O3648">
        <f t="shared" si="342"/>
        <v>2025</v>
      </c>
    </row>
    <row r="3649" spans="1:15" x14ac:dyDescent="0.3">
      <c r="A3649">
        <v>200918</v>
      </c>
      <c r="B3649" t="s">
        <v>94</v>
      </c>
      <c r="C3649" s="2">
        <v>45867</v>
      </c>
      <c r="D3649" s="2">
        <f t="shared" si="340"/>
        <v>45897</v>
      </c>
      <c r="E3649" s="1">
        <f>D3649+1</f>
        <v>45898</v>
      </c>
      <c r="F3649">
        <v>1099</v>
      </c>
      <c r="G3649">
        <v>30</v>
      </c>
      <c r="H3649">
        <f t="shared" si="345"/>
        <v>0</v>
      </c>
      <c r="I3649" t="str">
        <f t="shared" si="343"/>
        <v>On Time</v>
      </c>
      <c r="J3649" cm="1">
        <f t="array" ref="J3649">_xlfn.IFS(H3649&lt;30,0,H3649&lt;60,1,H3649&lt;90,2,H3649&lt;120,3)</f>
        <v>0</v>
      </c>
      <c r="M3649" t="str">
        <f t="shared" si="344"/>
        <v>Low</v>
      </c>
      <c r="N3649" t="str">
        <f t="shared" si="341"/>
        <v>Jul</v>
      </c>
      <c r="O3649">
        <f t="shared" si="342"/>
        <v>2025</v>
      </c>
    </row>
    <row r="3650" spans="1:15" x14ac:dyDescent="0.3">
      <c r="A3650">
        <v>200919</v>
      </c>
      <c r="B3650" t="s">
        <v>95</v>
      </c>
      <c r="C3650" s="2">
        <v>45867</v>
      </c>
      <c r="D3650" s="2">
        <f t="shared" ref="D3650:D3713" si="346">C3650+G3650</f>
        <v>45912</v>
      </c>
      <c r="E3650" s="1">
        <f>D3650</f>
        <v>45912</v>
      </c>
      <c r="F3650">
        <v>835</v>
      </c>
      <c r="G3650">
        <v>45</v>
      </c>
      <c r="H3650">
        <f t="shared" si="345"/>
        <v>0</v>
      </c>
      <c r="I3650" t="str">
        <f t="shared" si="343"/>
        <v>On Time</v>
      </c>
      <c r="J3650" cm="1">
        <f t="array" ref="J3650">_xlfn.IFS(H3650&lt;30,0,H3650&lt;60,1,H3650&lt;90,2,H3650&lt;120,3)</f>
        <v>0</v>
      </c>
      <c r="M3650" t="str">
        <f t="shared" si="344"/>
        <v>Low</v>
      </c>
      <c r="N3650" t="str">
        <f t="shared" ref="N3650:N3713" si="347">TEXT(C3650,"mmm")</f>
        <v>Jul</v>
      </c>
      <c r="O3650">
        <f t="shared" ref="O3650:O3713" si="348">YEAR(C3650)</f>
        <v>2025</v>
      </c>
    </row>
    <row r="3651" spans="1:15" x14ac:dyDescent="0.3">
      <c r="A3651">
        <v>200920</v>
      </c>
      <c r="B3651" t="s">
        <v>96</v>
      </c>
      <c r="C3651" s="2">
        <v>45867</v>
      </c>
      <c r="D3651" s="2">
        <f t="shared" si="346"/>
        <v>45927</v>
      </c>
      <c r="E3651" s="1">
        <f>D3651</f>
        <v>45927</v>
      </c>
      <c r="F3651">
        <v>3800</v>
      </c>
      <c r="G3651">
        <v>60</v>
      </c>
      <c r="H3651">
        <f t="shared" si="345"/>
        <v>0</v>
      </c>
      <c r="I3651" t="str">
        <f t="shared" si="343"/>
        <v>On Time</v>
      </c>
      <c r="J3651" cm="1">
        <f t="array" ref="J3651">_xlfn.IFS(H3651&lt;30,0,H3651&lt;60,1,H3651&lt;90,2,H3651&lt;120,3)</f>
        <v>0</v>
      </c>
      <c r="M3651" t="str">
        <f t="shared" si="344"/>
        <v>Low</v>
      </c>
      <c r="N3651" t="str">
        <f t="shared" si="347"/>
        <v>Jul</v>
      </c>
      <c r="O3651">
        <f t="shared" si="348"/>
        <v>2025</v>
      </c>
    </row>
    <row r="3652" spans="1:15" x14ac:dyDescent="0.3">
      <c r="A3652">
        <v>200921</v>
      </c>
      <c r="B3652" t="s">
        <v>97</v>
      </c>
      <c r="C3652" s="2">
        <v>45867</v>
      </c>
      <c r="D3652" s="2">
        <f t="shared" si="346"/>
        <v>45897</v>
      </c>
      <c r="E3652" s="1">
        <f>D3652+5</f>
        <v>45902</v>
      </c>
      <c r="F3652">
        <v>4827</v>
      </c>
      <c r="G3652">
        <v>30</v>
      </c>
      <c r="H3652">
        <f t="shared" si="345"/>
        <v>0</v>
      </c>
      <c r="I3652" t="str">
        <f t="shared" si="343"/>
        <v>On Time</v>
      </c>
      <c r="J3652" cm="1">
        <f t="array" ref="J3652">_xlfn.IFS(H3652&lt;30,0,H3652&lt;60,1,H3652&lt;90,2,H3652&lt;120,3)</f>
        <v>0</v>
      </c>
      <c r="M3652" t="str">
        <f t="shared" si="344"/>
        <v>Low</v>
      </c>
      <c r="N3652" t="str">
        <f t="shared" si="347"/>
        <v>Jul</v>
      </c>
      <c r="O3652">
        <f t="shared" si="348"/>
        <v>2025</v>
      </c>
    </row>
    <row r="3653" spans="1:15" x14ac:dyDescent="0.3">
      <c r="A3653">
        <v>200922</v>
      </c>
      <c r="B3653" t="s">
        <v>98</v>
      </c>
      <c r="C3653" s="2">
        <v>45867</v>
      </c>
      <c r="D3653" s="2">
        <f t="shared" si="346"/>
        <v>45897</v>
      </c>
      <c r="E3653" s="1">
        <f>D3653+2</f>
        <v>45899</v>
      </c>
      <c r="F3653">
        <v>4900</v>
      </c>
      <c r="G3653">
        <v>30</v>
      </c>
      <c r="H3653">
        <f t="shared" si="345"/>
        <v>0</v>
      </c>
      <c r="I3653" t="str">
        <f t="shared" si="343"/>
        <v>On Time</v>
      </c>
      <c r="J3653" cm="1">
        <f t="array" ref="J3653">_xlfn.IFS(H3653&lt;30,0,H3653&lt;60,1,H3653&lt;90,2,H3653&lt;120,3)</f>
        <v>0</v>
      </c>
      <c r="M3653" t="str">
        <f t="shared" si="344"/>
        <v>Low</v>
      </c>
      <c r="N3653" t="str">
        <f t="shared" si="347"/>
        <v>Jul</v>
      </c>
      <c r="O3653">
        <f t="shared" si="348"/>
        <v>2025</v>
      </c>
    </row>
    <row r="3654" spans="1:15" x14ac:dyDescent="0.3">
      <c r="A3654">
        <v>200887</v>
      </c>
      <c r="B3654" t="s">
        <v>36</v>
      </c>
      <c r="C3654" s="2">
        <v>45866</v>
      </c>
      <c r="D3654" s="2">
        <f t="shared" si="346"/>
        <v>45896</v>
      </c>
      <c r="E3654" s="1">
        <f>D3654</f>
        <v>45896</v>
      </c>
      <c r="F3654">
        <v>3359</v>
      </c>
      <c r="G3654">
        <v>30</v>
      </c>
      <c r="H3654">
        <f t="shared" si="345"/>
        <v>0</v>
      </c>
      <c r="I3654" t="str">
        <f t="shared" si="343"/>
        <v>On Time</v>
      </c>
      <c r="J3654" cm="1">
        <f t="array" ref="J3654">_xlfn.IFS(H3654&lt;30,0,H3654&lt;60,1,H3654&lt;90,2,H3654&lt;120,3)</f>
        <v>0</v>
      </c>
      <c r="M3654" t="str">
        <f t="shared" si="344"/>
        <v>Low</v>
      </c>
      <c r="N3654" t="str">
        <f t="shared" si="347"/>
        <v>Jul</v>
      </c>
      <c r="O3654">
        <f t="shared" si="348"/>
        <v>2025</v>
      </c>
    </row>
    <row r="3655" spans="1:15" x14ac:dyDescent="0.3">
      <c r="A3655">
        <v>200888</v>
      </c>
      <c r="B3655" t="s">
        <v>37</v>
      </c>
      <c r="C3655" s="2">
        <v>45866</v>
      </c>
      <c r="D3655" s="2">
        <f t="shared" si="346"/>
        <v>45896</v>
      </c>
      <c r="E3655" s="1">
        <f>D3655+5</f>
        <v>45901</v>
      </c>
      <c r="F3655">
        <v>2499</v>
      </c>
      <c r="G3655">
        <v>30</v>
      </c>
      <c r="H3655">
        <f t="shared" si="345"/>
        <v>0</v>
      </c>
      <c r="I3655" t="str">
        <f t="shared" si="343"/>
        <v>On Time</v>
      </c>
      <c r="J3655" cm="1">
        <f t="array" ref="J3655">_xlfn.IFS(H3655&lt;30,0,H3655&lt;60,1,H3655&lt;90,2,H3655&lt;120,3)</f>
        <v>0</v>
      </c>
      <c r="M3655" t="str">
        <f t="shared" si="344"/>
        <v>Low</v>
      </c>
      <c r="N3655" t="str">
        <f t="shared" si="347"/>
        <v>Jul</v>
      </c>
      <c r="O3655">
        <f t="shared" si="348"/>
        <v>2025</v>
      </c>
    </row>
    <row r="3656" spans="1:15" x14ac:dyDescent="0.3">
      <c r="A3656">
        <v>200889</v>
      </c>
      <c r="B3656" t="s">
        <v>38</v>
      </c>
      <c r="C3656" s="2">
        <v>45866</v>
      </c>
      <c r="D3656" s="2">
        <f t="shared" si="346"/>
        <v>45896</v>
      </c>
      <c r="E3656" s="1">
        <f>D3656+2</f>
        <v>45898</v>
      </c>
      <c r="F3656">
        <v>3480</v>
      </c>
      <c r="G3656">
        <v>30</v>
      </c>
      <c r="H3656">
        <f t="shared" si="345"/>
        <v>0</v>
      </c>
      <c r="I3656" t="str">
        <f t="shared" si="343"/>
        <v>On Time</v>
      </c>
      <c r="J3656" cm="1">
        <f t="array" ref="J3656">_xlfn.IFS(H3656&lt;30,0,H3656&lt;60,1,H3656&lt;90,2,H3656&lt;120,3)</f>
        <v>0</v>
      </c>
      <c r="M3656" t="str">
        <f t="shared" si="344"/>
        <v>Low</v>
      </c>
      <c r="N3656" t="str">
        <f t="shared" si="347"/>
        <v>Jul</v>
      </c>
      <c r="O3656">
        <f t="shared" si="348"/>
        <v>2025</v>
      </c>
    </row>
    <row r="3657" spans="1:15" x14ac:dyDescent="0.3">
      <c r="A3657">
        <v>200890</v>
      </c>
      <c r="B3657" t="s">
        <v>39</v>
      </c>
      <c r="C3657" s="2">
        <v>45866</v>
      </c>
      <c r="D3657" s="2">
        <f t="shared" si="346"/>
        <v>45896</v>
      </c>
      <c r="E3657" s="1">
        <f>D3657+5</f>
        <v>45901</v>
      </c>
      <c r="F3657">
        <v>706</v>
      </c>
      <c r="G3657">
        <v>30</v>
      </c>
      <c r="H3657">
        <f t="shared" si="345"/>
        <v>0</v>
      </c>
      <c r="I3657" t="str">
        <f t="shared" si="343"/>
        <v>On Time</v>
      </c>
      <c r="J3657" cm="1">
        <f t="array" ref="J3657">_xlfn.IFS(H3657&lt;30,0,H3657&lt;60,1,H3657&lt;90,2,H3657&lt;120,3)</f>
        <v>0</v>
      </c>
      <c r="M3657" t="str">
        <f t="shared" si="344"/>
        <v>Low</v>
      </c>
      <c r="N3657" t="str">
        <f t="shared" si="347"/>
        <v>Jul</v>
      </c>
      <c r="O3657">
        <f t="shared" si="348"/>
        <v>2025</v>
      </c>
    </row>
    <row r="3658" spans="1:15" x14ac:dyDescent="0.3">
      <c r="A3658">
        <v>200891</v>
      </c>
      <c r="B3658" t="s">
        <v>40</v>
      </c>
      <c r="C3658" s="2">
        <v>45866</v>
      </c>
      <c r="D3658" s="2">
        <f t="shared" si="346"/>
        <v>45896</v>
      </c>
      <c r="E3658" s="1">
        <f>D3658</f>
        <v>45896</v>
      </c>
      <c r="F3658">
        <v>2244</v>
      </c>
      <c r="G3658">
        <v>30</v>
      </c>
      <c r="H3658">
        <f t="shared" si="345"/>
        <v>0</v>
      </c>
      <c r="I3658" t="str">
        <f t="shared" si="343"/>
        <v>On Time</v>
      </c>
      <c r="J3658" cm="1">
        <f t="array" ref="J3658">_xlfn.IFS(H3658&lt;30,0,H3658&lt;60,1,H3658&lt;90,2,H3658&lt;120,3)</f>
        <v>0</v>
      </c>
      <c r="M3658" t="str">
        <f t="shared" si="344"/>
        <v>Low</v>
      </c>
      <c r="N3658" t="str">
        <f t="shared" si="347"/>
        <v>Jul</v>
      </c>
      <c r="O3658">
        <f t="shared" si="348"/>
        <v>2025</v>
      </c>
    </row>
    <row r="3659" spans="1:15" x14ac:dyDescent="0.3">
      <c r="A3659">
        <v>200892</v>
      </c>
      <c r="B3659" t="s">
        <v>41</v>
      </c>
      <c r="C3659" s="2">
        <v>45866</v>
      </c>
      <c r="D3659" s="2">
        <f t="shared" si="346"/>
        <v>45896</v>
      </c>
      <c r="E3659" s="1">
        <f>D3659</f>
        <v>45896</v>
      </c>
      <c r="F3659">
        <v>1120</v>
      </c>
      <c r="G3659">
        <v>30</v>
      </c>
      <c r="H3659">
        <f t="shared" si="345"/>
        <v>0</v>
      </c>
      <c r="I3659" t="str">
        <f t="shared" si="343"/>
        <v>On Time</v>
      </c>
      <c r="J3659" cm="1">
        <f t="array" ref="J3659">_xlfn.IFS(H3659&lt;30,0,H3659&lt;60,1,H3659&lt;90,2,H3659&lt;120,3)</f>
        <v>0</v>
      </c>
      <c r="M3659" t="str">
        <f t="shared" si="344"/>
        <v>Low</v>
      </c>
      <c r="N3659" t="str">
        <f t="shared" si="347"/>
        <v>Jul</v>
      </c>
      <c r="O3659">
        <f t="shared" si="348"/>
        <v>2025</v>
      </c>
    </row>
    <row r="3660" spans="1:15" x14ac:dyDescent="0.3">
      <c r="A3660">
        <v>200893</v>
      </c>
      <c r="B3660" t="s">
        <v>42</v>
      </c>
      <c r="C3660" s="2">
        <v>45866</v>
      </c>
      <c r="D3660" s="2">
        <f t="shared" si="346"/>
        <v>45896</v>
      </c>
      <c r="E3660" s="1">
        <f>D3660+60</f>
        <v>45956</v>
      </c>
      <c r="F3660">
        <v>1828</v>
      </c>
      <c r="G3660">
        <v>30</v>
      </c>
      <c r="H3660">
        <f t="shared" si="345"/>
        <v>0</v>
      </c>
      <c r="I3660" t="str">
        <f t="shared" si="343"/>
        <v>On Time</v>
      </c>
      <c r="J3660" cm="1">
        <f t="array" ref="J3660">_xlfn.IFS(H3660&lt;30,0,H3660&lt;60,1,H3660&lt;90,2,H3660&lt;120,3)</f>
        <v>0</v>
      </c>
      <c r="M3660" t="str">
        <f t="shared" si="344"/>
        <v>Low</v>
      </c>
      <c r="N3660" t="str">
        <f t="shared" si="347"/>
        <v>Jul</v>
      </c>
      <c r="O3660">
        <f t="shared" si="348"/>
        <v>2025</v>
      </c>
    </row>
    <row r="3661" spans="1:15" x14ac:dyDescent="0.3">
      <c r="A3661">
        <v>200894</v>
      </c>
      <c r="B3661" t="s">
        <v>43</v>
      </c>
      <c r="C3661" s="2">
        <v>45866</v>
      </c>
      <c r="D3661" s="2">
        <f t="shared" si="346"/>
        <v>45896</v>
      </c>
      <c r="E3661" s="1">
        <f>D3661</f>
        <v>45896</v>
      </c>
      <c r="F3661">
        <v>11454</v>
      </c>
      <c r="G3661">
        <v>30</v>
      </c>
      <c r="H3661">
        <f t="shared" si="345"/>
        <v>0</v>
      </c>
      <c r="I3661" t="str">
        <f t="shared" si="343"/>
        <v>On Time</v>
      </c>
      <c r="J3661" cm="1">
        <f t="array" ref="J3661">_xlfn.IFS(H3661&lt;30,0,H3661&lt;60,1,H3661&lt;90,2,H3661&lt;120,3)</f>
        <v>0</v>
      </c>
      <c r="M3661" t="str">
        <f t="shared" si="344"/>
        <v>Low</v>
      </c>
      <c r="N3661" t="str">
        <f t="shared" si="347"/>
        <v>Jul</v>
      </c>
      <c r="O3661">
        <f t="shared" si="348"/>
        <v>2025</v>
      </c>
    </row>
    <row r="3662" spans="1:15" x14ac:dyDescent="0.3">
      <c r="A3662">
        <v>200895</v>
      </c>
      <c r="B3662" t="s">
        <v>44</v>
      </c>
      <c r="C3662" s="2">
        <v>45866</v>
      </c>
      <c r="D3662" s="2">
        <f t="shared" si="346"/>
        <v>45911</v>
      </c>
      <c r="F3662">
        <v>2078</v>
      </c>
      <c r="G3662">
        <v>45</v>
      </c>
      <c r="H3662">
        <f t="shared" si="345"/>
        <v>0</v>
      </c>
      <c r="I3662" t="str">
        <f t="shared" si="343"/>
        <v>On Time</v>
      </c>
      <c r="J3662" cm="1">
        <f t="array" ref="J3662">_xlfn.IFS(H3662&lt;30,0,H3662&lt;60,1,H3662&lt;90,2,H3662&lt;120,3)</f>
        <v>0</v>
      </c>
      <c r="M3662" t="str">
        <f t="shared" si="344"/>
        <v>Low</v>
      </c>
      <c r="N3662" t="str">
        <f t="shared" si="347"/>
        <v>Jul</v>
      </c>
      <c r="O3662">
        <f t="shared" si="348"/>
        <v>2025</v>
      </c>
    </row>
    <row r="3663" spans="1:15" x14ac:dyDescent="0.3">
      <c r="A3663">
        <v>200896</v>
      </c>
      <c r="B3663" t="s">
        <v>20</v>
      </c>
      <c r="C3663" s="2">
        <v>45866</v>
      </c>
      <c r="D3663" s="2">
        <f t="shared" si="346"/>
        <v>45896</v>
      </c>
      <c r="E3663" s="1">
        <f>D3663+3</f>
        <v>45899</v>
      </c>
      <c r="F3663">
        <v>4601</v>
      </c>
      <c r="G3663">
        <v>30</v>
      </c>
      <c r="H3663">
        <f t="shared" si="345"/>
        <v>0</v>
      </c>
      <c r="I3663" t="str">
        <f t="shared" si="343"/>
        <v>On Time</v>
      </c>
      <c r="J3663" cm="1">
        <f t="array" ref="J3663">_xlfn.IFS(H3663&lt;30,0,H3663&lt;60,1,H3663&lt;90,2,H3663&lt;120,3)</f>
        <v>0</v>
      </c>
      <c r="M3663" t="str">
        <f t="shared" si="344"/>
        <v>Low</v>
      </c>
      <c r="N3663" t="str">
        <f t="shared" si="347"/>
        <v>Jul</v>
      </c>
      <c r="O3663">
        <f t="shared" si="348"/>
        <v>2025</v>
      </c>
    </row>
    <row r="3664" spans="1:15" x14ac:dyDescent="0.3">
      <c r="A3664">
        <v>200897</v>
      </c>
      <c r="B3664" t="s">
        <v>21</v>
      </c>
      <c r="C3664" s="2">
        <v>45866</v>
      </c>
      <c r="D3664" s="2">
        <f t="shared" si="346"/>
        <v>45896</v>
      </c>
      <c r="E3664" s="1">
        <f>D3664+1</f>
        <v>45897</v>
      </c>
      <c r="F3664">
        <v>151</v>
      </c>
      <c r="G3664">
        <v>30</v>
      </c>
      <c r="H3664">
        <f t="shared" si="345"/>
        <v>0</v>
      </c>
      <c r="I3664" t="str">
        <f t="shared" si="343"/>
        <v>On Time</v>
      </c>
      <c r="J3664" cm="1">
        <f t="array" ref="J3664">_xlfn.IFS(H3664&lt;30,0,H3664&lt;60,1,H3664&lt;90,2,H3664&lt;120,3)</f>
        <v>0</v>
      </c>
      <c r="M3664" t="str">
        <f t="shared" si="344"/>
        <v>Low</v>
      </c>
      <c r="N3664" t="str">
        <f t="shared" si="347"/>
        <v>Jul</v>
      </c>
      <c r="O3664">
        <f t="shared" si="348"/>
        <v>2025</v>
      </c>
    </row>
    <row r="3665" spans="1:15" x14ac:dyDescent="0.3">
      <c r="A3665">
        <v>200898</v>
      </c>
      <c r="B3665" t="s">
        <v>22</v>
      </c>
      <c r="C3665" s="2">
        <v>45866</v>
      </c>
      <c r="D3665" s="2">
        <f t="shared" si="346"/>
        <v>45896</v>
      </c>
      <c r="E3665" s="1">
        <f>D3665-1</f>
        <v>45895</v>
      </c>
      <c r="F3665">
        <v>449</v>
      </c>
      <c r="G3665">
        <v>30</v>
      </c>
      <c r="H3665">
        <f t="shared" si="345"/>
        <v>0</v>
      </c>
      <c r="I3665" t="str">
        <f t="shared" si="343"/>
        <v>On Time</v>
      </c>
      <c r="J3665" cm="1">
        <f t="array" ref="J3665">_xlfn.IFS(H3665&lt;30,0,H3665&lt;60,1,H3665&lt;90,2,H3665&lt;120,3)</f>
        <v>0</v>
      </c>
      <c r="M3665" t="str">
        <f t="shared" si="344"/>
        <v>Low</v>
      </c>
      <c r="N3665" t="str">
        <f t="shared" si="347"/>
        <v>Jul</v>
      </c>
      <c r="O3665">
        <f t="shared" si="348"/>
        <v>2025</v>
      </c>
    </row>
    <row r="3666" spans="1:15" x14ac:dyDescent="0.3">
      <c r="A3666">
        <v>200899</v>
      </c>
      <c r="B3666" t="s">
        <v>23</v>
      </c>
      <c r="C3666" s="2">
        <v>45866</v>
      </c>
      <c r="D3666" s="2">
        <f t="shared" si="346"/>
        <v>45911</v>
      </c>
      <c r="E3666" s="1">
        <f>D3666</f>
        <v>45911</v>
      </c>
      <c r="F3666">
        <v>319</v>
      </c>
      <c r="G3666">
        <v>45</v>
      </c>
      <c r="H3666">
        <f t="shared" si="345"/>
        <v>0</v>
      </c>
      <c r="I3666" t="str">
        <f t="shared" si="343"/>
        <v>On Time</v>
      </c>
      <c r="J3666" cm="1">
        <f t="array" ref="J3666">_xlfn.IFS(H3666&lt;30,0,H3666&lt;60,1,H3666&lt;90,2,H3666&lt;120,3)</f>
        <v>0</v>
      </c>
      <c r="M3666" t="str">
        <f t="shared" si="344"/>
        <v>Low</v>
      </c>
      <c r="N3666" t="str">
        <f t="shared" si="347"/>
        <v>Jul</v>
      </c>
      <c r="O3666">
        <f t="shared" si="348"/>
        <v>2025</v>
      </c>
    </row>
    <row r="3667" spans="1:15" x14ac:dyDescent="0.3">
      <c r="A3667">
        <v>200900</v>
      </c>
      <c r="B3667" t="s">
        <v>24</v>
      </c>
      <c r="C3667" s="2">
        <v>45866</v>
      </c>
      <c r="D3667" s="2">
        <f t="shared" si="346"/>
        <v>45911</v>
      </c>
      <c r="E3667" s="1">
        <f>D3667-5</f>
        <v>45906</v>
      </c>
      <c r="F3667">
        <v>4939</v>
      </c>
      <c r="G3667">
        <v>45</v>
      </c>
      <c r="H3667">
        <f t="shared" si="345"/>
        <v>0</v>
      </c>
      <c r="I3667" t="str">
        <f t="shared" si="343"/>
        <v>On Time</v>
      </c>
      <c r="J3667" cm="1">
        <f t="array" ref="J3667">_xlfn.IFS(H3667&lt;30,0,H3667&lt;60,1,H3667&lt;90,2,H3667&lt;120,3)</f>
        <v>0</v>
      </c>
      <c r="M3667" t="str">
        <f t="shared" si="344"/>
        <v>Low</v>
      </c>
      <c r="N3667" t="str">
        <f t="shared" si="347"/>
        <v>Jul</v>
      </c>
      <c r="O3667">
        <f t="shared" si="348"/>
        <v>2025</v>
      </c>
    </row>
    <row r="3668" spans="1:15" x14ac:dyDescent="0.3">
      <c r="A3668">
        <v>200901</v>
      </c>
      <c r="B3668" t="s">
        <v>25</v>
      </c>
      <c r="C3668" s="2">
        <v>45866</v>
      </c>
      <c r="D3668" s="2">
        <f t="shared" si="346"/>
        <v>45926</v>
      </c>
      <c r="E3668" s="1">
        <f>D3668+35</f>
        <v>45961</v>
      </c>
      <c r="F3668">
        <v>2193</v>
      </c>
      <c r="G3668">
        <v>60</v>
      </c>
      <c r="H3668">
        <f t="shared" si="345"/>
        <v>0</v>
      </c>
      <c r="I3668" t="str">
        <f t="shared" si="343"/>
        <v>On Time</v>
      </c>
      <c r="J3668" cm="1">
        <f t="array" ref="J3668">_xlfn.IFS(H3668&lt;30,0,H3668&lt;60,1,H3668&lt;90,2,H3668&lt;120,3)</f>
        <v>0</v>
      </c>
      <c r="M3668" t="str">
        <f t="shared" si="344"/>
        <v>Low</v>
      </c>
      <c r="N3668" t="str">
        <f t="shared" si="347"/>
        <v>Jul</v>
      </c>
      <c r="O3668">
        <f t="shared" si="348"/>
        <v>2025</v>
      </c>
    </row>
    <row r="3669" spans="1:15" x14ac:dyDescent="0.3">
      <c r="A3669">
        <v>200902</v>
      </c>
      <c r="B3669" t="s">
        <v>26</v>
      </c>
      <c r="C3669" s="2">
        <v>45866</v>
      </c>
      <c r="D3669" s="2">
        <f t="shared" si="346"/>
        <v>45896</v>
      </c>
      <c r="E3669" s="1">
        <f>D3669+75</f>
        <v>45971</v>
      </c>
      <c r="F3669">
        <v>3359</v>
      </c>
      <c r="G3669">
        <v>30</v>
      </c>
      <c r="H3669">
        <f t="shared" si="345"/>
        <v>0</v>
      </c>
      <c r="I3669" t="str">
        <f t="shared" si="343"/>
        <v>On Time</v>
      </c>
      <c r="J3669" cm="1">
        <f t="array" ref="J3669">_xlfn.IFS(H3669&lt;30,0,H3669&lt;60,1,H3669&lt;90,2,H3669&lt;120,3)</f>
        <v>0</v>
      </c>
      <c r="M3669" t="str">
        <f t="shared" si="344"/>
        <v>Low</v>
      </c>
      <c r="N3669" t="str">
        <f t="shared" si="347"/>
        <v>Jul</v>
      </c>
      <c r="O3669">
        <f t="shared" si="348"/>
        <v>2025</v>
      </c>
    </row>
    <row r="3670" spans="1:15" x14ac:dyDescent="0.3">
      <c r="A3670">
        <v>200903</v>
      </c>
      <c r="B3670" t="s">
        <v>27</v>
      </c>
      <c r="C3670" s="2">
        <v>45866</v>
      </c>
      <c r="D3670" s="2">
        <f t="shared" si="346"/>
        <v>45926</v>
      </c>
      <c r="E3670" s="1">
        <f>D3670+5</f>
        <v>45931</v>
      </c>
      <c r="F3670">
        <v>1268</v>
      </c>
      <c r="G3670">
        <v>60</v>
      </c>
      <c r="H3670">
        <f t="shared" si="345"/>
        <v>0</v>
      </c>
      <c r="I3670" t="str">
        <f t="shared" ref="I3670:I3733" si="349">IF(H3670=0,"On Time",IF(H3670&lt;=15,"Paid Late","Seriously Late"))</f>
        <v>On Time</v>
      </c>
      <c r="J3670" cm="1">
        <f t="array" ref="J3670">_xlfn.IFS(H3670&lt;30,0,H3670&lt;60,1,H3670&lt;90,2,H3670&lt;120,3)</f>
        <v>0</v>
      </c>
      <c r="M3670" t="str">
        <f t="shared" ref="M3670:M3733" si="350">IF(H3670&gt;30,"High",IF(H3670&gt;10,"Medium","Low"))</f>
        <v>Low</v>
      </c>
      <c r="N3670" t="str">
        <f t="shared" si="347"/>
        <v>Jul</v>
      </c>
      <c r="O3670">
        <f t="shared" si="348"/>
        <v>2025</v>
      </c>
    </row>
    <row r="3671" spans="1:15" x14ac:dyDescent="0.3">
      <c r="A3671">
        <v>200872</v>
      </c>
      <c r="B3671" t="s">
        <v>73</v>
      </c>
      <c r="C3671" s="2">
        <v>45863</v>
      </c>
      <c r="D3671" s="2">
        <f t="shared" si="346"/>
        <v>45908</v>
      </c>
      <c r="E3671" s="1">
        <f>D3671-1</f>
        <v>45907</v>
      </c>
      <c r="F3671">
        <v>4839</v>
      </c>
      <c r="G3671">
        <v>45</v>
      </c>
      <c r="H3671">
        <f t="shared" si="345"/>
        <v>0</v>
      </c>
      <c r="I3671" t="str">
        <f t="shared" si="349"/>
        <v>On Time</v>
      </c>
      <c r="J3671" cm="1">
        <f t="array" ref="J3671">_xlfn.IFS(H3671&lt;30,0,H3671&lt;60,1,H3671&lt;90,2,H3671&lt;120,3)</f>
        <v>0</v>
      </c>
      <c r="M3671" t="str">
        <f t="shared" si="350"/>
        <v>Low</v>
      </c>
      <c r="N3671" t="str">
        <f t="shared" si="347"/>
        <v>Jul</v>
      </c>
      <c r="O3671">
        <f t="shared" si="348"/>
        <v>2025</v>
      </c>
    </row>
    <row r="3672" spans="1:15" x14ac:dyDescent="0.3">
      <c r="A3672">
        <v>200873</v>
      </c>
      <c r="B3672" t="s">
        <v>74</v>
      </c>
      <c r="C3672" s="2">
        <v>45863</v>
      </c>
      <c r="D3672" s="2">
        <f t="shared" si="346"/>
        <v>45908</v>
      </c>
      <c r="E3672" s="1">
        <f>D3672</f>
        <v>45908</v>
      </c>
      <c r="F3672">
        <v>332</v>
      </c>
      <c r="G3672">
        <v>45</v>
      </c>
      <c r="H3672">
        <f t="shared" si="345"/>
        <v>0</v>
      </c>
      <c r="I3672" t="str">
        <f t="shared" si="349"/>
        <v>On Time</v>
      </c>
      <c r="J3672" cm="1">
        <f t="array" ref="J3672">_xlfn.IFS(H3672&lt;30,0,H3672&lt;60,1,H3672&lt;90,2,H3672&lt;120,3)</f>
        <v>0</v>
      </c>
      <c r="M3672" t="str">
        <f t="shared" si="350"/>
        <v>Low</v>
      </c>
      <c r="N3672" t="str">
        <f t="shared" si="347"/>
        <v>Jul</v>
      </c>
      <c r="O3672">
        <f t="shared" si="348"/>
        <v>2025</v>
      </c>
    </row>
    <row r="3673" spans="1:15" x14ac:dyDescent="0.3">
      <c r="A3673">
        <v>200874</v>
      </c>
      <c r="B3673" t="s">
        <v>75</v>
      </c>
      <c r="C3673" s="2">
        <v>45863</v>
      </c>
      <c r="D3673" s="2">
        <f t="shared" si="346"/>
        <v>45923</v>
      </c>
      <c r="E3673" s="1">
        <f>D3673+32</f>
        <v>45955</v>
      </c>
      <c r="F3673">
        <v>4943</v>
      </c>
      <c r="G3673">
        <v>60</v>
      </c>
      <c r="H3673">
        <f t="shared" si="345"/>
        <v>0</v>
      </c>
      <c r="I3673" t="str">
        <f t="shared" si="349"/>
        <v>On Time</v>
      </c>
      <c r="J3673" cm="1">
        <f t="array" ref="J3673">_xlfn.IFS(H3673&lt;30,0,H3673&lt;60,1,H3673&lt;90,2,H3673&lt;120,3)</f>
        <v>0</v>
      </c>
      <c r="M3673" t="str">
        <f t="shared" si="350"/>
        <v>Low</v>
      </c>
      <c r="N3673" t="str">
        <f t="shared" si="347"/>
        <v>Jul</v>
      </c>
      <c r="O3673">
        <f t="shared" si="348"/>
        <v>2025</v>
      </c>
    </row>
    <row r="3674" spans="1:15" x14ac:dyDescent="0.3">
      <c r="A3674">
        <v>200875</v>
      </c>
      <c r="B3674" t="s">
        <v>76</v>
      </c>
      <c r="C3674" s="2">
        <v>45863</v>
      </c>
      <c r="D3674" s="2">
        <f t="shared" si="346"/>
        <v>45893</v>
      </c>
      <c r="E3674" s="1">
        <f>D3674+15</f>
        <v>45908</v>
      </c>
      <c r="F3674">
        <v>1661</v>
      </c>
      <c r="G3674">
        <v>30</v>
      </c>
      <c r="H3674">
        <f t="shared" si="345"/>
        <v>0</v>
      </c>
      <c r="I3674" t="str">
        <f t="shared" si="349"/>
        <v>On Time</v>
      </c>
      <c r="J3674" cm="1">
        <f t="array" ref="J3674">_xlfn.IFS(H3674&lt;30,0,H3674&lt;60,1,H3674&lt;90,2,H3674&lt;120,3)</f>
        <v>0</v>
      </c>
      <c r="M3674" t="str">
        <f t="shared" si="350"/>
        <v>Low</v>
      </c>
      <c r="N3674" t="str">
        <f t="shared" si="347"/>
        <v>Jul</v>
      </c>
      <c r="O3674">
        <f t="shared" si="348"/>
        <v>2025</v>
      </c>
    </row>
    <row r="3675" spans="1:15" x14ac:dyDescent="0.3">
      <c r="A3675">
        <v>200876</v>
      </c>
      <c r="B3675" t="s">
        <v>44</v>
      </c>
      <c r="C3675" s="2">
        <v>45863</v>
      </c>
      <c r="D3675" s="2">
        <f t="shared" si="346"/>
        <v>45908</v>
      </c>
      <c r="E3675" s="1">
        <f>D3675-2</f>
        <v>45906</v>
      </c>
      <c r="F3675">
        <v>6358</v>
      </c>
      <c r="G3675">
        <v>45</v>
      </c>
      <c r="H3675">
        <f t="shared" si="345"/>
        <v>0</v>
      </c>
      <c r="I3675" t="str">
        <f t="shared" si="349"/>
        <v>On Time</v>
      </c>
      <c r="J3675" cm="1">
        <f t="array" ref="J3675">_xlfn.IFS(H3675&lt;30,0,H3675&lt;60,1,H3675&lt;90,2,H3675&lt;120,3)</f>
        <v>0</v>
      </c>
      <c r="M3675" t="str">
        <f t="shared" si="350"/>
        <v>Low</v>
      </c>
      <c r="N3675" t="str">
        <f t="shared" si="347"/>
        <v>Jul</v>
      </c>
      <c r="O3675">
        <f t="shared" si="348"/>
        <v>2025</v>
      </c>
    </row>
    <row r="3676" spans="1:15" x14ac:dyDescent="0.3">
      <c r="A3676">
        <v>200877</v>
      </c>
      <c r="B3676" t="s">
        <v>45</v>
      </c>
      <c r="C3676" s="2">
        <v>45863</v>
      </c>
      <c r="D3676" s="2">
        <f t="shared" si="346"/>
        <v>45908</v>
      </c>
      <c r="E3676" s="1">
        <f>D3676-2</f>
        <v>45906</v>
      </c>
      <c r="F3676">
        <v>743</v>
      </c>
      <c r="G3676">
        <v>45</v>
      </c>
      <c r="H3676">
        <f t="shared" si="345"/>
        <v>0</v>
      </c>
      <c r="I3676" t="str">
        <f t="shared" si="349"/>
        <v>On Time</v>
      </c>
      <c r="J3676" cm="1">
        <f t="array" ref="J3676">_xlfn.IFS(H3676&lt;30,0,H3676&lt;60,1,H3676&lt;90,2,H3676&lt;120,3)</f>
        <v>0</v>
      </c>
      <c r="M3676" t="str">
        <f t="shared" si="350"/>
        <v>Low</v>
      </c>
      <c r="N3676" t="str">
        <f t="shared" si="347"/>
        <v>Jul</v>
      </c>
      <c r="O3676">
        <f t="shared" si="348"/>
        <v>2025</v>
      </c>
    </row>
    <row r="3677" spans="1:15" x14ac:dyDescent="0.3">
      <c r="A3677">
        <v>200878</v>
      </c>
      <c r="B3677" t="s">
        <v>46</v>
      </c>
      <c r="C3677" s="2">
        <v>45863</v>
      </c>
      <c r="D3677" s="2">
        <f t="shared" si="346"/>
        <v>45923</v>
      </c>
      <c r="E3677" s="1">
        <f>D3677</f>
        <v>45923</v>
      </c>
      <c r="F3677">
        <v>2774</v>
      </c>
      <c r="G3677">
        <v>60</v>
      </c>
      <c r="H3677">
        <f t="shared" si="345"/>
        <v>0</v>
      </c>
      <c r="I3677" t="str">
        <f t="shared" si="349"/>
        <v>On Time</v>
      </c>
      <c r="J3677" cm="1">
        <f t="array" ref="J3677">_xlfn.IFS(H3677&lt;30,0,H3677&lt;60,1,H3677&lt;90,2,H3677&lt;120,3)</f>
        <v>0</v>
      </c>
      <c r="M3677" t="str">
        <f t="shared" si="350"/>
        <v>Low</v>
      </c>
      <c r="N3677" t="str">
        <f t="shared" si="347"/>
        <v>Jul</v>
      </c>
      <c r="O3677">
        <f t="shared" si="348"/>
        <v>2025</v>
      </c>
    </row>
    <row r="3678" spans="1:15" x14ac:dyDescent="0.3">
      <c r="A3678">
        <v>200879</v>
      </c>
      <c r="B3678" t="s">
        <v>47</v>
      </c>
      <c r="C3678" s="2">
        <v>45863</v>
      </c>
      <c r="D3678" s="2">
        <f t="shared" si="346"/>
        <v>45923</v>
      </c>
      <c r="E3678" s="1">
        <f>D3678+2</f>
        <v>45925</v>
      </c>
      <c r="F3678">
        <v>107</v>
      </c>
      <c r="G3678">
        <v>60</v>
      </c>
      <c r="H3678">
        <f t="shared" si="345"/>
        <v>0</v>
      </c>
      <c r="I3678" t="str">
        <f t="shared" si="349"/>
        <v>On Time</v>
      </c>
      <c r="J3678" cm="1">
        <f t="array" ref="J3678">_xlfn.IFS(H3678&lt;30,0,H3678&lt;60,1,H3678&lt;90,2,H3678&lt;120,3)</f>
        <v>0</v>
      </c>
      <c r="M3678" t="str">
        <f t="shared" si="350"/>
        <v>Low</v>
      </c>
      <c r="N3678" t="str">
        <f t="shared" si="347"/>
        <v>Jul</v>
      </c>
      <c r="O3678">
        <f t="shared" si="348"/>
        <v>2025</v>
      </c>
    </row>
    <row r="3679" spans="1:15" x14ac:dyDescent="0.3">
      <c r="A3679">
        <v>200880</v>
      </c>
      <c r="B3679" t="s">
        <v>48</v>
      </c>
      <c r="C3679" s="2">
        <v>45863</v>
      </c>
      <c r="D3679" s="2">
        <f t="shared" si="346"/>
        <v>45908</v>
      </c>
      <c r="E3679" s="1">
        <f>D3679+2</f>
        <v>45910</v>
      </c>
      <c r="F3679">
        <v>579</v>
      </c>
      <c r="G3679">
        <v>45</v>
      </c>
      <c r="H3679">
        <f t="shared" si="345"/>
        <v>0</v>
      </c>
      <c r="I3679" t="str">
        <f t="shared" si="349"/>
        <v>On Time</v>
      </c>
      <c r="J3679" cm="1">
        <f t="array" ref="J3679">_xlfn.IFS(H3679&lt;30,0,H3679&lt;60,1,H3679&lt;90,2,H3679&lt;120,3)</f>
        <v>0</v>
      </c>
      <c r="M3679" t="str">
        <f t="shared" si="350"/>
        <v>Low</v>
      </c>
      <c r="N3679" t="str">
        <f t="shared" si="347"/>
        <v>Jul</v>
      </c>
      <c r="O3679">
        <f t="shared" si="348"/>
        <v>2025</v>
      </c>
    </row>
    <row r="3680" spans="1:15" x14ac:dyDescent="0.3">
      <c r="A3680">
        <v>200881</v>
      </c>
      <c r="B3680" t="s">
        <v>49</v>
      </c>
      <c r="C3680" s="2">
        <v>45863</v>
      </c>
      <c r="D3680" s="2">
        <f t="shared" si="346"/>
        <v>45893</v>
      </c>
      <c r="E3680" s="1">
        <f>D3680+2</f>
        <v>45895</v>
      </c>
      <c r="F3680">
        <v>2897</v>
      </c>
      <c r="G3680">
        <v>30</v>
      </c>
      <c r="H3680">
        <f t="shared" si="345"/>
        <v>0</v>
      </c>
      <c r="I3680" t="str">
        <f t="shared" si="349"/>
        <v>On Time</v>
      </c>
      <c r="J3680" cm="1">
        <f t="array" ref="J3680">_xlfn.IFS(H3680&lt;30,0,H3680&lt;60,1,H3680&lt;90,2,H3680&lt;120,3)</f>
        <v>0</v>
      </c>
      <c r="M3680" t="str">
        <f t="shared" si="350"/>
        <v>Low</v>
      </c>
      <c r="N3680" t="str">
        <f t="shared" si="347"/>
        <v>Jul</v>
      </c>
      <c r="O3680">
        <f t="shared" si="348"/>
        <v>2025</v>
      </c>
    </row>
    <row r="3681" spans="1:15" x14ac:dyDescent="0.3">
      <c r="A3681">
        <v>200882</v>
      </c>
      <c r="B3681" t="s">
        <v>50</v>
      </c>
      <c r="C3681" s="2">
        <v>45863</v>
      </c>
      <c r="D3681" s="2">
        <f t="shared" si="346"/>
        <v>45893</v>
      </c>
      <c r="E3681" s="1">
        <f>D3681</f>
        <v>45893</v>
      </c>
      <c r="F3681">
        <v>4585</v>
      </c>
      <c r="G3681">
        <v>30</v>
      </c>
      <c r="H3681">
        <f t="shared" si="345"/>
        <v>0</v>
      </c>
      <c r="I3681" t="str">
        <f t="shared" si="349"/>
        <v>On Time</v>
      </c>
      <c r="J3681" cm="1">
        <f t="array" ref="J3681">_xlfn.IFS(H3681&lt;30,0,H3681&lt;60,1,H3681&lt;90,2,H3681&lt;120,3)</f>
        <v>0</v>
      </c>
      <c r="M3681" t="str">
        <f t="shared" si="350"/>
        <v>Low</v>
      </c>
      <c r="N3681" t="str">
        <f t="shared" si="347"/>
        <v>Jul</v>
      </c>
      <c r="O3681">
        <f t="shared" si="348"/>
        <v>2025</v>
      </c>
    </row>
    <row r="3682" spans="1:15" x14ac:dyDescent="0.3">
      <c r="A3682">
        <v>200883</v>
      </c>
      <c r="B3682" t="s">
        <v>51</v>
      </c>
      <c r="C3682" s="2">
        <v>45863</v>
      </c>
      <c r="D3682" s="2">
        <f t="shared" si="346"/>
        <v>45893</v>
      </c>
      <c r="E3682" s="1">
        <f>D3682+20</f>
        <v>45913</v>
      </c>
      <c r="F3682">
        <v>15341</v>
      </c>
      <c r="G3682">
        <v>30</v>
      </c>
      <c r="H3682">
        <f t="shared" si="345"/>
        <v>0</v>
      </c>
      <c r="I3682" t="str">
        <f t="shared" si="349"/>
        <v>On Time</v>
      </c>
      <c r="J3682" cm="1">
        <f t="array" ref="J3682">_xlfn.IFS(H3682&lt;30,0,H3682&lt;60,1,H3682&lt;90,2,H3682&lt;120,3)</f>
        <v>0</v>
      </c>
      <c r="M3682" t="str">
        <f t="shared" si="350"/>
        <v>Low</v>
      </c>
      <c r="N3682" t="str">
        <f t="shared" si="347"/>
        <v>Jul</v>
      </c>
      <c r="O3682">
        <f t="shared" si="348"/>
        <v>2025</v>
      </c>
    </row>
    <row r="3683" spans="1:15" x14ac:dyDescent="0.3">
      <c r="A3683">
        <v>200884</v>
      </c>
      <c r="B3683" t="s">
        <v>52</v>
      </c>
      <c r="C3683" s="2">
        <v>45863</v>
      </c>
      <c r="D3683" s="2">
        <f t="shared" si="346"/>
        <v>45893</v>
      </c>
      <c r="E3683" s="1">
        <f>D3683</f>
        <v>45893</v>
      </c>
      <c r="F3683">
        <v>3183</v>
      </c>
      <c r="G3683">
        <v>30</v>
      </c>
      <c r="H3683">
        <f t="shared" si="345"/>
        <v>0</v>
      </c>
      <c r="I3683" t="str">
        <f t="shared" si="349"/>
        <v>On Time</v>
      </c>
      <c r="J3683" cm="1">
        <f t="array" ref="J3683">_xlfn.IFS(H3683&lt;30,0,H3683&lt;60,1,H3683&lt;90,2,H3683&lt;120,3)</f>
        <v>0</v>
      </c>
      <c r="M3683" t="str">
        <f t="shared" si="350"/>
        <v>Low</v>
      </c>
      <c r="N3683" t="str">
        <f t="shared" si="347"/>
        <v>Jul</v>
      </c>
      <c r="O3683">
        <f t="shared" si="348"/>
        <v>2025</v>
      </c>
    </row>
    <row r="3684" spans="1:15" x14ac:dyDescent="0.3">
      <c r="A3684">
        <v>200885</v>
      </c>
      <c r="B3684" t="s">
        <v>53</v>
      </c>
      <c r="C3684" s="2">
        <v>45863</v>
      </c>
      <c r="D3684" s="2">
        <f t="shared" si="346"/>
        <v>45893</v>
      </c>
      <c r="E3684" s="1">
        <f>D3684+1</f>
        <v>45894</v>
      </c>
      <c r="F3684">
        <v>2374</v>
      </c>
      <c r="G3684">
        <v>30</v>
      </c>
      <c r="H3684">
        <f t="shared" si="345"/>
        <v>0</v>
      </c>
      <c r="I3684" t="str">
        <f t="shared" si="349"/>
        <v>On Time</v>
      </c>
      <c r="J3684" cm="1">
        <f t="array" ref="J3684">_xlfn.IFS(H3684&lt;30,0,H3684&lt;60,1,H3684&lt;90,2,H3684&lt;120,3)</f>
        <v>0</v>
      </c>
      <c r="M3684" t="str">
        <f t="shared" si="350"/>
        <v>Low</v>
      </c>
      <c r="N3684" t="str">
        <f t="shared" si="347"/>
        <v>Jul</v>
      </c>
      <c r="O3684">
        <f t="shared" si="348"/>
        <v>2025</v>
      </c>
    </row>
    <row r="3685" spans="1:15" x14ac:dyDescent="0.3">
      <c r="A3685">
        <v>200886</v>
      </c>
      <c r="B3685" t="s">
        <v>54</v>
      </c>
      <c r="C3685" s="2">
        <v>45863</v>
      </c>
      <c r="D3685" s="2">
        <f t="shared" si="346"/>
        <v>45893</v>
      </c>
      <c r="E3685" s="1">
        <f>D3685</f>
        <v>45893</v>
      </c>
      <c r="F3685">
        <v>4073</v>
      </c>
      <c r="G3685">
        <v>30</v>
      </c>
      <c r="H3685">
        <f t="shared" si="345"/>
        <v>0</v>
      </c>
      <c r="I3685" t="str">
        <f t="shared" si="349"/>
        <v>On Time</v>
      </c>
      <c r="J3685" cm="1">
        <f t="array" ref="J3685">_xlfn.IFS(H3685&lt;30,0,H3685&lt;60,1,H3685&lt;90,2,H3685&lt;120,3)</f>
        <v>0</v>
      </c>
      <c r="M3685" t="str">
        <f t="shared" si="350"/>
        <v>Low</v>
      </c>
      <c r="N3685" t="str">
        <f t="shared" si="347"/>
        <v>Jul</v>
      </c>
      <c r="O3685">
        <f t="shared" si="348"/>
        <v>2025</v>
      </c>
    </row>
    <row r="3686" spans="1:15" x14ac:dyDescent="0.3">
      <c r="A3686">
        <v>200855</v>
      </c>
      <c r="B3686" t="s">
        <v>108</v>
      </c>
      <c r="C3686" s="2">
        <v>45862</v>
      </c>
      <c r="D3686" s="2">
        <f t="shared" si="346"/>
        <v>45892</v>
      </c>
      <c r="E3686" s="1">
        <f>D3686+5</f>
        <v>45897</v>
      </c>
      <c r="F3686">
        <v>2913</v>
      </c>
      <c r="G3686">
        <v>30</v>
      </c>
      <c r="H3686">
        <f t="shared" ref="H3686:H3749" si="351">MAX(0,P3651-D3686)</f>
        <v>0</v>
      </c>
      <c r="I3686" t="str">
        <f t="shared" si="349"/>
        <v>On Time</v>
      </c>
      <c r="J3686" cm="1">
        <f t="array" ref="J3686">_xlfn.IFS(H3686&lt;30,0,H3686&lt;60,1,H3686&lt;90,2,H3686&lt;120,3)</f>
        <v>0</v>
      </c>
      <c r="M3686" t="str">
        <f t="shared" si="350"/>
        <v>Low</v>
      </c>
      <c r="N3686" t="str">
        <f t="shared" si="347"/>
        <v>Jul</v>
      </c>
      <c r="O3686">
        <f t="shared" si="348"/>
        <v>2025</v>
      </c>
    </row>
    <row r="3687" spans="1:15" x14ac:dyDescent="0.3">
      <c r="A3687">
        <v>200856</v>
      </c>
      <c r="B3687" t="s">
        <v>85</v>
      </c>
      <c r="C3687" s="2">
        <v>45862</v>
      </c>
      <c r="D3687" s="2">
        <f t="shared" si="346"/>
        <v>45922</v>
      </c>
      <c r="E3687" s="1">
        <f>D3687+2</f>
        <v>45924</v>
      </c>
      <c r="F3687">
        <v>9573</v>
      </c>
      <c r="G3687">
        <v>60</v>
      </c>
      <c r="H3687">
        <f t="shared" si="351"/>
        <v>0</v>
      </c>
      <c r="I3687" t="str">
        <f t="shared" si="349"/>
        <v>On Time</v>
      </c>
      <c r="J3687" cm="1">
        <f t="array" ref="J3687">_xlfn.IFS(H3687&lt;30,0,H3687&lt;60,1,H3687&lt;90,2,H3687&lt;120,3)</f>
        <v>0</v>
      </c>
      <c r="M3687" t="str">
        <f t="shared" si="350"/>
        <v>Low</v>
      </c>
      <c r="N3687" t="str">
        <f t="shared" si="347"/>
        <v>Jul</v>
      </c>
      <c r="O3687">
        <f t="shared" si="348"/>
        <v>2025</v>
      </c>
    </row>
    <row r="3688" spans="1:15" x14ac:dyDescent="0.3">
      <c r="A3688">
        <v>200857</v>
      </c>
      <c r="B3688" t="s">
        <v>86</v>
      </c>
      <c r="C3688" s="2">
        <v>45862</v>
      </c>
      <c r="D3688" s="2">
        <f t="shared" si="346"/>
        <v>45892</v>
      </c>
      <c r="E3688" s="1">
        <f>D3688</f>
        <v>45892</v>
      </c>
      <c r="F3688">
        <v>4247</v>
      </c>
      <c r="G3688">
        <v>30</v>
      </c>
      <c r="H3688">
        <f t="shared" si="351"/>
        <v>0</v>
      </c>
      <c r="I3688" t="str">
        <f t="shared" si="349"/>
        <v>On Time</v>
      </c>
      <c r="J3688" cm="1">
        <f t="array" ref="J3688">_xlfn.IFS(H3688&lt;30,0,H3688&lt;60,1,H3688&lt;90,2,H3688&lt;120,3)</f>
        <v>0</v>
      </c>
      <c r="M3688" t="str">
        <f t="shared" si="350"/>
        <v>Low</v>
      </c>
      <c r="N3688" t="str">
        <f t="shared" si="347"/>
        <v>Jul</v>
      </c>
      <c r="O3688">
        <f t="shared" si="348"/>
        <v>2025</v>
      </c>
    </row>
    <row r="3689" spans="1:15" x14ac:dyDescent="0.3">
      <c r="A3689">
        <v>200858</v>
      </c>
      <c r="B3689" t="s">
        <v>87</v>
      </c>
      <c r="C3689" s="2">
        <v>45862</v>
      </c>
      <c r="D3689" s="2">
        <f t="shared" si="346"/>
        <v>45892</v>
      </c>
      <c r="E3689" s="1">
        <f>D3689</f>
        <v>45892</v>
      </c>
      <c r="F3689">
        <v>4185</v>
      </c>
      <c r="G3689">
        <v>30</v>
      </c>
      <c r="H3689">
        <f t="shared" si="351"/>
        <v>0</v>
      </c>
      <c r="I3689" t="str">
        <f t="shared" si="349"/>
        <v>On Time</v>
      </c>
      <c r="J3689" cm="1">
        <f t="array" ref="J3689">_xlfn.IFS(H3689&lt;30,0,H3689&lt;60,1,H3689&lt;90,2,H3689&lt;120,3)</f>
        <v>0</v>
      </c>
      <c r="M3689" t="str">
        <f t="shared" si="350"/>
        <v>Low</v>
      </c>
      <c r="N3689" t="str">
        <f t="shared" si="347"/>
        <v>Jul</v>
      </c>
      <c r="O3689">
        <f t="shared" si="348"/>
        <v>2025</v>
      </c>
    </row>
    <row r="3690" spans="1:15" x14ac:dyDescent="0.3">
      <c r="A3690">
        <v>200859</v>
      </c>
      <c r="B3690" t="s">
        <v>88</v>
      </c>
      <c r="C3690" s="2">
        <v>45862</v>
      </c>
      <c r="D3690" s="2">
        <f t="shared" si="346"/>
        <v>45892</v>
      </c>
      <c r="E3690" s="1">
        <f>D3690</f>
        <v>45892</v>
      </c>
      <c r="F3690">
        <v>2277</v>
      </c>
      <c r="G3690">
        <v>30</v>
      </c>
      <c r="H3690">
        <f t="shared" si="351"/>
        <v>0</v>
      </c>
      <c r="I3690" t="str">
        <f t="shared" si="349"/>
        <v>On Time</v>
      </c>
      <c r="J3690" cm="1">
        <f t="array" ref="J3690">_xlfn.IFS(H3690&lt;30,0,H3690&lt;60,1,H3690&lt;90,2,H3690&lt;120,3)</f>
        <v>0</v>
      </c>
      <c r="M3690" t="str">
        <f t="shared" si="350"/>
        <v>Low</v>
      </c>
      <c r="N3690" t="str">
        <f t="shared" si="347"/>
        <v>Jul</v>
      </c>
      <c r="O3690">
        <f t="shared" si="348"/>
        <v>2025</v>
      </c>
    </row>
    <row r="3691" spans="1:15" x14ac:dyDescent="0.3">
      <c r="A3691">
        <v>200860</v>
      </c>
      <c r="B3691" t="s">
        <v>89</v>
      </c>
      <c r="C3691" s="2">
        <v>45862</v>
      </c>
      <c r="D3691" s="2">
        <f t="shared" si="346"/>
        <v>45892</v>
      </c>
      <c r="E3691" s="1">
        <f>D3691+60</f>
        <v>45952</v>
      </c>
      <c r="F3691">
        <v>3591</v>
      </c>
      <c r="G3691">
        <v>30</v>
      </c>
      <c r="H3691">
        <f t="shared" si="351"/>
        <v>0</v>
      </c>
      <c r="I3691" t="str">
        <f t="shared" si="349"/>
        <v>On Time</v>
      </c>
      <c r="J3691" cm="1">
        <f t="array" ref="J3691">_xlfn.IFS(H3691&lt;30,0,H3691&lt;60,1,H3691&lt;90,2,H3691&lt;120,3)</f>
        <v>0</v>
      </c>
      <c r="M3691" t="str">
        <f t="shared" si="350"/>
        <v>Low</v>
      </c>
      <c r="N3691" t="str">
        <f t="shared" si="347"/>
        <v>Jul</v>
      </c>
      <c r="O3691">
        <f t="shared" si="348"/>
        <v>2025</v>
      </c>
    </row>
    <row r="3692" spans="1:15" x14ac:dyDescent="0.3">
      <c r="A3692">
        <v>200861</v>
      </c>
      <c r="B3692" t="s">
        <v>90</v>
      </c>
      <c r="C3692" s="2">
        <v>45862</v>
      </c>
      <c r="D3692" s="2">
        <f t="shared" si="346"/>
        <v>45892</v>
      </c>
      <c r="E3692" s="1">
        <f>D3692</f>
        <v>45892</v>
      </c>
      <c r="F3692">
        <v>3818</v>
      </c>
      <c r="G3692">
        <v>30</v>
      </c>
      <c r="H3692">
        <f t="shared" si="351"/>
        <v>0</v>
      </c>
      <c r="I3692" t="str">
        <f t="shared" si="349"/>
        <v>On Time</v>
      </c>
      <c r="J3692" cm="1">
        <f t="array" ref="J3692">_xlfn.IFS(H3692&lt;30,0,H3692&lt;60,1,H3692&lt;90,2,H3692&lt;120,3)</f>
        <v>0</v>
      </c>
      <c r="M3692" t="str">
        <f t="shared" si="350"/>
        <v>Low</v>
      </c>
      <c r="N3692" t="str">
        <f t="shared" si="347"/>
        <v>Jul</v>
      </c>
      <c r="O3692">
        <f t="shared" si="348"/>
        <v>2025</v>
      </c>
    </row>
    <row r="3693" spans="1:15" x14ac:dyDescent="0.3">
      <c r="A3693">
        <v>200862</v>
      </c>
      <c r="B3693" t="s">
        <v>91</v>
      </c>
      <c r="C3693" s="2">
        <v>45862</v>
      </c>
      <c r="D3693" s="2">
        <f t="shared" si="346"/>
        <v>45892</v>
      </c>
      <c r="E3693" s="1">
        <f>D3693</f>
        <v>45892</v>
      </c>
      <c r="F3693">
        <v>1106</v>
      </c>
      <c r="G3693">
        <v>30</v>
      </c>
      <c r="H3693">
        <f t="shared" si="351"/>
        <v>0</v>
      </c>
      <c r="I3693" t="str">
        <f t="shared" si="349"/>
        <v>On Time</v>
      </c>
      <c r="J3693" cm="1">
        <f t="array" ref="J3693">_xlfn.IFS(H3693&lt;30,0,H3693&lt;60,1,H3693&lt;90,2,H3693&lt;120,3)</f>
        <v>0</v>
      </c>
      <c r="M3693" t="str">
        <f t="shared" si="350"/>
        <v>Low</v>
      </c>
      <c r="N3693" t="str">
        <f t="shared" si="347"/>
        <v>Jul</v>
      </c>
      <c r="O3693">
        <f t="shared" si="348"/>
        <v>2025</v>
      </c>
    </row>
    <row r="3694" spans="1:15" x14ac:dyDescent="0.3">
      <c r="A3694">
        <v>200863</v>
      </c>
      <c r="B3694" t="s">
        <v>92</v>
      </c>
      <c r="C3694" s="2">
        <v>45862</v>
      </c>
      <c r="D3694" s="2">
        <f t="shared" si="346"/>
        <v>45892</v>
      </c>
      <c r="E3694" s="1">
        <f>D3694+3</f>
        <v>45895</v>
      </c>
      <c r="F3694">
        <v>2837</v>
      </c>
      <c r="G3694">
        <v>30</v>
      </c>
      <c r="H3694">
        <f t="shared" si="351"/>
        <v>0</v>
      </c>
      <c r="I3694" t="str">
        <f t="shared" si="349"/>
        <v>On Time</v>
      </c>
      <c r="J3694" cm="1">
        <f t="array" ref="J3694">_xlfn.IFS(H3694&lt;30,0,H3694&lt;60,1,H3694&lt;90,2,H3694&lt;120,3)</f>
        <v>0</v>
      </c>
      <c r="M3694" t="str">
        <f t="shared" si="350"/>
        <v>Low</v>
      </c>
      <c r="N3694" t="str">
        <f t="shared" si="347"/>
        <v>Jul</v>
      </c>
      <c r="O3694">
        <f t="shared" si="348"/>
        <v>2025</v>
      </c>
    </row>
    <row r="3695" spans="1:15" x14ac:dyDescent="0.3">
      <c r="A3695">
        <v>200864</v>
      </c>
      <c r="B3695" t="s">
        <v>93</v>
      </c>
      <c r="C3695" s="2">
        <v>45862</v>
      </c>
      <c r="D3695" s="2">
        <f t="shared" si="346"/>
        <v>45892</v>
      </c>
      <c r="E3695" s="1">
        <f>D3695+1</f>
        <v>45893</v>
      </c>
      <c r="F3695">
        <v>2278</v>
      </c>
      <c r="G3695">
        <v>30</v>
      </c>
      <c r="H3695">
        <f t="shared" si="351"/>
        <v>0</v>
      </c>
      <c r="I3695" t="str">
        <f t="shared" si="349"/>
        <v>On Time</v>
      </c>
      <c r="J3695" cm="1">
        <f t="array" ref="J3695">_xlfn.IFS(H3695&lt;30,0,H3695&lt;60,1,H3695&lt;90,2,H3695&lt;120,3)</f>
        <v>0</v>
      </c>
      <c r="M3695" t="str">
        <f t="shared" si="350"/>
        <v>Low</v>
      </c>
      <c r="N3695" t="str">
        <f t="shared" si="347"/>
        <v>Jul</v>
      </c>
      <c r="O3695">
        <f t="shared" si="348"/>
        <v>2025</v>
      </c>
    </row>
    <row r="3696" spans="1:15" x14ac:dyDescent="0.3">
      <c r="A3696">
        <v>200865</v>
      </c>
      <c r="B3696" t="s">
        <v>94</v>
      </c>
      <c r="C3696" s="2">
        <v>45862</v>
      </c>
      <c r="D3696" s="2">
        <f t="shared" si="346"/>
        <v>45892</v>
      </c>
      <c r="E3696" s="1">
        <f>D3696-1</f>
        <v>45891</v>
      </c>
      <c r="F3696">
        <v>4664</v>
      </c>
      <c r="G3696">
        <v>30</v>
      </c>
      <c r="H3696">
        <f t="shared" si="351"/>
        <v>0</v>
      </c>
      <c r="I3696" t="str">
        <f t="shared" si="349"/>
        <v>On Time</v>
      </c>
      <c r="J3696" cm="1">
        <f t="array" ref="J3696">_xlfn.IFS(H3696&lt;30,0,H3696&lt;60,1,H3696&lt;90,2,H3696&lt;120,3)</f>
        <v>0</v>
      </c>
      <c r="M3696" t="str">
        <f t="shared" si="350"/>
        <v>Low</v>
      </c>
      <c r="N3696" t="str">
        <f t="shared" si="347"/>
        <v>Jul</v>
      </c>
      <c r="O3696">
        <f t="shared" si="348"/>
        <v>2025</v>
      </c>
    </row>
    <row r="3697" spans="1:15" x14ac:dyDescent="0.3">
      <c r="A3697">
        <v>200866</v>
      </c>
      <c r="B3697" t="s">
        <v>95</v>
      </c>
      <c r="C3697" s="2">
        <v>45862</v>
      </c>
      <c r="D3697" s="2">
        <f t="shared" si="346"/>
        <v>45907</v>
      </c>
      <c r="E3697" s="1">
        <f>D3697</f>
        <v>45907</v>
      </c>
      <c r="F3697">
        <v>4246</v>
      </c>
      <c r="G3697">
        <v>45</v>
      </c>
      <c r="H3697">
        <f t="shared" si="351"/>
        <v>0</v>
      </c>
      <c r="I3697" t="str">
        <f t="shared" si="349"/>
        <v>On Time</v>
      </c>
      <c r="J3697" cm="1">
        <f t="array" ref="J3697">_xlfn.IFS(H3697&lt;30,0,H3697&lt;60,1,H3697&lt;90,2,H3697&lt;120,3)</f>
        <v>0</v>
      </c>
      <c r="M3697" t="str">
        <f t="shared" si="350"/>
        <v>Low</v>
      </c>
      <c r="N3697" t="str">
        <f t="shared" si="347"/>
        <v>Jul</v>
      </c>
      <c r="O3697">
        <f t="shared" si="348"/>
        <v>2025</v>
      </c>
    </row>
    <row r="3698" spans="1:15" x14ac:dyDescent="0.3">
      <c r="A3698">
        <v>200867</v>
      </c>
      <c r="B3698" t="s">
        <v>68</v>
      </c>
      <c r="C3698" s="2">
        <v>45862</v>
      </c>
      <c r="D3698" s="2">
        <f t="shared" si="346"/>
        <v>45892</v>
      </c>
      <c r="E3698" s="1">
        <f>D3698+1</f>
        <v>45893</v>
      </c>
      <c r="F3698">
        <v>4985</v>
      </c>
      <c r="G3698">
        <v>30</v>
      </c>
      <c r="H3698">
        <f t="shared" si="351"/>
        <v>0</v>
      </c>
      <c r="I3698" t="str">
        <f t="shared" si="349"/>
        <v>On Time</v>
      </c>
      <c r="J3698" cm="1">
        <f t="array" ref="J3698">_xlfn.IFS(H3698&lt;30,0,H3698&lt;60,1,H3698&lt;90,2,H3698&lt;120,3)</f>
        <v>0</v>
      </c>
      <c r="M3698" t="str">
        <f t="shared" si="350"/>
        <v>Low</v>
      </c>
      <c r="N3698" t="str">
        <f t="shared" si="347"/>
        <v>Jul</v>
      </c>
      <c r="O3698">
        <f t="shared" si="348"/>
        <v>2025</v>
      </c>
    </row>
    <row r="3699" spans="1:15" x14ac:dyDescent="0.3">
      <c r="A3699">
        <v>200868</v>
      </c>
      <c r="B3699" t="s">
        <v>69</v>
      </c>
      <c r="C3699" s="2">
        <v>45862</v>
      </c>
      <c r="D3699" s="2">
        <f t="shared" si="346"/>
        <v>45892</v>
      </c>
      <c r="E3699" s="1">
        <f>D3699+35</f>
        <v>45927</v>
      </c>
      <c r="F3699">
        <v>4096</v>
      </c>
      <c r="G3699">
        <v>30</v>
      </c>
      <c r="H3699">
        <f t="shared" si="351"/>
        <v>0</v>
      </c>
      <c r="I3699" t="str">
        <f t="shared" si="349"/>
        <v>On Time</v>
      </c>
      <c r="J3699" cm="1">
        <f t="array" ref="J3699">_xlfn.IFS(H3699&lt;30,0,H3699&lt;60,1,H3699&lt;90,2,H3699&lt;120,3)</f>
        <v>0</v>
      </c>
      <c r="M3699" t="str">
        <f t="shared" si="350"/>
        <v>Low</v>
      </c>
      <c r="N3699" t="str">
        <f t="shared" si="347"/>
        <v>Jul</v>
      </c>
      <c r="O3699">
        <f t="shared" si="348"/>
        <v>2025</v>
      </c>
    </row>
    <row r="3700" spans="1:15" x14ac:dyDescent="0.3">
      <c r="A3700">
        <v>200869</v>
      </c>
      <c r="B3700" t="s">
        <v>70</v>
      </c>
      <c r="C3700" s="2">
        <v>45862</v>
      </c>
      <c r="D3700" s="2">
        <f t="shared" si="346"/>
        <v>45892</v>
      </c>
      <c r="E3700" s="1">
        <f>D3700+75</f>
        <v>45967</v>
      </c>
      <c r="F3700">
        <v>18421</v>
      </c>
      <c r="G3700">
        <v>30</v>
      </c>
      <c r="H3700">
        <f t="shared" si="351"/>
        <v>0</v>
      </c>
      <c r="I3700" t="str">
        <f t="shared" si="349"/>
        <v>On Time</v>
      </c>
      <c r="J3700" cm="1">
        <f t="array" ref="J3700">_xlfn.IFS(H3700&lt;30,0,H3700&lt;60,1,H3700&lt;90,2,H3700&lt;120,3)</f>
        <v>0</v>
      </c>
      <c r="M3700" t="str">
        <f t="shared" si="350"/>
        <v>Low</v>
      </c>
      <c r="N3700" t="str">
        <f t="shared" si="347"/>
        <v>Jul</v>
      </c>
      <c r="O3700">
        <f t="shared" si="348"/>
        <v>2025</v>
      </c>
    </row>
    <row r="3701" spans="1:15" x14ac:dyDescent="0.3">
      <c r="A3701">
        <v>200870</v>
      </c>
      <c r="B3701" t="s">
        <v>71</v>
      </c>
      <c r="C3701" s="2">
        <v>45862</v>
      </c>
      <c r="D3701" s="2">
        <f t="shared" si="346"/>
        <v>45892</v>
      </c>
      <c r="E3701" s="1">
        <f>D3701+5</f>
        <v>45897</v>
      </c>
      <c r="F3701">
        <v>4635</v>
      </c>
      <c r="G3701">
        <v>30</v>
      </c>
      <c r="H3701">
        <f t="shared" si="351"/>
        <v>0</v>
      </c>
      <c r="I3701" t="str">
        <f t="shared" si="349"/>
        <v>On Time</v>
      </c>
      <c r="J3701" cm="1">
        <f t="array" ref="J3701">_xlfn.IFS(H3701&lt;30,0,H3701&lt;60,1,H3701&lt;90,2,H3701&lt;120,3)</f>
        <v>0</v>
      </c>
      <c r="M3701" t="str">
        <f t="shared" si="350"/>
        <v>Low</v>
      </c>
      <c r="N3701" t="str">
        <f t="shared" si="347"/>
        <v>Jul</v>
      </c>
      <c r="O3701">
        <f t="shared" si="348"/>
        <v>2025</v>
      </c>
    </row>
    <row r="3702" spans="1:15" x14ac:dyDescent="0.3">
      <c r="A3702">
        <v>200871</v>
      </c>
      <c r="B3702" t="s">
        <v>72</v>
      </c>
      <c r="C3702" s="2">
        <v>45862</v>
      </c>
      <c r="D3702" s="2">
        <f t="shared" si="346"/>
        <v>45892</v>
      </c>
      <c r="E3702" s="1">
        <f>D3702</f>
        <v>45892</v>
      </c>
      <c r="F3702">
        <v>4550</v>
      </c>
      <c r="G3702">
        <v>30</v>
      </c>
      <c r="H3702">
        <f t="shared" si="351"/>
        <v>0</v>
      </c>
      <c r="I3702" t="str">
        <f t="shared" si="349"/>
        <v>On Time</v>
      </c>
      <c r="J3702" cm="1">
        <f t="array" ref="J3702">_xlfn.IFS(H3702&lt;30,0,H3702&lt;60,1,H3702&lt;90,2,H3702&lt;120,3)</f>
        <v>0</v>
      </c>
      <c r="M3702" t="str">
        <f t="shared" si="350"/>
        <v>Low</v>
      </c>
      <c r="N3702" t="str">
        <f t="shared" si="347"/>
        <v>Jul</v>
      </c>
      <c r="O3702">
        <f t="shared" si="348"/>
        <v>2025</v>
      </c>
    </row>
    <row r="3703" spans="1:15" x14ac:dyDescent="0.3">
      <c r="A3703">
        <v>200837</v>
      </c>
      <c r="B3703" t="s">
        <v>43</v>
      </c>
      <c r="C3703" s="2">
        <v>45861</v>
      </c>
      <c r="D3703" s="2">
        <f t="shared" si="346"/>
        <v>45891</v>
      </c>
      <c r="E3703" s="1">
        <f>D3703+5</f>
        <v>45896</v>
      </c>
      <c r="F3703">
        <v>3804</v>
      </c>
      <c r="G3703">
        <v>30</v>
      </c>
      <c r="H3703">
        <f t="shared" si="351"/>
        <v>0</v>
      </c>
      <c r="I3703" t="str">
        <f t="shared" si="349"/>
        <v>On Time</v>
      </c>
      <c r="J3703" cm="1">
        <f t="array" ref="J3703">_xlfn.IFS(H3703&lt;30,0,H3703&lt;60,1,H3703&lt;90,2,H3703&lt;120,3)</f>
        <v>0</v>
      </c>
      <c r="M3703" t="str">
        <f t="shared" si="350"/>
        <v>Low</v>
      </c>
      <c r="N3703" t="str">
        <f t="shared" si="347"/>
        <v>Jul</v>
      </c>
      <c r="O3703">
        <f t="shared" si="348"/>
        <v>2025</v>
      </c>
    </row>
    <row r="3704" spans="1:15" x14ac:dyDescent="0.3">
      <c r="A3704">
        <v>200838</v>
      </c>
      <c r="B3704" t="s">
        <v>44</v>
      </c>
      <c r="C3704" s="2">
        <v>45861</v>
      </c>
      <c r="D3704" s="2">
        <f t="shared" si="346"/>
        <v>45906</v>
      </c>
      <c r="E3704" s="1">
        <f>D3704</f>
        <v>45906</v>
      </c>
      <c r="F3704">
        <v>2372</v>
      </c>
      <c r="G3704">
        <v>45</v>
      </c>
      <c r="H3704">
        <f t="shared" si="351"/>
        <v>0</v>
      </c>
      <c r="I3704" t="str">
        <f t="shared" si="349"/>
        <v>On Time</v>
      </c>
      <c r="J3704" cm="1">
        <f t="array" ref="J3704">_xlfn.IFS(H3704&lt;30,0,H3704&lt;60,1,H3704&lt;90,2,H3704&lt;120,3)</f>
        <v>0</v>
      </c>
      <c r="M3704" t="str">
        <f t="shared" si="350"/>
        <v>Low</v>
      </c>
      <c r="N3704" t="str">
        <f t="shared" si="347"/>
        <v>Jul</v>
      </c>
      <c r="O3704">
        <f t="shared" si="348"/>
        <v>2025</v>
      </c>
    </row>
    <row r="3705" spans="1:15" x14ac:dyDescent="0.3">
      <c r="A3705">
        <v>200839</v>
      </c>
      <c r="B3705" t="s">
        <v>45</v>
      </c>
      <c r="C3705" s="2">
        <v>45861</v>
      </c>
      <c r="D3705" s="2">
        <f t="shared" si="346"/>
        <v>45906</v>
      </c>
      <c r="E3705" s="1">
        <f>D3705-1</f>
        <v>45905</v>
      </c>
      <c r="F3705">
        <v>1384</v>
      </c>
      <c r="G3705">
        <v>45</v>
      </c>
      <c r="H3705">
        <f t="shared" si="351"/>
        <v>0</v>
      </c>
      <c r="I3705" t="str">
        <f t="shared" si="349"/>
        <v>On Time</v>
      </c>
      <c r="J3705" cm="1">
        <f t="array" ref="J3705">_xlfn.IFS(H3705&lt;30,0,H3705&lt;60,1,H3705&lt;90,2,H3705&lt;120,3)</f>
        <v>0</v>
      </c>
      <c r="M3705" t="str">
        <f t="shared" si="350"/>
        <v>Low</v>
      </c>
      <c r="N3705" t="str">
        <f t="shared" si="347"/>
        <v>Jul</v>
      </c>
      <c r="O3705">
        <f t="shared" si="348"/>
        <v>2025</v>
      </c>
    </row>
    <row r="3706" spans="1:15" x14ac:dyDescent="0.3">
      <c r="A3706">
        <v>200840</v>
      </c>
      <c r="B3706" t="s">
        <v>46</v>
      </c>
      <c r="C3706" s="2">
        <v>45861</v>
      </c>
      <c r="D3706" s="2">
        <f t="shared" si="346"/>
        <v>45921</v>
      </c>
      <c r="E3706" s="1">
        <f>D3706</f>
        <v>45921</v>
      </c>
      <c r="F3706">
        <v>11401</v>
      </c>
      <c r="G3706">
        <v>60</v>
      </c>
      <c r="H3706">
        <f t="shared" si="351"/>
        <v>0</v>
      </c>
      <c r="I3706" t="str">
        <f t="shared" si="349"/>
        <v>On Time</v>
      </c>
      <c r="J3706" cm="1">
        <f t="array" ref="J3706">_xlfn.IFS(H3706&lt;30,0,H3706&lt;60,1,H3706&lt;90,2,H3706&lt;120,3)</f>
        <v>0</v>
      </c>
      <c r="M3706" t="str">
        <f t="shared" si="350"/>
        <v>Low</v>
      </c>
      <c r="N3706" t="str">
        <f t="shared" si="347"/>
        <v>Jul</v>
      </c>
      <c r="O3706">
        <f t="shared" si="348"/>
        <v>2025</v>
      </c>
    </row>
    <row r="3707" spans="1:15" x14ac:dyDescent="0.3">
      <c r="A3707">
        <v>200841</v>
      </c>
      <c r="B3707" t="s">
        <v>114</v>
      </c>
      <c r="C3707" s="2">
        <v>45861</v>
      </c>
      <c r="D3707" s="2">
        <f t="shared" si="346"/>
        <v>45891</v>
      </c>
      <c r="E3707" s="1">
        <f>D3707+32</f>
        <v>45923</v>
      </c>
      <c r="F3707">
        <v>2449</v>
      </c>
      <c r="G3707">
        <v>30</v>
      </c>
      <c r="H3707">
        <f t="shared" si="351"/>
        <v>0</v>
      </c>
      <c r="I3707" t="str">
        <f t="shared" si="349"/>
        <v>On Time</v>
      </c>
      <c r="J3707" cm="1">
        <f t="array" ref="J3707">_xlfn.IFS(H3707&lt;30,0,H3707&lt;60,1,H3707&lt;90,2,H3707&lt;120,3)</f>
        <v>0</v>
      </c>
      <c r="M3707" t="str">
        <f t="shared" si="350"/>
        <v>Low</v>
      </c>
      <c r="N3707" t="str">
        <f t="shared" si="347"/>
        <v>Jul</v>
      </c>
      <c r="O3707">
        <f t="shared" si="348"/>
        <v>2025</v>
      </c>
    </row>
    <row r="3708" spans="1:15" x14ac:dyDescent="0.3">
      <c r="A3708">
        <v>200842</v>
      </c>
      <c r="B3708" t="s">
        <v>115</v>
      </c>
      <c r="C3708" s="2">
        <v>45861</v>
      </c>
      <c r="D3708" s="2">
        <f t="shared" si="346"/>
        <v>45891</v>
      </c>
      <c r="E3708" s="1">
        <f>D3708+15</f>
        <v>45906</v>
      </c>
      <c r="F3708">
        <v>16989</v>
      </c>
      <c r="G3708">
        <v>30</v>
      </c>
      <c r="H3708">
        <f t="shared" si="351"/>
        <v>0</v>
      </c>
      <c r="I3708" t="str">
        <f t="shared" si="349"/>
        <v>On Time</v>
      </c>
      <c r="J3708" cm="1">
        <f t="array" ref="J3708">_xlfn.IFS(H3708&lt;30,0,H3708&lt;60,1,H3708&lt;90,2,H3708&lt;120,3)</f>
        <v>0</v>
      </c>
      <c r="M3708" t="str">
        <f t="shared" si="350"/>
        <v>Low</v>
      </c>
      <c r="N3708" t="str">
        <f t="shared" si="347"/>
        <v>Jul</v>
      </c>
      <c r="O3708">
        <f t="shared" si="348"/>
        <v>2025</v>
      </c>
    </row>
    <row r="3709" spans="1:15" x14ac:dyDescent="0.3">
      <c r="A3709">
        <v>200843</v>
      </c>
      <c r="B3709" t="s">
        <v>116</v>
      </c>
      <c r="C3709" s="2">
        <v>45861</v>
      </c>
      <c r="D3709" s="2">
        <f t="shared" si="346"/>
        <v>45891</v>
      </c>
      <c r="E3709" s="1">
        <f>D3709</f>
        <v>45891</v>
      </c>
      <c r="F3709">
        <v>4502</v>
      </c>
      <c r="G3709">
        <v>30</v>
      </c>
      <c r="H3709">
        <f t="shared" si="351"/>
        <v>0</v>
      </c>
      <c r="I3709" t="str">
        <f t="shared" si="349"/>
        <v>On Time</v>
      </c>
      <c r="J3709" cm="1">
        <f t="array" ref="J3709">_xlfn.IFS(H3709&lt;30,0,H3709&lt;60,1,H3709&lt;90,2,H3709&lt;120,3)</f>
        <v>0</v>
      </c>
      <c r="M3709" t="str">
        <f t="shared" si="350"/>
        <v>Low</v>
      </c>
      <c r="N3709" t="str">
        <f t="shared" si="347"/>
        <v>Jul</v>
      </c>
      <c r="O3709">
        <f t="shared" si="348"/>
        <v>2025</v>
      </c>
    </row>
    <row r="3710" spans="1:15" x14ac:dyDescent="0.3">
      <c r="A3710">
        <v>200844</v>
      </c>
      <c r="B3710" t="s">
        <v>117</v>
      </c>
      <c r="C3710" s="2">
        <v>45861</v>
      </c>
      <c r="D3710" s="2">
        <f t="shared" si="346"/>
        <v>45891</v>
      </c>
      <c r="E3710" s="1">
        <f>D3710-2</f>
        <v>45889</v>
      </c>
      <c r="F3710">
        <v>686</v>
      </c>
      <c r="G3710">
        <v>30</v>
      </c>
      <c r="H3710">
        <f t="shared" si="351"/>
        <v>0</v>
      </c>
      <c r="I3710" t="str">
        <f t="shared" si="349"/>
        <v>On Time</v>
      </c>
      <c r="J3710" cm="1">
        <f t="array" ref="J3710">_xlfn.IFS(H3710&lt;30,0,H3710&lt;60,1,H3710&lt;90,2,H3710&lt;120,3)</f>
        <v>0</v>
      </c>
      <c r="M3710" t="str">
        <f t="shared" si="350"/>
        <v>Low</v>
      </c>
      <c r="N3710" t="str">
        <f t="shared" si="347"/>
        <v>Jul</v>
      </c>
      <c r="O3710">
        <f t="shared" si="348"/>
        <v>2025</v>
      </c>
    </row>
    <row r="3711" spans="1:15" x14ac:dyDescent="0.3">
      <c r="A3711">
        <v>200845</v>
      </c>
      <c r="B3711" t="s">
        <v>118</v>
      </c>
      <c r="C3711" s="2">
        <v>45861</v>
      </c>
      <c r="D3711" s="2">
        <f t="shared" si="346"/>
        <v>45891</v>
      </c>
      <c r="E3711" s="1">
        <f>D3711</f>
        <v>45891</v>
      </c>
      <c r="F3711">
        <v>130</v>
      </c>
      <c r="G3711">
        <v>30</v>
      </c>
      <c r="H3711">
        <f t="shared" si="351"/>
        <v>0</v>
      </c>
      <c r="I3711" t="str">
        <f t="shared" si="349"/>
        <v>On Time</v>
      </c>
      <c r="J3711" cm="1">
        <f t="array" ref="J3711">_xlfn.IFS(H3711&lt;30,0,H3711&lt;60,1,H3711&lt;90,2,H3711&lt;120,3)</f>
        <v>0</v>
      </c>
      <c r="M3711" t="str">
        <f t="shared" si="350"/>
        <v>Low</v>
      </c>
      <c r="N3711" t="str">
        <f t="shared" si="347"/>
        <v>Jul</v>
      </c>
      <c r="O3711">
        <f t="shared" si="348"/>
        <v>2025</v>
      </c>
    </row>
    <row r="3712" spans="1:15" x14ac:dyDescent="0.3">
      <c r="A3712">
        <v>200846</v>
      </c>
      <c r="B3712" t="s">
        <v>119</v>
      </c>
      <c r="C3712" s="2">
        <v>45861</v>
      </c>
      <c r="D3712" s="2">
        <f t="shared" si="346"/>
        <v>45891</v>
      </c>
      <c r="E3712" s="1">
        <f>D3712+2</f>
        <v>45893</v>
      </c>
      <c r="F3712">
        <v>2197</v>
      </c>
      <c r="G3712">
        <v>30</v>
      </c>
      <c r="H3712">
        <f t="shared" si="351"/>
        <v>0</v>
      </c>
      <c r="I3712" t="str">
        <f t="shared" si="349"/>
        <v>On Time</v>
      </c>
      <c r="J3712" cm="1">
        <f t="array" ref="J3712">_xlfn.IFS(H3712&lt;30,0,H3712&lt;60,1,H3712&lt;90,2,H3712&lt;120,3)</f>
        <v>0</v>
      </c>
      <c r="M3712" t="str">
        <f t="shared" si="350"/>
        <v>Low</v>
      </c>
      <c r="N3712" t="str">
        <f t="shared" si="347"/>
        <v>Jul</v>
      </c>
      <c r="O3712">
        <f t="shared" si="348"/>
        <v>2025</v>
      </c>
    </row>
    <row r="3713" spans="1:15" x14ac:dyDescent="0.3">
      <c r="A3713">
        <v>200847</v>
      </c>
      <c r="B3713" t="s">
        <v>100</v>
      </c>
      <c r="C3713" s="2">
        <v>45861</v>
      </c>
      <c r="D3713" s="2">
        <f t="shared" si="346"/>
        <v>45891</v>
      </c>
      <c r="E3713" s="1">
        <f>D3713+2</f>
        <v>45893</v>
      </c>
      <c r="F3713">
        <v>4294</v>
      </c>
      <c r="G3713">
        <v>30</v>
      </c>
      <c r="H3713">
        <f t="shared" si="351"/>
        <v>0</v>
      </c>
      <c r="I3713" t="str">
        <f t="shared" si="349"/>
        <v>On Time</v>
      </c>
      <c r="J3713" cm="1">
        <f t="array" ref="J3713">_xlfn.IFS(H3713&lt;30,0,H3713&lt;60,1,H3713&lt;90,2,H3713&lt;120,3)</f>
        <v>0</v>
      </c>
      <c r="M3713" t="str">
        <f t="shared" si="350"/>
        <v>Low</v>
      </c>
      <c r="N3713" t="str">
        <f t="shared" si="347"/>
        <v>Jul</v>
      </c>
      <c r="O3713">
        <f t="shared" si="348"/>
        <v>2025</v>
      </c>
    </row>
    <row r="3714" spans="1:15" x14ac:dyDescent="0.3">
      <c r="A3714">
        <v>200848</v>
      </c>
      <c r="B3714" t="s">
        <v>101</v>
      </c>
      <c r="C3714" s="2">
        <v>45861</v>
      </c>
      <c r="D3714" s="2">
        <f t="shared" ref="D3714:D3777" si="352">C3714+G3714</f>
        <v>45891</v>
      </c>
      <c r="E3714" s="1">
        <f>D3714+2</f>
        <v>45893</v>
      </c>
      <c r="F3714">
        <v>913</v>
      </c>
      <c r="G3714">
        <v>30</v>
      </c>
      <c r="H3714">
        <f t="shared" si="351"/>
        <v>0</v>
      </c>
      <c r="I3714" t="str">
        <f t="shared" si="349"/>
        <v>On Time</v>
      </c>
      <c r="J3714" cm="1">
        <f t="array" ref="J3714">_xlfn.IFS(H3714&lt;30,0,H3714&lt;60,1,H3714&lt;90,2,H3714&lt;120,3)</f>
        <v>0</v>
      </c>
      <c r="M3714" t="str">
        <f t="shared" si="350"/>
        <v>Low</v>
      </c>
      <c r="N3714" t="str">
        <f t="shared" ref="N3714:N3777" si="353">TEXT(C3714,"mmm")</f>
        <v>Jul</v>
      </c>
      <c r="O3714">
        <f t="shared" ref="O3714:O3777" si="354">YEAR(C3714)</f>
        <v>2025</v>
      </c>
    </row>
    <row r="3715" spans="1:15" x14ac:dyDescent="0.3">
      <c r="A3715">
        <v>200849</v>
      </c>
      <c r="B3715" t="s">
        <v>102</v>
      </c>
      <c r="C3715" s="2">
        <v>45861</v>
      </c>
      <c r="D3715" s="2">
        <f t="shared" si="352"/>
        <v>45891</v>
      </c>
      <c r="E3715" s="1">
        <f>D3715</f>
        <v>45891</v>
      </c>
      <c r="F3715">
        <v>1066</v>
      </c>
      <c r="G3715">
        <v>30</v>
      </c>
      <c r="H3715">
        <f t="shared" si="351"/>
        <v>0</v>
      </c>
      <c r="I3715" t="str">
        <f t="shared" si="349"/>
        <v>On Time</v>
      </c>
      <c r="J3715" cm="1">
        <f t="array" ref="J3715">_xlfn.IFS(H3715&lt;30,0,H3715&lt;60,1,H3715&lt;90,2,H3715&lt;120,3)</f>
        <v>0</v>
      </c>
      <c r="M3715" t="str">
        <f t="shared" si="350"/>
        <v>Low</v>
      </c>
      <c r="N3715" t="str">
        <f t="shared" si="353"/>
        <v>Jul</v>
      </c>
      <c r="O3715">
        <f t="shared" si="354"/>
        <v>2025</v>
      </c>
    </row>
    <row r="3716" spans="1:15" x14ac:dyDescent="0.3">
      <c r="A3716">
        <v>200850</v>
      </c>
      <c r="B3716" t="s">
        <v>103</v>
      </c>
      <c r="C3716" s="2">
        <v>45861</v>
      </c>
      <c r="D3716" s="2">
        <f t="shared" si="352"/>
        <v>45891</v>
      </c>
      <c r="E3716" s="1">
        <f>D3716+20</f>
        <v>45911</v>
      </c>
      <c r="F3716">
        <v>3609</v>
      </c>
      <c r="G3716">
        <v>30</v>
      </c>
      <c r="H3716">
        <f t="shared" si="351"/>
        <v>0</v>
      </c>
      <c r="I3716" t="str">
        <f t="shared" si="349"/>
        <v>On Time</v>
      </c>
      <c r="J3716" cm="1">
        <f t="array" ref="J3716">_xlfn.IFS(H3716&lt;30,0,H3716&lt;60,1,H3716&lt;90,2,H3716&lt;120,3)</f>
        <v>0</v>
      </c>
      <c r="M3716" t="str">
        <f t="shared" si="350"/>
        <v>Low</v>
      </c>
      <c r="N3716" t="str">
        <f t="shared" si="353"/>
        <v>Jul</v>
      </c>
      <c r="O3716">
        <f t="shared" si="354"/>
        <v>2025</v>
      </c>
    </row>
    <row r="3717" spans="1:15" x14ac:dyDescent="0.3">
      <c r="A3717">
        <v>200851</v>
      </c>
      <c r="B3717" t="s">
        <v>104</v>
      </c>
      <c r="C3717" s="2">
        <v>45861</v>
      </c>
      <c r="D3717" s="2">
        <f t="shared" si="352"/>
        <v>45891</v>
      </c>
      <c r="E3717" s="1">
        <f>D3717</f>
        <v>45891</v>
      </c>
      <c r="F3717">
        <v>1852</v>
      </c>
      <c r="G3717">
        <v>30</v>
      </c>
      <c r="H3717">
        <f t="shared" si="351"/>
        <v>0</v>
      </c>
      <c r="I3717" t="str">
        <f t="shared" si="349"/>
        <v>On Time</v>
      </c>
      <c r="J3717" cm="1">
        <f t="array" ref="J3717">_xlfn.IFS(H3717&lt;30,0,H3717&lt;60,1,H3717&lt;90,2,H3717&lt;120,3)</f>
        <v>0</v>
      </c>
      <c r="M3717" t="str">
        <f t="shared" si="350"/>
        <v>Low</v>
      </c>
      <c r="N3717" t="str">
        <f t="shared" si="353"/>
        <v>Jul</v>
      </c>
      <c r="O3717">
        <f t="shared" si="354"/>
        <v>2025</v>
      </c>
    </row>
    <row r="3718" spans="1:15" x14ac:dyDescent="0.3">
      <c r="A3718">
        <v>200852</v>
      </c>
      <c r="B3718" t="s">
        <v>105</v>
      </c>
      <c r="C3718" s="2">
        <v>45861</v>
      </c>
      <c r="D3718" s="2">
        <f t="shared" si="352"/>
        <v>45891</v>
      </c>
      <c r="E3718" s="1">
        <f>D3718+1</f>
        <v>45892</v>
      </c>
      <c r="F3718">
        <v>1427</v>
      </c>
      <c r="G3718">
        <v>30</v>
      </c>
      <c r="H3718">
        <f t="shared" si="351"/>
        <v>0</v>
      </c>
      <c r="I3718" t="str">
        <f t="shared" si="349"/>
        <v>On Time</v>
      </c>
      <c r="J3718" cm="1">
        <f t="array" ref="J3718">_xlfn.IFS(H3718&lt;30,0,H3718&lt;60,1,H3718&lt;90,2,H3718&lt;120,3)</f>
        <v>0</v>
      </c>
      <c r="M3718" t="str">
        <f t="shared" si="350"/>
        <v>Low</v>
      </c>
      <c r="N3718" t="str">
        <f t="shared" si="353"/>
        <v>Jul</v>
      </c>
      <c r="O3718">
        <f t="shared" si="354"/>
        <v>2025</v>
      </c>
    </row>
    <row r="3719" spans="1:15" x14ac:dyDescent="0.3">
      <c r="A3719">
        <v>200853</v>
      </c>
      <c r="B3719" t="s">
        <v>106</v>
      </c>
      <c r="C3719" s="2">
        <v>45861</v>
      </c>
      <c r="D3719" s="2">
        <f t="shared" si="352"/>
        <v>45891</v>
      </c>
      <c r="E3719" s="1">
        <f>D3719</f>
        <v>45891</v>
      </c>
      <c r="F3719">
        <v>2002</v>
      </c>
      <c r="G3719">
        <v>30</v>
      </c>
      <c r="H3719">
        <f t="shared" si="351"/>
        <v>0</v>
      </c>
      <c r="I3719" t="str">
        <f t="shared" si="349"/>
        <v>On Time</v>
      </c>
      <c r="J3719" cm="1">
        <f t="array" ref="J3719">_xlfn.IFS(H3719&lt;30,0,H3719&lt;60,1,H3719&lt;90,2,H3719&lt;120,3)</f>
        <v>0</v>
      </c>
      <c r="M3719" t="str">
        <f t="shared" si="350"/>
        <v>Low</v>
      </c>
      <c r="N3719" t="str">
        <f t="shared" si="353"/>
        <v>Jul</v>
      </c>
      <c r="O3719">
        <f t="shared" si="354"/>
        <v>2025</v>
      </c>
    </row>
    <row r="3720" spans="1:15" x14ac:dyDescent="0.3">
      <c r="A3720">
        <v>200854</v>
      </c>
      <c r="B3720" t="s">
        <v>107</v>
      </c>
      <c r="C3720" s="2">
        <v>45861</v>
      </c>
      <c r="D3720" s="2">
        <f t="shared" si="352"/>
        <v>45891</v>
      </c>
      <c r="E3720" s="1">
        <f>D3720</f>
        <v>45891</v>
      </c>
      <c r="F3720">
        <v>3845</v>
      </c>
      <c r="G3720">
        <v>30</v>
      </c>
      <c r="H3720">
        <f t="shared" si="351"/>
        <v>0</v>
      </c>
      <c r="I3720" t="str">
        <f t="shared" si="349"/>
        <v>On Time</v>
      </c>
      <c r="J3720" cm="1">
        <f t="array" ref="J3720">_xlfn.IFS(H3720&lt;30,0,H3720&lt;60,1,H3720&lt;90,2,H3720&lt;120,3)</f>
        <v>0</v>
      </c>
      <c r="M3720" t="str">
        <f t="shared" si="350"/>
        <v>Low</v>
      </c>
      <c r="N3720" t="str">
        <f t="shared" si="353"/>
        <v>Jul</v>
      </c>
      <c r="O3720">
        <f t="shared" si="354"/>
        <v>2025</v>
      </c>
    </row>
    <row r="3721" spans="1:15" x14ac:dyDescent="0.3">
      <c r="A3721">
        <v>200823</v>
      </c>
      <c r="B3721" t="s">
        <v>41</v>
      </c>
      <c r="C3721" s="2">
        <v>45860</v>
      </c>
      <c r="D3721" s="2">
        <f t="shared" si="352"/>
        <v>45890</v>
      </c>
      <c r="E3721" s="1">
        <f>D3721+2</f>
        <v>45892</v>
      </c>
      <c r="F3721">
        <v>4882</v>
      </c>
      <c r="G3721">
        <v>30</v>
      </c>
      <c r="H3721">
        <f t="shared" si="351"/>
        <v>0</v>
      </c>
      <c r="I3721" t="str">
        <f t="shared" si="349"/>
        <v>On Time</v>
      </c>
      <c r="J3721" cm="1">
        <f t="array" ref="J3721">_xlfn.IFS(H3721&lt;30,0,H3721&lt;60,1,H3721&lt;90,2,H3721&lt;120,3)</f>
        <v>0</v>
      </c>
      <c r="M3721" t="str">
        <f t="shared" si="350"/>
        <v>Low</v>
      </c>
      <c r="N3721" t="str">
        <f t="shared" si="353"/>
        <v>Jul</v>
      </c>
      <c r="O3721">
        <f t="shared" si="354"/>
        <v>2025</v>
      </c>
    </row>
    <row r="3722" spans="1:15" x14ac:dyDescent="0.3">
      <c r="A3722">
        <v>200824</v>
      </c>
      <c r="B3722" t="s">
        <v>42</v>
      </c>
      <c r="C3722" s="2">
        <v>45860</v>
      </c>
      <c r="D3722" s="2">
        <f t="shared" si="352"/>
        <v>45890</v>
      </c>
      <c r="E3722" s="1">
        <f>D3722+5</f>
        <v>45895</v>
      </c>
      <c r="F3722">
        <v>2737</v>
      </c>
      <c r="G3722">
        <v>30</v>
      </c>
      <c r="H3722">
        <f t="shared" si="351"/>
        <v>0</v>
      </c>
      <c r="I3722" t="str">
        <f t="shared" si="349"/>
        <v>On Time</v>
      </c>
      <c r="J3722" cm="1">
        <f t="array" ref="J3722">_xlfn.IFS(H3722&lt;30,0,H3722&lt;60,1,H3722&lt;90,2,H3722&lt;120,3)</f>
        <v>0</v>
      </c>
      <c r="M3722" t="str">
        <f t="shared" si="350"/>
        <v>Low</v>
      </c>
      <c r="N3722" t="str">
        <f t="shared" si="353"/>
        <v>Jul</v>
      </c>
      <c r="O3722">
        <f t="shared" si="354"/>
        <v>2025</v>
      </c>
    </row>
    <row r="3723" spans="1:15" x14ac:dyDescent="0.3">
      <c r="A3723">
        <v>200825</v>
      </c>
      <c r="B3723" t="s">
        <v>43</v>
      </c>
      <c r="C3723" s="2">
        <v>45860</v>
      </c>
      <c r="D3723" s="2">
        <f t="shared" si="352"/>
        <v>45890</v>
      </c>
      <c r="E3723" s="1">
        <f>D3723</f>
        <v>45890</v>
      </c>
      <c r="F3723">
        <v>3964</v>
      </c>
      <c r="G3723">
        <v>30</v>
      </c>
      <c r="H3723">
        <f t="shared" si="351"/>
        <v>0</v>
      </c>
      <c r="I3723" t="str">
        <f t="shared" si="349"/>
        <v>On Time</v>
      </c>
      <c r="J3723" cm="1">
        <f t="array" ref="J3723">_xlfn.IFS(H3723&lt;30,0,H3723&lt;60,1,H3723&lt;90,2,H3723&lt;120,3)</f>
        <v>0</v>
      </c>
      <c r="M3723" t="str">
        <f t="shared" si="350"/>
        <v>Low</v>
      </c>
      <c r="N3723" t="str">
        <f t="shared" si="353"/>
        <v>Jul</v>
      </c>
      <c r="O3723">
        <f t="shared" si="354"/>
        <v>2025</v>
      </c>
    </row>
    <row r="3724" spans="1:15" x14ac:dyDescent="0.3">
      <c r="A3724">
        <v>200826</v>
      </c>
      <c r="B3724" t="s">
        <v>25</v>
      </c>
      <c r="C3724" s="2">
        <v>45860</v>
      </c>
      <c r="D3724" s="2">
        <f t="shared" si="352"/>
        <v>45920</v>
      </c>
      <c r="E3724" s="1">
        <f>D3724</f>
        <v>45920</v>
      </c>
      <c r="F3724">
        <v>657</v>
      </c>
      <c r="G3724">
        <v>60</v>
      </c>
      <c r="H3724">
        <f t="shared" si="351"/>
        <v>0</v>
      </c>
      <c r="I3724" t="str">
        <f t="shared" si="349"/>
        <v>On Time</v>
      </c>
      <c r="J3724" cm="1">
        <f t="array" ref="J3724">_xlfn.IFS(H3724&lt;30,0,H3724&lt;60,1,H3724&lt;90,2,H3724&lt;120,3)</f>
        <v>0</v>
      </c>
      <c r="M3724" t="str">
        <f t="shared" si="350"/>
        <v>Low</v>
      </c>
      <c r="N3724" t="str">
        <f t="shared" si="353"/>
        <v>Jul</v>
      </c>
      <c r="O3724">
        <f t="shared" si="354"/>
        <v>2025</v>
      </c>
    </row>
    <row r="3725" spans="1:15" x14ac:dyDescent="0.3">
      <c r="A3725">
        <v>200827</v>
      </c>
      <c r="B3725" t="s">
        <v>26</v>
      </c>
      <c r="C3725" s="2">
        <v>45860</v>
      </c>
      <c r="D3725" s="2">
        <f t="shared" si="352"/>
        <v>45890</v>
      </c>
      <c r="E3725" s="1">
        <f>D3725+60</f>
        <v>45950</v>
      </c>
      <c r="F3725">
        <v>1395</v>
      </c>
      <c r="G3725">
        <v>30</v>
      </c>
      <c r="H3725">
        <f t="shared" si="351"/>
        <v>0</v>
      </c>
      <c r="I3725" t="str">
        <f t="shared" si="349"/>
        <v>On Time</v>
      </c>
      <c r="J3725" cm="1">
        <f t="array" ref="J3725">_xlfn.IFS(H3725&lt;30,0,H3725&lt;60,1,H3725&lt;90,2,H3725&lt;120,3)</f>
        <v>0</v>
      </c>
      <c r="M3725" t="str">
        <f t="shared" si="350"/>
        <v>Low</v>
      </c>
      <c r="N3725" t="str">
        <f t="shared" si="353"/>
        <v>Jul</v>
      </c>
      <c r="O3725">
        <f t="shared" si="354"/>
        <v>2025</v>
      </c>
    </row>
    <row r="3726" spans="1:15" x14ac:dyDescent="0.3">
      <c r="A3726">
        <v>200828</v>
      </c>
      <c r="B3726" t="s">
        <v>27</v>
      </c>
      <c r="C3726" s="2">
        <v>45860</v>
      </c>
      <c r="D3726" s="2">
        <f t="shared" si="352"/>
        <v>45920</v>
      </c>
      <c r="E3726" s="1">
        <f>D3726</f>
        <v>45920</v>
      </c>
      <c r="F3726">
        <v>2176</v>
      </c>
      <c r="G3726">
        <v>60</v>
      </c>
      <c r="H3726">
        <f t="shared" si="351"/>
        <v>0</v>
      </c>
      <c r="I3726" t="str">
        <f t="shared" si="349"/>
        <v>On Time</v>
      </c>
      <c r="J3726" cm="1">
        <f t="array" ref="J3726">_xlfn.IFS(H3726&lt;30,0,H3726&lt;60,1,H3726&lt;90,2,H3726&lt;120,3)</f>
        <v>0</v>
      </c>
      <c r="M3726" t="str">
        <f t="shared" si="350"/>
        <v>Low</v>
      </c>
      <c r="N3726" t="str">
        <f t="shared" si="353"/>
        <v>Jul</v>
      </c>
      <c r="O3726">
        <f t="shared" si="354"/>
        <v>2025</v>
      </c>
    </row>
    <row r="3727" spans="1:15" x14ac:dyDescent="0.3">
      <c r="A3727">
        <v>200829</v>
      </c>
      <c r="B3727" t="s">
        <v>28</v>
      </c>
      <c r="C3727" s="2">
        <v>45860</v>
      </c>
      <c r="D3727" s="2">
        <f t="shared" si="352"/>
        <v>45890</v>
      </c>
      <c r="F3727">
        <v>2907</v>
      </c>
      <c r="G3727">
        <v>30</v>
      </c>
      <c r="H3727">
        <f t="shared" si="351"/>
        <v>0</v>
      </c>
      <c r="I3727" t="str">
        <f t="shared" si="349"/>
        <v>On Time</v>
      </c>
      <c r="J3727" cm="1">
        <f t="array" ref="J3727">_xlfn.IFS(H3727&lt;30,0,H3727&lt;60,1,H3727&lt;90,2,H3727&lt;120,3)</f>
        <v>0</v>
      </c>
      <c r="M3727" t="str">
        <f t="shared" si="350"/>
        <v>Low</v>
      </c>
      <c r="N3727" t="str">
        <f t="shared" si="353"/>
        <v>Jul</v>
      </c>
      <c r="O3727">
        <f t="shared" si="354"/>
        <v>2025</v>
      </c>
    </row>
    <row r="3728" spans="1:15" x14ac:dyDescent="0.3">
      <c r="A3728">
        <v>200830</v>
      </c>
      <c r="B3728" t="s">
        <v>29</v>
      </c>
      <c r="C3728" s="2">
        <v>45860</v>
      </c>
      <c r="D3728" s="2">
        <f t="shared" si="352"/>
        <v>45890</v>
      </c>
      <c r="E3728" s="1">
        <f>D3728+3</f>
        <v>45893</v>
      </c>
      <c r="F3728">
        <v>4036</v>
      </c>
      <c r="G3728">
        <v>30</v>
      </c>
      <c r="H3728">
        <f t="shared" si="351"/>
        <v>0</v>
      </c>
      <c r="I3728" t="str">
        <f t="shared" si="349"/>
        <v>On Time</v>
      </c>
      <c r="J3728" cm="1">
        <f t="array" ref="J3728">_xlfn.IFS(H3728&lt;30,0,H3728&lt;60,1,H3728&lt;90,2,H3728&lt;120,3)</f>
        <v>0</v>
      </c>
      <c r="M3728" t="str">
        <f t="shared" si="350"/>
        <v>Low</v>
      </c>
      <c r="N3728" t="str">
        <f t="shared" si="353"/>
        <v>Jul</v>
      </c>
      <c r="O3728">
        <f t="shared" si="354"/>
        <v>2025</v>
      </c>
    </row>
    <row r="3729" spans="1:15" x14ac:dyDescent="0.3">
      <c r="A3729">
        <v>200831</v>
      </c>
      <c r="B3729" t="s">
        <v>30</v>
      </c>
      <c r="C3729" s="2">
        <v>45860</v>
      </c>
      <c r="D3729" s="2">
        <f t="shared" si="352"/>
        <v>45890</v>
      </c>
      <c r="E3729" s="1">
        <f>D3729+1</f>
        <v>45891</v>
      </c>
      <c r="F3729">
        <v>1355</v>
      </c>
      <c r="G3729">
        <v>30</v>
      </c>
      <c r="H3729">
        <f t="shared" si="351"/>
        <v>0</v>
      </c>
      <c r="I3729" t="str">
        <f t="shared" si="349"/>
        <v>On Time</v>
      </c>
      <c r="J3729" cm="1">
        <f t="array" ref="J3729">_xlfn.IFS(H3729&lt;30,0,H3729&lt;60,1,H3729&lt;90,2,H3729&lt;120,3)</f>
        <v>0</v>
      </c>
      <c r="M3729" t="str">
        <f t="shared" si="350"/>
        <v>Low</v>
      </c>
      <c r="N3729" t="str">
        <f t="shared" si="353"/>
        <v>Jul</v>
      </c>
      <c r="O3729">
        <f t="shared" si="354"/>
        <v>2025</v>
      </c>
    </row>
    <row r="3730" spans="1:15" x14ac:dyDescent="0.3">
      <c r="A3730">
        <v>200832</v>
      </c>
      <c r="B3730" t="s">
        <v>31</v>
      </c>
      <c r="C3730" s="2">
        <v>45860</v>
      </c>
      <c r="D3730" s="2">
        <f t="shared" si="352"/>
        <v>45905</v>
      </c>
      <c r="E3730" s="1">
        <f>D3730-1</f>
        <v>45904</v>
      </c>
      <c r="F3730">
        <v>2425</v>
      </c>
      <c r="G3730">
        <v>45</v>
      </c>
      <c r="H3730">
        <f t="shared" si="351"/>
        <v>0</v>
      </c>
      <c r="I3730" t="str">
        <f t="shared" si="349"/>
        <v>On Time</v>
      </c>
      <c r="J3730" cm="1">
        <f t="array" ref="J3730">_xlfn.IFS(H3730&lt;30,0,H3730&lt;60,1,H3730&lt;90,2,H3730&lt;120,3)</f>
        <v>0</v>
      </c>
      <c r="M3730" t="str">
        <f t="shared" si="350"/>
        <v>Low</v>
      </c>
      <c r="N3730" t="str">
        <f t="shared" si="353"/>
        <v>Jul</v>
      </c>
      <c r="O3730">
        <f t="shared" si="354"/>
        <v>2025</v>
      </c>
    </row>
    <row r="3731" spans="1:15" x14ac:dyDescent="0.3">
      <c r="A3731">
        <v>200833</v>
      </c>
      <c r="B3731" t="s">
        <v>39</v>
      </c>
      <c r="C3731" s="2">
        <v>45860</v>
      </c>
      <c r="D3731" s="2">
        <f t="shared" si="352"/>
        <v>45890</v>
      </c>
      <c r="E3731" s="1">
        <f>D3731</f>
        <v>45890</v>
      </c>
      <c r="F3731">
        <v>1832</v>
      </c>
      <c r="G3731">
        <v>30</v>
      </c>
      <c r="H3731">
        <f t="shared" si="351"/>
        <v>0</v>
      </c>
      <c r="I3731" t="str">
        <f t="shared" si="349"/>
        <v>On Time</v>
      </c>
      <c r="J3731" cm="1">
        <f t="array" ref="J3731">_xlfn.IFS(H3731&lt;30,0,H3731&lt;60,1,H3731&lt;90,2,H3731&lt;120,3)</f>
        <v>0</v>
      </c>
      <c r="M3731" t="str">
        <f t="shared" si="350"/>
        <v>Low</v>
      </c>
      <c r="N3731" t="str">
        <f t="shared" si="353"/>
        <v>Jul</v>
      </c>
      <c r="O3731">
        <f t="shared" si="354"/>
        <v>2025</v>
      </c>
    </row>
    <row r="3732" spans="1:15" x14ac:dyDescent="0.3">
      <c r="A3732">
        <v>200834</v>
      </c>
      <c r="B3732" t="s">
        <v>40</v>
      </c>
      <c r="C3732" s="2">
        <v>45860</v>
      </c>
      <c r="D3732" s="2">
        <f t="shared" si="352"/>
        <v>45890</v>
      </c>
      <c r="E3732" s="1">
        <f>D3732-5</f>
        <v>45885</v>
      </c>
      <c r="F3732">
        <v>2379</v>
      </c>
      <c r="G3732">
        <v>30</v>
      </c>
      <c r="H3732">
        <f t="shared" si="351"/>
        <v>0</v>
      </c>
      <c r="I3732" t="str">
        <f t="shared" si="349"/>
        <v>On Time</v>
      </c>
      <c r="J3732" cm="1">
        <f t="array" ref="J3732">_xlfn.IFS(H3732&lt;30,0,H3732&lt;60,1,H3732&lt;90,2,H3732&lt;120,3)</f>
        <v>0</v>
      </c>
      <c r="M3732" t="str">
        <f t="shared" si="350"/>
        <v>Low</v>
      </c>
      <c r="N3732" t="str">
        <f t="shared" si="353"/>
        <v>Jul</v>
      </c>
      <c r="O3732">
        <f t="shared" si="354"/>
        <v>2025</v>
      </c>
    </row>
    <row r="3733" spans="1:15" x14ac:dyDescent="0.3">
      <c r="A3733">
        <v>200835</v>
      </c>
      <c r="B3733" t="s">
        <v>41</v>
      </c>
      <c r="C3733" s="2">
        <v>45860</v>
      </c>
      <c r="D3733" s="2">
        <f t="shared" si="352"/>
        <v>45890</v>
      </c>
      <c r="E3733" s="1">
        <f>D3733+35</f>
        <v>45925</v>
      </c>
      <c r="F3733">
        <v>258</v>
      </c>
      <c r="G3733">
        <v>30</v>
      </c>
      <c r="H3733">
        <f t="shared" si="351"/>
        <v>0</v>
      </c>
      <c r="I3733" t="str">
        <f t="shared" si="349"/>
        <v>On Time</v>
      </c>
      <c r="J3733" cm="1">
        <f t="array" ref="J3733">_xlfn.IFS(H3733&lt;30,0,H3733&lt;60,1,H3733&lt;90,2,H3733&lt;120,3)</f>
        <v>0</v>
      </c>
      <c r="M3733" t="str">
        <f t="shared" si="350"/>
        <v>Low</v>
      </c>
      <c r="N3733" t="str">
        <f t="shared" si="353"/>
        <v>Jul</v>
      </c>
      <c r="O3733">
        <f t="shared" si="354"/>
        <v>2025</v>
      </c>
    </row>
    <row r="3734" spans="1:15" x14ac:dyDescent="0.3">
      <c r="A3734">
        <v>200836</v>
      </c>
      <c r="B3734" t="s">
        <v>42</v>
      </c>
      <c r="C3734" s="2">
        <v>45860</v>
      </c>
      <c r="D3734" s="2">
        <f t="shared" si="352"/>
        <v>45890</v>
      </c>
      <c r="E3734" s="1">
        <f>D3734+75</f>
        <v>45965</v>
      </c>
      <c r="F3734">
        <v>3282</v>
      </c>
      <c r="G3734">
        <v>30</v>
      </c>
      <c r="H3734">
        <f t="shared" si="351"/>
        <v>0</v>
      </c>
      <c r="I3734" t="str">
        <f t="shared" ref="I3734:I3797" si="355">IF(H3734=0,"On Time",IF(H3734&lt;=15,"Paid Late","Seriously Late"))</f>
        <v>On Time</v>
      </c>
      <c r="J3734" cm="1">
        <f t="array" ref="J3734">_xlfn.IFS(H3734&lt;30,0,H3734&lt;60,1,H3734&lt;90,2,H3734&lt;120,3)</f>
        <v>0</v>
      </c>
      <c r="M3734" t="str">
        <f t="shared" ref="M3734:M3797" si="356">IF(H3734&gt;30,"High",IF(H3734&gt;10,"Medium","Low"))</f>
        <v>Low</v>
      </c>
      <c r="N3734" t="str">
        <f t="shared" si="353"/>
        <v>Jul</v>
      </c>
      <c r="O3734">
        <f t="shared" si="354"/>
        <v>2025</v>
      </c>
    </row>
    <row r="3735" spans="1:15" x14ac:dyDescent="0.3">
      <c r="A3735">
        <v>200804</v>
      </c>
      <c r="B3735" t="s">
        <v>71</v>
      </c>
      <c r="C3735" s="2">
        <v>45859</v>
      </c>
      <c r="D3735" s="2">
        <f t="shared" si="352"/>
        <v>45889</v>
      </c>
      <c r="E3735" s="1">
        <f>D3735+5</f>
        <v>45894</v>
      </c>
      <c r="F3735">
        <v>18194</v>
      </c>
      <c r="G3735">
        <v>30</v>
      </c>
      <c r="H3735">
        <f t="shared" si="351"/>
        <v>0</v>
      </c>
      <c r="I3735" t="str">
        <f t="shared" si="355"/>
        <v>On Time</v>
      </c>
      <c r="J3735" cm="1">
        <f t="array" ref="J3735">_xlfn.IFS(H3735&lt;30,0,H3735&lt;60,1,H3735&lt;90,2,H3735&lt;120,3)</f>
        <v>0</v>
      </c>
      <c r="M3735" t="str">
        <f t="shared" si="356"/>
        <v>Low</v>
      </c>
      <c r="N3735" t="str">
        <f t="shared" si="353"/>
        <v>Jul</v>
      </c>
      <c r="O3735">
        <f t="shared" si="354"/>
        <v>2025</v>
      </c>
    </row>
    <row r="3736" spans="1:15" x14ac:dyDescent="0.3">
      <c r="A3736">
        <v>200805</v>
      </c>
      <c r="B3736" t="s">
        <v>72</v>
      </c>
      <c r="C3736" s="2">
        <v>45859</v>
      </c>
      <c r="D3736" s="2">
        <f t="shared" si="352"/>
        <v>45889</v>
      </c>
      <c r="E3736" s="1">
        <f>D3736</f>
        <v>45889</v>
      </c>
      <c r="F3736">
        <v>1765</v>
      </c>
      <c r="G3736">
        <v>30</v>
      </c>
      <c r="H3736">
        <f t="shared" si="351"/>
        <v>0</v>
      </c>
      <c r="I3736" t="str">
        <f t="shared" si="355"/>
        <v>On Time</v>
      </c>
      <c r="J3736" cm="1">
        <f t="array" ref="J3736">_xlfn.IFS(H3736&lt;30,0,H3736&lt;60,1,H3736&lt;90,2,H3736&lt;120,3)</f>
        <v>0</v>
      </c>
      <c r="M3736" t="str">
        <f t="shared" si="356"/>
        <v>Low</v>
      </c>
      <c r="N3736" t="str">
        <f t="shared" si="353"/>
        <v>Jul</v>
      </c>
      <c r="O3736">
        <f t="shared" si="354"/>
        <v>2025</v>
      </c>
    </row>
    <row r="3737" spans="1:15" x14ac:dyDescent="0.3">
      <c r="A3737">
        <v>200806</v>
      </c>
      <c r="B3737" t="s">
        <v>73</v>
      </c>
      <c r="C3737" s="2">
        <v>45859</v>
      </c>
      <c r="D3737" s="2">
        <f t="shared" si="352"/>
        <v>45904</v>
      </c>
      <c r="E3737" s="1">
        <f>D3737-1</f>
        <v>45903</v>
      </c>
      <c r="F3737">
        <v>4542</v>
      </c>
      <c r="G3737">
        <v>45</v>
      </c>
      <c r="H3737">
        <f t="shared" si="351"/>
        <v>0</v>
      </c>
      <c r="I3737" t="str">
        <f t="shared" si="355"/>
        <v>On Time</v>
      </c>
      <c r="J3737" cm="1">
        <f t="array" ref="J3737">_xlfn.IFS(H3737&lt;30,0,H3737&lt;60,1,H3737&lt;90,2,H3737&lt;120,3)</f>
        <v>0</v>
      </c>
      <c r="M3737" t="str">
        <f t="shared" si="356"/>
        <v>Low</v>
      </c>
      <c r="N3737" t="str">
        <f t="shared" si="353"/>
        <v>Jul</v>
      </c>
      <c r="O3737">
        <f t="shared" si="354"/>
        <v>2025</v>
      </c>
    </row>
    <row r="3738" spans="1:15" x14ac:dyDescent="0.3">
      <c r="A3738">
        <v>200807</v>
      </c>
      <c r="B3738" t="s">
        <v>74</v>
      </c>
      <c r="C3738" s="2">
        <v>45859</v>
      </c>
      <c r="D3738" s="2">
        <f t="shared" si="352"/>
        <v>45904</v>
      </c>
      <c r="E3738" s="1">
        <f>D3738</f>
        <v>45904</v>
      </c>
      <c r="F3738">
        <v>3423</v>
      </c>
      <c r="G3738">
        <v>45</v>
      </c>
      <c r="H3738">
        <f t="shared" si="351"/>
        <v>0</v>
      </c>
      <c r="I3738" t="str">
        <f t="shared" si="355"/>
        <v>On Time</v>
      </c>
      <c r="J3738" cm="1">
        <f t="array" ref="J3738">_xlfn.IFS(H3738&lt;30,0,H3738&lt;60,1,H3738&lt;90,2,H3738&lt;120,3)</f>
        <v>0</v>
      </c>
      <c r="M3738" t="str">
        <f t="shared" si="356"/>
        <v>Low</v>
      </c>
      <c r="N3738" t="str">
        <f t="shared" si="353"/>
        <v>Jul</v>
      </c>
      <c r="O3738">
        <f t="shared" si="354"/>
        <v>2025</v>
      </c>
    </row>
    <row r="3739" spans="1:15" x14ac:dyDescent="0.3">
      <c r="A3739">
        <v>200808</v>
      </c>
      <c r="B3739" t="s">
        <v>45</v>
      </c>
      <c r="C3739" s="2">
        <v>45859</v>
      </c>
      <c r="D3739" s="2">
        <f t="shared" si="352"/>
        <v>45904</v>
      </c>
      <c r="E3739" s="1">
        <f>D3739+32</f>
        <v>45936</v>
      </c>
      <c r="F3739">
        <v>2810</v>
      </c>
      <c r="G3739">
        <v>45</v>
      </c>
      <c r="H3739">
        <f t="shared" si="351"/>
        <v>0</v>
      </c>
      <c r="I3739" t="str">
        <f t="shared" si="355"/>
        <v>On Time</v>
      </c>
      <c r="J3739" cm="1">
        <f t="array" ref="J3739">_xlfn.IFS(H3739&lt;30,0,H3739&lt;60,1,H3739&lt;90,2,H3739&lt;120,3)</f>
        <v>0</v>
      </c>
      <c r="M3739" t="str">
        <f t="shared" si="356"/>
        <v>Low</v>
      </c>
      <c r="N3739" t="str">
        <f t="shared" si="353"/>
        <v>Jul</v>
      </c>
      <c r="O3739">
        <f t="shared" si="354"/>
        <v>2025</v>
      </c>
    </row>
    <row r="3740" spans="1:15" x14ac:dyDescent="0.3">
      <c r="A3740">
        <v>200809</v>
      </c>
      <c r="B3740" t="s">
        <v>46</v>
      </c>
      <c r="C3740" s="2">
        <v>45859</v>
      </c>
      <c r="D3740" s="2">
        <f t="shared" si="352"/>
        <v>45919</v>
      </c>
      <c r="E3740" s="1">
        <f>D3740+15</f>
        <v>45934</v>
      </c>
      <c r="F3740">
        <v>2317</v>
      </c>
      <c r="G3740">
        <v>60</v>
      </c>
      <c r="H3740">
        <f t="shared" si="351"/>
        <v>0</v>
      </c>
      <c r="I3740" t="str">
        <f t="shared" si="355"/>
        <v>On Time</v>
      </c>
      <c r="J3740" cm="1">
        <f t="array" ref="J3740">_xlfn.IFS(H3740&lt;30,0,H3740&lt;60,1,H3740&lt;90,2,H3740&lt;120,3)</f>
        <v>0</v>
      </c>
      <c r="M3740" t="str">
        <f t="shared" si="356"/>
        <v>Low</v>
      </c>
      <c r="N3740" t="str">
        <f t="shared" si="353"/>
        <v>Jul</v>
      </c>
      <c r="O3740">
        <f t="shared" si="354"/>
        <v>2025</v>
      </c>
    </row>
    <row r="3741" spans="1:15" x14ac:dyDescent="0.3">
      <c r="A3741">
        <v>200810</v>
      </c>
      <c r="B3741" t="s">
        <v>47</v>
      </c>
      <c r="C3741" s="2">
        <v>45859</v>
      </c>
      <c r="D3741" s="2">
        <f t="shared" si="352"/>
        <v>45919</v>
      </c>
      <c r="E3741" s="1">
        <f>D3741-2</f>
        <v>45917</v>
      </c>
      <c r="F3741">
        <v>4164</v>
      </c>
      <c r="G3741">
        <v>60</v>
      </c>
      <c r="H3741">
        <f t="shared" si="351"/>
        <v>0</v>
      </c>
      <c r="I3741" t="str">
        <f t="shared" si="355"/>
        <v>On Time</v>
      </c>
      <c r="J3741" cm="1">
        <f t="array" ref="J3741">_xlfn.IFS(H3741&lt;30,0,H3741&lt;60,1,H3741&lt;90,2,H3741&lt;120,3)</f>
        <v>0</v>
      </c>
      <c r="M3741" t="str">
        <f t="shared" si="356"/>
        <v>Low</v>
      </c>
      <c r="N3741" t="str">
        <f t="shared" si="353"/>
        <v>Jul</v>
      </c>
      <c r="O3741">
        <f t="shared" si="354"/>
        <v>2025</v>
      </c>
    </row>
    <row r="3742" spans="1:15" x14ac:dyDescent="0.3">
      <c r="A3742">
        <v>200811</v>
      </c>
      <c r="B3742" t="s">
        <v>48</v>
      </c>
      <c r="C3742" s="2">
        <v>45859</v>
      </c>
      <c r="D3742" s="2">
        <f t="shared" si="352"/>
        <v>45904</v>
      </c>
      <c r="E3742" s="1">
        <f>D3742-2</f>
        <v>45902</v>
      </c>
      <c r="F3742">
        <v>1163</v>
      </c>
      <c r="G3742">
        <v>45</v>
      </c>
      <c r="H3742">
        <f t="shared" si="351"/>
        <v>0</v>
      </c>
      <c r="I3742" t="str">
        <f t="shared" si="355"/>
        <v>On Time</v>
      </c>
      <c r="J3742" cm="1">
        <f t="array" ref="J3742">_xlfn.IFS(H3742&lt;30,0,H3742&lt;60,1,H3742&lt;90,2,H3742&lt;120,3)</f>
        <v>0</v>
      </c>
      <c r="M3742" t="str">
        <f t="shared" si="356"/>
        <v>Low</v>
      </c>
      <c r="N3742" t="str">
        <f t="shared" si="353"/>
        <v>Jul</v>
      </c>
      <c r="O3742">
        <f t="shared" si="354"/>
        <v>2025</v>
      </c>
    </row>
    <row r="3743" spans="1:15" x14ac:dyDescent="0.3">
      <c r="A3743">
        <v>200812</v>
      </c>
      <c r="B3743" t="s">
        <v>49</v>
      </c>
      <c r="C3743" s="2">
        <v>45859</v>
      </c>
      <c r="D3743" s="2">
        <f t="shared" si="352"/>
        <v>45889</v>
      </c>
      <c r="E3743" s="1">
        <f>D3743</f>
        <v>45889</v>
      </c>
      <c r="F3743">
        <v>3918</v>
      </c>
      <c r="G3743">
        <v>30</v>
      </c>
      <c r="H3743">
        <f t="shared" si="351"/>
        <v>0</v>
      </c>
      <c r="I3743" t="str">
        <f t="shared" si="355"/>
        <v>On Time</v>
      </c>
      <c r="J3743" cm="1">
        <f t="array" ref="J3743">_xlfn.IFS(H3743&lt;30,0,H3743&lt;60,1,H3743&lt;90,2,H3743&lt;120,3)</f>
        <v>0</v>
      </c>
      <c r="M3743" t="str">
        <f t="shared" si="356"/>
        <v>Low</v>
      </c>
      <c r="N3743" t="str">
        <f t="shared" si="353"/>
        <v>Jul</v>
      </c>
      <c r="O3743">
        <f t="shared" si="354"/>
        <v>2025</v>
      </c>
    </row>
    <row r="3744" spans="1:15" x14ac:dyDescent="0.3">
      <c r="A3744">
        <v>200813</v>
      </c>
      <c r="B3744" t="s">
        <v>50</v>
      </c>
      <c r="C3744" s="2">
        <v>45859</v>
      </c>
      <c r="D3744" s="2">
        <f t="shared" si="352"/>
        <v>45889</v>
      </c>
      <c r="E3744" s="1">
        <f>D3744+2</f>
        <v>45891</v>
      </c>
      <c r="F3744">
        <v>2122</v>
      </c>
      <c r="G3744">
        <v>30</v>
      </c>
      <c r="H3744">
        <f t="shared" si="351"/>
        <v>0</v>
      </c>
      <c r="I3744" t="str">
        <f t="shared" si="355"/>
        <v>On Time</v>
      </c>
      <c r="J3744" cm="1">
        <f t="array" ref="J3744">_xlfn.IFS(H3744&lt;30,0,H3744&lt;60,1,H3744&lt;90,2,H3744&lt;120,3)</f>
        <v>0</v>
      </c>
      <c r="M3744" t="str">
        <f t="shared" si="356"/>
        <v>Low</v>
      </c>
      <c r="N3744" t="str">
        <f t="shared" si="353"/>
        <v>Jul</v>
      </c>
      <c r="O3744">
        <f t="shared" si="354"/>
        <v>2025</v>
      </c>
    </row>
    <row r="3745" spans="1:15" x14ac:dyDescent="0.3">
      <c r="A3745">
        <v>200814</v>
      </c>
      <c r="B3745" t="s">
        <v>51</v>
      </c>
      <c r="C3745" s="2">
        <v>45859</v>
      </c>
      <c r="D3745" s="2">
        <f t="shared" si="352"/>
        <v>45889</v>
      </c>
      <c r="E3745" s="1">
        <f>D3745+2</f>
        <v>45891</v>
      </c>
      <c r="F3745">
        <v>3676</v>
      </c>
      <c r="G3745">
        <v>30</v>
      </c>
      <c r="H3745">
        <f t="shared" si="351"/>
        <v>0</v>
      </c>
      <c r="I3745" t="str">
        <f t="shared" si="355"/>
        <v>On Time</v>
      </c>
      <c r="J3745" cm="1">
        <f t="array" ref="J3745">_xlfn.IFS(H3745&lt;30,0,H3745&lt;60,1,H3745&lt;90,2,H3745&lt;120,3)</f>
        <v>0</v>
      </c>
      <c r="M3745" t="str">
        <f t="shared" si="356"/>
        <v>Low</v>
      </c>
      <c r="N3745" t="str">
        <f t="shared" si="353"/>
        <v>Jul</v>
      </c>
      <c r="O3745">
        <f t="shared" si="354"/>
        <v>2025</v>
      </c>
    </row>
    <row r="3746" spans="1:15" x14ac:dyDescent="0.3">
      <c r="A3746">
        <v>200815</v>
      </c>
      <c r="B3746" t="s">
        <v>52</v>
      </c>
      <c r="C3746" s="2">
        <v>45859</v>
      </c>
      <c r="D3746" s="2">
        <f t="shared" si="352"/>
        <v>45889</v>
      </c>
      <c r="E3746" s="1">
        <f>D3746+2</f>
        <v>45891</v>
      </c>
      <c r="F3746">
        <v>2962</v>
      </c>
      <c r="G3746">
        <v>30</v>
      </c>
      <c r="H3746">
        <f t="shared" si="351"/>
        <v>0</v>
      </c>
      <c r="I3746" t="str">
        <f t="shared" si="355"/>
        <v>On Time</v>
      </c>
      <c r="J3746" cm="1">
        <f t="array" ref="J3746">_xlfn.IFS(H3746&lt;30,0,H3746&lt;60,1,H3746&lt;90,2,H3746&lt;120,3)</f>
        <v>0</v>
      </c>
      <c r="M3746" t="str">
        <f t="shared" si="356"/>
        <v>Low</v>
      </c>
      <c r="N3746" t="str">
        <f t="shared" si="353"/>
        <v>Jul</v>
      </c>
      <c r="O3746">
        <f t="shared" si="354"/>
        <v>2025</v>
      </c>
    </row>
    <row r="3747" spans="1:15" x14ac:dyDescent="0.3">
      <c r="A3747">
        <v>200816</v>
      </c>
      <c r="B3747" t="s">
        <v>53</v>
      </c>
      <c r="C3747" s="2">
        <v>45859</v>
      </c>
      <c r="D3747" s="2">
        <f t="shared" si="352"/>
        <v>45889</v>
      </c>
      <c r="E3747" s="1">
        <f>D3747</f>
        <v>45889</v>
      </c>
      <c r="F3747">
        <v>1381</v>
      </c>
      <c r="G3747">
        <v>30</v>
      </c>
      <c r="H3747">
        <f t="shared" si="351"/>
        <v>0</v>
      </c>
      <c r="I3747" t="str">
        <f t="shared" si="355"/>
        <v>On Time</v>
      </c>
      <c r="J3747" cm="1">
        <f t="array" ref="J3747">_xlfn.IFS(H3747&lt;30,0,H3747&lt;60,1,H3747&lt;90,2,H3747&lt;120,3)</f>
        <v>0</v>
      </c>
      <c r="M3747" t="str">
        <f t="shared" si="356"/>
        <v>Low</v>
      </c>
      <c r="N3747" t="str">
        <f t="shared" si="353"/>
        <v>Jul</v>
      </c>
      <c r="O3747">
        <f t="shared" si="354"/>
        <v>2025</v>
      </c>
    </row>
    <row r="3748" spans="1:15" x14ac:dyDescent="0.3">
      <c r="A3748">
        <v>200817</v>
      </c>
      <c r="B3748" t="s">
        <v>54</v>
      </c>
      <c r="C3748" s="2">
        <v>45859</v>
      </c>
      <c r="D3748" s="2">
        <f t="shared" si="352"/>
        <v>45889</v>
      </c>
      <c r="E3748" s="1">
        <f>D3748+20</f>
        <v>45909</v>
      </c>
      <c r="F3748">
        <v>3698</v>
      </c>
      <c r="G3748">
        <v>30</v>
      </c>
      <c r="H3748">
        <f t="shared" si="351"/>
        <v>0</v>
      </c>
      <c r="I3748" t="str">
        <f t="shared" si="355"/>
        <v>On Time</v>
      </c>
      <c r="J3748" cm="1">
        <f t="array" ref="J3748">_xlfn.IFS(H3748&lt;30,0,H3748&lt;60,1,H3748&lt;90,2,H3748&lt;120,3)</f>
        <v>0</v>
      </c>
      <c r="M3748" t="str">
        <f t="shared" si="356"/>
        <v>Low</v>
      </c>
      <c r="N3748" t="str">
        <f t="shared" si="353"/>
        <v>Jul</v>
      </c>
      <c r="O3748">
        <f t="shared" si="354"/>
        <v>2025</v>
      </c>
    </row>
    <row r="3749" spans="1:15" x14ac:dyDescent="0.3">
      <c r="A3749">
        <v>200818</v>
      </c>
      <c r="B3749" t="s">
        <v>36</v>
      </c>
      <c r="C3749" s="2">
        <v>45859</v>
      </c>
      <c r="D3749" s="2">
        <f t="shared" si="352"/>
        <v>45889</v>
      </c>
      <c r="E3749" s="1">
        <f>D3749</f>
        <v>45889</v>
      </c>
      <c r="F3749">
        <v>3760</v>
      </c>
      <c r="G3749">
        <v>30</v>
      </c>
      <c r="H3749">
        <f t="shared" si="351"/>
        <v>0</v>
      </c>
      <c r="I3749" t="str">
        <f t="shared" si="355"/>
        <v>On Time</v>
      </c>
      <c r="J3749" cm="1">
        <f t="array" ref="J3749">_xlfn.IFS(H3749&lt;30,0,H3749&lt;60,1,H3749&lt;90,2,H3749&lt;120,3)</f>
        <v>0</v>
      </c>
      <c r="M3749" t="str">
        <f t="shared" si="356"/>
        <v>Low</v>
      </c>
      <c r="N3749" t="str">
        <f t="shared" si="353"/>
        <v>Jul</v>
      </c>
      <c r="O3749">
        <f t="shared" si="354"/>
        <v>2025</v>
      </c>
    </row>
    <row r="3750" spans="1:15" x14ac:dyDescent="0.3">
      <c r="A3750">
        <v>200819</v>
      </c>
      <c r="B3750" t="s">
        <v>37</v>
      </c>
      <c r="C3750" s="2">
        <v>45859</v>
      </c>
      <c r="D3750" s="2">
        <f t="shared" si="352"/>
        <v>45889</v>
      </c>
      <c r="E3750" s="1">
        <f>D3750+1</f>
        <v>45890</v>
      </c>
      <c r="F3750">
        <v>3786</v>
      </c>
      <c r="G3750">
        <v>30</v>
      </c>
      <c r="H3750">
        <f t="shared" ref="H3750:H3813" si="357">MAX(0,P3715-D3750)</f>
        <v>0</v>
      </c>
      <c r="I3750" t="str">
        <f t="shared" si="355"/>
        <v>On Time</v>
      </c>
      <c r="J3750" cm="1">
        <f t="array" ref="J3750">_xlfn.IFS(H3750&lt;30,0,H3750&lt;60,1,H3750&lt;90,2,H3750&lt;120,3)</f>
        <v>0</v>
      </c>
      <c r="M3750" t="str">
        <f t="shared" si="356"/>
        <v>Low</v>
      </c>
      <c r="N3750" t="str">
        <f t="shared" si="353"/>
        <v>Jul</v>
      </c>
      <c r="O3750">
        <f t="shared" si="354"/>
        <v>2025</v>
      </c>
    </row>
    <row r="3751" spans="1:15" x14ac:dyDescent="0.3">
      <c r="A3751">
        <v>200820</v>
      </c>
      <c r="B3751" t="s">
        <v>38</v>
      </c>
      <c r="C3751" s="2">
        <v>45859</v>
      </c>
      <c r="D3751" s="2">
        <f t="shared" si="352"/>
        <v>45889</v>
      </c>
      <c r="E3751" s="1">
        <f>D3751</f>
        <v>45889</v>
      </c>
      <c r="F3751">
        <v>2508</v>
      </c>
      <c r="G3751">
        <v>30</v>
      </c>
      <c r="H3751">
        <f t="shared" si="357"/>
        <v>0</v>
      </c>
      <c r="I3751" t="str">
        <f t="shared" si="355"/>
        <v>On Time</v>
      </c>
      <c r="J3751" cm="1">
        <f t="array" ref="J3751">_xlfn.IFS(H3751&lt;30,0,H3751&lt;60,1,H3751&lt;90,2,H3751&lt;120,3)</f>
        <v>0</v>
      </c>
      <c r="M3751" t="str">
        <f t="shared" si="356"/>
        <v>Low</v>
      </c>
      <c r="N3751" t="str">
        <f t="shared" si="353"/>
        <v>Jul</v>
      </c>
      <c r="O3751">
        <f t="shared" si="354"/>
        <v>2025</v>
      </c>
    </row>
    <row r="3752" spans="1:15" x14ac:dyDescent="0.3">
      <c r="A3752">
        <v>200821</v>
      </c>
      <c r="B3752" t="s">
        <v>39</v>
      </c>
      <c r="C3752" s="2">
        <v>45859</v>
      </c>
      <c r="D3752" s="2">
        <f t="shared" si="352"/>
        <v>45889</v>
      </c>
      <c r="E3752" s="1">
        <f>D3752</f>
        <v>45889</v>
      </c>
      <c r="F3752">
        <v>4993</v>
      </c>
      <c r="G3752">
        <v>30</v>
      </c>
      <c r="H3752">
        <f t="shared" si="357"/>
        <v>0</v>
      </c>
      <c r="I3752" t="str">
        <f t="shared" si="355"/>
        <v>On Time</v>
      </c>
      <c r="J3752" cm="1">
        <f t="array" ref="J3752">_xlfn.IFS(H3752&lt;30,0,H3752&lt;60,1,H3752&lt;90,2,H3752&lt;120,3)</f>
        <v>0</v>
      </c>
      <c r="M3752" t="str">
        <f t="shared" si="356"/>
        <v>Low</v>
      </c>
      <c r="N3752" t="str">
        <f t="shared" si="353"/>
        <v>Jul</v>
      </c>
      <c r="O3752">
        <f t="shared" si="354"/>
        <v>2025</v>
      </c>
    </row>
    <row r="3753" spans="1:15" x14ac:dyDescent="0.3">
      <c r="A3753">
        <v>200822</v>
      </c>
      <c r="B3753" t="s">
        <v>40</v>
      </c>
      <c r="C3753" s="2">
        <v>45859</v>
      </c>
      <c r="D3753" s="2">
        <f t="shared" si="352"/>
        <v>45889</v>
      </c>
      <c r="E3753" s="1">
        <f>D3753+5</f>
        <v>45894</v>
      </c>
      <c r="F3753">
        <v>4805</v>
      </c>
      <c r="G3753">
        <v>30</v>
      </c>
      <c r="H3753">
        <f t="shared" si="357"/>
        <v>0</v>
      </c>
      <c r="I3753" t="str">
        <f t="shared" si="355"/>
        <v>On Time</v>
      </c>
      <c r="J3753" cm="1">
        <f t="array" ref="J3753">_xlfn.IFS(H3753&lt;30,0,H3753&lt;60,1,H3753&lt;90,2,H3753&lt;120,3)</f>
        <v>0</v>
      </c>
      <c r="M3753" t="str">
        <f t="shared" si="356"/>
        <v>Low</v>
      </c>
      <c r="N3753" t="str">
        <f t="shared" si="353"/>
        <v>Jul</v>
      </c>
      <c r="O3753">
        <f t="shared" si="354"/>
        <v>2025</v>
      </c>
    </row>
    <row r="3754" spans="1:15" x14ac:dyDescent="0.3">
      <c r="A3754">
        <v>200789</v>
      </c>
      <c r="B3754" t="s">
        <v>104</v>
      </c>
      <c r="C3754" s="2">
        <v>45856</v>
      </c>
      <c r="D3754" s="2">
        <f t="shared" si="352"/>
        <v>45886</v>
      </c>
      <c r="E3754" s="1">
        <f>D3754+5</f>
        <v>45891</v>
      </c>
      <c r="F3754">
        <v>507</v>
      </c>
      <c r="G3754">
        <v>30</v>
      </c>
      <c r="H3754">
        <f t="shared" si="357"/>
        <v>0</v>
      </c>
      <c r="I3754" t="str">
        <f t="shared" si="355"/>
        <v>On Time</v>
      </c>
      <c r="J3754" cm="1">
        <f t="array" ref="J3754">_xlfn.IFS(H3754&lt;30,0,H3754&lt;60,1,H3754&lt;90,2,H3754&lt;120,3)</f>
        <v>0</v>
      </c>
      <c r="M3754" t="str">
        <f t="shared" si="356"/>
        <v>Low</v>
      </c>
      <c r="N3754" t="str">
        <f t="shared" si="353"/>
        <v>Jul</v>
      </c>
      <c r="O3754">
        <f t="shared" si="354"/>
        <v>2025</v>
      </c>
    </row>
    <row r="3755" spans="1:15" x14ac:dyDescent="0.3">
      <c r="A3755">
        <v>200790</v>
      </c>
      <c r="B3755" t="s">
        <v>105</v>
      </c>
      <c r="C3755" s="2">
        <v>45856</v>
      </c>
      <c r="D3755" s="2">
        <f t="shared" si="352"/>
        <v>45886</v>
      </c>
      <c r="E3755" s="1">
        <f>D3755+2</f>
        <v>45888</v>
      </c>
      <c r="F3755">
        <v>4752</v>
      </c>
      <c r="G3755">
        <v>30</v>
      </c>
      <c r="H3755">
        <f t="shared" si="357"/>
        <v>0</v>
      </c>
      <c r="I3755" t="str">
        <f t="shared" si="355"/>
        <v>On Time</v>
      </c>
      <c r="J3755" cm="1">
        <f t="array" ref="J3755">_xlfn.IFS(H3755&lt;30,0,H3755&lt;60,1,H3755&lt;90,2,H3755&lt;120,3)</f>
        <v>0</v>
      </c>
      <c r="M3755" t="str">
        <f t="shared" si="356"/>
        <v>Low</v>
      </c>
      <c r="N3755" t="str">
        <f t="shared" si="353"/>
        <v>Jul</v>
      </c>
      <c r="O3755">
        <f t="shared" si="354"/>
        <v>2025</v>
      </c>
    </row>
    <row r="3756" spans="1:15" x14ac:dyDescent="0.3">
      <c r="A3756">
        <v>200791</v>
      </c>
      <c r="B3756" t="s">
        <v>86</v>
      </c>
      <c r="C3756" s="2">
        <v>45856</v>
      </c>
      <c r="D3756" s="2">
        <f t="shared" si="352"/>
        <v>45886</v>
      </c>
      <c r="E3756" s="1">
        <f>D3756</f>
        <v>45886</v>
      </c>
      <c r="F3756">
        <v>7994</v>
      </c>
      <c r="G3756">
        <v>30</v>
      </c>
      <c r="H3756">
        <f t="shared" si="357"/>
        <v>0</v>
      </c>
      <c r="I3756" t="str">
        <f t="shared" si="355"/>
        <v>On Time</v>
      </c>
      <c r="J3756" cm="1">
        <f t="array" ref="J3756">_xlfn.IFS(H3756&lt;30,0,H3756&lt;60,1,H3756&lt;90,2,H3756&lt;120,3)</f>
        <v>0</v>
      </c>
      <c r="M3756" t="str">
        <f t="shared" si="356"/>
        <v>Low</v>
      </c>
      <c r="N3756" t="str">
        <f t="shared" si="353"/>
        <v>Jul</v>
      </c>
      <c r="O3756">
        <f t="shared" si="354"/>
        <v>2025</v>
      </c>
    </row>
    <row r="3757" spans="1:15" x14ac:dyDescent="0.3">
      <c r="A3757">
        <v>200792</v>
      </c>
      <c r="B3757" t="s">
        <v>87</v>
      </c>
      <c r="C3757" s="2">
        <v>45856</v>
      </c>
      <c r="D3757" s="2">
        <f t="shared" si="352"/>
        <v>45886</v>
      </c>
      <c r="E3757" s="1">
        <f>D3757</f>
        <v>45886</v>
      </c>
      <c r="F3757">
        <v>606</v>
      </c>
      <c r="G3757">
        <v>30</v>
      </c>
      <c r="H3757">
        <f t="shared" si="357"/>
        <v>0</v>
      </c>
      <c r="I3757" t="str">
        <f t="shared" si="355"/>
        <v>On Time</v>
      </c>
      <c r="J3757" cm="1">
        <f t="array" ref="J3757">_xlfn.IFS(H3757&lt;30,0,H3757&lt;60,1,H3757&lt;90,2,H3757&lt;120,3)</f>
        <v>0</v>
      </c>
      <c r="M3757" t="str">
        <f t="shared" si="356"/>
        <v>Low</v>
      </c>
      <c r="N3757" t="str">
        <f t="shared" si="353"/>
        <v>Jul</v>
      </c>
      <c r="O3757">
        <f t="shared" si="354"/>
        <v>2025</v>
      </c>
    </row>
    <row r="3758" spans="1:15" x14ac:dyDescent="0.3">
      <c r="A3758">
        <v>200793</v>
      </c>
      <c r="B3758" t="s">
        <v>88</v>
      </c>
      <c r="C3758" s="2">
        <v>45856</v>
      </c>
      <c r="D3758" s="2">
        <f t="shared" si="352"/>
        <v>45886</v>
      </c>
      <c r="E3758" s="1">
        <f>D3758</f>
        <v>45886</v>
      </c>
      <c r="F3758">
        <v>1525</v>
      </c>
      <c r="G3758">
        <v>30</v>
      </c>
      <c r="H3758">
        <f t="shared" si="357"/>
        <v>0</v>
      </c>
      <c r="I3758" t="str">
        <f t="shared" si="355"/>
        <v>On Time</v>
      </c>
      <c r="J3758" cm="1">
        <f t="array" ref="J3758">_xlfn.IFS(H3758&lt;30,0,H3758&lt;60,1,H3758&lt;90,2,H3758&lt;120,3)</f>
        <v>0</v>
      </c>
      <c r="M3758" t="str">
        <f t="shared" si="356"/>
        <v>Low</v>
      </c>
      <c r="N3758" t="str">
        <f t="shared" si="353"/>
        <v>Jul</v>
      </c>
      <c r="O3758">
        <f t="shared" si="354"/>
        <v>2025</v>
      </c>
    </row>
    <row r="3759" spans="1:15" x14ac:dyDescent="0.3">
      <c r="A3759">
        <v>200794</v>
      </c>
      <c r="B3759" t="s">
        <v>89</v>
      </c>
      <c r="C3759" s="2">
        <v>45856</v>
      </c>
      <c r="D3759" s="2">
        <f t="shared" si="352"/>
        <v>45886</v>
      </c>
      <c r="E3759" s="1">
        <f>D3759+60</f>
        <v>45946</v>
      </c>
      <c r="F3759">
        <v>4262</v>
      </c>
      <c r="G3759">
        <v>30</v>
      </c>
      <c r="H3759">
        <f t="shared" si="357"/>
        <v>0</v>
      </c>
      <c r="I3759" t="str">
        <f t="shared" si="355"/>
        <v>On Time</v>
      </c>
      <c r="J3759" cm="1">
        <f t="array" ref="J3759">_xlfn.IFS(H3759&lt;30,0,H3759&lt;60,1,H3759&lt;90,2,H3759&lt;120,3)</f>
        <v>0</v>
      </c>
      <c r="M3759" t="str">
        <f t="shared" si="356"/>
        <v>Low</v>
      </c>
      <c r="N3759" t="str">
        <f t="shared" si="353"/>
        <v>Jul</v>
      </c>
      <c r="O3759">
        <f t="shared" si="354"/>
        <v>2025</v>
      </c>
    </row>
    <row r="3760" spans="1:15" x14ac:dyDescent="0.3">
      <c r="A3760">
        <v>200795</v>
      </c>
      <c r="B3760" t="s">
        <v>90</v>
      </c>
      <c r="C3760" s="2">
        <v>45856</v>
      </c>
      <c r="D3760" s="2">
        <f t="shared" si="352"/>
        <v>45886</v>
      </c>
      <c r="E3760" s="1">
        <f>D3760</f>
        <v>45886</v>
      </c>
      <c r="F3760">
        <v>4224</v>
      </c>
      <c r="G3760">
        <v>30</v>
      </c>
      <c r="H3760">
        <f t="shared" si="357"/>
        <v>0</v>
      </c>
      <c r="I3760" t="str">
        <f t="shared" si="355"/>
        <v>On Time</v>
      </c>
      <c r="J3760" cm="1">
        <f t="array" ref="J3760">_xlfn.IFS(H3760&lt;30,0,H3760&lt;60,1,H3760&lt;90,2,H3760&lt;120,3)</f>
        <v>0</v>
      </c>
      <c r="M3760" t="str">
        <f t="shared" si="356"/>
        <v>Low</v>
      </c>
      <c r="N3760" t="str">
        <f t="shared" si="353"/>
        <v>Jul</v>
      </c>
      <c r="O3760">
        <f t="shared" si="354"/>
        <v>2025</v>
      </c>
    </row>
    <row r="3761" spans="1:15" x14ac:dyDescent="0.3">
      <c r="A3761">
        <v>200796</v>
      </c>
      <c r="B3761" t="s">
        <v>91</v>
      </c>
      <c r="C3761" s="2">
        <v>45856</v>
      </c>
      <c r="D3761" s="2">
        <f t="shared" si="352"/>
        <v>45886</v>
      </c>
      <c r="E3761" s="1">
        <f>D3761</f>
        <v>45886</v>
      </c>
      <c r="F3761">
        <v>2758</v>
      </c>
      <c r="G3761">
        <v>30</v>
      </c>
      <c r="H3761">
        <f t="shared" si="357"/>
        <v>0</v>
      </c>
      <c r="I3761" t="str">
        <f t="shared" si="355"/>
        <v>On Time</v>
      </c>
      <c r="J3761" cm="1">
        <f t="array" ref="J3761">_xlfn.IFS(H3761&lt;30,0,H3761&lt;60,1,H3761&lt;90,2,H3761&lt;120,3)</f>
        <v>0</v>
      </c>
      <c r="M3761" t="str">
        <f t="shared" si="356"/>
        <v>Low</v>
      </c>
      <c r="N3761" t="str">
        <f t="shared" si="353"/>
        <v>Jul</v>
      </c>
      <c r="O3761">
        <f t="shared" si="354"/>
        <v>2025</v>
      </c>
    </row>
    <row r="3762" spans="1:15" x14ac:dyDescent="0.3">
      <c r="A3762">
        <v>200797</v>
      </c>
      <c r="B3762" t="s">
        <v>92</v>
      </c>
      <c r="C3762" s="2">
        <v>45856</v>
      </c>
      <c r="D3762" s="2">
        <f t="shared" si="352"/>
        <v>45886</v>
      </c>
      <c r="E3762" s="1">
        <f>D3762+3</f>
        <v>45889</v>
      </c>
      <c r="F3762">
        <v>17739</v>
      </c>
      <c r="G3762">
        <v>30</v>
      </c>
      <c r="H3762">
        <f t="shared" si="357"/>
        <v>0</v>
      </c>
      <c r="I3762" t="str">
        <f t="shared" si="355"/>
        <v>On Time</v>
      </c>
      <c r="J3762" cm="1">
        <f t="array" ref="J3762">_xlfn.IFS(H3762&lt;30,0,H3762&lt;60,1,H3762&lt;90,2,H3762&lt;120,3)</f>
        <v>0</v>
      </c>
      <c r="M3762" t="str">
        <f t="shared" si="356"/>
        <v>Low</v>
      </c>
      <c r="N3762" t="str">
        <f t="shared" si="353"/>
        <v>Jul</v>
      </c>
      <c r="O3762">
        <f t="shared" si="354"/>
        <v>2025</v>
      </c>
    </row>
    <row r="3763" spans="1:15" x14ac:dyDescent="0.3">
      <c r="A3763">
        <v>200798</v>
      </c>
      <c r="B3763" t="s">
        <v>93</v>
      </c>
      <c r="C3763" s="2">
        <v>45856</v>
      </c>
      <c r="D3763" s="2">
        <f t="shared" si="352"/>
        <v>45886</v>
      </c>
      <c r="E3763" s="1">
        <f>D3763+1</f>
        <v>45887</v>
      </c>
      <c r="F3763">
        <v>4601</v>
      </c>
      <c r="G3763">
        <v>30</v>
      </c>
      <c r="H3763">
        <f t="shared" si="357"/>
        <v>0</v>
      </c>
      <c r="I3763" t="str">
        <f t="shared" si="355"/>
        <v>On Time</v>
      </c>
      <c r="J3763" cm="1">
        <f t="array" ref="J3763">_xlfn.IFS(H3763&lt;30,0,H3763&lt;60,1,H3763&lt;90,2,H3763&lt;120,3)</f>
        <v>0</v>
      </c>
      <c r="M3763" t="str">
        <f t="shared" si="356"/>
        <v>Low</v>
      </c>
      <c r="N3763" t="str">
        <f t="shared" si="353"/>
        <v>Jul</v>
      </c>
      <c r="O3763">
        <f t="shared" si="354"/>
        <v>2025</v>
      </c>
    </row>
    <row r="3764" spans="1:15" x14ac:dyDescent="0.3">
      <c r="A3764">
        <v>200799</v>
      </c>
      <c r="B3764" t="s">
        <v>94</v>
      </c>
      <c r="C3764" s="2">
        <v>45856</v>
      </c>
      <c r="D3764" s="2">
        <f t="shared" si="352"/>
        <v>45886</v>
      </c>
      <c r="E3764" s="1">
        <f>D3764-1</f>
        <v>45885</v>
      </c>
      <c r="F3764">
        <v>387</v>
      </c>
      <c r="G3764">
        <v>30</v>
      </c>
      <c r="H3764">
        <f t="shared" si="357"/>
        <v>0</v>
      </c>
      <c r="I3764" t="str">
        <f t="shared" si="355"/>
        <v>On Time</v>
      </c>
      <c r="J3764" cm="1">
        <f t="array" ref="J3764">_xlfn.IFS(H3764&lt;30,0,H3764&lt;60,1,H3764&lt;90,2,H3764&lt;120,3)</f>
        <v>0</v>
      </c>
      <c r="M3764" t="str">
        <f t="shared" si="356"/>
        <v>Low</v>
      </c>
      <c r="N3764" t="str">
        <f t="shared" si="353"/>
        <v>Jul</v>
      </c>
      <c r="O3764">
        <f t="shared" si="354"/>
        <v>2025</v>
      </c>
    </row>
    <row r="3765" spans="1:15" x14ac:dyDescent="0.3">
      <c r="A3765">
        <v>200800</v>
      </c>
      <c r="B3765" t="s">
        <v>95</v>
      </c>
      <c r="C3765" s="2">
        <v>45856</v>
      </c>
      <c r="D3765" s="2">
        <f t="shared" si="352"/>
        <v>45901</v>
      </c>
      <c r="E3765" s="1">
        <f>D3765</f>
        <v>45901</v>
      </c>
      <c r="F3765">
        <v>1903</v>
      </c>
      <c r="G3765">
        <v>45</v>
      </c>
      <c r="H3765">
        <f t="shared" si="357"/>
        <v>0</v>
      </c>
      <c r="I3765" t="str">
        <f t="shared" si="355"/>
        <v>On Time</v>
      </c>
      <c r="J3765" cm="1">
        <f t="array" ref="J3765">_xlfn.IFS(H3765&lt;30,0,H3765&lt;60,1,H3765&lt;90,2,H3765&lt;120,3)</f>
        <v>0</v>
      </c>
      <c r="M3765" t="str">
        <f t="shared" si="356"/>
        <v>Low</v>
      </c>
      <c r="N3765" t="str">
        <f t="shared" si="353"/>
        <v>Jul</v>
      </c>
      <c r="O3765">
        <f t="shared" si="354"/>
        <v>2025</v>
      </c>
    </row>
    <row r="3766" spans="1:15" x14ac:dyDescent="0.3">
      <c r="A3766">
        <v>200801</v>
      </c>
      <c r="B3766" t="s">
        <v>68</v>
      </c>
      <c r="C3766" s="2">
        <v>45856</v>
      </c>
      <c r="D3766" s="2">
        <f t="shared" si="352"/>
        <v>45886</v>
      </c>
      <c r="E3766" s="1">
        <f>D3766+1</f>
        <v>45887</v>
      </c>
      <c r="F3766">
        <v>3713</v>
      </c>
      <c r="G3766">
        <v>30</v>
      </c>
      <c r="H3766">
        <f t="shared" si="357"/>
        <v>0</v>
      </c>
      <c r="I3766" t="str">
        <f t="shared" si="355"/>
        <v>On Time</v>
      </c>
      <c r="J3766" cm="1">
        <f t="array" ref="J3766">_xlfn.IFS(H3766&lt;30,0,H3766&lt;60,1,H3766&lt;90,2,H3766&lt;120,3)</f>
        <v>0</v>
      </c>
      <c r="M3766" t="str">
        <f t="shared" si="356"/>
        <v>Low</v>
      </c>
      <c r="N3766" t="str">
        <f t="shared" si="353"/>
        <v>Jul</v>
      </c>
      <c r="O3766">
        <f t="shared" si="354"/>
        <v>2025</v>
      </c>
    </row>
    <row r="3767" spans="1:15" x14ac:dyDescent="0.3">
      <c r="A3767">
        <v>200802</v>
      </c>
      <c r="B3767" t="s">
        <v>69</v>
      </c>
      <c r="C3767" s="2">
        <v>45856</v>
      </c>
      <c r="D3767" s="2">
        <f t="shared" si="352"/>
        <v>45886</v>
      </c>
      <c r="E3767" s="1">
        <f>D3767+35</f>
        <v>45921</v>
      </c>
      <c r="F3767">
        <v>3617</v>
      </c>
      <c r="G3767">
        <v>30</v>
      </c>
      <c r="H3767">
        <f t="shared" si="357"/>
        <v>0</v>
      </c>
      <c r="I3767" t="str">
        <f t="shared" si="355"/>
        <v>On Time</v>
      </c>
      <c r="J3767" cm="1">
        <f t="array" ref="J3767">_xlfn.IFS(H3767&lt;30,0,H3767&lt;60,1,H3767&lt;90,2,H3767&lt;120,3)</f>
        <v>0</v>
      </c>
      <c r="M3767" t="str">
        <f t="shared" si="356"/>
        <v>Low</v>
      </c>
      <c r="N3767" t="str">
        <f t="shared" si="353"/>
        <v>Jul</v>
      </c>
      <c r="O3767">
        <f t="shared" si="354"/>
        <v>2025</v>
      </c>
    </row>
    <row r="3768" spans="1:15" x14ac:dyDescent="0.3">
      <c r="A3768">
        <v>200803</v>
      </c>
      <c r="B3768" t="s">
        <v>70</v>
      </c>
      <c r="C3768" s="2">
        <v>45856</v>
      </c>
      <c r="D3768" s="2">
        <f t="shared" si="352"/>
        <v>45886</v>
      </c>
      <c r="E3768" s="1">
        <f>D3768+69</f>
        <v>45955</v>
      </c>
      <c r="F3768">
        <v>3505</v>
      </c>
      <c r="G3768">
        <v>30</v>
      </c>
      <c r="H3768">
        <f t="shared" si="357"/>
        <v>0</v>
      </c>
      <c r="I3768" t="str">
        <f t="shared" si="355"/>
        <v>On Time</v>
      </c>
      <c r="J3768" cm="1">
        <f t="array" ref="J3768">_xlfn.IFS(H3768&lt;30,0,H3768&lt;60,1,H3768&lt;90,2,H3768&lt;120,3)</f>
        <v>0</v>
      </c>
      <c r="M3768" t="str">
        <f t="shared" si="356"/>
        <v>Low</v>
      </c>
      <c r="N3768" t="str">
        <f t="shared" si="353"/>
        <v>Jul</v>
      </c>
      <c r="O3768">
        <f t="shared" si="354"/>
        <v>2025</v>
      </c>
    </row>
    <row r="3769" spans="1:15" x14ac:dyDescent="0.3">
      <c r="A3769">
        <v>200773</v>
      </c>
      <c r="B3769" t="s">
        <v>34</v>
      </c>
      <c r="C3769" s="2">
        <v>45855</v>
      </c>
      <c r="D3769" s="2">
        <f t="shared" si="352"/>
        <v>45915</v>
      </c>
      <c r="E3769" s="1">
        <f>D3769-1</f>
        <v>45914</v>
      </c>
      <c r="F3769">
        <v>2771</v>
      </c>
      <c r="G3769">
        <v>60</v>
      </c>
      <c r="H3769">
        <f t="shared" si="357"/>
        <v>0</v>
      </c>
      <c r="I3769" t="str">
        <f t="shared" si="355"/>
        <v>On Time</v>
      </c>
      <c r="J3769" cm="1">
        <f t="array" ref="J3769">_xlfn.IFS(H3769&lt;30,0,H3769&lt;60,1,H3769&lt;90,2,H3769&lt;120,3)</f>
        <v>0</v>
      </c>
      <c r="M3769" t="str">
        <f t="shared" si="356"/>
        <v>Low</v>
      </c>
      <c r="N3769" t="str">
        <f t="shared" si="353"/>
        <v>Jul</v>
      </c>
      <c r="O3769">
        <f t="shared" si="354"/>
        <v>2025</v>
      </c>
    </row>
    <row r="3770" spans="1:15" x14ac:dyDescent="0.3">
      <c r="A3770">
        <v>200774</v>
      </c>
      <c r="B3770" t="s">
        <v>35</v>
      </c>
      <c r="C3770" s="2">
        <v>45855</v>
      </c>
      <c r="D3770" s="2">
        <f t="shared" si="352"/>
        <v>45900</v>
      </c>
      <c r="E3770" s="1">
        <f>D3770</f>
        <v>45900</v>
      </c>
      <c r="F3770">
        <v>109</v>
      </c>
      <c r="G3770">
        <v>45</v>
      </c>
      <c r="H3770">
        <f t="shared" si="357"/>
        <v>0</v>
      </c>
      <c r="I3770" t="str">
        <f t="shared" si="355"/>
        <v>On Time</v>
      </c>
      <c r="J3770" cm="1">
        <f t="array" ref="J3770">_xlfn.IFS(H3770&lt;30,0,H3770&lt;60,1,H3770&lt;90,2,H3770&lt;120,3)</f>
        <v>0</v>
      </c>
      <c r="M3770" t="str">
        <f t="shared" si="356"/>
        <v>Low</v>
      </c>
      <c r="N3770" t="str">
        <f t="shared" si="353"/>
        <v>Jul</v>
      </c>
      <c r="O3770">
        <f t="shared" si="354"/>
        <v>2025</v>
      </c>
    </row>
    <row r="3771" spans="1:15" x14ac:dyDescent="0.3">
      <c r="A3771">
        <v>200775</v>
      </c>
      <c r="B3771" t="s">
        <v>36</v>
      </c>
      <c r="C3771" s="2">
        <v>45855</v>
      </c>
      <c r="D3771" s="2">
        <f t="shared" si="352"/>
        <v>45885</v>
      </c>
      <c r="E3771" s="1">
        <f>D3771+32</f>
        <v>45917</v>
      </c>
      <c r="F3771">
        <v>3317</v>
      </c>
      <c r="G3771">
        <v>30</v>
      </c>
      <c r="H3771">
        <f t="shared" si="357"/>
        <v>0</v>
      </c>
      <c r="I3771" t="str">
        <f t="shared" si="355"/>
        <v>On Time</v>
      </c>
      <c r="J3771" cm="1">
        <f t="array" ref="J3771">_xlfn.IFS(H3771&lt;30,0,H3771&lt;60,1,H3771&lt;90,2,H3771&lt;120,3)</f>
        <v>0</v>
      </c>
      <c r="M3771" t="str">
        <f t="shared" si="356"/>
        <v>Low</v>
      </c>
      <c r="N3771" t="str">
        <f t="shared" si="353"/>
        <v>Jul</v>
      </c>
      <c r="O3771">
        <f t="shared" si="354"/>
        <v>2025</v>
      </c>
    </row>
    <row r="3772" spans="1:15" x14ac:dyDescent="0.3">
      <c r="A3772">
        <v>200776</v>
      </c>
      <c r="B3772" t="s">
        <v>64</v>
      </c>
      <c r="C3772" s="2">
        <v>45855</v>
      </c>
      <c r="D3772" s="2">
        <f t="shared" si="352"/>
        <v>45885</v>
      </c>
      <c r="E3772" s="1">
        <f>D3772+15</f>
        <v>45900</v>
      </c>
      <c r="F3772">
        <v>1626</v>
      </c>
      <c r="G3772">
        <v>30</v>
      </c>
      <c r="H3772">
        <f t="shared" si="357"/>
        <v>0</v>
      </c>
      <c r="I3772" t="str">
        <f t="shared" si="355"/>
        <v>On Time</v>
      </c>
      <c r="J3772" cm="1">
        <f t="array" ref="J3772">_xlfn.IFS(H3772&lt;30,0,H3772&lt;60,1,H3772&lt;90,2,H3772&lt;120,3)</f>
        <v>0</v>
      </c>
      <c r="M3772" t="str">
        <f t="shared" si="356"/>
        <v>Low</v>
      </c>
      <c r="N3772" t="str">
        <f t="shared" si="353"/>
        <v>Jul</v>
      </c>
      <c r="O3772">
        <f t="shared" si="354"/>
        <v>2025</v>
      </c>
    </row>
    <row r="3773" spans="1:15" x14ac:dyDescent="0.3">
      <c r="A3773">
        <v>200777</v>
      </c>
      <c r="B3773" t="s">
        <v>45</v>
      </c>
      <c r="C3773" s="2">
        <v>45855</v>
      </c>
      <c r="D3773" s="2">
        <f t="shared" si="352"/>
        <v>45900</v>
      </c>
      <c r="E3773" s="1">
        <f>D3773</f>
        <v>45900</v>
      </c>
      <c r="F3773">
        <v>6792</v>
      </c>
      <c r="G3773">
        <v>45</v>
      </c>
      <c r="H3773">
        <f t="shared" si="357"/>
        <v>0</v>
      </c>
      <c r="I3773" t="str">
        <f t="shared" si="355"/>
        <v>On Time</v>
      </c>
      <c r="J3773" cm="1">
        <f t="array" ref="J3773">_xlfn.IFS(H3773&lt;30,0,H3773&lt;60,1,H3773&lt;90,2,H3773&lt;120,3)</f>
        <v>0</v>
      </c>
      <c r="M3773" t="str">
        <f t="shared" si="356"/>
        <v>Low</v>
      </c>
      <c r="N3773" t="str">
        <f t="shared" si="353"/>
        <v>Jul</v>
      </c>
      <c r="O3773">
        <f t="shared" si="354"/>
        <v>2025</v>
      </c>
    </row>
    <row r="3774" spans="1:15" x14ac:dyDescent="0.3">
      <c r="A3774">
        <v>200778</v>
      </c>
      <c r="B3774" t="s">
        <v>46</v>
      </c>
      <c r="C3774" s="2">
        <v>45855</v>
      </c>
      <c r="D3774" s="2">
        <f t="shared" si="352"/>
        <v>45915</v>
      </c>
      <c r="E3774" s="1">
        <f>D3774-2</f>
        <v>45913</v>
      </c>
      <c r="F3774">
        <v>17165</v>
      </c>
      <c r="G3774">
        <v>60</v>
      </c>
      <c r="H3774">
        <f t="shared" si="357"/>
        <v>0</v>
      </c>
      <c r="I3774" t="str">
        <f t="shared" si="355"/>
        <v>On Time</v>
      </c>
      <c r="J3774" cm="1">
        <f t="array" ref="J3774">_xlfn.IFS(H3774&lt;30,0,H3774&lt;60,1,H3774&lt;90,2,H3774&lt;120,3)</f>
        <v>0</v>
      </c>
      <c r="M3774" t="str">
        <f t="shared" si="356"/>
        <v>Low</v>
      </c>
      <c r="N3774" t="str">
        <f t="shared" si="353"/>
        <v>Jul</v>
      </c>
      <c r="O3774">
        <f t="shared" si="354"/>
        <v>2025</v>
      </c>
    </row>
    <row r="3775" spans="1:15" x14ac:dyDescent="0.3">
      <c r="A3775">
        <v>200779</v>
      </c>
      <c r="B3775" t="s">
        <v>114</v>
      </c>
      <c r="C3775" s="2">
        <v>45855</v>
      </c>
      <c r="D3775" s="2">
        <f t="shared" si="352"/>
        <v>45885</v>
      </c>
      <c r="E3775" s="1">
        <f>D3775</f>
        <v>45885</v>
      </c>
      <c r="F3775">
        <v>1550</v>
      </c>
      <c r="G3775">
        <v>30</v>
      </c>
      <c r="H3775">
        <f t="shared" si="357"/>
        <v>0</v>
      </c>
      <c r="I3775" t="str">
        <f t="shared" si="355"/>
        <v>On Time</v>
      </c>
      <c r="J3775" cm="1">
        <f t="array" ref="J3775">_xlfn.IFS(H3775&lt;30,0,H3775&lt;60,1,H3775&lt;90,2,H3775&lt;120,3)</f>
        <v>0</v>
      </c>
      <c r="M3775" t="str">
        <f t="shared" si="356"/>
        <v>Low</v>
      </c>
      <c r="N3775" t="str">
        <f t="shared" si="353"/>
        <v>Jul</v>
      </c>
      <c r="O3775">
        <f t="shared" si="354"/>
        <v>2025</v>
      </c>
    </row>
    <row r="3776" spans="1:15" x14ac:dyDescent="0.3">
      <c r="A3776">
        <v>200780</v>
      </c>
      <c r="B3776" t="s">
        <v>115</v>
      </c>
      <c r="C3776" s="2">
        <v>45855</v>
      </c>
      <c r="D3776" s="2">
        <f t="shared" si="352"/>
        <v>45885</v>
      </c>
      <c r="E3776" s="1">
        <f>D3776+2</f>
        <v>45887</v>
      </c>
      <c r="F3776">
        <v>8356</v>
      </c>
      <c r="G3776">
        <v>30</v>
      </c>
      <c r="H3776">
        <f t="shared" si="357"/>
        <v>0</v>
      </c>
      <c r="I3776" t="str">
        <f t="shared" si="355"/>
        <v>On Time</v>
      </c>
      <c r="J3776" cm="1">
        <f t="array" ref="J3776">_xlfn.IFS(H3776&lt;30,0,H3776&lt;60,1,H3776&lt;90,2,H3776&lt;120,3)</f>
        <v>0</v>
      </c>
      <c r="M3776" t="str">
        <f t="shared" si="356"/>
        <v>Low</v>
      </c>
      <c r="N3776" t="str">
        <f t="shared" si="353"/>
        <v>Jul</v>
      </c>
      <c r="O3776">
        <f t="shared" si="354"/>
        <v>2025</v>
      </c>
    </row>
    <row r="3777" spans="1:15" x14ac:dyDescent="0.3">
      <c r="A3777">
        <v>200781</v>
      </c>
      <c r="B3777" t="s">
        <v>116</v>
      </c>
      <c r="C3777" s="2">
        <v>45855</v>
      </c>
      <c r="D3777" s="2">
        <f t="shared" si="352"/>
        <v>45885</v>
      </c>
      <c r="E3777" s="1">
        <f>D3777+2</f>
        <v>45887</v>
      </c>
      <c r="F3777">
        <v>3666</v>
      </c>
      <c r="G3777">
        <v>30</v>
      </c>
      <c r="H3777">
        <f t="shared" si="357"/>
        <v>0</v>
      </c>
      <c r="I3777" t="str">
        <f t="shared" si="355"/>
        <v>On Time</v>
      </c>
      <c r="J3777" cm="1">
        <f t="array" ref="J3777">_xlfn.IFS(H3777&lt;30,0,H3777&lt;60,1,H3777&lt;90,2,H3777&lt;120,3)</f>
        <v>0</v>
      </c>
      <c r="M3777" t="str">
        <f t="shared" si="356"/>
        <v>Low</v>
      </c>
      <c r="N3777" t="str">
        <f t="shared" si="353"/>
        <v>Jul</v>
      </c>
      <c r="O3777">
        <f t="shared" si="354"/>
        <v>2025</v>
      </c>
    </row>
    <row r="3778" spans="1:15" x14ac:dyDescent="0.3">
      <c r="A3778">
        <v>200782</v>
      </c>
      <c r="B3778" t="s">
        <v>117</v>
      </c>
      <c r="C3778" s="2">
        <v>45855</v>
      </c>
      <c r="D3778" s="2">
        <f t="shared" ref="D3778:D3841" si="358">C3778+G3778</f>
        <v>45885</v>
      </c>
      <c r="E3778" s="1">
        <f>D3778+2</f>
        <v>45887</v>
      </c>
      <c r="F3778">
        <v>1172</v>
      </c>
      <c r="G3778">
        <v>30</v>
      </c>
      <c r="H3778">
        <f t="shared" si="357"/>
        <v>0</v>
      </c>
      <c r="I3778" t="str">
        <f t="shared" si="355"/>
        <v>On Time</v>
      </c>
      <c r="J3778" cm="1">
        <f t="array" ref="J3778">_xlfn.IFS(H3778&lt;30,0,H3778&lt;60,1,H3778&lt;90,2,H3778&lt;120,3)</f>
        <v>0</v>
      </c>
      <c r="M3778" t="str">
        <f t="shared" si="356"/>
        <v>Low</v>
      </c>
      <c r="N3778" t="str">
        <f t="shared" ref="N3778:N3841" si="359">TEXT(C3778,"mmm")</f>
        <v>Jul</v>
      </c>
      <c r="O3778">
        <f t="shared" ref="O3778:O3841" si="360">YEAR(C3778)</f>
        <v>2025</v>
      </c>
    </row>
    <row r="3779" spans="1:15" x14ac:dyDescent="0.3">
      <c r="A3779">
        <v>200783</v>
      </c>
      <c r="B3779" t="s">
        <v>118</v>
      </c>
      <c r="C3779" s="2">
        <v>45855</v>
      </c>
      <c r="D3779" s="2">
        <f t="shared" si="358"/>
        <v>45885</v>
      </c>
      <c r="E3779" s="1">
        <f>D3779</f>
        <v>45885</v>
      </c>
      <c r="F3779">
        <v>2493</v>
      </c>
      <c r="G3779">
        <v>30</v>
      </c>
      <c r="H3779">
        <f t="shared" si="357"/>
        <v>0</v>
      </c>
      <c r="I3779" t="str">
        <f t="shared" si="355"/>
        <v>On Time</v>
      </c>
      <c r="J3779" cm="1">
        <f t="array" ref="J3779">_xlfn.IFS(H3779&lt;30,0,H3779&lt;60,1,H3779&lt;90,2,H3779&lt;120,3)</f>
        <v>0</v>
      </c>
      <c r="M3779" t="str">
        <f t="shared" si="356"/>
        <v>Low</v>
      </c>
      <c r="N3779" t="str">
        <f t="shared" si="359"/>
        <v>Jul</v>
      </c>
      <c r="O3779">
        <f t="shared" si="360"/>
        <v>2025</v>
      </c>
    </row>
    <row r="3780" spans="1:15" x14ac:dyDescent="0.3">
      <c r="A3780">
        <v>200784</v>
      </c>
      <c r="B3780" t="s">
        <v>119</v>
      </c>
      <c r="C3780" s="2">
        <v>45855</v>
      </c>
      <c r="D3780" s="2">
        <f t="shared" si="358"/>
        <v>45885</v>
      </c>
      <c r="E3780" s="1">
        <f>D3780+20</f>
        <v>45905</v>
      </c>
      <c r="F3780">
        <v>4442</v>
      </c>
      <c r="G3780">
        <v>30</v>
      </c>
      <c r="H3780">
        <f t="shared" si="357"/>
        <v>0</v>
      </c>
      <c r="I3780" t="str">
        <f t="shared" si="355"/>
        <v>On Time</v>
      </c>
      <c r="J3780" cm="1">
        <f t="array" ref="J3780">_xlfn.IFS(H3780&lt;30,0,H3780&lt;60,1,H3780&lt;90,2,H3780&lt;120,3)</f>
        <v>0</v>
      </c>
      <c r="M3780" t="str">
        <f t="shared" si="356"/>
        <v>Low</v>
      </c>
      <c r="N3780" t="str">
        <f t="shared" si="359"/>
        <v>Jul</v>
      </c>
      <c r="O3780">
        <f t="shared" si="360"/>
        <v>2025</v>
      </c>
    </row>
    <row r="3781" spans="1:15" x14ac:dyDescent="0.3">
      <c r="A3781">
        <v>200785</v>
      </c>
      <c r="B3781" t="s">
        <v>100</v>
      </c>
      <c r="C3781" s="2">
        <v>45855</v>
      </c>
      <c r="D3781" s="2">
        <f t="shared" si="358"/>
        <v>45885</v>
      </c>
      <c r="E3781" s="1">
        <f>D3781</f>
        <v>45885</v>
      </c>
      <c r="F3781">
        <v>1505</v>
      </c>
      <c r="G3781">
        <v>30</v>
      </c>
      <c r="H3781">
        <f t="shared" si="357"/>
        <v>0</v>
      </c>
      <c r="I3781" t="str">
        <f t="shared" si="355"/>
        <v>On Time</v>
      </c>
      <c r="J3781" cm="1">
        <f t="array" ref="J3781">_xlfn.IFS(H3781&lt;30,0,H3781&lt;60,1,H3781&lt;90,2,H3781&lt;120,3)</f>
        <v>0</v>
      </c>
      <c r="M3781" t="str">
        <f t="shared" si="356"/>
        <v>Low</v>
      </c>
      <c r="N3781" t="str">
        <f t="shared" si="359"/>
        <v>Jul</v>
      </c>
      <c r="O3781">
        <f t="shared" si="360"/>
        <v>2025</v>
      </c>
    </row>
    <row r="3782" spans="1:15" x14ac:dyDescent="0.3">
      <c r="A3782">
        <v>200786</v>
      </c>
      <c r="B3782" t="s">
        <v>101</v>
      </c>
      <c r="C3782" s="2">
        <v>45855</v>
      </c>
      <c r="D3782" s="2">
        <f t="shared" si="358"/>
        <v>45885</v>
      </c>
      <c r="E3782" s="1">
        <f>D3782+1</f>
        <v>45886</v>
      </c>
      <c r="F3782">
        <v>19808</v>
      </c>
      <c r="G3782">
        <v>30</v>
      </c>
      <c r="H3782">
        <f t="shared" si="357"/>
        <v>0</v>
      </c>
      <c r="I3782" t="str">
        <f t="shared" si="355"/>
        <v>On Time</v>
      </c>
      <c r="J3782" cm="1">
        <f t="array" ref="J3782">_xlfn.IFS(H3782&lt;30,0,H3782&lt;60,1,H3782&lt;90,2,H3782&lt;120,3)</f>
        <v>0</v>
      </c>
      <c r="M3782" t="str">
        <f t="shared" si="356"/>
        <v>Low</v>
      </c>
      <c r="N3782" t="str">
        <f t="shared" si="359"/>
        <v>Jul</v>
      </c>
      <c r="O3782">
        <f t="shared" si="360"/>
        <v>2025</v>
      </c>
    </row>
    <row r="3783" spans="1:15" x14ac:dyDescent="0.3">
      <c r="A3783">
        <v>200787</v>
      </c>
      <c r="B3783" t="s">
        <v>102</v>
      </c>
      <c r="C3783" s="2">
        <v>45855</v>
      </c>
      <c r="D3783" s="2">
        <f t="shared" si="358"/>
        <v>45885</v>
      </c>
      <c r="E3783" s="1">
        <f>D3783</f>
        <v>45885</v>
      </c>
      <c r="F3783">
        <v>1142</v>
      </c>
      <c r="G3783">
        <v>30</v>
      </c>
      <c r="H3783">
        <f t="shared" si="357"/>
        <v>0</v>
      </c>
      <c r="I3783" t="str">
        <f t="shared" si="355"/>
        <v>On Time</v>
      </c>
      <c r="J3783" cm="1">
        <f t="array" ref="J3783">_xlfn.IFS(H3783&lt;30,0,H3783&lt;60,1,H3783&lt;90,2,H3783&lt;120,3)</f>
        <v>0</v>
      </c>
      <c r="M3783" t="str">
        <f t="shared" si="356"/>
        <v>Low</v>
      </c>
      <c r="N3783" t="str">
        <f t="shared" si="359"/>
        <v>Jul</v>
      </c>
      <c r="O3783">
        <f t="shared" si="360"/>
        <v>2025</v>
      </c>
    </row>
    <row r="3784" spans="1:15" x14ac:dyDescent="0.3">
      <c r="A3784">
        <v>200788</v>
      </c>
      <c r="B3784" t="s">
        <v>103</v>
      </c>
      <c r="C3784" s="2">
        <v>45855</v>
      </c>
      <c r="D3784" s="2">
        <f t="shared" si="358"/>
        <v>45885</v>
      </c>
      <c r="E3784" s="1">
        <f>D3784</f>
        <v>45885</v>
      </c>
      <c r="F3784">
        <v>987</v>
      </c>
      <c r="G3784">
        <v>30</v>
      </c>
      <c r="H3784">
        <f t="shared" si="357"/>
        <v>0</v>
      </c>
      <c r="I3784" t="str">
        <f t="shared" si="355"/>
        <v>On Time</v>
      </c>
      <c r="J3784" cm="1">
        <f t="array" ref="J3784">_xlfn.IFS(H3784&lt;30,0,H3784&lt;60,1,H3784&lt;90,2,H3784&lt;120,3)</f>
        <v>0</v>
      </c>
      <c r="M3784" t="str">
        <f t="shared" si="356"/>
        <v>Low</v>
      </c>
      <c r="N3784" t="str">
        <f t="shared" si="359"/>
        <v>Jul</v>
      </c>
      <c r="O3784">
        <f t="shared" si="360"/>
        <v>2025</v>
      </c>
    </row>
    <row r="3785" spans="1:15" x14ac:dyDescent="0.3">
      <c r="A3785">
        <v>200755</v>
      </c>
      <c r="B3785" t="s">
        <v>70</v>
      </c>
      <c r="C3785" s="2">
        <v>45854</v>
      </c>
      <c r="D3785" s="2">
        <f t="shared" si="358"/>
        <v>45884</v>
      </c>
      <c r="E3785" s="1">
        <f>D3785</f>
        <v>45884</v>
      </c>
      <c r="F3785">
        <v>720</v>
      </c>
      <c r="G3785">
        <v>30</v>
      </c>
      <c r="H3785">
        <f t="shared" si="357"/>
        <v>0</v>
      </c>
      <c r="I3785" t="str">
        <f t="shared" si="355"/>
        <v>On Time</v>
      </c>
      <c r="J3785" cm="1">
        <f t="array" ref="J3785">_xlfn.IFS(H3785&lt;30,0,H3785&lt;60,1,H3785&lt;90,2,H3785&lt;120,3)</f>
        <v>0</v>
      </c>
      <c r="M3785" t="str">
        <f t="shared" si="356"/>
        <v>Low</v>
      </c>
      <c r="N3785" t="str">
        <f t="shared" si="359"/>
        <v>Jul</v>
      </c>
      <c r="O3785">
        <f t="shared" si="360"/>
        <v>2025</v>
      </c>
    </row>
    <row r="3786" spans="1:15" x14ac:dyDescent="0.3">
      <c r="A3786">
        <v>200756</v>
      </c>
      <c r="B3786" t="s">
        <v>71</v>
      </c>
      <c r="C3786" s="2">
        <v>45854</v>
      </c>
      <c r="D3786" s="2">
        <f t="shared" si="358"/>
        <v>45884</v>
      </c>
      <c r="E3786" s="1">
        <f>D3786+5</f>
        <v>45889</v>
      </c>
      <c r="F3786">
        <v>4405</v>
      </c>
      <c r="G3786">
        <v>30</v>
      </c>
      <c r="H3786">
        <f t="shared" si="357"/>
        <v>0</v>
      </c>
      <c r="I3786" t="str">
        <f t="shared" si="355"/>
        <v>On Time</v>
      </c>
      <c r="J3786" cm="1">
        <f t="array" ref="J3786">_xlfn.IFS(H3786&lt;30,0,H3786&lt;60,1,H3786&lt;90,2,H3786&lt;120,3)</f>
        <v>0</v>
      </c>
      <c r="M3786" t="str">
        <f t="shared" si="356"/>
        <v>Low</v>
      </c>
      <c r="N3786" t="str">
        <f t="shared" si="359"/>
        <v>Jul</v>
      </c>
      <c r="O3786">
        <f t="shared" si="360"/>
        <v>2025</v>
      </c>
    </row>
    <row r="3787" spans="1:15" x14ac:dyDescent="0.3">
      <c r="A3787">
        <v>200757</v>
      </c>
      <c r="B3787" t="s">
        <v>72</v>
      </c>
      <c r="C3787" s="2">
        <v>45854</v>
      </c>
      <c r="D3787" s="2">
        <f t="shared" si="358"/>
        <v>45884</v>
      </c>
      <c r="E3787" s="1">
        <f>D3787+2</f>
        <v>45886</v>
      </c>
      <c r="F3787">
        <v>14438</v>
      </c>
      <c r="G3787">
        <v>30</v>
      </c>
      <c r="H3787">
        <f t="shared" si="357"/>
        <v>0</v>
      </c>
      <c r="I3787" t="str">
        <f t="shared" si="355"/>
        <v>On Time</v>
      </c>
      <c r="J3787" cm="1">
        <f t="array" ref="J3787">_xlfn.IFS(H3787&lt;30,0,H3787&lt;60,1,H3787&lt;90,2,H3787&lt;120,3)</f>
        <v>0</v>
      </c>
      <c r="M3787" t="str">
        <f t="shared" si="356"/>
        <v>Low</v>
      </c>
      <c r="N3787" t="str">
        <f t="shared" si="359"/>
        <v>Jul</v>
      </c>
      <c r="O3787">
        <f t="shared" si="360"/>
        <v>2025</v>
      </c>
    </row>
    <row r="3788" spans="1:15" x14ac:dyDescent="0.3">
      <c r="A3788">
        <v>200758</v>
      </c>
      <c r="B3788" t="s">
        <v>73</v>
      </c>
      <c r="C3788" s="2">
        <v>45854</v>
      </c>
      <c r="D3788" s="2">
        <f t="shared" si="358"/>
        <v>45899</v>
      </c>
      <c r="E3788" s="1">
        <f>D3788+5</f>
        <v>45904</v>
      </c>
      <c r="F3788">
        <v>2322</v>
      </c>
      <c r="G3788">
        <v>45</v>
      </c>
      <c r="H3788">
        <f t="shared" si="357"/>
        <v>0</v>
      </c>
      <c r="I3788" t="str">
        <f t="shared" si="355"/>
        <v>On Time</v>
      </c>
      <c r="J3788" cm="1">
        <f t="array" ref="J3788">_xlfn.IFS(H3788&lt;30,0,H3788&lt;60,1,H3788&lt;90,2,H3788&lt;120,3)</f>
        <v>0</v>
      </c>
      <c r="M3788" t="str">
        <f t="shared" si="356"/>
        <v>Low</v>
      </c>
      <c r="N3788" t="str">
        <f t="shared" si="359"/>
        <v>Jul</v>
      </c>
      <c r="O3788">
        <f t="shared" si="360"/>
        <v>2025</v>
      </c>
    </row>
    <row r="3789" spans="1:15" x14ac:dyDescent="0.3">
      <c r="A3789">
        <v>200759</v>
      </c>
      <c r="B3789" t="s">
        <v>101</v>
      </c>
      <c r="C3789" s="2">
        <v>45854</v>
      </c>
      <c r="D3789" s="2">
        <f t="shared" si="358"/>
        <v>45884</v>
      </c>
      <c r="E3789" s="1">
        <f>D3789</f>
        <v>45884</v>
      </c>
      <c r="F3789">
        <v>18509</v>
      </c>
      <c r="G3789">
        <v>30</v>
      </c>
      <c r="H3789">
        <f t="shared" si="357"/>
        <v>0</v>
      </c>
      <c r="I3789" t="str">
        <f t="shared" si="355"/>
        <v>On Time</v>
      </c>
      <c r="J3789" cm="1">
        <f t="array" ref="J3789">_xlfn.IFS(H3789&lt;30,0,H3789&lt;60,1,H3789&lt;90,2,H3789&lt;120,3)</f>
        <v>0</v>
      </c>
      <c r="M3789" t="str">
        <f t="shared" si="356"/>
        <v>Low</v>
      </c>
      <c r="N3789" t="str">
        <f t="shared" si="359"/>
        <v>Jul</v>
      </c>
      <c r="O3789">
        <f t="shared" si="360"/>
        <v>2025</v>
      </c>
    </row>
    <row r="3790" spans="1:15" x14ac:dyDescent="0.3">
      <c r="A3790">
        <v>200760</v>
      </c>
      <c r="B3790" t="s">
        <v>102</v>
      </c>
      <c r="C3790" s="2">
        <v>45854</v>
      </c>
      <c r="D3790" s="2">
        <f t="shared" si="358"/>
        <v>45884</v>
      </c>
      <c r="E3790" s="1">
        <f>D3790</f>
        <v>45884</v>
      </c>
      <c r="F3790">
        <v>1771</v>
      </c>
      <c r="G3790">
        <v>30</v>
      </c>
      <c r="H3790">
        <f t="shared" si="357"/>
        <v>0</v>
      </c>
      <c r="I3790" t="str">
        <f t="shared" si="355"/>
        <v>On Time</v>
      </c>
      <c r="J3790" cm="1">
        <f t="array" ref="J3790">_xlfn.IFS(H3790&lt;30,0,H3790&lt;60,1,H3790&lt;90,2,H3790&lt;120,3)</f>
        <v>0</v>
      </c>
      <c r="M3790" t="str">
        <f t="shared" si="356"/>
        <v>Low</v>
      </c>
      <c r="N3790" t="str">
        <f t="shared" si="359"/>
        <v>Jul</v>
      </c>
      <c r="O3790">
        <f t="shared" si="360"/>
        <v>2025</v>
      </c>
    </row>
    <row r="3791" spans="1:15" x14ac:dyDescent="0.3">
      <c r="A3791">
        <v>200761</v>
      </c>
      <c r="B3791" t="s">
        <v>103</v>
      </c>
      <c r="C3791" s="2">
        <v>45854</v>
      </c>
      <c r="D3791" s="2">
        <f t="shared" si="358"/>
        <v>45884</v>
      </c>
      <c r="E3791" s="1">
        <f>D3791+60</f>
        <v>45944</v>
      </c>
      <c r="F3791">
        <v>4251</v>
      </c>
      <c r="G3791">
        <v>30</v>
      </c>
      <c r="H3791">
        <f t="shared" si="357"/>
        <v>0</v>
      </c>
      <c r="I3791" t="str">
        <f t="shared" si="355"/>
        <v>On Time</v>
      </c>
      <c r="J3791" cm="1">
        <f t="array" ref="J3791">_xlfn.IFS(H3791&lt;30,0,H3791&lt;60,1,H3791&lt;90,2,H3791&lt;120,3)</f>
        <v>0</v>
      </c>
      <c r="M3791" t="str">
        <f t="shared" si="356"/>
        <v>Low</v>
      </c>
      <c r="N3791" t="str">
        <f t="shared" si="359"/>
        <v>Jul</v>
      </c>
      <c r="O3791">
        <f t="shared" si="360"/>
        <v>2025</v>
      </c>
    </row>
    <row r="3792" spans="1:15" x14ac:dyDescent="0.3">
      <c r="A3792">
        <v>200762</v>
      </c>
      <c r="B3792" t="s">
        <v>104</v>
      </c>
      <c r="C3792" s="2">
        <v>45854</v>
      </c>
      <c r="D3792" s="2">
        <f t="shared" si="358"/>
        <v>45884</v>
      </c>
      <c r="E3792" s="1">
        <f>D3792</f>
        <v>45884</v>
      </c>
      <c r="F3792">
        <v>2366</v>
      </c>
      <c r="G3792">
        <v>30</v>
      </c>
      <c r="H3792">
        <f t="shared" si="357"/>
        <v>0</v>
      </c>
      <c r="I3792" t="str">
        <f t="shared" si="355"/>
        <v>On Time</v>
      </c>
      <c r="J3792" cm="1">
        <f t="array" ref="J3792">_xlfn.IFS(H3792&lt;30,0,H3792&lt;60,1,H3792&lt;90,2,H3792&lt;120,3)</f>
        <v>0</v>
      </c>
      <c r="M3792" t="str">
        <f t="shared" si="356"/>
        <v>Low</v>
      </c>
      <c r="N3792" t="str">
        <f t="shared" si="359"/>
        <v>Jul</v>
      </c>
      <c r="O3792">
        <f t="shared" si="360"/>
        <v>2025</v>
      </c>
    </row>
    <row r="3793" spans="1:15" x14ac:dyDescent="0.3">
      <c r="A3793">
        <v>200763</v>
      </c>
      <c r="B3793" t="s">
        <v>105</v>
      </c>
      <c r="C3793" s="2">
        <v>45854</v>
      </c>
      <c r="D3793" s="2">
        <f t="shared" si="358"/>
        <v>45884</v>
      </c>
      <c r="F3793">
        <v>4127</v>
      </c>
      <c r="G3793">
        <v>30</v>
      </c>
      <c r="H3793">
        <f t="shared" si="357"/>
        <v>0</v>
      </c>
      <c r="I3793" t="str">
        <f t="shared" si="355"/>
        <v>On Time</v>
      </c>
      <c r="J3793" cm="1">
        <f t="array" ref="J3793">_xlfn.IFS(H3793&lt;30,0,H3793&lt;60,1,H3793&lt;90,2,H3793&lt;120,3)</f>
        <v>0</v>
      </c>
      <c r="M3793" t="str">
        <f t="shared" si="356"/>
        <v>Low</v>
      </c>
      <c r="N3793" t="str">
        <f t="shared" si="359"/>
        <v>Jul</v>
      </c>
      <c r="O3793">
        <f t="shared" si="360"/>
        <v>2025</v>
      </c>
    </row>
    <row r="3794" spans="1:15" x14ac:dyDescent="0.3">
      <c r="A3794">
        <v>200764</v>
      </c>
      <c r="B3794" t="s">
        <v>114</v>
      </c>
      <c r="C3794" s="2">
        <v>45854</v>
      </c>
      <c r="D3794" s="2">
        <f t="shared" si="358"/>
        <v>45884</v>
      </c>
      <c r="E3794" s="1">
        <f>D3794+3</f>
        <v>45887</v>
      </c>
      <c r="F3794">
        <v>555</v>
      </c>
      <c r="G3794">
        <v>30</v>
      </c>
      <c r="H3794">
        <f t="shared" si="357"/>
        <v>0</v>
      </c>
      <c r="I3794" t="str">
        <f t="shared" si="355"/>
        <v>On Time</v>
      </c>
      <c r="J3794" cm="1">
        <f t="array" ref="J3794">_xlfn.IFS(H3794&lt;30,0,H3794&lt;60,1,H3794&lt;90,2,H3794&lt;120,3)</f>
        <v>0</v>
      </c>
      <c r="M3794" t="str">
        <f t="shared" si="356"/>
        <v>Low</v>
      </c>
      <c r="N3794" t="str">
        <f t="shared" si="359"/>
        <v>Jul</v>
      </c>
      <c r="O3794">
        <f t="shared" si="360"/>
        <v>2025</v>
      </c>
    </row>
    <row r="3795" spans="1:15" x14ac:dyDescent="0.3">
      <c r="A3795">
        <v>200765</v>
      </c>
      <c r="B3795" t="s">
        <v>115</v>
      </c>
      <c r="C3795" s="2">
        <v>45854</v>
      </c>
      <c r="D3795" s="2">
        <f t="shared" si="358"/>
        <v>45884</v>
      </c>
      <c r="E3795" s="1">
        <f>D3795+1</f>
        <v>45885</v>
      </c>
      <c r="F3795">
        <v>894</v>
      </c>
      <c r="G3795">
        <v>30</v>
      </c>
      <c r="H3795">
        <f t="shared" si="357"/>
        <v>0</v>
      </c>
      <c r="I3795" t="str">
        <f t="shared" si="355"/>
        <v>On Time</v>
      </c>
      <c r="J3795" cm="1">
        <f t="array" ref="J3795">_xlfn.IFS(H3795&lt;30,0,H3795&lt;60,1,H3795&lt;90,2,H3795&lt;120,3)</f>
        <v>0</v>
      </c>
      <c r="M3795" t="str">
        <f t="shared" si="356"/>
        <v>Low</v>
      </c>
      <c r="N3795" t="str">
        <f t="shared" si="359"/>
        <v>Jul</v>
      </c>
      <c r="O3795">
        <f t="shared" si="360"/>
        <v>2025</v>
      </c>
    </row>
    <row r="3796" spans="1:15" x14ac:dyDescent="0.3">
      <c r="A3796">
        <v>200766</v>
      </c>
      <c r="B3796" t="s">
        <v>116</v>
      </c>
      <c r="C3796" s="2">
        <v>45854</v>
      </c>
      <c r="D3796" s="2">
        <f t="shared" si="358"/>
        <v>45884</v>
      </c>
      <c r="E3796" s="1">
        <f>D3796-1</f>
        <v>45883</v>
      </c>
      <c r="F3796">
        <v>3605</v>
      </c>
      <c r="G3796">
        <v>30</v>
      </c>
      <c r="H3796">
        <f t="shared" si="357"/>
        <v>0</v>
      </c>
      <c r="I3796" t="str">
        <f t="shared" si="355"/>
        <v>On Time</v>
      </c>
      <c r="J3796" cm="1">
        <f t="array" ref="J3796">_xlfn.IFS(H3796&lt;30,0,H3796&lt;60,1,H3796&lt;90,2,H3796&lt;120,3)</f>
        <v>0</v>
      </c>
      <c r="M3796" t="str">
        <f t="shared" si="356"/>
        <v>Low</v>
      </c>
      <c r="N3796" t="str">
        <f t="shared" si="359"/>
        <v>Jul</v>
      </c>
      <c r="O3796">
        <f t="shared" si="360"/>
        <v>2025</v>
      </c>
    </row>
    <row r="3797" spans="1:15" x14ac:dyDescent="0.3">
      <c r="A3797">
        <v>200767</v>
      </c>
      <c r="B3797" t="s">
        <v>117</v>
      </c>
      <c r="C3797" s="2">
        <v>45854</v>
      </c>
      <c r="D3797" s="2">
        <f t="shared" si="358"/>
        <v>45884</v>
      </c>
      <c r="E3797" s="1">
        <f>D3797</f>
        <v>45884</v>
      </c>
      <c r="F3797">
        <v>2812</v>
      </c>
      <c r="G3797">
        <v>30</v>
      </c>
      <c r="H3797">
        <f t="shared" si="357"/>
        <v>0</v>
      </c>
      <c r="I3797" t="str">
        <f t="shared" si="355"/>
        <v>On Time</v>
      </c>
      <c r="J3797" cm="1">
        <f t="array" ref="J3797">_xlfn.IFS(H3797&lt;30,0,H3797&lt;60,1,H3797&lt;90,2,H3797&lt;120,3)</f>
        <v>0</v>
      </c>
      <c r="M3797" t="str">
        <f t="shared" si="356"/>
        <v>Low</v>
      </c>
      <c r="N3797" t="str">
        <f t="shared" si="359"/>
        <v>Jul</v>
      </c>
      <c r="O3797">
        <f t="shared" si="360"/>
        <v>2025</v>
      </c>
    </row>
    <row r="3798" spans="1:15" x14ac:dyDescent="0.3">
      <c r="A3798">
        <v>200768</v>
      </c>
      <c r="B3798" t="s">
        <v>118</v>
      </c>
      <c r="C3798" s="2">
        <v>45854</v>
      </c>
      <c r="D3798" s="2">
        <f t="shared" si="358"/>
        <v>45884</v>
      </c>
      <c r="E3798" s="1">
        <f>D3798-5</f>
        <v>45879</v>
      </c>
      <c r="F3798">
        <v>3351</v>
      </c>
      <c r="G3798">
        <v>30</v>
      </c>
      <c r="H3798">
        <f t="shared" si="357"/>
        <v>0</v>
      </c>
      <c r="I3798" t="str">
        <f t="shared" ref="I3798:I3861" si="361">IF(H3798=0,"On Time",IF(H3798&lt;=15,"Paid Late","Seriously Late"))</f>
        <v>On Time</v>
      </c>
      <c r="J3798" cm="1">
        <f t="array" ref="J3798">_xlfn.IFS(H3798&lt;30,0,H3798&lt;60,1,H3798&lt;90,2,H3798&lt;120,3)</f>
        <v>0</v>
      </c>
      <c r="M3798" t="str">
        <f t="shared" ref="M3798:M3861" si="362">IF(H3798&gt;30,"High",IF(H3798&gt;10,"Medium","Low"))</f>
        <v>Low</v>
      </c>
      <c r="N3798" t="str">
        <f t="shared" si="359"/>
        <v>Jul</v>
      </c>
      <c r="O3798">
        <f t="shared" si="360"/>
        <v>2025</v>
      </c>
    </row>
    <row r="3799" spans="1:15" x14ac:dyDescent="0.3">
      <c r="A3799">
        <v>200769</v>
      </c>
      <c r="B3799" t="s">
        <v>119</v>
      </c>
      <c r="C3799" s="2">
        <v>45854</v>
      </c>
      <c r="D3799" s="2">
        <f t="shared" si="358"/>
        <v>45884</v>
      </c>
      <c r="E3799" s="1">
        <f>D3799+35</f>
        <v>45919</v>
      </c>
      <c r="F3799">
        <v>308</v>
      </c>
      <c r="G3799">
        <v>30</v>
      </c>
      <c r="H3799">
        <f t="shared" si="357"/>
        <v>0</v>
      </c>
      <c r="I3799" t="str">
        <f t="shared" si="361"/>
        <v>On Time</v>
      </c>
      <c r="J3799" cm="1">
        <f t="array" ref="J3799">_xlfn.IFS(H3799&lt;30,0,H3799&lt;60,1,H3799&lt;90,2,H3799&lt;120,3)</f>
        <v>0</v>
      </c>
      <c r="M3799" t="str">
        <f t="shared" si="362"/>
        <v>Low</v>
      </c>
      <c r="N3799" t="str">
        <f t="shared" si="359"/>
        <v>Jul</v>
      </c>
      <c r="O3799">
        <f t="shared" si="360"/>
        <v>2025</v>
      </c>
    </row>
    <row r="3800" spans="1:15" x14ac:dyDescent="0.3">
      <c r="A3800">
        <v>200770</v>
      </c>
      <c r="B3800" t="s">
        <v>31</v>
      </c>
      <c r="C3800" s="2">
        <v>45854</v>
      </c>
      <c r="D3800" s="2">
        <f t="shared" si="358"/>
        <v>45899</v>
      </c>
      <c r="E3800" s="1">
        <f>D3800+75</f>
        <v>45974</v>
      </c>
      <c r="F3800">
        <v>2719</v>
      </c>
      <c r="G3800">
        <v>45</v>
      </c>
      <c r="H3800">
        <f t="shared" si="357"/>
        <v>0</v>
      </c>
      <c r="I3800" t="str">
        <f t="shared" si="361"/>
        <v>On Time</v>
      </c>
      <c r="J3800" cm="1">
        <f t="array" ref="J3800">_xlfn.IFS(H3800&lt;30,0,H3800&lt;60,1,H3800&lt;90,2,H3800&lt;120,3)</f>
        <v>0</v>
      </c>
      <c r="M3800" t="str">
        <f t="shared" si="362"/>
        <v>Low</v>
      </c>
      <c r="N3800" t="str">
        <f t="shared" si="359"/>
        <v>Jul</v>
      </c>
      <c r="O3800">
        <f t="shared" si="360"/>
        <v>2025</v>
      </c>
    </row>
    <row r="3801" spans="1:15" x14ac:dyDescent="0.3">
      <c r="A3801">
        <v>200771</v>
      </c>
      <c r="B3801" t="s">
        <v>32</v>
      </c>
      <c r="C3801" s="2">
        <v>45854</v>
      </c>
      <c r="D3801" s="2">
        <f t="shared" si="358"/>
        <v>45899</v>
      </c>
      <c r="E3801" s="1">
        <f>D3801+5</f>
        <v>45904</v>
      </c>
      <c r="F3801">
        <v>3374</v>
      </c>
      <c r="G3801">
        <v>45</v>
      </c>
      <c r="H3801">
        <f t="shared" si="357"/>
        <v>0</v>
      </c>
      <c r="I3801" t="str">
        <f t="shared" si="361"/>
        <v>On Time</v>
      </c>
      <c r="J3801" cm="1">
        <f t="array" ref="J3801">_xlfn.IFS(H3801&lt;30,0,H3801&lt;60,1,H3801&lt;90,2,H3801&lt;120,3)</f>
        <v>0</v>
      </c>
      <c r="M3801" t="str">
        <f t="shared" si="362"/>
        <v>Low</v>
      </c>
      <c r="N3801" t="str">
        <f t="shared" si="359"/>
        <v>Jul</v>
      </c>
      <c r="O3801">
        <f t="shared" si="360"/>
        <v>2025</v>
      </c>
    </row>
    <row r="3802" spans="1:15" x14ac:dyDescent="0.3">
      <c r="A3802">
        <v>200772</v>
      </c>
      <c r="B3802" t="s">
        <v>33</v>
      </c>
      <c r="C3802" s="2">
        <v>45854</v>
      </c>
      <c r="D3802" s="2">
        <f t="shared" si="358"/>
        <v>45884</v>
      </c>
      <c r="E3802" s="1">
        <f>D3802</f>
        <v>45884</v>
      </c>
      <c r="F3802">
        <v>2925</v>
      </c>
      <c r="G3802">
        <v>30</v>
      </c>
      <c r="H3802">
        <f t="shared" si="357"/>
        <v>0</v>
      </c>
      <c r="I3802" t="str">
        <f t="shared" si="361"/>
        <v>On Time</v>
      </c>
      <c r="J3802" cm="1">
        <f t="array" ref="J3802">_xlfn.IFS(H3802&lt;30,0,H3802&lt;60,1,H3802&lt;90,2,H3802&lt;120,3)</f>
        <v>0</v>
      </c>
      <c r="M3802" t="str">
        <f t="shared" si="362"/>
        <v>Low</v>
      </c>
      <c r="N3802" t="str">
        <f t="shared" si="359"/>
        <v>Jul</v>
      </c>
      <c r="O3802">
        <f t="shared" si="360"/>
        <v>2025</v>
      </c>
    </row>
    <row r="3803" spans="1:15" x14ac:dyDescent="0.3">
      <c r="A3803">
        <v>200739</v>
      </c>
      <c r="B3803" t="s">
        <v>116</v>
      </c>
      <c r="C3803" s="2">
        <v>45853</v>
      </c>
      <c r="D3803" s="2">
        <f t="shared" si="358"/>
        <v>45883</v>
      </c>
      <c r="E3803" s="1">
        <f>D3803</f>
        <v>45883</v>
      </c>
      <c r="F3803">
        <v>1878</v>
      </c>
      <c r="G3803">
        <v>30</v>
      </c>
      <c r="H3803">
        <f t="shared" si="357"/>
        <v>0</v>
      </c>
      <c r="I3803" t="str">
        <f t="shared" si="361"/>
        <v>On Time</v>
      </c>
      <c r="J3803" cm="1">
        <f t="array" ref="J3803">_xlfn.IFS(H3803&lt;30,0,H3803&lt;60,1,H3803&lt;90,2,H3803&lt;120,3)</f>
        <v>0</v>
      </c>
      <c r="M3803" t="str">
        <f t="shared" si="362"/>
        <v>Low</v>
      </c>
      <c r="N3803" t="str">
        <f t="shared" si="359"/>
        <v>Jul</v>
      </c>
      <c r="O3803">
        <f t="shared" si="360"/>
        <v>2025</v>
      </c>
    </row>
    <row r="3804" spans="1:15" x14ac:dyDescent="0.3">
      <c r="A3804">
        <v>200740</v>
      </c>
      <c r="B3804" t="s">
        <v>117</v>
      </c>
      <c r="C3804" s="2">
        <v>45853</v>
      </c>
      <c r="D3804" s="2">
        <f t="shared" si="358"/>
        <v>45883</v>
      </c>
      <c r="E3804" s="1">
        <f>D3804-1</f>
        <v>45882</v>
      </c>
      <c r="F3804">
        <v>4991</v>
      </c>
      <c r="G3804">
        <v>30</v>
      </c>
      <c r="H3804">
        <f t="shared" si="357"/>
        <v>0</v>
      </c>
      <c r="I3804" t="str">
        <f t="shared" si="361"/>
        <v>On Time</v>
      </c>
      <c r="J3804" cm="1">
        <f t="array" ref="J3804">_xlfn.IFS(H3804&lt;30,0,H3804&lt;60,1,H3804&lt;90,2,H3804&lt;120,3)</f>
        <v>0</v>
      </c>
      <c r="M3804" t="str">
        <f t="shared" si="362"/>
        <v>Low</v>
      </c>
      <c r="N3804" t="str">
        <f t="shared" si="359"/>
        <v>Jul</v>
      </c>
      <c r="O3804">
        <f t="shared" si="360"/>
        <v>2025</v>
      </c>
    </row>
    <row r="3805" spans="1:15" x14ac:dyDescent="0.3">
      <c r="A3805">
        <v>200741</v>
      </c>
      <c r="B3805" t="s">
        <v>118</v>
      </c>
      <c r="C3805" s="2">
        <v>45853</v>
      </c>
      <c r="D3805" s="2">
        <f t="shared" si="358"/>
        <v>45883</v>
      </c>
      <c r="E3805" s="1">
        <f>D3805</f>
        <v>45883</v>
      </c>
      <c r="F3805">
        <v>2295</v>
      </c>
      <c r="G3805">
        <v>30</v>
      </c>
      <c r="H3805">
        <f t="shared" si="357"/>
        <v>0</v>
      </c>
      <c r="I3805" t="str">
        <f t="shared" si="361"/>
        <v>On Time</v>
      </c>
      <c r="J3805" cm="1">
        <f t="array" ref="J3805">_xlfn.IFS(H3805&lt;30,0,H3805&lt;60,1,H3805&lt;90,2,H3805&lt;120,3)</f>
        <v>0</v>
      </c>
      <c r="M3805" t="str">
        <f t="shared" si="362"/>
        <v>Low</v>
      </c>
      <c r="N3805" t="str">
        <f t="shared" si="359"/>
        <v>Jul</v>
      </c>
      <c r="O3805">
        <f t="shared" si="360"/>
        <v>2025</v>
      </c>
    </row>
    <row r="3806" spans="1:15" x14ac:dyDescent="0.3">
      <c r="A3806">
        <v>200742</v>
      </c>
      <c r="B3806" t="s">
        <v>119</v>
      </c>
      <c r="C3806" s="2">
        <v>45853</v>
      </c>
      <c r="D3806" s="2">
        <f t="shared" si="358"/>
        <v>45883</v>
      </c>
      <c r="E3806" s="1">
        <f>D3806+32</f>
        <v>45915</v>
      </c>
      <c r="F3806">
        <v>150</v>
      </c>
      <c r="G3806">
        <v>30</v>
      </c>
      <c r="H3806">
        <f t="shared" si="357"/>
        <v>0</v>
      </c>
      <c r="I3806" t="str">
        <f t="shared" si="361"/>
        <v>On Time</v>
      </c>
      <c r="J3806" cm="1">
        <f t="array" ref="J3806">_xlfn.IFS(H3806&lt;30,0,H3806&lt;60,1,H3806&lt;90,2,H3806&lt;120,3)</f>
        <v>0</v>
      </c>
      <c r="M3806" t="str">
        <f t="shared" si="362"/>
        <v>Low</v>
      </c>
      <c r="N3806" t="str">
        <f t="shared" si="359"/>
        <v>Jul</v>
      </c>
      <c r="O3806">
        <f t="shared" si="360"/>
        <v>2025</v>
      </c>
    </row>
    <row r="3807" spans="1:15" x14ac:dyDescent="0.3">
      <c r="A3807">
        <v>200743</v>
      </c>
      <c r="B3807" t="s">
        <v>31</v>
      </c>
      <c r="C3807" s="2">
        <v>45853</v>
      </c>
      <c r="D3807" s="2">
        <f t="shared" si="358"/>
        <v>45898</v>
      </c>
      <c r="E3807" s="1">
        <f>D3807+15</f>
        <v>45913</v>
      </c>
      <c r="F3807">
        <v>4960</v>
      </c>
      <c r="G3807">
        <v>45</v>
      </c>
      <c r="H3807">
        <f t="shared" si="357"/>
        <v>0</v>
      </c>
      <c r="I3807" t="str">
        <f t="shared" si="361"/>
        <v>On Time</v>
      </c>
      <c r="J3807" cm="1">
        <f t="array" ref="J3807">_xlfn.IFS(H3807&lt;30,0,H3807&lt;60,1,H3807&lt;90,2,H3807&lt;120,3)</f>
        <v>0</v>
      </c>
      <c r="M3807" t="str">
        <f t="shared" si="362"/>
        <v>Low</v>
      </c>
      <c r="N3807" t="str">
        <f t="shared" si="359"/>
        <v>Jul</v>
      </c>
      <c r="O3807">
        <f t="shared" si="360"/>
        <v>2025</v>
      </c>
    </row>
    <row r="3808" spans="1:15" x14ac:dyDescent="0.3">
      <c r="A3808">
        <v>200744</v>
      </c>
      <c r="B3808" t="s">
        <v>32</v>
      </c>
      <c r="C3808" s="2">
        <v>45853</v>
      </c>
      <c r="D3808" s="2">
        <f t="shared" si="358"/>
        <v>45898</v>
      </c>
      <c r="E3808" s="1">
        <f>D3808-2</f>
        <v>45896</v>
      </c>
      <c r="F3808">
        <v>18568</v>
      </c>
      <c r="G3808">
        <v>45</v>
      </c>
      <c r="H3808">
        <f t="shared" si="357"/>
        <v>0</v>
      </c>
      <c r="I3808" t="str">
        <f t="shared" si="361"/>
        <v>On Time</v>
      </c>
      <c r="J3808" cm="1">
        <f t="array" ref="J3808">_xlfn.IFS(H3808&lt;30,0,H3808&lt;60,1,H3808&lt;90,2,H3808&lt;120,3)</f>
        <v>0</v>
      </c>
      <c r="M3808" t="str">
        <f t="shared" si="362"/>
        <v>Low</v>
      </c>
      <c r="N3808" t="str">
        <f t="shared" si="359"/>
        <v>Jul</v>
      </c>
      <c r="O3808">
        <f t="shared" si="360"/>
        <v>2025</v>
      </c>
    </row>
    <row r="3809" spans="1:15" x14ac:dyDescent="0.3">
      <c r="A3809">
        <v>200745</v>
      </c>
      <c r="B3809" t="s">
        <v>33</v>
      </c>
      <c r="C3809" s="2">
        <v>45853</v>
      </c>
      <c r="D3809" s="2">
        <f t="shared" si="358"/>
        <v>45883</v>
      </c>
      <c r="E3809" s="1">
        <f>D3809-2</f>
        <v>45881</v>
      </c>
      <c r="F3809">
        <v>3857</v>
      </c>
      <c r="G3809">
        <v>30</v>
      </c>
      <c r="H3809">
        <f t="shared" si="357"/>
        <v>0</v>
      </c>
      <c r="I3809" t="str">
        <f t="shared" si="361"/>
        <v>On Time</v>
      </c>
      <c r="J3809" cm="1">
        <f t="array" ref="J3809">_xlfn.IFS(H3809&lt;30,0,H3809&lt;60,1,H3809&lt;90,2,H3809&lt;120,3)</f>
        <v>0</v>
      </c>
      <c r="M3809" t="str">
        <f t="shared" si="362"/>
        <v>Low</v>
      </c>
      <c r="N3809" t="str">
        <f t="shared" si="359"/>
        <v>Jul</v>
      </c>
      <c r="O3809">
        <f t="shared" si="360"/>
        <v>2025</v>
      </c>
    </row>
    <row r="3810" spans="1:15" x14ac:dyDescent="0.3">
      <c r="A3810">
        <v>200746</v>
      </c>
      <c r="B3810" t="s">
        <v>34</v>
      </c>
      <c r="C3810" s="2">
        <v>45853</v>
      </c>
      <c r="D3810" s="2">
        <f t="shared" si="358"/>
        <v>45913</v>
      </c>
      <c r="E3810" s="1">
        <f>D3810</f>
        <v>45913</v>
      </c>
      <c r="F3810">
        <v>3721</v>
      </c>
      <c r="G3810">
        <v>60</v>
      </c>
      <c r="H3810">
        <f t="shared" si="357"/>
        <v>0</v>
      </c>
      <c r="I3810" t="str">
        <f t="shared" si="361"/>
        <v>On Time</v>
      </c>
      <c r="J3810" cm="1">
        <f t="array" ref="J3810">_xlfn.IFS(H3810&lt;30,0,H3810&lt;60,1,H3810&lt;90,2,H3810&lt;120,3)</f>
        <v>0</v>
      </c>
      <c r="M3810" t="str">
        <f t="shared" si="362"/>
        <v>Low</v>
      </c>
      <c r="N3810" t="str">
        <f t="shared" si="359"/>
        <v>Jul</v>
      </c>
      <c r="O3810">
        <f t="shared" si="360"/>
        <v>2025</v>
      </c>
    </row>
    <row r="3811" spans="1:15" x14ac:dyDescent="0.3">
      <c r="A3811">
        <v>200747</v>
      </c>
      <c r="B3811" t="s">
        <v>35</v>
      </c>
      <c r="C3811" s="2">
        <v>45853</v>
      </c>
      <c r="D3811" s="2">
        <f t="shared" si="358"/>
        <v>45898</v>
      </c>
      <c r="E3811" s="1">
        <f>D3811+2</f>
        <v>45900</v>
      </c>
      <c r="F3811">
        <v>1202</v>
      </c>
      <c r="G3811">
        <v>45</v>
      </c>
      <c r="H3811">
        <f t="shared" si="357"/>
        <v>0</v>
      </c>
      <c r="I3811" t="str">
        <f t="shared" si="361"/>
        <v>On Time</v>
      </c>
      <c r="J3811" cm="1">
        <f t="array" ref="J3811">_xlfn.IFS(H3811&lt;30,0,H3811&lt;60,1,H3811&lt;90,2,H3811&lt;120,3)</f>
        <v>0</v>
      </c>
      <c r="M3811" t="str">
        <f t="shared" si="362"/>
        <v>Low</v>
      </c>
      <c r="N3811" t="str">
        <f t="shared" si="359"/>
        <v>Jul</v>
      </c>
      <c r="O3811">
        <f t="shared" si="360"/>
        <v>2025</v>
      </c>
    </row>
    <row r="3812" spans="1:15" x14ac:dyDescent="0.3">
      <c r="A3812">
        <v>200748</v>
      </c>
      <c r="B3812" t="s">
        <v>36</v>
      </c>
      <c r="C3812" s="2">
        <v>45853</v>
      </c>
      <c r="D3812" s="2">
        <f t="shared" si="358"/>
        <v>45883</v>
      </c>
      <c r="E3812" s="1">
        <f>D3812+2</f>
        <v>45885</v>
      </c>
      <c r="F3812">
        <v>3959</v>
      </c>
      <c r="G3812">
        <v>30</v>
      </c>
      <c r="H3812">
        <f t="shared" si="357"/>
        <v>0</v>
      </c>
      <c r="I3812" t="str">
        <f t="shared" si="361"/>
        <v>On Time</v>
      </c>
      <c r="J3812" cm="1">
        <f t="array" ref="J3812">_xlfn.IFS(H3812&lt;30,0,H3812&lt;60,1,H3812&lt;90,2,H3812&lt;120,3)</f>
        <v>0</v>
      </c>
      <c r="M3812" t="str">
        <f t="shared" si="362"/>
        <v>Low</v>
      </c>
      <c r="N3812" t="str">
        <f t="shared" si="359"/>
        <v>Jul</v>
      </c>
      <c r="O3812">
        <f t="shared" si="360"/>
        <v>2025</v>
      </c>
    </row>
    <row r="3813" spans="1:15" x14ac:dyDescent="0.3">
      <c r="A3813">
        <v>200749</v>
      </c>
      <c r="B3813" t="s">
        <v>64</v>
      </c>
      <c r="C3813" s="2">
        <v>45853</v>
      </c>
      <c r="D3813" s="2">
        <f t="shared" si="358"/>
        <v>45883</v>
      </c>
      <c r="E3813" s="1">
        <f>D3813+2</f>
        <v>45885</v>
      </c>
      <c r="F3813">
        <v>4686</v>
      </c>
      <c r="G3813">
        <v>30</v>
      </c>
      <c r="H3813">
        <f t="shared" si="357"/>
        <v>0</v>
      </c>
      <c r="I3813" t="str">
        <f t="shared" si="361"/>
        <v>On Time</v>
      </c>
      <c r="J3813" cm="1">
        <f t="array" ref="J3813">_xlfn.IFS(H3813&lt;30,0,H3813&lt;60,1,H3813&lt;90,2,H3813&lt;120,3)</f>
        <v>0</v>
      </c>
      <c r="M3813" t="str">
        <f t="shared" si="362"/>
        <v>Low</v>
      </c>
      <c r="N3813" t="str">
        <f t="shared" si="359"/>
        <v>Jul</v>
      </c>
      <c r="O3813">
        <f t="shared" si="360"/>
        <v>2025</v>
      </c>
    </row>
    <row r="3814" spans="1:15" x14ac:dyDescent="0.3">
      <c r="A3814">
        <v>200750</v>
      </c>
      <c r="B3814" t="s">
        <v>65</v>
      </c>
      <c r="C3814" s="2">
        <v>45853</v>
      </c>
      <c r="D3814" s="2">
        <f t="shared" si="358"/>
        <v>45898</v>
      </c>
      <c r="E3814" s="1">
        <f>D3814</f>
        <v>45898</v>
      </c>
      <c r="F3814">
        <v>3777</v>
      </c>
      <c r="G3814">
        <v>45</v>
      </c>
      <c r="H3814">
        <f t="shared" ref="H3814:H3877" si="363">MAX(0,P3779-D3814)</f>
        <v>0</v>
      </c>
      <c r="I3814" t="str">
        <f t="shared" si="361"/>
        <v>On Time</v>
      </c>
      <c r="J3814" cm="1">
        <f t="array" ref="J3814">_xlfn.IFS(H3814&lt;30,0,H3814&lt;60,1,H3814&lt;90,2,H3814&lt;120,3)</f>
        <v>0</v>
      </c>
      <c r="M3814" t="str">
        <f t="shared" si="362"/>
        <v>Low</v>
      </c>
      <c r="N3814" t="str">
        <f t="shared" si="359"/>
        <v>Jul</v>
      </c>
      <c r="O3814">
        <f t="shared" si="360"/>
        <v>2025</v>
      </c>
    </row>
    <row r="3815" spans="1:15" x14ac:dyDescent="0.3">
      <c r="A3815">
        <v>200751</v>
      </c>
      <c r="B3815" t="s">
        <v>66</v>
      </c>
      <c r="C3815" s="2">
        <v>45853</v>
      </c>
      <c r="D3815" s="2">
        <f t="shared" si="358"/>
        <v>45913</v>
      </c>
      <c r="E3815" s="1">
        <f>D3815+20</f>
        <v>45933</v>
      </c>
      <c r="F3815">
        <v>3616</v>
      </c>
      <c r="G3815">
        <v>60</v>
      </c>
      <c r="H3815">
        <f t="shared" si="363"/>
        <v>0</v>
      </c>
      <c r="I3815" t="str">
        <f t="shared" si="361"/>
        <v>On Time</v>
      </c>
      <c r="J3815" cm="1">
        <f t="array" ref="J3815">_xlfn.IFS(H3815&lt;30,0,H3815&lt;60,1,H3815&lt;90,2,H3815&lt;120,3)</f>
        <v>0</v>
      </c>
      <c r="M3815" t="str">
        <f t="shared" si="362"/>
        <v>Low</v>
      </c>
      <c r="N3815" t="str">
        <f t="shared" si="359"/>
        <v>Jul</v>
      </c>
      <c r="O3815">
        <f t="shared" si="360"/>
        <v>2025</v>
      </c>
    </row>
    <row r="3816" spans="1:15" x14ac:dyDescent="0.3">
      <c r="A3816">
        <v>200752</v>
      </c>
      <c r="B3816" t="s">
        <v>67</v>
      </c>
      <c r="C3816" s="2">
        <v>45853</v>
      </c>
      <c r="D3816" s="2">
        <f t="shared" si="358"/>
        <v>45883</v>
      </c>
      <c r="E3816" s="1">
        <f>D3816</f>
        <v>45883</v>
      </c>
      <c r="F3816">
        <v>874</v>
      </c>
      <c r="G3816">
        <v>30</v>
      </c>
      <c r="H3816">
        <f t="shared" si="363"/>
        <v>0</v>
      </c>
      <c r="I3816" t="str">
        <f t="shared" si="361"/>
        <v>On Time</v>
      </c>
      <c r="J3816" cm="1">
        <f t="array" ref="J3816">_xlfn.IFS(H3816&lt;30,0,H3816&lt;60,1,H3816&lt;90,2,H3816&lt;120,3)</f>
        <v>0</v>
      </c>
      <c r="M3816" t="str">
        <f t="shared" si="362"/>
        <v>Low</v>
      </c>
      <c r="N3816" t="str">
        <f t="shared" si="359"/>
        <v>Jul</v>
      </c>
      <c r="O3816">
        <f t="shared" si="360"/>
        <v>2025</v>
      </c>
    </row>
    <row r="3817" spans="1:15" x14ac:dyDescent="0.3">
      <c r="A3817">
        <v>200753</v>
      </c>
      <c r="B3817" t="s">
        <v>68</v>
      </c>
      <c r="C3817" s="2">
        <v>45853</v>
      </c>
      <c r="D3817" s="2">
        <f t="shared" si="358"/>
        <v>45883</v>
      </c>
      <c r="E3817" s="1">
        <f>D3817+1</f>
        <v>45884</v>
      </c>
      <c r="F3817">
        <v>3188</v>
      </c>
      <c r="G3817">
        <v>30</v>
      </c>
      <c r="H3817">
        <f t="shared" si="363"/>
        <v>0</v>
      </c>
      <c r="I3817" t="str">
        <f t="shared" si="361"/>
        <v>On Time</v>
      </c>
      <c r="J3817" cm="1">
        <f t="array" ref="J3817">_xlfn.IFS(H3817&lt;30,0,H3817&lt;60,1,H3817&lt;90,2,H3817&lt;120,3)</f>
        <v>0</v>
      </c>
      <c r="M3817" t="str">
        <f t="shared" si="362"/>
        <v>Low</v>
      </c>
      <c r="N3817" t="str">
        <f t="shared" si="359"/>
        <v>Jul</v>
      </c>
      <c r="O3817">
        <f t="shared" si="360"/>
        <v>2025</v>
      </c>
    </row>
    <row r="3818" spans="1:15" x14ac:dyDescent="0.3">
      <c r="A3818">
        <v>200754</v>
      </c>
      <c r="B3818" t="s">
        <v>69</v>
      </c>
      <c r="C3818" s="2">
        <v>45853</v>
      </c>
      <c r="D3818" s="2">
        <f t="shared" si="358"/>
        <v>45883</v>
      </c>
      <c r="E3818" s="1">
        <f>D3818</f>
        <v>45883</v>
      </c>
      <c r="F3818">
        <v>444</v>
      </c>
      <c r="G3818">
        <v>30</v>
      </c>
      <c r="H3818">
        <f t="shared" si="363"/>
        <v>0</v>
      </c>
      <c r="I3818" t="str">
        <f t="shared" si="361"/>
        <v>On Time</v>
      </c>
      <c r="J3818" cm="1">
        <f t="array" ref="J3818">_xlfn.IFS(H3818&lt;30,0,H3818&lt;60,1,H3818&lt;90,2,H3818&lt;120,3)</f>
        <v>0</v>
      </c>
      <c r="M3818" t="str">
        <f t="shared" si="362"/>
        <v>Low</v>
      </c>
      <c r="N3818" t="str">
        <f t="shared" si="359"/>
        <v>Jul</v>
      </c>
      <c r="O3818">
        <f t="shared" si="360"/>
        <v>2025</v>
      </c>
    </row>
    <row r="3819" spans="1:15" x14ac:dyDescent="0.3">
      <c r="A3819">
        <v>200723</v>
      </c>
      <c r="B3819" t="s">
        <v>64</v>
      </c>
      <c r="C3819" s="2">
        <v>45852</v>
      </c>
      <c r="D3819" s="2">
        <f t="shared" si="358"/>
        <v>45882</v>
      </c>
      <c r="E3819" s="1">
        <f>D3819+5</f>
        <v>45887</v>
      </c>
      <c r="F3819">
        <v>4695</v>
      </c>
      <c r="G3819">
        <v>30</v>
      </c>
      <c r="H3819">
        <f t="shared" si="363"/>
        <v>0</v>
      </c>
      <c r="I3819" t="str">
        <f t="shared" si="361"/>
        <v>On Time</v>
      </c>
      <c r="J3819" cm="1">
        <f t="array" ref="J3819">_xlfn.IFS(H3819&lt;30,0,H3819&lt;60,1,H3819&lt;90,2,H3819&lt;120,3)</f>
        <v>0</v>
      </c>
      <c r="M3819" t="str">
        <f t="shared" si="362"/>
        <v>Low</v>
      </c>
      <c r="N3819" t="str">
        <f t="shared" si="359"/>
        <v>Jul</v>
      </c>
      <c r="O3819">
        <f t="shared" si="360"/>
        <v>2025</v>
      </c>
    </row>
    <row r="3820" spans="1:15" x14ac:dyDescent="0.3">
      <c r="A3820">
        <v>200724</v>
      </c>
      <c r="B3820" t="s">
        <v>65</v>
      </c>
      <c r="C3820" s="2">
        <v>45852</v>
      </c>
      <c r="D3820" s="2">
        <f t="shared" si="358"/>
        <v>45897</v>
      </c>
      <c r="E3820" s="1">
        <f>D3820+2</f>
        <v>45899</v>
      </c>
      <c r="F3820">
        <v>17876</v>
      </c>
      <c r="G3820">
        <v>45</v>
      </c>
      <c r="H3820">
        <f t="shared" si="363"/>
        <v>0</v>
      </c>
      <c r="I3820" t="str">
        <f t="shared" si="361"/>
        <v>On Time</v>
      </c>
      <c r="J3820" cm="1">
        <f t="array" ref="J3820">_xlfn.IFS(H3820&lt;30,0,H3820&lt;60,1,H3820&lt;90,2,H3820&lt;120,3)</f>
        <v>0</v>
      </c>
      <c r="M3820" t="str">
        <f t="shared" si="362"/>
        <v>Low</v>
      </c>
      <c r="N3820" t="str">
        <f t="shared" si="359"/>
        <v>Jul</v>
      </c>
      <c r="O3820">
        <f t="shared" si="360"/>
        <v>2025</v>
      </c>
    </row>
    <row r="3821" spans="1:15" x14ac:dyDescent="0.3">
      <c r="A3821">
        <v>200725</v>
      </c>
      <c r="B3821" t="s">
        <v>94</v>
      </c>
      <c r="C3821" s="2">
        <v>45852</v>
      </c>
      <c r="D3821" s="2">
        <f t="shared" si="358"/>
        <v>45882</v>
      </c>
      <c r="E3821" s="1">
        <f>D3821</f>
        <v>45882</v>
      </c>
      <c r="F3821">
        <v>418</v>
      </c>
      <c r="G3821">
        <v>30</v>
      </c>
      <c r="H3821">
        <f t="shared" si="363"/>
        <v>0</v>
      </c>
      <c r="I3821" t="str">
        <f t="shared" si="361"/>
        <v>On Time</v>
      </c>
      <c r="J3821" cm="1">
        <f t="array" ref="J3821">_xlfn.IFS(H3821&lt;30,0,H3821&lt;60,1,H3821&lt;90,2,H3821&lt;120,3)</f>
        <v>0</v>
      </c>
      <c r="M3821" t="str">
        <f t="shared" si="362"/>
        <v>Low</v>
      </c>
      <c r="N3821" t="str">
        <f t="shared" si="359"/>
        <v>Jul</v>
      </c>
      <c r="O3821">
        <f t="shared" si="360"/>
        <v>2025</v>
      </c>
    </row>
    <row r="3822" spans="1:15" x14ac:dyDescent="0.3">
      <c r="A3822">
        <v>200726</v>
      </c>
      <c r="B3822" t="s">
        <v>95</v>
      </c>
      <c r="C3822" s="2">
        <v>45852</v>
      </c>
      <c r="D3822" s="2">
        <f t="shared" si="358"/>
        <v>45897</v>
      </c>
      <c r="E3822" s="1">
        <f>D3822</f>
        <v>45897</v>
      </c>
      <c r="F3822">
        <v>2340</v>
      </c>
      <c r="G3822">
        <v>45</v>
      </c>
      <c r="H3822">
        <f t="shared" si="363"/>
        <v>0</v>
      </c>
      <c r="I3822" t="str">
        <f t="shared" si="361"/>
        <v>On Time</v>
      </c>
      <c r="J3822" cm="1">
        <f t="array" ref="J3822">_xlfn.IFS(H3822&lt;30,0,H3822&lt;60,1,H3822&lt;90,2,H3822&lt;120,3)</f>
        <v>0</v>
      </c>
      <c r="M3822" t="str">
        <f t="shared" si="362"/>
        <v>Low</v>
      </c>
      <c r="N3822" t="str">
        <f t="shared" si="359"/>
        <v>Jul</v>
      </c>
      <c r="O3822">
        <f t="shared" si="360"/>
        <v>2025</v>
      </c>
    </row>
    <row r="3823" spans="1:15" x14ac:dyDescent="0.3">
      <c r="A3823">
        <v>200727</v>
      </c>
      <c r="B3823" t="s">
        <v>96</v>
      </c>
      <c r="C3823" s="2">
        <v>45852</v>
      </c>
      <c r="D3823" s="2">
        <f t="shared" si="358"/>
        <v>45912</v>
      </c>
      <c r="E3823" s="1">
        <f>D3823</f>
        <v>45912</v>
      </c>
      <c r="F3823">
        <v>13618</v>
      </c>
      <c r="G3823">
        <v>60</v>
      </c>
      <c r="H3823">
        <f t="shared" si="363"/>
        <v>0</v>
      </c>
      <c r="I3823" t="str">
        <f t="shared" si="361"/>
        <v>On Time</v>
      </c>
      <c r="J3823" cm="1">
        <f t="array" ref="J3823">_xlfn.IFS(H3823&lt;30,0,H3823&lt;60,1,H3823&lt;90,2,H3823&lt;120,3)</f>
        <v>0</v>
      </c>
      <c r="M3823" t="str">
        <f t="shared" si="362"/>
        <v>Low</v>
      </c>
      <c r="N3823" t="str">
        <f t="shared" si="359"/>
        <v>Jul</v>
      </c>
      <c r="O3823">
        <f t="shared" si="360"/>
        <v>2025</v>
      </c>
    </row>
    <row r="3824" spans="1:15" x14ac:dyDescent="0.3">
      <c r="A3824">
        <v>200728</v>
      </c>
      <c r="B3824" t="s">
        <v>97</v>
      </c>
      <c r="C3824" s="2">
        <v>45852</v>
      </c>
      <c r="D3824" s="2">
        <f t="shared" si="358"/>
        <v>45882</v>
      </c>
      <c r="E3824" s="1">
        <f>D3824+60</f>
        <v>45942</v>
      </c>
      <c r="F3824">
        <v>6512</v>
      </c>
      <c r="G3824">
        <v>30</v>
      </c>
      <c r="H3824">
        <f t="shared" si="363"/>
        <v>0</v>
      </c>
      <c r="I3824" t="str">
        <f t="shared" si="361"/>
        <v>On Time</v>
      </c>
      <c r="J3824" cm="1">
        <f t="array" ref="J3824">_xlfn.IFS(H3824&lt;30,0,H3824&lt;60,1,H3824&lt;90,2,H3824&lt;120,3)</f>
        <v>0</v>
      </c>
      <c r="M3824" t="str">
        <f t="shared" si="362"/>
        <v>Low</v>
      </c>
      <c r="N3824" t="str">
        <f t="shared" si="359"/>
        <v>Jul</v>
      </c>
      <c r="O3824">
        <f t="shared" si="360"/>
        <v>2025</v>
      </c>
    </row>
    <row r="3825" spans="1:15" x14ac:dyDescent="0.3">
      <c r="A3825">
        <v>200729</v>
      </c>
      <c r="B3825" t="s">
        <v>98</v>
      </c>
      <c r="C3825" s="2">
        <v>45852</v>
      </c>
      <c r="D3825" s="2">
        <f t="shared" si="358"/>
        <v>45882</v>
      </c>
      <c r="E3825" s="1">
        <f>D3825</f>
        <v>45882</v>
      </c>
      <c r="F3825">
        <v>1390</v>
      </c>
      <c r="G3825">
        <v>30</v>
      </c>
      <c r="H3825">
        <f t="shared" si="363"/>
        <v>0</v>
      </c>
      <c r="I3825" t="str">
        <f t="shared" si="361"/>
        <v>On Time</v>
      </c>
      <c r="J3825" cm="1">
        <f t="array" ref="J3825">_xlfn.IFS(H3825&lt;30,0,H3825&lt;60,1,H3825&lt;90,2,H3825&lt;120,3)</f>
        <v>0</v>
      </c>
      <c r="M3825" t="str">
        <f t="shared" si="362"/>
        <v>Low</v>
      </c>
      <c r="N3825" t="str">
        <f t="shared" si="359"/>
        <v>Jul</v>
      </c>
      <c r="O3825">
        <f t="shared" si="360"/>
        <v>2025</v>
      </c>
    </row>
    <row r="3826" spans="1:15" x14ac:dyDescent="0.3">
      <c r="A3826">
        <v>200730</v>
      </c>
      <c r="B3826" t="s">
        <v>99</v>
      </c>
      <c r="C3826" s="2">
        <v>45852</v>
      </c>
      <c r="D3826" s="2">
        <f t="shared" si="358"/>
        <v>45882</v>
      </c>
      <c r="E3826" s="1">
        <f>D3826</f>
        <v>45882</v>
      </c>
      <c r="F3826">
        <v>3907</v>
      </c>
      <c r="G3826">
        <v>30</v>
      </c>
      <c r="H3826">
        <f t="shared" si="363"/>
        <v>0</v>
      </c>
      <c r="I3826" t="str">
        <f t="shared" si="361"/>
        <v>On Time</v>
      </c>
      <c r="J3826" cm="1">
        <f t="array" ref="J3826">_xlfn.IFS(H3826&lt;30,0,H3826&lt;60,1,H3826&lt;90,2,H3826&lt;120,3)</f>
        <v>0</v>
      </c>
      <c r="M3826" t="str">
        <f t="shared" si="362"/>
        <v>Low</v>
      </c>
      <c r="N3826" t="str">
        <f t="shared" si="359"/>
        <v>Jul</v>
      </c>
      <c r="O3826">
        <f t="shared" si="360"/>
        <v>2025</v>
      </c>
    </row>
    <row r="3827" spans="1:15" x14ac:dyDescent="0.3">
      <c r="A3827">
        <v>200731</v>
      </c>
      <c r="B3827" t="s">
        <v>100</v>
      </c>
      <c r="C3827" s="2">
        <v>45852</v>
      </c>
      <c r="D3827" s="2">
        <f t="shared" si="358"/>
        <v>45882</v>
      </c>
      <c r="E3827" s="1">
        <f>D3827+3</f>
        <v>45885</v>
      </c>
      <c r="F3827">
        <v>2409</v>
      </c>
      <c r="G3827">
        <v>30</v>
      </c>
      <c r="H3827">
        <f t="shared" si="363"/>
        <v>0</v>
      </c>
      <c r="I3827" t="str">
        <f t="shared" si="361"/>
        <v>On Time</v>
      </c>
      <c r="J3827" cm="1">
        <f t="array" ref="J3827">_xlfn.IFS(H3827&lt;30,0,H3827&lt;60,1,H3827&lt;90,2,H3827&lt;120,3)</f>
        <v>0</v>
      </c>
      <c r="M3827" t="str">
        <f t="shared" si="362"/>
        <v>Low</v>
      </c>
      <c r="N3827" t="str">
        <f t="shared" si="359"/>
        <v>Jul</v>
      </c>
      <c r="O3827">
        <f t="shared" si="360"/>
        <v>2025</v>
      </c>
    </row>
    <row r="3828" spans="1:15" x14ac:dyDescent="0.3">
      <c r="A3828">
        <v>200732</v>
      </c>
      <c r="B3828" t="s">
        <v>101</v>
      </c>
      <c r="C3828" s="2">
        <v>45852</v>
      </c>
      <c r="D3828" s="2">
        <f t="shared" si="358"/>
        <v>45882</v>
      </c>
      <c r="E3828" s="1">
        <f>D3828+1</f>
        <v>45883</v>
      </c>
      <c r="F3828">
        <v>4527</v>
      </c>
      <c r="G3828">
        <v>30</v>
      </c>
      <c r="H3828">
        <f t="shared" si="363"/>
        <v>0</v>
      </c>
      <c r="I3828" t="str">
        <f t="shared" si="361"/>
        <v>On Time</v>
      </c>
      <c r="J3828" cm="1">
        <f t="array" ref="J3828">_xlfn.IFS(H3828&lt;30,0,H3828&lt;60,1,H3828&lt;90,2,H3828&lt;120,3)</f>
        <v>0</v>
      </c>
      <c r="M3828" t="str">
        <f t="shared" si="362"/>
        <v>Low</v>
      </c>
      <c r="N3828" t="str">
        <f t="shared" si="359"/>
        <v>Jul</v>
      </c>
      <c r="O3828">
        <f t="shared" si="360"/>
        <v>2025</v>
      </c>
    </row>
    <row r="3829" spans="1:15" x14ac:dyDescent="0.3">
      <c r="A3829">
        <v>200733</v>
      </c>
      <c r="B3829" t="s">
        <v>102</v>
      </c>
      <c r="C3829" s="2">
        <v>45852</v>
      </c>
      <c r="D3829" s="2">
        <f t="shared" si="358"/>
        <v>45882</v>
      </c>
      <c r="E3829" s="1">
        <f>D3829-1</f>
        <v>45881</v>
      </c>
      <c r="F3829">
        <v>2171</v>
      </c>
      <c r="G3829">
        <v>30</v>
      </c>
      <c r="H3829">
        <f t="shared" si="363"/>
        <v>0</v>
      </c>
      <c r="I3829" t="str">
        <f t="shared" si="361"/>
        <v>On Time</v>
      </c>
      <c r="J3829" cm="1">
        <f t="array" ref="J3829">_xlfn.IFS(H3829&lt;30,0,H3829&lt;60,1,H3829&lt;90,2,H3829&lt;120,3)</f>
        <v>0</v>
      </c>
      <c r="M3829" t="str">
        <f t="shared" si="362"/>
        <v>Low</v>
      </c>
      <c r="N3829" t="str">
        <f t="shared" si="359"/>
        <v>Jul</v>
      </c>
      <c r="O3829">
        <f t="shared" si="360"/>
        <v>2025</v>
      </c>
    </row>
    <row r="3830" spans="1:15" x14ac:dyDescent="0.3">
      <c r="A3830">
        <v>200734</v>
      </c>
      <c r="B3830" t="s">
        <v>103</v>
      </c>
      <c r="C3830" s="2">
        <v>45852</v>
      </c>
      <c r="D3830" s="2">
        <f t="shared" si="358"/>
        <v>45882</v>
      </c>
      <c r="E3830" s="1">
        <f>D3830</f>
        <v>45882</v>
      </c>
      <c r="F3830">
        <v>3562</v>
      </c>
      <c r="G3830">
        <v>30</v>
      </c>
      <c r="H3830">
        <f t="shared" si="363"/>
        <v>0</v>
      </c>
      <c r="I3830" t="str">
        <f t="shared" si="361"/>
        <v>On Time</v>
      </c>
      <c r="J3830" cm="1">
        <f t="array" ref="J3830">_xlfn.IFS(H3830&lt;30,0,H3830&lt;60,1,H3830&lt;90,2,H3830&lt;120,3)</f>
        <v>0</v>
      </c>
      <c r="M3830" t="str">
        <f t="shared" si="362"/>
        <v>Low</v>
      </c>
      <c r="N3830" t="str">
        <f t="shared" si="359"/>
        <v>Jul</v>
      </c>
      <c r="O3830">
        <f t="shared" si="360"/>
        <v>2025</v>
      </c>
    </row>
    <row r="3831" spans="1:15" x14ac:dyDescent="0.3">
      <c r="A3831">
        <v>200735</v>
      </c>
      <c r="B3831" t="s">
        <v>104</v>
      </c>
      <c r="C3831" s="2">
        <v>45852</v>
      </c>
      <c r="D3831" s="2">
        <f t="shared" si="358"/>
        <v>45882</v>
      </c>
      <c r="E3831" s="1">
        <f>D3831+1</f>
        <v>45883</v>
      </c>
      <c r="F3831">
        <v>2633</v>
      </c>
      <c r="G3831">
        <v>30</v>
      </c>
      <c r="H3831">
        <f t="shared" si="363"/>
        <v>0</v>
      </c>
      <c r="I3831" t="str">
        <f t="shared" si="361"/>
        <v>On Time</v>
      </c>
      <c r="J3831" cm="1">
        <f t="array" ref="J3831">_xlfn.IFS(H3831&lt;30,0,H3831&lt;60,1,H3831&lt;90,2,H3831&lt;120,3)</f>
        <v>0</v>
      </c>
      <c r="M3831" t="str">
        <f t="shared" si="362"/>
        <v>Low</v>
      </c>
      <c r="N3831" t="str">
        <f t="shared" si="359"/>
        <v>Jul</v>
      </c>
      <c r="O3831">
        <f t="shared" si="360"/>
        <v>2025</v>
      </c>
    </row>
    <row r="3832" spans="1:15" x14ac:dyDescent="0.3">
      <c r="A3832">
        <v>200736</v>
      </c>
      <c r="B3832" t="s">
        <v>105</v>
      </c>
      <c r="C3832" s="2">
        <v>45852</v>
      </c>
      <c r="D3832" s="2">
        <f t="shared" si="358"/>
        <v>45882</v>
      </c>
      <c r="E3832" s="1">
        <f>D3832+35</f>
        <v>45917</v>
      </c>
      <c r="F3832">
        <v>3955</v>
      </c>
      <c r="G3832">
        <v>30</v>
      </c>
      <c r="H3832">
        <f t="shared" si="363"/>
        <v>0</v>
      </c>
      <c r="I3832" t="str">
        <f t="shared" si="361"/>
        <v>On Time</v>
      </c>
      <c r="J3832" cm="1">
        <f t="array" ref="J3832">_xlfn.IFS(H3832&lt;30,0,H3832&lt;60,1,H3832&lt;90,2,H3832&lt;120,3)</f>
        <v>0</v>
      </c>
      <c r="M3832" t="str">
        <f t="shared" si="362"/>
        <v>Low</v>
      </c>
      <c r="N3832" t="str">
        <f t="shared" si="359"/>
        <v>Jul</v>
      </c>
      <c r="O3832">
        <f t="shared" si="360"/>
        <v>2025</v>
      </c>
    </row>
    <row r="3833" spans="1:15" x14ac:dyDescent="0.3">
      <c r="A3833">
        <v>200737</v>
      </c>
      <c r="B3833" t="s">
        <v>114</v>
      </c>
      <c r="C3833" s="2">
        <v>45852</v>
      </c>
      <c r="D3833" s="2">
        <f t="shared" si="358"/>
        <v>45882</v>
      </c>
      <c r="E3833" s="1">
        <f>D3833+75</f>
        <v>45957</v>
      </c>
      <c r="F3833">
        <v>340</v>
      </c>
      <c r="G3833">
        <v>30</v>
      </c>
      <c r="H3833">
        <f t="shared" si="363"/>
        <v>0</v>
      </c>
      <c r="I3833" t="str">
        <f t="shared" si="361"/>
        <v>On Time</v>
      </c>
      <c r="J3833" cm="1">
        <f t="array" ref="J3833">_xlfn.IFS(H3833&lt;30,0,H3833&lt;60,1,H3833&lt;90,2,H3833&lt;120,3)</f>
        <v>0</v>
      </c>
      <c r="M3833" t="str">
        <f t="shared" si="362"/>
        <v>Low</v>
      </c>
      <c r="N3833" t="str">
        <f t="shared" si="359"/>
        <v>Jul</v>
      </c>
      <c r="O3833">
        <f t="shared" si="360"/>
        <v>2025</v>
      </c>
    </row>
    <row r="3834" spans="1:15" x14ac:dyDescent="0.3">
      <c r="A3834">
        <v>200738</v>
      </c>
      <c r="B3834" t="s">
        <v>115</v>
      </c>
      <c r="C3834" s="2">
        <v>45852</v>
      </c>
      <c r="D3834" s="2">
        <f t="shared" si="358"/>
        <v>45882</v>
      </c>
      <c r="E3834" s="1">
        <f>D3834+5</f>
        <v>45887</v>
      </c>
      <c r="F3834">
        <v>4945</v>
      </c>
      <c r="G3834">
        <v>30</v>
      </c>
      <c r="H3834">
        <f t="shared" si="363"/>
        <v>0</v>
      </c>
      <c r="I3834" t="str">
        <f t="shared" si="361"/>
        <v>On Time</v>
      </c>
      <c r="J3834" cm="1">
        <f t="array" ref="J3834">_xlfn.IFS(H3834&lt;30,0,H3834&lt;60,1,H3834&lt;90,2,H3834&lt;120,3)</f>
        <v>0</v>
      </c>
      <c r="M3834" t="str">
        <f t="shared" si="362"/>
        <v>Low</v>
      </c>
      <c r="N3834" t="str">
        <f t="shared" si="359"/>
        <v>Jul</v>
      </c>
      <c r="O3834">
        <f t="shared" si="360"/>
        <v>2025</v>
      </c>
    </row>
    <row r="3835" spans="1:15" x14ac:dyDescent="0.3">
      <c r="A3835">
        <v>200701</v>
      </c>
      <c r="B3835" t="s">
        <v>20</v>
      </c>
      <c r="C3835" s="2">
        <v>45849</v>
      </c>
      <c r="D3835" s="2">
        <f t="shared" si="358"/>
        <v>45879</v>
      </c>
      <c r="E3835" s="1">
        <f>D3835</f>
        <v>45879</v>
      </c>
      <c r="F3835">
        <v>4943</v>
      </c>
      <c r="G3835">
        <v>30</v>
      </c>
      <c r="H3835">
        <f t="shared" si="363"/>
        <v>0</v>
      </c>
      <c r="I3835" t="str">
        <f t="shared" si="361"/>
        <v>On Time</v>
      </c>
      <c r="J3835" cm="1">
        <f t="array" ref="J3835">_xlfn.IFS(H3835&lt;30,0,H3835&lt;60,1,H3835&lt;90,2,H3835&lt;120,3)</f>
        <v>0</v>
      </c>
      <c r="M3835" t="str">
        <f t="shared" si="362"/>
        <v>Low</v>
      </c>
      <c r="N3835" t="str">
        <f t="shared" si="359"/>
        <v>Jul</v>
      </c>
      <c r="O3835">
        <f t="shared" si="360"/>
        <v>2025</v>
      </c>
    </row>
    <row r="3836" spans="1:15" x14ac:dyDescent="0.3">
      <c r="A3836">
        <v>200702</v>
      </c>
      <c r="B3836" t="s">
        <v>21</v>
      </c>
      <c r="C3836" s="2">
        <v>45849</v>
      </c>
      <c r="D3836" s="2">
        <f t="shared" si="358"/>
        <v>45879</v>
      </c>
      <c r="E3836" s="1">
        <f>D3836-5</f>
        <v>45874</v>
      </c>
      <c r="F3836">
        <v>1708</v>
      </c>
      <c r="G3836">
        <v>30</v>
      </c>
      <c r="H3836">
        <f t="shared" si="363"/>
        <v>0</v>
      </c>
      <c r="I3836" t="str">
        <f t="shared" si="361"/>
        <v>On Time</v>
      </c>
      <c r="J3836" cm="1">
        <f t="array" ref="J3836">_xlfn.IFS(H3836&lt;30,0,H3836&lt;60,1,H3836&lt;90,2,H3836&lt;120,3)</f>
        <v>0</v>
      </c>
      <c r="M3836" t="str">
        <f t="shared" si="362"/>
        <v>Low</v>
      </c>
      <c r="N3836" t="str">
        <f t="shared" si="359"/>
        <v>Jul</v>
      </c>
      <c r="O3836">
        <f t="shared" si="360"/>
        <v>2025</v>
      </c>
    </row>
    <row r="3837" spans="1:15" x14ac:dyDescent="0.3">
      <c r="A3837">
        <v>200703</v>
      </c>
      <c r="B3837" t="s">
        <v>22</v>
      </c>
      <c r="C3837" s="2">
        <v>45849</v>
      </c>
      <c r="D3837" s="2">
        <f t="shared" si="358"/>
        <v>45879</v>
      </c>
      <c r="E3837" s="1">
        <f>D3837+35</f>
        <v>45914</v>
      </c>
      <c r="F3837">
        <v>11319</v>
      </c>
      <c r="G3837">
        <v>30</v>
      </c>
      <c r="H3837">
        <f t="shared" si="363"/>
        <v>0</v>
      </c>
      <c r="I3837" t="str">
        <f t="shared" si="361"/>
        <v>On Time</v>
      </c>
      <c r="J3837" cm="1">
        <f t="array" ref="J3837">_xlfn.IFS(H3837&lt;30,0,H3837&lt;60,1,H3837&lt;90,2,H3837&lt;120,3)</f>
        <v>0</v>
      </c>
      <c r="M3837" t="str">
        <f t="shared" si="362"/>
        <v>Low</v>
      </c>
      <c r="N3837" t="str">
        <f t="shared" si="359"/>
        <v>Jul</v>
      </c>
      <c r="O3837">
        <f t="shared" si="360"/>
        <v>2025</v>
      </c>
    </row>
    <row r="3838" spans="1:15" x14ac:dyDescent="0.3">
      <c r="A3838">
        <v>200704</v>
      </c>
      <c r="B3838" t="s">
        <v>23</v>
      </c>
      <c r="C3838" s="2">
        <v>45849</v>
      </c>
      <c r="D3838" s="2">
        <f t="shared" si="358"/>
        <v>45894</v>
      </c>
      <c r="E3838" s="1">
        <f>D3838+75</f>
        <v>45969</v>
      </c>
      <c r="F3838">
        <v>4311</v>
      </c>
      <c r="G3838">
        <v>45</v>
      </c>
      <c r="H3838">
        <f t="shared" si="363"/>
        <v>0</v>
      </c>
      <c r="I3838" t="str">
        <f t="shared" si="361"/>
        <v>On Time</v>
      </c>
      <c r="J3838" cm="1">
        <f t="array" ref="J3838">_xlfn.IFS(H3838&lt;30,0,H3838&lt;60,1,H3838&lt;90,2,H3838&lt;120,3)</f>
        <v>0</v>
      </c>
      <c r="M3838" t="str">
        <f t="shared" si="362"/>
        <v>Low</v>
      </c>
      <c r="N3838" t="str">
        <f t="shared" si="359"/>
        <v>Jul</v>
      </c>
      <c r="O3838">
        <f t="shared" si="360"/>
        <v>2025</v>
      </c>
    </row>
    <row r="3839" spans="1:15" x14ac:dyDescent="0.3">
      <c r="A3839">
        <v>200705</v>
      </c>
      <c r="B3839" t="s">
        <v>24</v>
      </c>
      <c r="C3839" s="2">
        <v>45849</v>
      </c>
      <c r="D3839" s="2">
        <f t="shared" si="358"/>
        <v>45894</v>
      </c>
      <c r="E3839" s="1">
        <f>D3839+5</f>
        <v>45899</v>
      </c>
      <c r="F3839">
        <v>3615</v>
      </c>
      <c r="G3839">
        <v>45</v>
      </c>
      <c r="H3839">
        <f t="shared" si="363"/>
        <v>0</v>
      </c>
      <c r="I3839" t="str">
        <f t="shared" si="361"/>
        <v>On Time</v>
      </c>
      <c r="J3839" cm="1">
        <f t="array" ref="J3839">_xlfn.IFS(H3839&lt;30,0,H3839&lt;60,1,H3839&lt;90,2,H3839&lt;120,3)</f>
        <v>0</v>
      </c>
      <c r="M3839" t="str">
        <f t="shared" si="362"/>
        <v>Low</v>
      </c>
      <c r="N3839" t="str">
        <f t="shared" si="359"/>
        <v>Jul</v>
      </c>
      <c r="O3839">
        <f t="shared" si="360"/>
        <v>2025</v>
      </c>
    </row>
    <row r="3840" spans="1:15" x14ac:dyDescent="0.3">
      <c r="A3840">
        <v>200706</v>
      </c>
      <c r="B3840" t="s">
        <v>25</v>
      </c>
      <c r="C3840" s="2">
        <v>45849</v>
      </c>
      <c r="D3840" s="2">
        <f t="shared" si="358"/>
        <v>45909</v>
      </c>
      <c r="E3840" s="1">
        <f>D3840</f>
        <v>45909</v>
      </c>
      <c r="F3840">
        <v>3801</v>
      </c>
      <c r="G3840">
        <v>60</v>
      </c>
      <c r="H3840">
        <f t="shared" si="363"/>
        <v>0</v>
      </c>
      <c r="I3840" t="str">
        <f t="shared" si="361"/>
        <v>On Time</v>
      </c>
      <c r="J3840" cm="1">
        <f t="array" ref="J3840">_xlfn.IFS(H3840&lt;30,0,H3840&lt;60,1,H3840&lt;90,2,H3840&lt;120,3)</f>
        <v>0</v>
      </c>
      <c r="M3840" t="str">
        <f t="shared" si="362"/>
        <v>Low</v>
      </c>
      <c r="N3840" t="str">
        <f t="shared" si="359"/>
        <v>Jul</v>
      </c>
      <c r="O3840">
        <f t="shared" si="360"/>
        <v>2025</v>
      </c>
    </row>
    <row r="3841" spans="1:15" x14ac:dyDescent="0.3">
      <c r="A3841">
        <v>200707</v>
      </c>
      <c r="B3841" t="s">
        <v>26</v>
      </c>
      <c r="C3841" s="2">
        <v>45849</v>
      </c>
      <c r="D3841" s="2">
        <f t="shared" si="358"/>
        <v>45879</v>
      </c>
      <c r="E3841" s="1">
        <f>D3841-1</f>
        <v>45878</v>
      </c>
      <c r="F3841">
        <v>459</v>
      </c>
      <c r="G3841">
        <v>30</v>
      </c>
      <c r="H3841">
        <f t="shared" si="363"/>
        <v>0</v>
      </c>
      <c r="I3841" t="str">
        <f t="shared" si="361"/>
        <v>On Time</v>
      </c>
      <c r="J3841" cm="1">
        <f t="array" ref="J3841">_xlfn.IFS(H3841&lt;30,0,H3841&lt;60,1,H3841&lt;90,2,H3841&lt;120,3)</f>
        <v>0</v>
      </c>
      <c r="M3841" t="str">
        <f t="shared" si="362"/>
        <v>Low</v>
      </c>
      <c r="N3841" t="str">
        <f t="shared" si="359"/>
        <v>Jul</v>
      </c>
      <c r="O3841">
        <f t="shared" si="360"/>
        <v>2025</v>
      </c>
    </row>
    <row r="3842" spans="1:15" x14ac:dyDescent="0.3">
      <c r="A3842">
        <v>200708</v>
      </c>
      <c r="B3842" t="s">
        <v>27</v>
      </c>
      <c r="C3842" s="2">
        <v>45849</v>
      </c>
      <c r="D3842" s="2">
        <f t="shared" ref="D3842:D3905" si="364">C3842+G3842</f>
        <v>45909</v>
      </c>
      <c r="E3842" s="1">
        <f>D3842</f>
        <v>45909</v>
      </c>
      <c r="F3842">
        <v>1331</v>
      </c>
      <c r="G3842">
        <v>60</v>
      </c>
      <c r="H3842">
        <f t="shared" si="363"/>
        <v>0</v>
      </c>
      <c r="I3842" t="str">
        <f t="shared" si="361"/>
        <v>On Time</v>
      </c>
      <c r="J3842" cm="1">
        <f t="array" ref="J3842">_xlfn.IFS(H3842&lt;30,0,H3842&lt;60,1,H3842&lt;90,2,H3842&lt;120,3)</f>
        <v>0</v>
      </c>
      <c r="M3842" t="str">
        <f t="shared" si="362"/>
        <v>Low</v>
      </c>
      <c r="N3842" t="str">
        <f t="shared" ref="N3842:N3905" si="365">TEXT(C3842,"mmm")</f>
        <v>Jul</v>
      </c>
      <c r="O3842">
        <f t="shared" ref="O3842:O3905" si="366">YEAR(C3842)</f>
        <v>2025</v>
      </c>
    </row>
    <row r="3843" spans="1:15" x14ac:dyDescent="0.3">
      <c r="A3843">
        <v>200709</v>
      </c>
      <c r="B3843" t="s">
        <v>28</v>
      </c>
      <c r="C3843" s="2">
        <v>45849</v>
      </c>
      <c r="D3843" s="2">
        <f t="shared" si="364"/>
        <v>45879</v>
      </c>
      <c r="E3843" s="1">
        <f>D3843+32</f>
        <v>45911</v>
      </c>
      <c r="F3843">
        <v>2915</v>
      </c>
      <c r="G3843">
        <v>30</v>
      </c>
      <c r="H3843">
        <f t="shared" si="363"/>
        <v>0</v>
      </c>
      <c r="I3843" t="str">
        <f t="shared" si="361"/>
        <v>On Time</v>
      </c>
      <c r="J3843" cm="1">
        <f t="array" ref="J3843">_xlfn.IFS(H3843&lt;30,0,H3843&lt;60,1,H3843&lt;90,2,H3843&lt;120,3)</f>
        <v>0</v>
      </c>
      <c r="M3843" t="str">
        <f t="shared" si="362"/>
        <v>Low</v>
      </c>
      <c r="N3843" t="str">
        <f t="shared" si="365"/>
        <v>Jul</v>
      </c>
      <c r="O3843">
        <f t="shared" si="366"/>
        <v>2025</v>
      </c>
    </row>
    <row r="3844" spans="1:15" x14ac:dyDescent="0.3">
      <c r="A3844">
        <v>200710</v>
      </c>
      <c r="B3844" t="s">
        <v>29</v>
      </c>
      <c r="C3844" s="2">
        <v>45849</v>
      </c>
      <c r="D3844" s="2">
        <f t="shared" si="364"/>
        <v>45879</v>
      </c>
      <c r="E3844" s="1">
        <f>D3844+15</f>
        <v>45894</v>
      </c>
      <c r="F3844">
        <v>2676</v>
      </c>
      <c r="G3844">
        <v>30</v>
      </c>
      <c r="H3844">
        <f t="shared" si="363"/>
        <v>0</v>
      </c>
      <c r="I3844" t="str">
        <f t="shared" si="361"/>
        <v>On Time</v>
      </c>
      <c r="J3844" cm="1">
        <f t="array" ref="J3844">_xlfn.IFS(H3844&lt;30,0,H3844&lt;60,1,H3844&lt;90,2,H3844&lt;120,3)</f>
        <v>0</v>
      </c>
      <c r="M3844" t="str">
        <f t="shared" si="362"/>
        <v>Low</v>
      </c>
      <c r="N3844" t="str">
        <f t="shared" si="365"/>
        <v>Jul</v>
      </c>
      <c r="O3844">
        <f t="shared" si="366"/>
        <v>2025</v>
      </c>
    </row>
    <row r="3845" spans="1:15" x14ac:dyDescent="0.3">
      <c r="A3845">
        <v>200711</v>
      </c>
      <c r="B3845" t="s">
        <v>30</v>
      </c>
      <c r="C3845" s="2">
        <v>45849</v>
      </c>
      <c r="D3845" s="2">
        <f t="shared" si="364"/>
        <v>45879</v>
      </c>
      <c r="E3845" s="1">
        <f>D3845</f>
        <v>45879</v>
      </c>
      <c r="F3845">
        <v>5505</v>
      </c>
      <c r="G3845">
        <v>30</v>
      </c>
      <c r="H3845">
        <f t="shared" si="363"/>
        <v>0</v>
      </c>
      <c r="I3845" t="str">
        <f t="shared" si="361"/>
        <v>On Time</v>
      </c>
      <c r="J3845" cm="1">
        <f t="array" ref="J3845">_xlfn.IFS(H3845&lt;30,0,H3845&lt;60,1,H3845&lt;90,2,H3845&lt;120,3)</f>
        <v>0</v>
      </c>
      <c r="M3845" t="str">
        <f t="shared" si="362"/>
        <v>Low</v>
      </c>
      <c r="N3845" t="str">
        <f t="shared" si="365"/>
        <v>Jul</v>
      </c>
      <c r="O3845">
        <f t="shared" si="366"/>
        <v>2025</v>
      </c>
    </row>
    <row r="3846" spans="1:15" x14ac:dyDescent="0.3">
      <c r="A3846">
        <v>200712</v>
      </c>
      <c r="B3846" t="s">
        <v>31</v>
      </c>
      <c r="C3846" s="2">
        <v>45849</v>
      </c>
      <c r="D3846" s="2">
        <f t="shared" si="364"/>
        <v>45894</v>
      </c>
      <c r="E3846" s="1">
        <f>D3846-2</f>
        <v>45892</v>
      </c>
      <c r="F3846">
        <v>1542</v>
      </c>
      <c r="G3846">
        <v>45</v>
      </c>
      <c r="H3846">
        <f t="shared" si="363"/>
        <v>0</v>
      </c>
      <c r="I3846" t="str">
        <f t="shared" si="361"/>
        <v>On Time</v>
      </c>
      <c r="J3846" cm="1">
        <f t="array" ref="J3846">_xlfn.IFS(H3846&lt;30,0,H3846&lt;60,1,H3846&lt;90,2,H3846&lt;120,3)</f>
        <v>0</v>
      </c>
      <c r="M3846" t="str">
        <f t="shared" si="362"/>
        <v>Low</v>
      </c>
      <c r="N3846" t="str">
        <f t="shared" si="365"/>
        <v>Jul</v>
      </c>
      <c r="O3846">
        <f t="shared" si="366"/>
        <v>2025</v>
      </c>
    </row>
    <row r="3847" spans="1:15" x14ac:dyDescent="0.3">
      <c r="A3847">
        <v>200713</v>
      </c>
      <c r="B3847" t="s">
        <v>54</v>
      </c>
      <c r="C3847" s="2">
        <v>45849</v>
      </c>
      <c r="D3847" s="2">
        <f t="shared" si="364"/>
        <v>45879</v>
      </c>
      <c r="E3847" s="1">
        <f>D3847</f>
        <v>45879</v>
      </c>
      <c r="F3847">
        <v>556</v>
      </c>
      <c r="G3847">
        <v>30</v>
      </c>
      <c r="H3847">
        <f t="shared" si="363"/>
        <v>0</v>
      </c>
      <c r="I3847" t="str">
        <f t="shared" si="361"/>
        <v>On Time</v>
      </c>
      <c r="J3847" cm="1">
        <f t="array" ref="J3847">_xlfn.IFS(H3847&lt;30,0,H3847&lt;60,1,H3847&lt;90,2,H3847&lt;120,3)</f>
        <v>0</v>
      </c>
      <c r="M3847" t="str">
        <f t="shared" si="362"/>
        <v>Low</v>
      </c>
      <c r="N3847" t="str">
        <f t="shared" si="365"/>
        <v>Jul</v>
      </c>
      <c r="O3847">
        <f t="shared" si="366"/>
        <v>2025</v>
      </c>
    </row>
    <row r="3848" spans="1:15" x14ac:dyDescent="0.3">
      <c r="A3848">
        <v>200714</v>
      </c>
      <c r="B3848" t="s">
        <v>55</v>
      </c>
      <c r="C3848" s="2">
        <v>45849</v>
      </c>
      <c r="D3848" s="2">
        <f t="shared" si="364"/>
        <v>45879</v>
      </c>
      <c r="E3848" s="1">
        <f>D3848+2</f>
        <v>45881</v>
      </c>
      <c r="F3848">
        <v>873</v>
      </c>
      <c r="G3848">
        <v>30</v>
      </c>
      <c r="H3848">
        <f t="shared" si="363"/>
        <v>0</v>
      </c>
      <c r="I3848" t="str">
        <f t="shared" si="361"/>
        <v>On Time</v>
      </c>
      <c r="J3848" cm="1">
        <f t="array" ref="J3848">_xlfn.IFS(H3848&lt;30,0,H3848&lt;60,1,H3848&lt;90,2,H3848&lt;120,3)</f>
        <v>0</v>
      </c>
      <c r="M3848" t="str">
        <f t="shared" si="362"/>
        <v>Low</v>
      </c>
      <c r="N3848" t="str">
        <f t="shared" si="365"/>
        <v>Jul</v>
      </c>
      <c r="O3848">
        <f t="shared" si="366"/>
        <v>2025</v>
      </c>
    </row>
    <row r="3849" spans="1:15" x14ac:dyDescent="0.3">
      <c r="A3849">
        <v>200715</v>
      </c>
      <c r="B3849" t="s">
        <v>56</v>
      </c>
      <c r="C3849" s="2">
        <v>45849</v>
      </c>
      <c r="D3849" s="2">
        <f t="shared" si="364"/>
        <v>45894</v>
      </c>
      <c r="E3849" s="1">
        <f>D3849+2</f>
        <v>45896</v>
      </c>
      <c r="F3849">
        <v>3878</v>
      </c>
      <c r="G3849">
        <v>45</v>
      </c>
      <c r="H3849">
        <f t="shared" si="363"/>
        <v>0</v>
      </c>
      <c r="I3849" t="str">
        <f t="shared" si="361"/>
        <v>On Time</v>
      </c>
      <c r="J3849" cm="1">
        <f t="array" ref="J3849">_xlfn.IFS(H3849&lt;30,0,H3849&lt;60,1,H3849&lt;90,2,H3849&lt;120,3)</f>
        <v>0</v>
      </c>
      <c r="M3849" t="str">
        <f t="shared" si="362"/>
        <v>Low</v>
      </c>
      <c r="N3849" t="str">
        <f t="shared" si="365"/>
        <v>Jul</v>
      </c>
      <c r="O3849">
        <f t="shared" si="366"/>
        <v>2025</v>
      </c>
    </row>
    <row r="3850" spans="1:15" x14ac:dyDescent="0.3">
      <c r="A3850">
        <v>200716</v>
      </c>
      <c r="B3850" t="s">
        <v>57</v>
      </c>
      <c r="C3850" s="2">
        <v>45849</v>
      </c>
      <c r="D3850" s="2">
        <f t="shared" si="364"/>
        <v>45909</v>
      </c>
      <c r="E3850" s="1">
        <f>D3850+2</f>
        <v>45911</v>
      </c>
      <c r="F3850">
        <v>3845</v>
      </c>
      <c r="G3850">
        <v>60</v>
      </c>
      <c r="H3850">
        <f t="shared" si="363"/>
        <v>0</v>
      </c>
      <c r="I3850" t="str">
        <f t="shared" si="361"/>
        <v>On Time</v>
      </c>
      <c r="J3850" cm="1">
        <f t="array" ref="J3850">_xlfn.IFS(H3850&lt;30,0,H3850&lt;60,1,H3850&lt;90,2,H3850&lt;120,3)</f>
        <v>0</v>
      </c>
      <c r="M3850" t="str">
        <f t="shared" si="362"/>
        <v>Low</v>
      </c>
      <c r="N3850" t="str">
        <f t="shared" si="365"/>
        <v>Jul</v>
      </c>
      <c r="O3850">
        <f t="shared" si="366"/>
        <v>2025</v>
      </c>
    </row>
    <row r="3851" spans="1:15" x14ac:dyDescent="0.3">
      <c r="A3851">
        <v>200717</v>
      </c>
      <c r="B3851" t="s">
        <v>58</v>
      </c>
      <c r="C3851" s="2">
        <v>45849</v>
      </c>
      <c r="D3851" s="2">
        <f t="shared" si="364"/>
        <v>45879</v>
      </c>
      <c r="E3851" s="1">
        <f>D3851</f>
        <v>45879</v>
      </c>
      <c r="F3851">
        <v>9497</v>
      </c>
      <c r="G3851">
        <v>30</v>
      </c>
      <c r="H3851">
        <f t="shared" si="363"/>
        <v>0</v>
      </c>
      <c r="I3851" t="str">
        <f t="shared" si="361"/>
        <v>On Time</v>
      </c>
      <c r="J3851" cm="1">
        <f t="array" ref="J3851">_xlfn.IFS(H3851&lt;30,0,H3851&lt;60,1,H3851&lt;90,2,H3851&lt;120,3)</f>
        <v>0</v>
      </c>
      <c r="M3851" t="str">
        <f t="shared" si="362"/>
        <v>Low</v>
      </c>
      <c r="N3851" t="str">
        <f t="shared" si="365"/>
        <v>Jul</v>
      </c>
      <c r="O3851">
        <f t="shared" si="366"/>
        <v>2025</v>
      </c>
    </row>
    <row r="3852" spans="1:15" x14ac:dyDescent="0.3">
      <c r="A3852">
        <v>200718</v>
      </c>
      <c r="B3852" t="s">
        <v>59</v>
      </c>
      <c r="C3852" s="2">
        <v>45849</v>
      </c>
      <c r="D3852" s="2">
        <f t="shared" si="364"/>
        <v>45879</v>
      </c>
      <c r="E3852" s="1">
        <f>D3852+20</f>
        <v>45899</v>
      </c>
      <c r="F3852">
        <v>4370</v>
      </c>
      <c r="G3852">
        <v>30</v>
      </c>
      <c r="H3852">
        <f t="shared" si="363"/>
        <v>0</v>
      </c>
      <c r="I3852" t="str">
        <f t="shared" si="361"/>
        <v>On Time</v>
      </c>
      <c r="J3852" cm="1">
        <f t="array" ref="J3852">_xlfn.IFS(H3852&lt;30,0,H3852&lt;60,1,H3852&lt;90,2,H3852&lt;120,3)</f>
        <v>0</v>
      </c>
      <c r="M3852" t="str">
        <f t="shared" si="362"/>
        <v>Low</v>
      </c>
      <c r="N3852" t="str">
        <f t="shared" si="365"/>
        <v>Jul</v>
      </c>
      <c r="O3852">
        <f t="shared" si="366"/>
        <v>2025</v>
      </c>
    </row>
    <row r="3853" spans="1:15" x14ac:dyDescent="0.3">
      <c r="A3853">
        <v>200719</v>
      </c>
      <c r="B3853" t="s">
        <v>60</v>
      </c>
      <c r="C3853" s="2">
        <v>45849</v>
      </c>
      <c r="D3853" s="2">
        <f t="shared" si="364"/>
        <v>45879</v>
      </c>
      <c r="E3853" s="1">
        <f>D3853</f>
        <v>45879</v>
      </c>
      <c r="F3853">
        <v>3730</v>
      </c>
      <c r="G3853">
        <v>30</v>
      </c>
      <c r="H3853">
        <f t="shared" si="363"/>
        <v>0</v>
      </c>
      <c r="I3853" t="str">
        <f t="shared" si="361"/>
        <v>On Time</v>
      </c>
      <c r="J3853" cm="1">
        <f t="array" ref="J3853">_xlfn.IFS(H3853&lt;30,0,H3853&lt;60,1,H3853&lt;90,2,H3853&lt;120,3)</f>
        <v>0</v>
      </c>
      <c r="M3853" t="str">
        <f t="shared" si="362"/>
        <v>Low</v>
      </c>
      <c r="N3853" t="str">
        <f t="shared" si="365"/>
        <v>Jul</v>
      </c>
      <c r="O3853">
        <f t="shared" si="366"/>
        <v>2025</v>
      </c>
    </row>
    <row r="3854" spans="1:15" x14ac:dyDescent="0.3">
      <c r="A3854">
        <v>200720</v>
      </c>
      <c r="B3854" t="s">
        <v>61</v>
      </c>
      <c r="C3854" s="2">
        <v>45849</v>
      </c>
      <c r="D3854" s="2">
        <f t="shared" si="364"/>
        <v>45879</v>
      </c>
      <c r="E3854" s="1">
        <f>D3854+1</f>
        <v>45880</v>
      </c>
      <c r="F3854">
        <v>2078</v>
      </c>
      <c r="G3854">
        <v>30</v>
      </c>
      <c r="H3854">
        <f t="shared" si="363"/>
        <v>0</v>
      </c>
      <c r="I3854" t="str">
        <f t="shared" si="361"/>
        <v>On Time</v>
      </c>
      <c r="J3854" cm="1">
        <f t="array" ref="J3854">_xlfn.IFS(H3854&lt;30,0,H3854&lt;60,1,H3854&lt;90,2,H3854&lt;120,3)</f>
        <v>0</v>
      </c>
      <c r="M3854" t="str">
        <f t="shared" si="362"/>
        <v>Low</v>
      </c>
      <c r="N3854" t="str">
        <f t="shared" si="365"/>
        <v>Jul</v>
      </c>
      <c r="O3854">
        <f t="shared" si="366"/>
        <v>2025</v>
      </c>
    </row>
    <row r="3855" spans="1:15" x14ac:dyDescent="0.3">
      <c r="A3855">
        <v>200721</v>
      </c>
      <c r="B3855" t="s">
        <v>62</v>
      </c>
      <c r="C3855" s="2">
        <v>45849</v>
      </c>
      <c r="D3855" s="2">
        <f t="shared" si="364"/>
        <v>45879</v>
      </c>
      <c r="E3855" s="1">
        <f>D3855</f>
        <v>45879</v>
      </c>
      <c r="F3855">
        <v>719</v>
      </c>
      <c r="G3855">
        <v>30</v>
      </c>
      <c r="H3855">
        <f t="shared" si="363"/>
        <v>0</v>
      </c>
      <c r="I3855" t="str">
        <f t="shared" si="361"/>
        <v>On Time</v>
      </c>
      <c r="J3855" cm="1">
        <f t="array" ref="J3855">_xlfn.IFS(H3855&lt;30,0,H3855&lt;60,1,H3855&lt;90,2,H3855&lt;120,3)</f>
        <v>0</v>
      </c>
      <c r="M3855" t="str">
        <f t="shared" si="362"/>
        <v>Low</v>
      </c>
      <c r="N3855" t="str">
        <f t="shared" si="365"/>
        <v>Jul</v>
      </c>
      <c r="O3855">
        <f t="shared" si="366"/>
        <v>2025</v>
      </c>
    </row>
    <row r="3856" spans="1:15" x14ac:dyDescent="0.3">
      <c r="A3856">
        <v>200722</v>
      </c>
      <c r="B3856" t="s">
        <v>63</v>
      </c>
      <c r="C3856" s="2">
        <v>45849</v>
      </c>
      <c r="D3856" s="2">
        <f t="shared" si="364"/>
        <v>45879</v>
      </c>
      <c r="E3856" s="1">
        <f>D3856</f>
        <v>45879</v>
      </c>
      <c r="F3856">
        <v>476</v>
      </c>
      <c r="G3856">
        <v>30</v>
      </c>
      <c r="H3856">
        <f t="shared" si="363"/>
        <v>0</v>
      </c>
      <c r="I3856" t="str">
        <f t="shared" si="361"/>
        <v>On Time</v>
      </c>
      <c r="J3856" cm="1">
        <f t="array" ref="J3856">_xlfn.IFS(H3856&lt;30,0,H3856&lt;60,1,H3856&lt;90,2,H3856&lt;120,3)</f>
        <v>0</v>
      </c>
      <c r="M3856" t="str">
        <f t="shared" si="362"/>
        <v>Low</v>
      </c>
      <c r="N3856" t="str">
        <f t="shared" si="365"/>
        <v>Jul</v>
      </c>
      <c r="O3856">
        <f t="shared" si="366"/>
        <v>2025</v>
      </c>
    </row>
    <row r="3857" spans="1:15" x14ac:dyDescent="0.3">
      <c r="A3857">
        <v>200686</v>
      </c>
      <c r="B3857" t="s">
        <v>61</v>
      </c>
      <c r="C3857" s="2">
        <v>45848</v>
      </c>
      <c r="D3857" s="2">
        <f t="shared" si="364"/>
        <v>45878</v>
      </c>
      <c r="E3857" s="1">
        <f>D3857</f>
        <v>45878</v>
      </c>
      <c r="F3857">
        <v>4723</v>
      </c>
      <c r="G3857">
        <v>30</v>
      </c>
      <c r="H3857">
        <f t="shared" si="363"/>
        <v>0</v>
      </c>
      <c r="I3857" t="str">
        <f t="shared" si="361"/>
        <v>On Time</v>
      </c>
      <c r="J3857" cm="1">
        <f t="array" ref="J3857">_xlfn.IFS(H3857&lt;30,0,H3857&lt;60,1,H3857&lt;90,2,H3857&lt;120,3)</f>
        <v>0</v>
      </c>
      <c r="M3857" t="str">
        <f t="shared" si="362"/>
        <v>Low</v>
      </c>
      <c r="N3857" t="str">
        <f t="shared" si="365"/>
        <v>Jul</v>
      </c>
      <c r="O3857">
        <f t="shared" si="366"/>
        <v>2025</v>
      </c>
    </row>
    <row r="3858" spans="1:15" x14ac:dyDescent="0.3">
      <c r="A3858">
        <v>200687</v>
      </c>
      <c r="B3858" t="s">
        <v>62</v>
      </c>
      <c r="C3858" s="2">
        <v>45848</v>
      </c>
      <c r="D3858" s="2">
        <f t="shared" si="364"/>
        <v>45878</v>
      </c>
      <c r="E3858" s="1">
        <f>D3858+1</f>
        <v>45879</v>
      </c>
      <c r="F3858">
        <v>14099</v>
      </c>
      <c r="G3858">
        <v>30</v>
      </c>
      <c r="H3858">
        <f t="shared" si="363"/>
        <v>0</v>
      </c>
      <c r="I3858" t="str">
        <f t="shared" si="361"/>
        <v>On Time</v>
      </c>
      <c r="J3858" cm="1">
        <f t="array" ref="J3858">_xlfn.IFS(H3858&lt;30,0,H3858&lt;60,1,H3858&lt;90,2,H3858&lt;120,3)</f>
        <v>0</v>
      </c>
      <c r="M3858" t="str">
        <f t="shared" si="362"/>
        <v>Low</v>
      </c>
      <c r="N3858" t="str">
        <f t="shared" si="365"/>
        <v>Jul</v>
      </c>
      <c r="O3858">
        <f t="shared" si="366"/>
        <v>2025</v>
      </c>
    </row>
    <row r="3859" spans="1:15" x14ac:dyDescent="0.3">
      <c r="A3859">
        <v>200688</v>
      </c>
      <c r="B3859" t="s">
        <v>63</v>
      </c>
      <c r="C3859" s="2">
        <v>45848</v>
      </c>
      <c r="D3859" s="2">
        <f t="shared" si="364"/>
        <v>45878</v>
      </c>
      <c r="E3859" s="1">
        <f>D3859</f>
        <v>45878</v>
      </c>
      <c r="F3859">
        <v>3769</v>
      </c>
      <c r="G3859">
        <v>30</v>
      </c>
      <c r="H3859">
        <f t="shared" si="363"/>
        <v>0</v>
      </c>
      <c r="I3859" t="str">
        <f t="shared" si="361"/>
        <v>On Time</v>
      </c>
      <c r="J3859" cm="1">
        <f t="array" ref="J3859">_xlfn.IFS(H3859&lt;30,0,H3859&lt;60,1,H3859&lt;90,2,H3859&lt;120,3)</f>
        <v>0</v>
      </c>
      <c r="M3859" t="str">
        <f t="shared" si="362"/>
        <v>Low</v>
      </c>
      <c r="N3859" t="str">
        <f t="shared" si="365"/>
        <v>Jul</v>
      </c>
      <c r="O3859">
        <f t="shared" si="366"/>
        <v>2025</v>
      </c>
    </row>
    <row r="3860" spans="1:15" x14ac:dyDescent="0.3">
      <c r="A3860">
        <v>200689</v>
      </c>
      <c r="B3860" t="s">
        <v>64</v>
      </c>
      <c r="C3860" s="2">
        <v>45848</v>
      </c>
      <c r="D3860" s="2">
        <f t="shared" si="364"/>
        <v>45878</v>
      </c>
      <c r="E3860" s="1">
        <f>D3860</f>
        <v>45878</v>
      </c>
      <c r="F3860">
        <v>661</v>
      </c>
      <c r="G3860">
        <v>30</v>
      </c>
      <c r="H3860">
        <f t="shared" si="363"/>
        <v>0</v>
      </c>
      <c r="I3860" t="str">
        <f t="shared" si="361"/>
        <v>On Time</v>
      </c>
      <c r="J3860" cm="1">
        <f t="array" ref="J3860">_xlfn.IFS(H3860&lt;30,0,H3860&lt;60,1,H3860&lt;90,2,H3860&lt;120,3)</f>
        <v>0</v>
      </c>
      <c r="M3860" t="str">
        <f t="shared" si="362"/>
        <v>Low</v>
      </c>
      <c r="N3860" t="str">
        <f t="shared" si="365"/>
        <v>Jul</v>
      </c>
      <c r="O3860">
        <f t="shared" si="366"/>
        <v>2025</v>
      </c>
    </row>
    <row r="3861" spans="1:15" x14ac:dyDescent="0.3">
      <c r="A3861">
        <v>200690</v>
      </c>
      <c r="B3861" t="s">
        <v>65</v>
      </c>
      <c r="C3861" s="2">
        <v>45848</v>
      </c>
      <c r="D3861" s="2">
        <f t="shared" si="364"/>
        <v>45893</v>
      </c>
      <c r="E3861" s="1">
        <f>D3861+5</f>
        <v>45898</v>
      </c>
      <c r="F3861">
        <v>2472</v>
      </c>
      <c r="G3861">
        <v>45</v>
      </c>
      <c r="H3861">
        <f t="shared" si="363"/>
        <v>0</v>
      </c>
      <c r="I3861" t="str">
        <f t="shared" si="361"/>
        <v>On Time</v>
      </c>
      <c r="J3861" cm="1">
        <f t="array" ref="J3861">_xlfn.IFS(H3861&lt;30,0,H3861&lt;60,1,H3861&lt;90,2,H3861&lt;120,3)</f>
        <v>0</v>
      </c>
      <c r="M3861" t="str">
        <f t="shared" si="362"/>
        <v>Low</v>
      </c>
      <c r="N3861" t="str">
        <f t="shared" si="365"/>
        <v>Jul</v>
      </c>
      <c r="O3861">
        <f t="shared" si="366"/>
        <v>2025</v>
      </c>
    </row>
    <row r="3862" spans="1:15" x14ac:dyDescent="0.3">
      <c r="A3862">
        <v>200691</v>
      </c>
      <c r="B3862" t="s">
        <v>66</v>
      </c>
      <c r="C3862" s="2">
        <v>45848</v>
      </c>
      <c r="D3862" s="2">
        <f t="shared" si="364"/>
        <v>45908</v>
      </c>
      <c r="E3862" s="1">
        <f>D3862+2</f>
        <v>45910</v>
      </c>
      <c r="F3862">
        <v>4608</v>
      </c>
      <c r="G3862">
        <v>60</v>
      </c>
      <c r="H3862">
        <f t="shared" si="363"/>
        <v>0</v>
      </c>
      <c r="I3862" t="str">
        <f t="shared" ref="I3862:I3925" si="367">IF(H3862=0,"On Time",IF(H3862&lt;=15,"Paid Late","Seriously Late"))</f>
        <v>On Time</v>
      </c>
      <c r="J3862" cm="1">
        <f t="array" ref="J3862">_xlfn.IFS(H3862&lt;30,0,H3862&lt;60,1,H3862&lt;90,2,H3862&lt;120,3)</f>
        <v>0</v>
      </c>
      <c r="M3862" t="str">
        <f t="shared" ref="M3862:M3925" si="368">IF(H3862&gt;30,"High",IF(H3862&gt;10,"Medium","Low"))</f>
        <v>Low</v>
      </c>
      <c r="N3862" t="str">
        <f t="shared" si="365"/>
        <v>Jul</v>
      </c>
      <c r="O3862">
        <f t="shared" si="366"/>
        <v>2025</v>
      </c>
    </row>
    <row r="3863" spans="1:15" x14ac:dyDescent="0.3">
      <c r="A3863">
        <v>200692</v>
      </c>
      <c r="B3863" t="s">
        <v>108</v>
      </c>
      <c r="C3863" s="2">
        <v>45848</v>
      </c>
      <c r="D3863" s="2">
        <f t="shared" si="364"/>
        <v>45878</v>
      </c>
      <c r="E3863" s="1">
        <f>D3863+5</f>
        <v>45883</v>
      </c>
      <c r="F3863">
        <v>3010</v>
      </c>
      <c r="G3863">
        <v>30</v>
      </c>
      <c r="H3863">
        <f t="shared" si="363"/>
        <v>0</v>
      </c>
      <c r="I3863" t="str">
        <f t="shared" si="367"/>
        <v>On Time</v>
      </c>
      <c r="J3863" cm="1">
        <f t="array" ref="J3863">_xlfn.IFS(H3863&lt;30,0,H3863&lt;60,1,H3863&lt;90,2,H3863&lt;120,3)</f>
        <v>0</v>
      </c>
      <c r="M3863" t="str">
        <f t="shared" si="368"/>
        <v>Low</v>
      </c>
      <c r="N3863" t="str">
        <f t="shared" si="365"/>
        <v>Jul</v>
      </c>
      <c r="O3863">
        <f t="shared" si="366"/>
        <v>2025</v>
      </c>
    </row>
    <row r="3864" spans="1:15" x14ac:dyDescent="0.3">
      <c r="A3864">
        <v>200693</v>
      </c>
      <c r="B3864" t="s">
        <v>109</v>
      </c>
      <c r="C3864" s="2">
        <v>45848</v>
      </c>
      <c r="D3864" s="2">
        <f t="shared" si="364"/>
        <v>45878</v>
      </c>
      <c r="E3864" s="1">
        <f>D3864</f>
        <v>45878</v>
      </c>
      <c r="F3864">
        <v>2417</v>
      </c>
      <c r="G3864">
        <v>30</v>
      </c>
      <c r="H3864">
        <f t="shared" si="363"/>
        <v>0</v>
      </c>
      <c r="I3864" t="str">
        <f t="shared" si="367"/>
        <v>On Time</v>
      </c>
      <c r="J3864" cm="1">
        <f t="array" ref="J3864">_xlfn.IFS(H3864&lt;30,0,H3864&lt;60,1,H3864&lt;90,2,H3864&lt;120,3)</f>
        <v>0</v>
      </c>
      <c r="M3864" t="str">
        <f t="shared" si="368"/>
        <v>Low</v>
      </c>
      <c r="N3864" t="str">
        <f t="shared" si="365"/>
        <v>Jul</v>
      </c>
      <c r="O3864">
        <f t="shared" si="366"/>
        <v>2025</v>
      </c>
    </row>
    <row r="3865" spans="1:15" x14ac:dyDescent="0.3">
      <c r="A3865">
        <v>200694</v>
      </c>
      <c r="B3865" t="s">
        <v>110</v>
      </c>
      <c r="C3865" s="2">
        <v>45848</v>
      </c>
      <c r="D3865" s="2">
        <f t="shared" si="364"/>
        <v>45893</v>
      </c>
      <c r="E3865" s="1">
        <f>D3865</f>
        <v>45893</v>
      </c>
      <c r="F3865">
        <v>235</v>
      </c>
      <c r="G3865">
        <v>45</v>
      </c>
      <c r="H3865">
        <f t="shared" si="363"/>
        <v>0</v>
      </c>
      <c r="I3865" t="str">
        <f t="shared" si="367"/>
        <v>On Time</v>
      </c>
      <c r="J3865" cm="1">
        <f t="array" ref="J3865">_xlfn.IFS(H3865&lt;30,0,H3865&lt;60,1,H3865&lt;90,2,H3865&lt;120,3)</f>
        <v>0</v>
      </c>
      <c r="M3865" t="str">
        <f t="shared" si="368"/>
        <v>Low</v>
      </c>
      <c r="N3865" t="str">
        <f t="shared" si="365"/>
        <v>Jul</v>
      </c>
      <c r="O3865">
        <f t="shared" si="366"/>
        <v>2025</v>
      </c>
    </row>
    <row r="3866" spans="1:15" x14ac:dyDescent="0.3">
      <c r="A3866">
        <v>200695</v>
      </c>
      <c r="B3866" t="s">
        <v>111</v>
      </c>
      <c r="C3866" s="2">
        <v>45848</v>
      </c>
      <c r="D3866" s="2">
        <f t="shared" si="364"/>
        <v>45908</v>
      </c>
      <c r="E3866" s="1">
        <f>D3866+60</f>
        <v>45968</v>
      </c>
      <c r="F3866">
        <v>4090</v>
      </c>
      <c r="G3866">
        <v>60</v>
      </c>
      <c r="H3866">
        <f t="shared" si="363"/>
        <v>0</v>
      </c>
      <c r="I3866" t="str">
        <f t="shared" si="367"/>
        <v>On Time</v>
      </c>
      <c r="J3866" cm="1">
        <f t="array" ref="J3866">_xlfn.IFS(H3866&lt;30,0,H3866&lt;60,1,H3866&lt;90,2,H3866&lt;120,3)</f>
        <v>0</v>
      </c>
      <c r="M3866" t="str">
        <f t="shared" si="368"/>
        <v>Low</v>
      </c>
      <c r="N3866" t="str">
        <f t="shared" si="365"/>
        <v>Jul</v>
      </c>
      <c r="O3866">
        <f t="shared" si="366"/>
        <v>2025</v>
      </c>
    </row>
    <row r="3867" spans="1:15" x14ac:dyDescent="0.3">
      <c r="A3867">
        <v>200696</v>
      </c>
      <c r="B3867" t="s">
        <v>112</v>
      </c>
      <c r="C3867" s="2">
        <v>45848</v>
      </c>
      <c r="D3867" s="2">
        <f t="shared" si="364"/>
        <v>45893</v>
      </c>
      <c r="E3867" s="1">
        <f>D3867</f>
        <v>45893</v>
      </c>
      <c r="F3867">
        <v>4383</v>
      </c>
      <c r="G3867">
        <v>45</v>
      </c>
      <c r="H3867">
        <f t="shared" si="363"/>
        <v>0</v>
      </c>
      <c r="I3867" t="str">
        <f t="shared" si="367"/>
        <v>On Time</v>
      </c>
      <c r="J3867" cm="1">
        <f t="array" ref="J3867">_xlfn.IFS(H3867&lt;30,0,H3867&lt;60,1,H3867&lt;90,2,H3867&lt;120,3)</f>
        <v>0</v>
      </c>
      <c r="M3867" t="str">
        <f t="shared" si="368"/>
        <v>Low</v>
      </c>
      <c r="N3867" t="str">
        <f t="shared" si="365"/>
        <v>Jul</v>
      </c>
      <c r="O3867">
        <f t="shared" si="366"/>
        <v>2025</v>
      </c>
    </row>
    <row r="3868" spans="1:15" x14ac:dyDescent="0.3">
      <c r="A3868">
        <v>200697</v>
      </c>
      <c r="B3868" t="s">
        <v>113</v>
      </c>
      <c r="C3868" s="2">
        <v>45848</v>
      </c>
      <c r="D3868" s="2">
        <f t="shared" si="364"/>
        <v>45893</v>
      </c>
      <c r="F3868">
        <v>3597</v>
      </c>
      <c r="G3868">
        <v>45</v>
      </c>
      <c r="H3868">
        <f t="shared" si="363"/>
        <v>0</v>
      </c>
      <c r="I3868" t="str">
        <f t="shared" si="367"/>
        <v>On Time</v>
      </c>
      <c r="J3868" cm="1">
        <f t="array" ref="J3868">_xlfn.IFS(H3868&lt;30,0,H3868&lt;60,1,H3868&lt;90,2,H3868&lt;120,3)</f>
        <v>0</v>
      </c>
      <c r="M3868" t="str">
        <f t="shared" si="368"/>
        <v>Low</v>
      </c>
      <c r="N3868" t="str">
        <f t="shared" si="365"/>
        <v>Jul</v>
      </c>
      <c r="O3868">
        <f t="shared" si="366"/>
        <v>2025</v>
      </c>
    </row>
    <row r="3869" spans="1:15" x14ac:dyDescent="0.3">
      <c r="A3869">
        <v>200698</v>
      </c>
      <c r="B3869" t="s">
        <v>114</v>
      </c>
      <c r="C3869" s="2">
        <v>45848</v>
      </c>
      <c r="D3869" s="2">
        <f t="shared" si="364"/>
        <v>45878</v>
      </c>
      <c r="E3869" s="1">
        <f>D3869+3</f>
        <v>45881</v>
      </c>
      <c r="F3869">
        <v>4830</v>
      </c>
      <c r="G3869">
        <v>30</v>
      </c>
      <c r="H3869">
        <f t="shared" si="363"/>
        <v>0</v>
      </c>
      <c r="I3869" t="str">
        <f t="shared" si="367"/>
        <v>On Time</v>
      </c>
      <c r="J3869" cm="1">
        <f t="array" ref="J3869">_xlfn.IFS(H3869&lt;30,0,H3869&lt;60,1,H3869&lt;90,2,H3869&lt;120,3)</f>
        <v>0</v>
      </c>
      <c r="M3869" t="str">
        <f t="shared" si="368"/>
        <v>Low</v>
      </c>
      <c r="N3869" t="str">
        <f t="shared" si="365"/>
        <v>Jul</v>
      </c>
      <c r="O3869">
        <f t="shared" si="366"/>
        <v>2025</v>
      </c>
    </row>
    <row r="3870" spans="1:15" x14ac:dyDescent="0.3">
      <c r="A3870">
        <v>200699</v>
      </c>
      <c r="B3870" t="s">
        <v>115</v>
      </c>
      <c r="C3870" s="2">
        <v>45848</v>
      </c>
      <c r="D3870" s="2">
        <f t="shared" si="364"/>
        <v>45878</v>
      </c>
      <c r="E3870" s="1">
        <f>D3870+1</f>
        <v>45879</v>
      </c>
      <c r="F3870">
        <v>771</v>
      </c>
      <c r="G3870">
        <v>30</v>
      </c>
      <c r="H3870">
        <f t="shared" si="363"/>
        <v>0</v>
      </c>
      <c r="I3870" t="str">
        <f t="shared" si="367"/>
        <v>On Time</v>
      </c>
      <c r="J3870" cm="1">
        <f t="array" ref="J3870">_xlfn.IFS(H3870&lt;30,0,H3870&lt;60,1,H3870&lt;90,2,H3870&lt;120,3)</f>
        <v>0</v>
      </c>
      <c r="M3870" t="str">
        <f t="shared" si="368"/>
        <v>Low</v>
      </c>
      <c r="N3870" t="str">
        <f t="shared" si="365"/>
        <v>Jul</v>
      </c>
      <c r="O3870">
        <f t="shared" si="366"/>
        <v>2025</v>
      </c>
    </row>
    <row r="3871" spans="1:15" x14ac:dyDescent="0.3">
      <c r="A3871">
        <v>200700</v>
      </c>
      <c r="B3871" t="s">
        <v>116</v>
      </c>
      <c r="C3871" s="2">
        <v>45848</v>
      </c>
      <c r="D3871" s="2">
        <f t="shared" si="364"/>
        <v>45878</v>
      </c>
      <c r="E3871" s="1">
        <f>D3871-1</f>
        <v>45877</v>
      </c>
      <c r="F3871">
        <v>277</v>
      </c>
      <c r="G3871">
        <v>30</v>
      </c>
      <c r="H3871">
        <f t="shared" si="363"/>
        <v>0</v>
      </c>
      <c r="I3871" t="str">
        <f t="shared" si="367"/>
        <v>On Time</v>
      </c>
      <c r="J3871" cm="1">
        <f t="array" ref="J3871">_xlfn.IFS(H3871&lt;30,0,H3871&lt;60,1,H3871&lt;90,2,H3871&lt;120,3)</f>
        <v>0</v>
      </c>
      <c r="M3871" t="str">
        <f t="shared" si="368"/>
        <v>Low</v>
      </c>
      <c r="N3871" t="str">
        <f t="shared" si="365"/>
        <v>Jul</v>
      </c>
      <c r="O3871">
        <f t="shared" si="366"/>
        <v>2025</v>
      </c>
    </row>
    <row r="3872" spans="1:15" x14ac:dyDescent="0.3">
      <c r="A3872">
        <v>200670</v>
      </c>
      <c r="B3872" t="s">
        <v>97</v>
      </c>
      <c r="C3872" s="2">
        <v>45847</v>
      </c>
      <c r="D3872" s="2">
        <f t="shared" si="364"/>
        <v>45877</v>
      </c>
      <c r="E3872" s="1">
        <f>D3872+35</f>
        <v>45912</v>
      </c>
      <c r="F3872">
        <v>1957</v>
      </c>
      <c r="G3872">
        <v>30</v>
      </c>
      <c r="H3872">
        <f t="shared" si="363"/>
        <v>0</v>
      </c>
      <c r="I3872" t="str">
        <f t="shared" si="367"/>
        <v>On Time</v>
      </c>
      <c r="J3872" cm="1">
        <f t="array" ref="J3872">_xlfn.IFS(H3872&lt;30,0,H3872&lt;60,1,H3872&lt;90,2,H3872&lt;120,3)</f>
        <v>0</v>
      </c>
      <c r="M3872" t="str">
        <f t="shared" si="368"/>
        <v>Low</v>
      </c>
      <c r="N3872" t="str">
        <f t="shared" si="365"/>
        <v>Jul</v>
      </c>
      <c r="O3872">
        <f t="shared" si="366"/>
        <v>2025</v>
      </c>
    </row>
    <row r="3873" spans="1:15" x14ac:dyDescent="0.3">
      <c r="A3873">
        <v>200671</v>
      </c>
      <c r="B3873" t="s">
        <v>98</v>
      </c>
      <c r="C3873" s="2">
        <v>45847</v>
      </c>
      <c r="D3873" s="2">
        <f t="shared" si="364"/>
        <v>45877</v>
      </c>
      <c r="E3873" s="1">
        <f>D3873+75</f>
        <v>45952</v>
      </c>
      <c r="F3873">
        <v>3862</v>
      </c>
      <c r="G3873">
        <v>30</v>
      </c>
      <c r="H3873">
        <f t="shared" si="363"/>
        <v>0</v>
      </c>
      <c r="I3873" t="str">
        <f t="shared" si="367"/>
        <v>On Time</v>
      </c>
      <c r="J3873" cm="1">
        <f t="array" ref="J3873">_xlfn.IFS(H3873&lt;30,0,H3873&lt;60,1,H3873&lt;90,2,H3873&lt;120,3)</f>
        <v>0</v>
      </c>
      <c r="M3873" t="str">
        <f t="shared" si="368"/>
        <v>Low</v>
      </c>
      <c r="N3873" t="str">
        <f t="shared" si="365"/>
        <v>Jul</v>
      </c>
      <c r="O3873">
        <f t="shared" si="366"/>
        <v>2025</v>
      </c>
    </row>
    <row r="3874" spans="1:15" x14ac:dyDescent="0.3">
      <c r="A3874">
        <v>200672</v>
      </c>
      <c r="B3874" t="s">
        <v>99</v>
      </c>
      <c r="C3874" s="2">
        <v>45847</v>
      </c>
      <c r="D3874" s="2">
        <f t="shared" si="364"/>
        <v>45877</v>
      </c>
      <c r="E3874" s="1">
        <f>D3874+5</f>
        <v>45882</v>
      </c>
      <c r="F3874">
        <v>199</v>
      </c>
      <c r="G3874">
        <v>30</v>
      </c>
      <c r="H3874">
        <f t="shared" si="363"/>
        <v>0</v>
      </c>
      <c r="I3874" t="str">
        <f t="shared" si="367"/>
        <v>On Time</v>
      </c>
      <c r="J3874" cm="1">
        <f t="array" ref="J3874">_xlfn.IFS(H3874&lt;30,0,H3874&lt;60,1,H3874&lt;90,2,H3874&lt;120,3)</f>
        <v>0</v>
      </c>
      <c r="M3874" t="str">
        <f t="shared" si="368"/>
        <v>Low</v>
      </c>
      <c r="N3874" t="str">
        <f t="shared" si="365"/>
        <v>Jul</v>
      </c>
      <c r="O3874">
        <f t="shared" si="366"/>
        <v>2025</v>
      </c>
    </row>
    <row r="3875" spans="1:15" x14ac:dyDescent="0.3">
      <c r="A3875">
        <v>200673</v>
      </c>
      <c r="B3875" t="s">
        <v>100</v>
      </c>
      <c r="C3875" s="2">
        <v>45847</v>
      </c>
      <c r="D3875" s="2">
        <f t="shared" si="364"/>
        <v>45877</v>
      </c>
      <c r="E3875" s="1">
        <f>D3875</f>
        <v>45877</v>
      </c>
      <c r="F3875">
        <v>3842</v>
      </c>
      <c r="G3875">
        <v>30</v>
      </c>
      <c r="H3875">
        <f t="shared" si="363"/>
        <v>0</v>
      </c>
      <c r="I3875" t="str">
        <f t="shared" si="367"/>
        <v>On Time</v>
      </c>
      <c r="J3875" cm="1">
        <f t="array" ref="J3875">_xlfn.IFS(H3875&lt;30,0,H3875&lt;60,1,H3875&lt;90,2,H3875&lt;120,3)</f>
        <v>0</v>
      </c>
      <c r="M3875" t="str">
        <f t="shared" si="368"/>
        <v>Low</v>
      </c>
      <c r="N3875" t="str">
        <f t="shared" si="365"/>
        <v>Jul</v>
      </c>
      <c r="O3875">
        <f t="shared" si="366"/>
        <v>2025</v>
      </c>
    </row>
    <row r="3876" spans="1:15" x14ac:dyDescent="0.3">
      <c r="A3876">
        <v>200674</v>
      </c>
      <c r="B3876" t="s">
        <v>101</v>
      </c>
      <c r="C3876" s="2">
        <v>45847</v>
      </c>
      <c r="D3876" s="2">
        <f t="shared" si="364"/>
        <v>45877</v>
      </c>
      <c r="E3876" s="1">
        <f>D3876-1</f>
        <v>45876</v>
      </c>
      <c r="F3876">
        <v>3348</v>
      </c>
      <c r="G3876">
        <v>30</v>
      </c>
      <c r="H3876">
        <f t="shared" si="363"/>
        <v>0</v>
      </c>
      <c r="I3876" t="str">
        <f t="shared" si="367"/>
        <v>On Time</v>
      </c>
      <c r="J3876" cm="1">
        <f t="array" ref="J3876">_xlfn.IFS(H3876&lt;30,0,H3876&lt;60,1,H3876&lt;90,2,H3876&lt;120,3)</f>
        <v>0</v>
      </c>
      <c r="M3876" t="str">
        <f t="shared" si="368"/>
        <v>Low</v>
      </c>
      <c r="N3876" t="str">
        <f t="shared" si="365"/>
        <v>Jul</v>
      </c>
      <c r="O3876">
        <f t="shared" si="366"/>
        <v>2025</v>
      </c>
    </row>
    <row r="3877" spans="1:15" x14ac:dyDescent="0.3">
      <c r="A3877">
        <v>200675</v>
      </c>
      <c r="B3877" t="s">
        <v>102</v>
      </c>
      <c r="C3877" s="2">
        <v>45847</v>
      </c>
      <c r="D3877" s="2">
        <f t="shared" si="364"/>
        <v>45877</v>
      </c>
      <c r="E3877" s="1">
        <f>D3877</f>
        <v>45877</v>
      </c>
      <c r="F3877">
        <v>176</v>
      </c>
      <c r="G3877">
        <v>30</v>
      </c>
      <c r="H3877">
        <f t="shared" si="363"/>
        <v>0</v>
      </c>
      <c r="I3877" t="str">
        <f t="shared" si="367"/>
        <v>On Time</v>
      </c>
      <c r="J3877" cm="1">
        <f t="array" ref="J3877">_xlfn.IFS(H3877&lt;30,0,H3877&lt;60,1,H3877&lt;90,2,H3877&lt;120,3)</f>
        <v>0</v>
      </c>
      <c r="M3877" t="str">
        <f t="shared" si="368"/>
        <v>Low</v>
      </c>
      <c r="N3877" t="str">
        <f t="shared" si="365"/>
        <v>Jul</v>
      </c>
      <c r="O3877">
        <f t="shared" si="366"/>
        <v>2025</v>
      </c>
    </row>
    <row r="3878" spans="1:15" x14ac:dyDescent="0.3">
      <c r="A3878">
        <v>200676</v>
      </c>
      <c r="B3878" t="s">
        <v>103</v>
      </c>
      <c r="C3878" s="2">
        <v>45847</v>
      </c>
      <c r="D3878" s="2">
        <f t="shared" si="364"/>
        <v>45877</v>
      </c>
      <c r="E3878" s="1">
        <f>D3878+32</f>
        <v>45909</v>
      </c>
      <c r="F3878">
        <v>3679</v>
      </c>
      <c r="G3878">
        <v>30</v>
      </c>
      <c r="H3878">
        <f t="shared" ref="H3878:H3941" si="369">MAX(0,P3843-D3878)</f>
        <v>0</v>
      </c>
      <c r="I3878" t="str">
        <f t="shared" si="367"/>
        <v>On Time</v>
      </c>
      <c r="J3878" cm="1">
        <f t="array" ref="J3878">_xlfn.IFS(H3878&lt;30,0,H3878&lt;60,1,H3878&lt;90,2,H3878&lt;120,3)</f>
        <v>0</v>
      </c>
      <c r="M3878" t="str">
        <f t="shared" si="368"/>
        <v>Low</v>
      </c>
      <c r="N3878" t="str">
        <f t="shared" si="365"/>
        <v>Jul</v>
      </c>
      <c r="O3878">
        <f t="shared" si="366"/>
        <v>2025</v>
      </c>
    </row>
    <row r="3879" spans="1:15" x14ac:dyDescent="0.3">
      <c r="A3879">
        <v>200677</v>
      </c>
      <c r="B3879" t="s">
        <v>104</v>
      </c>
      <c r="C3879" s="2">
        <v>45847</v>
      </c>
      <c r="D3879" s="2">
        <f t="shared" si="364"/>
        <v>45877</v>
      </c>
      <c r="E3879" s="1">
        <f>D3879+15</f>
        <v>45892</v>
      </c>
      <c r="F3879">
        <v>4511</v>
      </c>
      <c r="G3879">
        <v>30</v>
      </c>
      <c r="H3879">
        <f t="shared" si="369"/>
        <v>0</v>
      </c>
      <c r="I3879" t="str">
        <f t="shared" si="367"/>
        <v>On Time</v>
      </c>
      <c r="J3879" cm="1">
        <f t="array" ref="J3879">_xlfn.IFS(H3879&lt;30,0,H3879&lt;60,1,H3879&lt;90,2,H3879&lt;120,3)</f>
        <v>0</v>
      </c>
      <c r="M3879" t="str">
        <f t="shared" si="368"/>
        <v>Low</v>
      </c>
      <c r="N3879" t="str">
        <f t="shared" si="365"/>
        <v>Jul</v>
      </c>
      <c r="O3879">
        <f t="shared" si="366"/>
        <v>2025</v>
      </c>
    </row>
    <row r="3880" spans="1:15" x14ac:dyDescent="0.3">
      <c r="A3880">
        <v>200678</v>
      </c>
      <c r="B3880" t="s">
        <v>105</v>
      </c>
      <c r="C3880" s="2">
        <v>45847</v>
      </c>
      <c r="D3880" s="2">
        <f t="shared" si="364"/>
        <v>45877</v>
      </c>
      <c r="E3880" s="1">
        <f>D3880-2</f>
        <v>45875</v>
      </c>
      <c r="F3880">
        <v>3395</v>
      </c>
      <c r="G3880">
        <v>30</v>
      </c>
      <c r="H3880">
        <f t="shared" si="369"/>
        <v>0</v>
      </c>
      <c r="I3880" t="str">
        <f t="shared" si="367"/>
        <v>On Time</v>
      </c>
      <c r="J3880" cm="1">
        <f t="array" ref="J3880">_xlfn.IFS(H3880&lt;30,0,H3880&lt;60,1,H3880&lt;90,2,H3880&lt;120,3)</f>
        <v>0</v>
      </c>
      <c r="M3880" t="str">
        <f t="shared" si="368"/>
        <v>Low</v>
      </c>
      <c r="N3880" t="str">
        <f t="shared" si="365"/>
        <v>Jul</v>
      </c>
      <c r="O3880">
        <f t="shared" si="366"/>
        <v>2025</v>
      </c>
    </row>
    <row r="3881" spans="1:15" x14ac:dyDescent="0.3">
      <c r="A3881">
        <v>200679</v>
      </c>
      <c r="B3881" t="s">
        <v>106</v>
      </c>
      <c r="C3881" s="2">
        <v>45847</v>
      </c>
      <c r="D3881" s="2">
        <f t="shared" si="364"/>
        <v>45877</v>
      </c>
      <c r="E3881" s="1">
        <f>D3881-2</f>
        <v>45875</v>
      </c>
      <c r="F3881">
        <v>1481</v>
      </c>
      <c r="G3881">
        <v>30</v>
      </c>
      <c r="H3881">
        <f t="shared" si="369"/>
        <v>0</v>
      </c>
      <c r="I3881" t="str">
        <f t="shared" si="367"/>
        <v>On Time</v>
      </c>
      <c r="J3881" cm="1">
        <f t="array" ref="J3881">_xlfn.IFS(H3881&lt;30,0,H3881&lt;60,1,H3881&lt;90,2,H3881&lt;120,3)</f>
        <v>0</v>
      </c>
      <c r="M3881" t="str">
        <f t="shared" si="368"/>
        <v>Low</v>
      </c>
      <c r="N3881" t="str">
        <f t="shared" si="365"/>
        <v>Jul</v>
      </c>
      <c r="O3881">
        <f t="shared" si="366"/>
        <v>2025</v>
      </c>
    </row>
    <row r="3882" spans="1:15" x14ac:dyDescent="0.3">
      <c r="A3882">
        <v>200680</v>
      </c>
      <c r="B3882" t="s">
        <v>107</v>
      </c>
      <c r="C3882" s="2">
        <v>45847</v>
      </c>
      <c r="D3882" s="2">
        <f t="shared" si="364"/>
        <v>45877</v>
      </c>
      <c r="E3882" s="1">
        <f>D3882</f>
        <v>45877</v>
      </c>
      <c r="F3882">
        <v>311</v>
      </c>
      <c r="G3882">
        <v>30</v>
      </c>
      <c r="H3882">
        <f t="shared" si="369"/>
        <v>0</v>
      </c>
      <c r="I3882" t="str">
        <f t="shared" si="367"/>
        <v>On Time</v>
      </c>
      <c r="J3882" cm="1">
        <f t="array" ref="J3882">_xlfn.IFS(H3882&lt;30,0,H3882&lt;60,1,H3882&lt;90,2,H3882&lt;120,3)</f>
        <v>0</v>
      </c>
      <c r="M3882" t="str">
        <f t="shared" si="368"/>
        <v>Low</v>
      </c>
      <c r="N3882" t="str">
        <f t="shared" si="365"/>
        <v>Jul</v>
      </c>
      <c r="O3882">
        <f t="shared" si="366"/>
        <v>2025</v>
      </c>
    </row>
    <row r="3883" spans="1:15" x14ac:dyDescent="0.3">
      <c r="A3883">
        <v>200681</v>
      </c>
      <c r="B3883" t="s">
        <v>56</v>
      </c>
      <c r="C3883" s="2">
        <v>45847</v>
      </c>
      <c r="D3883" s="2">
        <f t="shared" si="364"/>
        <v>45892</v>
      </c>
      <c r="E3883" s="1">
        <f>D3883+2</f>
        <v>45894</v>
      </c>
      <c r="F3883">
        <v>2176</v>
      </c>
      <c r="G3883">
        <v>45</v>
      </c>
      <c r="H3883">
        <f t="shared" si="369"/>
        <v>0</v>
      </c>
      <c r="I3883" t="str">
        <f t="shared" si="367"/>
        <v>On Time</v>
      </c>
      <c r="J3883" cm="1">
        <f t="array" ref="J3883">_xlfn.IFS(H3883&lt;30,0,H3883&lt;60,1,H3883&lt;90,2,H3883&lt;120,3)</f>
        <v>0</v>
      </c>
      <c r="M3883" t="str">
        <f t="shared" si="368"/>
        <v>Low</v>
      </c>
      <c r="N3883" t="str">
        <f t="shared" si="365"/>
        <v>Jul</v>
      </c>
      <c r="O3883">
        <f t="shared" si="366"/>
        <v>2025</v>
      </c>
    </row>
    <row r="3884" spans="1:15" x14ac:dyDescent="0.3">
      <c r="A3884">
        <v>200682</v>
      </c>
      <c r="B3884" t="s">
        <v>57</v>
      </c>
      <c r="C3884" s="2">
        <v>45847</v>
      </c>
      <c r="D3884" s="2">
        <f t="shared" si="364"/>
        <v>45907</v>
      </c>
      <c r="E3884" s="1">
        <f>D3884+2</f>
        <v>45909</v>
      </c>
      <c r="F3884">
        <v>15493</v>
      </c>
      <c r="G3884">
        <v>60</v>
      </c>
      <c r="H3884">
        <f t="shared" si="369"/>
        <v>0</v>
      </c>
      <c r="I3884" t="str">
        <f t="shared" si="367"/>
        <v>On Time</v>
      </c>
      <c r="J3884" cm="1">
        <f t="array" ref="J3884">_xlfn.IFS(H3884&lt;30,0,H3884&lt;60,1,H3884&lt;90,2,H3884&lt;120,3)</f>
        <v>0</v>
      </c>
      <c r="M3884" t="str">
        <f t="shared" si="368"/>
        <v>Low</v>
      </c>
      <c r="N3884" t="str">
        <f t="shared" si="365"/>
        <v>Jul</v>
      </c>
      <c r="O3884">
        <f t="shared" si="366"/>
        <v>2025</v>
      </c>
    </row>
    <row r="3885" spans="1:15" x14ac:dyDescent="0.3">
      <c r="A3885">
        <v>200683</v>
      </c>
      <c r="B3885" t="s">
        <v>58</v>
      </c>
      <c r="C3885" s="2">
        <v>45847</v>
      </c>
      <c r="D3885" s="2">
        <f t="shared" si="364"/>
        <v>45877</v>
      </c>
      <c r="E3885" s="1">
        <f>D3885+2</f>
        <v>45879</v>
      </c>
      <c r="F3885">
        <v>2287</v>
      </c>
      <c r="G3885">
        <v>30</v>
      </c>
      <c r="H3885">
        <f t="shared" si="369"/>
        <v>0</v>
      </c>
      <c r="I3885" t="str">
        <f t="shared" si="367"/>
        <v>On Time</v>
      </c>
      <c r="J3885" cm="1">
        <f t="array" ref="J3885">_xlfn.IFS(H3885&lt;30,0,H3885&lt;60,1,H3885&lt;90,2,H3885&lt;120,3)</f>
        <v>0</v>
      </c>
      <c r="M3885" t="str">
        <f t="shared" si="368"/>
        <v>Low</v>
      </c>
      <c r="N3885" t="str">
        <f t="shared" si="365"/>
        <v>Jul</v>
      </c>
      <c r="O3885">
        <f t="shared" si="366"/>
        <v>2025</v>
      </c>
    </row>
    <row r="3886" spans="1:15" x14ac:dyDescent="0.3">
      <c r="A3886">
        <v>200684</v>
      </c>
      <c r="B3886" t="s">
        <v>59</v>
      </c>
      <c r="C3886" s="2">
        <v>45847</v>
      </c>
      <c r="D3886" s="2">
        <f t="shared" si="364"/>
        <v>45877</v>
      </c>
      <c r="E3886" s="1">
        <f>D3886</f>
        <v>45877</v>
      </c>
      <c r="F3886">
        <v>2953</v>
      </c>
      <c r="G3886">
        <v>30</v>
      </c>
      <c r="H3886">
        <f t="shared" si="369"/>
        <v>0</v>
      </c>
      <c r="I3886" t="str">
        <f t="shared" si="367"/>
        <v>On Time</v>
      </c>
      <c r="J3886" cm="1">
        <f t="array" ref="J3886">_xlfn.IFS(H3886&lt;30,0,H3886&lt;60,1,H3886&lt;90,2,H3886&lt;120,3)</f>
        <v>0</v>
      </c>
      <c r="M3886" t="str">
        <f t="shared" si="368"/>
        <v>Low</v>
      </c>
      <c r="N3886" t="str">
        <f t="shared" si="365"/>
        <v>Jul</v>
      </c>
      <c r="O3886">
        <f t="shared" si="366"/>
        <v>2025</v>
      </c>
    </row>
    <row r="3887" spans="1:15" x14ac:dyDescent="0.3">
      <c r="A3887">
        <v>200685</v>
      </c>
      <c r="B3887" t="s">
        <v>60</v>
      </c>
      <c r="C3887" s="2">
        <v>45847</v>
      </c>
      <c r="D3887" s="2">
        <f t="shared" si="364"/>
        <v>45877</v>
      </c>
      <c r="E3887" s="1">
        <f>D3887+20</f>
        <v>45897</v>
      </c>
      <c r="F3887">
        <v>2860</v>
      </c>
      <c r="G3887">
        <v>30</v>
      </c>
      <c r="H3887">
        <f t="shared" si="369"/>
        <v>0</v>
      </c>
      <c r="I3887" t="str">
        <f t="shared" si="367"/>
        <v>On Time</v>
      </c>
      <c r="J3887" cm="1">
        <f t="array" ref="J3887">_xlfn.IFS(H3887&lt;30,0,H3887&lt;60,1,H3887&lt;90,2,H3887&lt;120,3)</f>
        <v>0</v>
      </c>
      <c r="M3887" t="str">
        <f t="shared" si="368"/>
        <v>Low</v>
      </c>
      <c r="N3887" t="str">
        <f t="shared" si="365"/>
        <v>Jul</v>
      </c>
      <c r="O3887">
        <f t="shared" si="366"/>
        <v>2025</v>
      </c>
    </row>
    <row r="3888" spans="1:15" x14ac:dyDescent="0.3">
      <c r="A3888">
        <v>200656</v>
      </c>
      <c r="B3888" t="s">
        <v>97</v>
      </c>
      <c r="C3888" s="2">
        <v>45846</v>
      </c>
      <c r="D3888" s="2">
        <f t="shared" si="364"/>
        <v>45876</v>
      </c>
      <c r="E3888" s="1">
        <f>D3888</f>
        <v>45876</v>
      </c>
      <c r="F3888">
        <v>18344</v>
      </c>
      <c r="G3888">
        <v>30</v>
      </c>
      <c r="H3888">
        <f t="shared" si="369"/>
        <v>0</v>
      </c>
      <c r="I3888" t="str">
        <f t="shared" si="367"/>
        <v>On Time</v>
      </c>
      <c r="J3888" cm="1">
        <f t="array" ref="J3888">_xlfn.IFS(H3888&lt;30,0,H3888&lt;60,1,H3888&lt;90,2,H3888&lt;120,3)</f>
        <v>0</v>
      </c>
      <c r="M3888" t="str">
        <f t="shared" si="368"/>
        <v>Low</v>
      </c>
      <c r="N3888" t="str">
        <f t="shared" si="365"/>
        <v>Jul</v>
      </c>
      <c r="O3888">
        <f t="shared" si="366"/>
        <v>2025</v>
      </c>
    </row>
    <row r="3889" spans="1:15" x14ac:dyDescent="0.3">
      <c r="A3889">
        <v>200657</v>
      </c>
      <c r="B3889" t="s">
        <v>98</v>
      </c>
      <c r="C3889" s="2">
        <v>45846</v>
      </c>
      <c r="D3889" s="2">
        <f t="shared" si="364"/>
        <v>45876</v>
      </c>
      <c r="E3889" s="1">
        <f>D3889+5</f>
        <v>45881</v>
      </c>
      <c r="F3889">
        <v>2644</v>
      </c>
      <c r="G3889">
        <v>30</v>
      </c>
      <c r="H3889">
        <f t="shared" si="369"/>
        <v>0</v>
      </c>
      <c r="I3889" t="str">
        <f t="shared" si="367"/>
        <v>On Time</v>
      </c>
      <c r="J3889" cm="1">
        <f t="array" ref="J3889">_xlfn.IFS(H3889&lt;30,0,H3889&lt;60,1,H3889&lt;90,2,H3889&lt;120,3)</f>
        <v>0</v>
      </c>
      <c r="M3889" t="str">
        <f t="shared" si="368"/>
        <v>Low</v>
      </c>
      <c r="N3889" t="str">
        <f t="shared" si="365"/>
        <v>Jul</v>
      </c>
      <c r="O3889">
        <f t="shared" si="366"/>
        <v>2025</v>
      </c>
    </row>
    <row r="3890" spans="1:15" x14ac:dyDescent="0.3">
      <c r="A3890">
        <v>200658</v>
      </c>
      <c r="B3890" t="s">
        <v>99</v>
      </c>
      <c r="C3890" s="2">
        <v>45846</v>
      </c>
      <c r="D3890" s="2">
        <f t="shared" si="364"/>
        <v>45876</v>
      </c>
      <c r="E3890" s="1">
        <f>D3890+2</f>
        <v>45878</v>
      </c>
      <c r="F3890">
        <v>1761</v>
      </c>
      <c r="G3890">
        <v>30</v>
      </c>
      <c r="H3890">
        <f t="shared" si="369"/>
        <v>0</v>
      </c>
      <c r="I3890" t="str">
        <f t="shared" si="367"/>
        <v>On Time</v>
      </c>
      <c r="J3890" cm="1">
        <f t="array" ref="J3890">_xlfn.IFS(H3890&lt;30,0,H3890&lt;60,1,H3890&lt;90,2,H3890&lt;120,3)</f>
        <v>0</v>
      </c>
      <c r="M3890" t="str">
        <f t="shared" si="368"/>
        <v>Low</v>
      </c>
      <c r="N3890" t="str">
        <f t="shared" si="365"/>
        <v>Jul</v>
      </c>
      <c r="O3890">
        <f t="shared" si="366"/>
        <v>2025</v>
      </c>
    </row>
    <row r="3891" spans="1:15" x14ac:dyDescent="0.3">
      <c r="A3891">
        <v>200659</v>
      </c>
      <c r="B3891" t="s">
        <v>100</v>
      </c>
      <c r="C3891" s="2">
        <v>45846</v>
      </c>
      <c r="D3891" s="2">
        <f t="shared" si="364"/>
        <v>45876</v>
      </c>
      <c r="E3891" s="1">
        <f>D3891</f>
        <v>45876</v>
      </c>
      <c r="F3891">
        <v>2679</v>
      </c>
      <c r="G3891">
        <v>30</v>
      </c>
      <c r="H3891">
        <f t="shared" si="369"/>
        <v>0</v>
      </c>
      <c r="I3891" t="str">
        <f t="shared" si="367"/>
        <v>On Time</v>
      </c>
      <c r="J3891" cm="1">
        <f t="array" ref="J3891">_xlfn.IFS(H3891&lt;30,0,H3891&lt;60,1,H3891&lt;90,2,H3891&lt;120,3)</f>
        <v>0</v>
      </c>
      <c r="M3891" t="str">
        <f t="shared" si="368"/>
        <v>Low</v>
      </c>
      <c r="N3891" t="str">
        <f t="shared" si="365"/>
        <v>Jul</v>
      </c>
      <c r="O3891">
        <f t="shared" si="366"/>
        <v>2025</v>
      </c>
    </row>
    <row r="3892" spans="1:15" x14ac:dyDescent="0.3">
      <c r="A3892">
        <v>200660</v>
      </c>
      <c r="B3892" t="s">
        <v>101</v>
      </c>
      <c r="C3892" s="2">
        <v>45846</v>
      </c>
      <c r="D3892" s="2">
        <f t="shared" si="364"/>
        <v>45876</v>
      </c>
      <c r="E3892" s="1">
        <f>D3892</f>
        <v>45876</v>
      </c>
      <c r="F3892">
        <v>3403</v>
      </c>
      <c r="G3892">
        <v>30</v>
      </c>
      <c r="H3892">
        <f t="shared" si="369"/>
        <v>0</v>
      </c>
      <c r="I3892" t="str">
        <f t="shared" si="367"/>
        <v>On Time</v>
      </c>
      <c r="J3892" cm="1">
        <f t="array" ref="J3892">_xlfn.IFS(H3892&lt;30,0,H3892&lt;60,1,H3892&lt;90,2,H3892&lt;120,3)</f>
        <v>0</v>
      </c>
      <c r="M3892" t="str">
        <f t="shared" si="368"/>
        <v>Low</v>
      </c>
      <c r="N3892" t="str">
        <f t="shared" si="365"/>
        <v>Jul</v>
      </c>
      <c r="O3892">
        <f t="shared" si="366"/>
        <v>2025</v>
      </c>
    </row>
    <row r="3893" spans="1:15" x14ac:dyDescent="0.3">
      <c r="A3893">
        <v>200661</v>
      </c>
      <c r="B3893" t="s">
        <v>102</v>
      </c>
      <c r="C3893" s="2">
        <v>45846</v>
      </c>
      <c r="D3893" s="2">
        <f t="shared" si="364"/>
        <v>45876</v>
      </c>
      <c r="E3893" s="1">
        <f>D3893</f>
        <v>45876</v>
      </c>
      <c r="F3893">
        <v>3577</v>
      </c>
      <c r="G3893">
        <v>30</v>
      </c>
      <c r="H3893">
        <f t="shared" si="369"/>
        <v>0</v>
      </c>
      <c r="I3893" t="str">
        <f t="shared" si="367"/>
        <v>On Time</v>
      </c>
      <c r="J3893" cm="1">
        <f t="array" ref="J3893">_xlfn.IFS(H3893&lt;30,0,H3893&lt;60,1,H3893&lt;90,2,H3893&lt;120,3)</f>
        <v>0</v>
      </c>
      <c r="M3893" t="str">
        <f t="shared" si="368"/>
        <v>Low</v>
      </c>
      <c r="N3893" t="str">
        <f t="shared" si="365"/>
        <v>Jul</v>
      </c>
      <c r="O3893">
        <f t="shared" si="366"/>
        <v>2025</v>
      </c>
    </row>
    <row r="3894" spans="1:15" x14ac:dyDescent="0.3">
      <c r="A3894">
        <v>200662</v>
      </c>
      <c r="B3894" t="s">
        <v>38</v>
      </c>
      <c r="C3894" s="2">
        <v>45846</v>
      </c>
      <c r="D3894" s="2">
        <f t="shared" si="364"/>
        <v>45876</v>
      </c>
      <c r="E3894" s="1">
        <f>D3894+60</f>
        <v>45936</v>
      </c>
      <c r="F3894">
        <v>3446</v>
      </c>
      <c r="G3894">
        <v>30</v>
      </c>
      <c r="H3894">
        <f t="shared" si="369"/>
        <v>0</v>
      </c>
      <c r="I3894" t="str">
        <f t="shared" si="367"/>
        <v>On Time</v>
      </c>
      <c r="J3894" cm="1">
        <f t="array" ref="J3894">_xlfn.IFS(H3894&lt;30,0,H3894&lt;60,1,H3894&lt;90,2,H3894&lt;120,3)</f>
        <v>0</v>
      </c>
      <c r="M3894" t="str">
        <f t="shared" si="368"/>
        <v>Low</v>
      </c>
      <c r="N3894" t="str">
        <f t="shared" si="365"/>
        <v>Jul</v>
      </c>
      <c r="O3894">
        <f t="shared" si="366"/>
        <v>2025</v>
      </c>
    </row>
    <row r="3895" spans="1:15" x14ac:dyDescent="0.3">
      <c r="A3895">
        <v>200663</v>
      </c>
      <c r="B3895" t="s">
        <v>39</v>
      </c>
      <c r="C3895" s="2">
        <v>45846</v>
      </c>
      <c r="D3895" s="2">
        <f t="shared" si="364"/>
        <v>45876</v>
      </c>
      <c r="E3895" s="1">
        <f>D3895</f>
        <v>45876</v>
      </c>
      <c r="F3895">
        <v>11618</v>
      </c>
      <c r="G3895">
        <v>30</v>
      </c>
      <c r="H3895">
        <f t="shared" si="369"/>
        <v>0</v>
      </c>
      <c r="I3895" t="str">
        <f t="shared" si="367"/>
        <v>On Time</v>
      </c>
      <c r="J3895" cm="1">
        <f t="array" ref="J3895">_xlfn.IFS(H3895&lt;30,0,H3895&lt;60,1,H3895&lt;90,2,H3895&lt;120,3)</f>
        <v>0</v>
      </c>
      <c r="M3895" t="str">
        <f t="shared" si="368"/>
        <v>Low</v>
      </c>
      <c r="N3895" t="str">
        <f t="shared" si="365"/>
        <v>Jul</v>
      </c>
      <c r="O3895">
        <f t="shared" si="366"/>
        <v>2025</v>
      </c>
    </row>
    <row r="3896" spans="1:15" x14ac:dyDescent="0.3">
      <c r="A3896">
        <v>200664</v>
      </c>
      <c r="B3896" t="s">
        <v>40</v>
      </c>
      <c r="C3896" s="2">
        <v>45846</v>
      </c>
      <c r="D3896" s="2">
        <f t="shared" si="364"/>
        <v>45876</v>
      </c>
      <c r="E3896" s="1">
        <f>D3896</f>
        <v>45876</v>
      </c>
      <c r="F3896">
        <v>3430</v>
      </c>
      <c r="G3896">
        <v>30</v>
      </c>
      <c r="H3896">
        <f t="shared" si="369"/>
        <v>0</v>
      </c>
      <c r="I3896" t="str">
        <f t="shared" si="367"/>
        <v>On Time</v>
      </c>
      <c r="J3896" cm="1">
        <f t="array" ref="J3896">_xlfn.IFS(H3896&lt;30,0,H3896&lt;60,1,H3896&lt;90,2,H3896&lt;120,3)</f>
        <v>0</v>
      </c>
      <c r="M3896" t="str">
        <f t="shared" si="368"/>
        <v>Low</v>
      </c>
      <c r="N3896" t="str">
        <f t="shared" si="365"/>
        <v>Jul</v>
      </c>
      <c r="O3896">
        <f t="shared" si="366"/>
        <v>2025</v>
      </c>
    </row>
    <row r="3897" spans="1:15" x14ac:dyDescent="0.3">
      <c r="A3897">
        <v>200665</v>
      </c>
      <c r="B3897" t="s">
        <v>41</v>
      </c>
      <c r="C3897" s="2">
        <v>45846</v>
      </c>
      <c r="D3897" s="2">
        <f t="shared" si="364"/>
        <v>45876</v>
      </c>
      <c r="E3897" s="1">
        <f>D3897+3</f>
        <v>45879</v>
      </c>
      <c r="F3897">
        <v>1420</v>
      </c>
      <c r="G3897">
        <v>30</v>
      </c>
      <c r="H3897">
        <f t="shared" si="369"/>
        <v>0</v>
      </c>
      <c r="I3897" t="str">
        <f t="shared" si="367"/>
        <v>On Time</v>
      </c>
      <c r="J3897" cm="1">
        <f t="array" ref="J3897">_xlfn.IFS(H3897&lt;30,0,H3897&lt;60,1,H3897&lt;90,2,H3897&lt;120,3)</f>
        <v>0</v>
      </c>
      <c r="M3897" t="str">
        <f t="shared" si="368"/>
        <v>Low</v>
      </c>
      <c r="N3897" t="str">
        <f t="shared" si="365"/>
        <v>Jul</v>
      </c>
      <c r="O3897">
        <f t="shared" si="366"/>
        <v>2025</v>
      </c>
    </row>
    <row r="3898" spans="1:15" x14ac:dyDescent="0.3">
      <c r="A3898">
        <v>200666</v>
      </c>
      <c r="B3898" t="s">
        <v>42</v>
      </c>
      <c r="C3898" s="2">
        <v>45846</v>
      </c>
      <c r="D3898" s="2">
        <f t="shared" si="364"/>
        <v>45876</v>
      </c>
      <c r="E3898" s="1">
        <f>D3898+1</f>
        <v>45877</v>
      </c>
      <c r="F3898">
        <v>1865</v>
      </c>
      <c r="G3898">
        <v>30</v>
      </c>
      <c r="H3898">
        <f t="shared" si="369"/>
        <v>0</v>
      </c>
      <c r="I3898" t="str">
        <f t="shared" si="367"/>
        <v>On Time</v>
      </c>
      <c r="J3898" cm="1">
        <f t="array" ref="J3898">_xlfn.IFS(H3898&lt;30,0,H3898&lt;60,1,H3898&lt;90,2,H3898&lt;120,3)</f>
        <v>0</v>
      </c>
      <c r="M3898" t="str">
        <f t="shared" si="368"/>
        <v>Low</v>
      </c>
      <c r="N3898" t="str">
        <f t="shared" si="365"/>
        <v>Jul</v>
      </c>
      <c r="O3898">
        <f t="shared" si="366"/>
        <v>2025</v>
      </c>
    </row>
    <row r="3899" spans="1:15" x14ac:dyDescent="0.3">
      <c r="A3899">
        <v>200667</v>
      </c>
      <c r="B3899" t="s">
        <v>43</v>
      </c>
      <c r="C3899" s="2">
        <v>45846</v>
      </c>
      <c r="D3899" s="2">
        <f t="shared" si="364"/>
        <v>45876</v>
      </c>
      <c r="E3899" s="1">
        <f>D3899-1</f>
        <v>45875</v>
      </c>
      <c r="F3899">
        <v>2466</v>
      </c>
      <c r="G3899">
        <v>30</v>
      </c>
      <c r="H3899">
        <f t="shared" si="369"/>
        <v>0</v>
      </c>
      <c r="I3899" t="str">
        <f t="shared" si="367"/>
        <v>On Time</v>
      </c>
      <c r="J3899" cm="1">
        <f t="array" ref="J3899">_xlfn.IFS(H3899&lt;30,0,H3899&lt;60,1,H3899&lt;90,2,H3899&lt;120,3)</f>
        <v>0</v>
      </c>
      <c r="M3899" t="str">
        <f t="shared" si="368"/>
        <v>Low</v>
      </c>
      <c r="N3899" t="str">
        <f t="shared" si="365"/>
        <v>Jul</v>
      </c>
      <c r="O3899">
        <f t="shared" si="366"/>
        <v>2025</v>
      </c>
    </row>
    <row r="3900" spans="1:15" x14ac:dyDescent="0.3">
      <c r="A3900">
        <v>200668</v>
      </c>
      <c r="B3900" t="s">
        <v>44</v>
      </c>
      <c r="C3900" s="2">
        <v>45846</v>
      </c>
      <c r="D3900" s="2">
        <f t="shared" si="364"/>
        <v>45891</v>
      </c>
      <c r="E3900" s="1">
        <f>D3900</f>
        <v>45891</v>
      </c>
      <c r="F3900">
        <v>4782</v>
      </c>
      <c r="G3900">
        <v>45</v>
      </c>
      <c r="H3900">
        <f t="shared" si="369"/>
        <v>0</v>
      </c>
      <c r="I3900" t="str">
        <f t="shared" si="367"/>
        <v>On Time</v>
      </c>
      <c r="J3900" cm="1">
        <f t="array" ref="J3900">_xlfn.IFS(H3900&lt;30,0,H3900&lt;60,1,H3900&lt;90,2,H3900&lt;120,3)</f>
        <v>0</v>
      </c>
      <c r="M3900" t="str">
        <f t="shared" si="368"/>
        <v>Low</v>
      </c>
      <c r="N3900" t="str">
        <f t="shared" si="365"/>
        <v>Jul</v>
      </c>
      <c r="O3900">
        <f t="shared" si="366"/>
        <v>2025</v>
      </c>
    </row>
    <row r="3901" spans="1:15" x14ac:dyDescent="0.3">
      <c r="A3901">
        <v>200669</v>
      </c>
      <c r="B3901" t="s">
        <v>96</v>
      </c>
      <c r="C3901" s="2">
        <v>45846</v>
      </c>
      <c r="D3901" s="2">
        <f t="shared" si="364"/>
        <v>45906</v>
      </c>
      <c r="E3901" s="1">
        <f>D3901+1</f>
        <v>45907</v>
      </c>
      <c r="F3901">
        <v>4180</v>
      </c>
      <c r="G3901">
        <v>60</v>
      </c>
      <c r="H3901">
        <f t="shared" si="369"/>
        <v>0</v>
      </c>
      <c r="I3901" t="str">
        <f t="shared" si="367"/>
        <v>On Time</v>
      </c>
      <c r="J3901" cm="1">
        <f t="array" ref="J3901">_xlfn.IFS(H3901&lt;30,0,H3901&lt;60,1,H3901&lt;90,2,H3901&lt;120,3)</f>
        <v>0</v>
      </c>
      <c r="M3901" t="str">
        <f t="shared" si="368"/>
        <v>Low</v>
      </c>
      <c r="N3901" t="str">
        <f t="shared" si="365"/>
        <v>Jul</v>
      </c>
      <c r="O3901">
        <f t="shared" si="366"/>
        <v>2025</v>
      </c>
    </row>
    <row r="3902" spans="1:15" x14ac:dyDescent="0.3">
      <c r="A3902">
        <v>200640</v>
      </c>
      <c r="B3902" t="s">
        <v>29</v>
      </c>
      <c r="C3902" s="2">
        <v>45845</v>
      </c>
      <c r="D3902" s="2">
        <f t="shared" si="364"/>
        <v>45875</v>
      </c>
      <c r="E3902" s="1">
        <f>D3902</f>
        <v>45875</v>
      </c>
      <c r="F3902">
        <v>3757</v>
      </c>
      <c r="G3902">
        <v>30</v>
      </c>
      <c r="H3902">
        <f t="shared" si="369"/>
        <v>0</v>
      </c>
      <c r="I3902" t="str">
        <f t="shared" si="367"/>
        <v>On Time</v>
      </c>
      <c r="J3902" cm="1">
        <f t="array" ref="J3902">_xlfn.IFS(H3902&lt;30,0,H3902&lt;60,1,H3902&lt;90,2,H3902&lt;120,3)</f>
        <v>0</v>
      </c>
      <c r="M3902" t="str">
        <f t="shared" si="368"/>
        <v>Low</v>
      </c>
      <c r="N3902" t="str">
        <f t="shared" si="365"/>
        <v>Jul</v>
      </c>
      <c r="O3902">
        <f t="shared" si="366"/>
        <v>2025</v>
      </c>
    </row>
    <row r="3903" spans="1:15" x14ac:dyDescent="0.3">
      <c r="A3903">
        <v>200641</v>
      </c>
      <c r="B3903" t="s">
        <v>75</v>
      </c>
      <c r="C3903" s="2">
        <v>45845</v>
      </c>
      <c r="D3903" s="2">
        <f t="shared" si="364"/>
        <v>45905</v>
      </c>
      <c r="E3903" s="1">
        <f>D3903-1</f>
        <v>45904</v>
      </c>
      <c r="F3903">
        <v>391</v>
      </c>
      <c r="G3903">
        <v>60</v>
      </c>
      <c r="H3903">
        <f t="shared" si="369"/>
        <v>0</v>
      </c>
      <c r="I3903" t="str">
        <f t="shared" si="367"/>
        <v>On Time</v>
      </c>
      <c r="J3903" cm="1">
        <f t="array" ref="J3903">_xlfn.IFS(H3903&lt;30,0,H3903&lt;60,1,H3903&lt;90,2,H3903&lt;120,3)</f>
        <v>0</v>
      </c>
      <c r="M3903" t="str">
        <f t="shared" si="368"/>
        <v>Low</v>
      </c>
      <c r="N3903" t="str">
        <f t="shared" si="365"/>
        <v>Jul</v>
      </c>
      <c r="O3903">
        <f t="shared" si="366"/>
        <v>2025</v>
      </c>
    </row>
    <row r="3904" spans="1:15" x14ac:dyDescent="0.3">
      <c r="A3904">
        <v>200642</v>
      </c>
      <c r="B3904" t="s">
        <v>76</v>
      </c>
      <c r="C3904" s="2">
        <v>45845</v>
      </c>
      <c r="D3904" s="2">
        <f t="shared" si="364"/>
        <v>45875</v>
      </c>
      <c r="E3904" s="1">
        <f>D3904</f>
        <v>45875</v>
      </c>
      <c r="F3904">
        <v>4933</v>
      </c>
      <c r="G3904">
        <v>30</v>
      </c>
      <c r="H3904">
        <f t="shared" si="369"/>
        <v>0</v>
      </c>
      <c r="I3904" t="str">
        <f t="shared" si="367"/>
        <v>On Time</v>
      </c>
      <c r="J3904" cm="1">
        <f t="array" ref="J3904">_xlfn.IFS(H3904&lt;30,0,H3904&lt;60,1,H3904&lt;90,2,H3904&lt;120,3)</f>
        <v>0</v>
      </c>
      <c r="M3904" t="str">
        <f t="shared" si="368"/>
        <v>Low</v>
      </c>
      <c r="N3904" t="str">
        <f t="shared" si="365"/>
        <v>Jul</v>
      </c>
      <c r="O3904">
        <f t="shared" si="366"/>
        <v>2025</v>
      </c>
    </row>
    <row r="3905" spans="1:15" x14ac:dyDescent="0.3">
      <c r="A3905">
        <v>200643</v>
      </c>
      <c r="B3905" t="s">
        <v>77</v>
      </c>
      <c r="C3905" s="2">
        <v>45845</v>
      </c>
      <c r="D3905" s="2">
        <f t="shared" si="364"/>
        <v>45875</v>
      </c>
      <c r="E3905" s="1">
        <f>D3905+32</f>
        <v>45907</v>
      </c>
      <c r="F3905">
        <v>19264</v>
      </c>
      <c r="G3905">
        <v>30</v>
      </c>
      <c r="H3905">
        <f t="shared" si="369"/>
        <v>0</v>
      </c>
      <c r="I3905" t="str">
        <f t="shared" si="367"/>
        <v>On Time</v>
      </c>
      <c r="J3905" cm="1">
        <f t="array" ref="J3905">_xlfn.IFS(H3905&lt;30,0,H3905&lt;60,1,H3905&lt;90,2,H3905&lt;120,3)</f>
        <v>0</v>
      </c>
      <c r="M3905" t="str">
        <f t="shared" si="368"/>
        <v>Low</v>
      </c>
      <c r="N3905" t="str">
        <f t="shared" si="365"/>
        <v>Jul</v>
      </c>
      <c r="O3905">
        <f t="shared" si="366"/>
        <v>2025</v>
      </c>
    </row>
    <row r="3906" spans="1:15" x14ac:dyDescent="0.3">
      <c r="A3906">
        <v>200644</v>
      </c>
      <c r="B3906" t="s">
        <v>78</v>
      </c>
      <c r="C3906" s="2">
        <v>45845</v>
      </c>
      <c r="D3906" s="2">
        <f t="shared" ref="D3906:D3969" si="370">C3906+G3906</f>
        <v>45875</v>
      </c>
      <c r="E3906" s="1">
        <f>D3906+15</f>
        <v>45890</v>
      </c>
      <c r="F3906">
        <v>749</v>
      </c>
      <c r="G3906">
        <v>30</v>
      </c>
      <c r="H3906">
        <f t="shared" si="369"/>
        <v>0</v>
      </c>
      <c r="I3906" t="str">
        <f t="shared" si="367"/>
        <v>On Time</v>
      </c>
      <c r="J3906" cm="1">
        <f t="array" ref="J3906">_xlfn.IFS(H3906&lt;30,0,H3906&lt;60,1,H3906&lt;90,2,H3906&lt;120,3)</f>
        <v>0</v>
      </c>
      <c r="M3906" t="str">
        <f t="shared" si="368"/>
        <v>Low</v>
      </c>
      <c r="N3906" t="str">
        <f t="shared" ref="N3906:N3969" si="371">TEXT(C3906,"mmm")</f>
        <v>Jul</v>
      </c>
      <c r="O3906">
        <f t="shared" ref="O3906:O3969" si="372">YEAR(C3906)</f>
        <v>2025</v>
      </c>
    </row>
    <row r="3907" spans="1:15" x14ac:dyDescent="0.3">
      <c r="A3907">
        <v>200645</v>
      </c>
      <c r="B3907" t="s">
        <v>79</v>
      </c>
      <c r="C3907" s="2">
        <v>45845</v>
      </c>
      <c r="D3907" s="2">
        <f t="shared" si="370"/>
        <v>45875</v>
      </c>
      <c r="E3907" s="1">
        <f>D3907</f>
        <v>45875</v>
      </c>
      <c r="F3907">
        <v>7211</v>
      </c>
      <c r="G3907">
        <v>30</v>
      </c>
      <c r="H3907">
        <f t="shared" si="369"/>
        <v>0</v>
      </c>
      <c r="I3907" t="str">
        <f t="shared" si="367"/>
        <v>On Time</v>
      </c>
      <c r="J3907" cm="1">
        <f t="array" ref="J3907">_xlfn.IFS(H3907&lt;30,0,H3907&lt;60,1,H3907&lt;90,2,H3907&lt;120,3)</f>
        <v>0</v>
      </c>
      <c r="M3907" t="str">
        <f t="shared" si="368"/>
        <v>Low</v>
      </c>
      <c r="N3907" t="str">
        <f t="shared" si="371"/>
        <v>Jul</v>
      </c>
      <c r="O3907">
        <f t="shared" si="372"/>
        <v>2025</v>
      </c>
    </row>
    <row r="3908" spans="1:15" x14ac:dyDescent="0.3">
      <c r="A3908">
        <v>200646</v>
      </c>
      <c r="B3908" t="s">
        <v>80</v>
      </c>
      <c r="C3908" s="2">
        <v>45845</v>
      </c>
      <c r="D3908" s="2">
        <f t="shared" si="370"/>
        <v>45875</v>
      </c>
      <c r="E3908" s="1">
        <f>D3908-2</f>
        <v>45873</v>
      </c>
      <c r="F3908">
        <v>2620</v>
      </c>
      <c r="G3908">
        <v>30</v>
      </c>
      <c r="H3908">
        <f t="shared" si="369"/>
        <v>0</v>
      </c>
      <c r="I3908" t="str">
        <f t="shared" si="367"/>
        <v>On Time</v>
      </c>
      <c r="J3908" cm="1">
        <f t="array" ref="J3908">_xlfn.IFS(H3908&lt;30,0,H3908&lt;60,1,H3908&lt;90,2,H3908&lt;120,3)</f>
        <v>0</v>
      </c>
      <c r="M3908" t="str">
        <f t="shared" si="368"/>
        <v>Low</v>
      </c>
      <c r="N3908" t="str">
        <f t="shared" si="371"/>
        <v>Jul</v>
      </c>
      <c r="O3908">
        <f t="shared" si="372"/>
        <v>2025</v>
      </c>
    </row>
    <row r="3909" spans="1:15" x14ac:dyDescent="0.3">
      <c r="A3909">
        <v>200647</v>
      </c>
      <c r="B3909" t="s">
        <v>81</v>
      </c>
      <c r="C3909" s="2">
        <v>45845</v>
      </c>
      <c r="D3909" s="2">
        <f t="shared" si="370"/>
        <v>45875</v>
      </c>
      <c r="E3909" s="1">
        <f>D3909</f>
        <v>45875</v>
      </c>
      <c r="F3909">
        <v>4907</v>
      </c>
      <c r="G3909">
        <v>30</v>
      </c>
      <c r="H3909">
        <f t="shared" si="369"/>
        <v>0</v>
      </c>
      <c r="I3909" t="str">
        <f t="shared" si="367"/>
        <v>On Time</v>
      </c>
      <c r="J3909" cm="1">
        <f t="array" ref="J3909">_xlfn.IFS(H3909&lt;30,0,H3909&lt;60,1,H3909&lt;90,2,H3909&lt;120,3)</f>
        <v>0</v>
      </c>
      <c r="M3909" t="str">
        <f t="shared" si="368"/>
        <v>Low</v>
      </c>
      <c r="N3909" t="str">
        <f t="shared" si="371"/>
        <v>Jul</v>
      </c>
      <c r="O3909">
        <f t="shared" si="372"/>
        <v>2025</v>
      </c>
    </row>
    <row r="3910" spans="1:15" x14ac:dyDescent="0.3">
      <c r="A3910">
        <v>200648</v>
      </c>
      <c r="B3910" t="s">
        <v>82</v>
      </c>
      <c r="C3910" s="2">
        <v>45845</v>
      </c>
      <c r="D3910" s="2">
        <f t="shared" si="370"/>
        <v>45890</v>
      </c>
      <c r="E3910" s="1">
        <f>D3910+2</f>
        <v>45892</v>
      </c>
      <c r="F3910">
        <v>4829</v>
      </c>
      <c r="G3910">
        <v>45</v>
      </c>
      <c r="H3910">
        <f t="shared" si="369"/>
        <v>0</v>
      </c>
      <c r="I3910" t="str">
        <f t="shared" si="367"/>
        <v>On Time</v>
      </c>
      <c r="J3910" cm="1">
        <f t="array" ref="J3910">_xlfn.IFS(H3910&lt;30,0,H3910&lt;60,1,H3910&lt;90,2,H3910&lt;120,3)</f>
        <v>0</v>
      </c>
      <c r="M3910" t="str">
        <f t="shared" si="368"/>
        <v>Low</v>
      </c>
      <c r="N3910" t="str">
        <f t="shared" si="371"/>
        <v>Jul</v>
      </c>
      <c r="O3910">
        <f t="shared" si="372"/>
        <v>2025</v>
      </c>
    </row>
    <row r="3911" spans="1:15" x14ac:dyDescent="0.3">
      <c r="A3911">
        <v>200649</v>
      </c>
      <c r="B3911" t="s">
        <v>83</v>
      </c>
      <c r="C3911" s="2">
        <v>45845</v>
      </c>
      <c r="D3911" s="2">
        <f t="shared" si="370"/>
        <v>45890</v>
      </c>
      <c r="E3911" s="1">
        <f>D3911+2</f>
        <v>45892</v>
      </c>
      <c r="F3911">
        <v>231</v>
      </c>
      <c r="G3911">
        <v>45</v>
      </c>
      <c r="H3911">
        <f t="shared" si="369"/>
        <v>0</v>
      </c>
      <c r="I3911" t="str">
        <f t="shared" si="367"/>
        <v>On Time</v>
      </c>
      <c r="J3911" cm="1">
        <f t="array" ref="J3911">_xlfn.IFS(H3911&lt;30,0,H3911&lt;60,1,H3911&lt;90,2,H3911&lt;120,3)</f>
        <v>0</v>
      </c>
      <c r="M3911" t="str">
        <f t="shared" si="368"/>
        <v>Low</v>
      </c>
      <c r="N3911" t="str">
        <f t="shared" si="371"/>
        <v>Jul</v>
      </c>
      <c r="O3911">
        <f t="shared" si="372"/>
        <v>2025</v>
      </c>
    </row>
    <row r="3912" spans="1:15" x14ac:dyDescent="0.3">
      <c r="A3912">
        <v>200650</v>
      </c>
      <c r="B3912" t="s">
        <v>84</v>
      </c>
      <c r="C3912" s="2">
        <v>45845</v>
      </c>
      <c r="D3912" s="2">
        <f t="shared" si="370"/>
        <v>45905</v>
      </c>
      <c r="E3912" s="1">
        <f>D3912+2</f>
        <v>45907</v>
      </c>
      <c r="F3912">
        <v>6659</v>
      </c>
      <c r="G3912">
        <v>60</v>
      </c>
      <c r="H3912">
        <f t="shared" si="369"/>
        <v>0</v>
      </c>
      <c r="I3912" t="str">
        <f t="shared" si="367"/>
        <v>On Time</v>
      </c>
      <c r="J3912" cm="1">
        <f t="array" ref="J3912">_xlfn.IFS(H3912&lt;30,0,H3912&lt;60,1,H3912&lt;90,2,H3912&lt;120,3)</f>
        <v>0</v>
      </c>
      <c r="M3912" t="str">
        <f t="shared" si="368"/>
        <v>Low</v>
      </c>
      <c r="N3912" t="str">
        <f t="shared" si="371"/>
        <v>Jul</v>
      </c>
      <c r="O3912">
        <f t="shared" si="372"/>
        <v>2025</v>
      </c>
    </row>
    <row r="3913" spans="1:15" x14ac:dyDescent="0.3">
      <c r="A3913">
        <v>200651</v>
      </c>
      <c r="B3913" t="s">
        <v>92</v>
      </c>
      <c r="C3913" s="2">
        <v>45845</v>
      </c>
      <c r="D3913" s="2">
        <f t="shared" si="370"/>
        <v>45875</v>
      </c>
      <c r="E3913" s="1">
        <f>D3913</f>
        <v>45875</v>
      </c>
      <c r="F3913">
        <v>2908</v>
      </c>
      <c r="G3913">
        <v>30</v>
      </c>
      <c r="H3913">
        <f t="shared" si="369"/>
        <v>0</v>
      </c>
      <c r="I3913" t="str">
        <f t="shared" si="367"/>
        <v>On Time</v>
      </c>
      <c r="J3913" cm="1">
        <f t="array" ref="J3913">_xlfn.IFS(H3913&lt;30,0,H3913&lt;60,1,H3913&lt;90,2,H3913&lt;120,3)</f>
        <v>0</v>
      </c>
      <c r="M3913" t="str">
        <f t="shared" si="368"/>
        <v>Low</v>
      </c>
      <c r="N3913" t="str">
        <f t="shared" si="371"/>
        <v>Jul</v>
      </c>
      <c r="O3913">
        <f t="shared" si="372"/>
        <v>2025</v>
      </c>
    </row>
    <row r="3914" spans="1:15" x14ac:dyDescent="0.3">
      <c r="A3914">
        <v>200652</v>
      </c>
      <c r="B3914" t="s">
        <v>93</v>
      </c>
      <c r="C3914" s="2">
        <v>45845</v>
      </c>
      <c r="D3914" s="2">
        <f t="shared" si="370"/>
        <v>45875</v>
      </c>
      <c r="E3914" s="1">
        <f>D3914+20</f>
        <v>45895</v>
      </c>
      <c r="F3914">
        <v>1082</v>
      </c>
      <c r="G3914">
        <v>30</v>
      </c>
      <c r="H3914">
        <f t="shared" si="369"/>
        <v>0</v>
      </c>
      <c r="I3914" t="str">
        <f t="shared" si="367"/>
        <v>On Time</v>
      </c>
      <c r="J3914" cm="1">
        <f t="array" ref="J3914">_xlfn.IFS(H3914&lt;30,0,H3914&lt;60,1,H3914&lt;90,2,H3914&lt;120,3)</f>
        <v>0</v>
      </c>
      <c r="M3914" t="str">
        <f t="shared" si="368"/>
        <v>Low</v>
      </c>
      <c r="N3914" t="str">
        <f t="shared" si="371"/>
        <v>Jul</v>
      </c>
      <c r="O3914">
        <f t="shared" si="372"/>
        <v>2025</v>
      </c>
    </row>
    <row r="3915" spans="1:15" x14ac:dyDescent="0.3">
      <c r="A3915">
        <v>200653</v>
      </c>
      <c r="B3915" t="s">
        <v>94</v>
      </c>
      <c r="C3915" s="2">
        <v>45845</v>
      </c>
      <c r="D3915" s="2">
        <f t="shared" si="370"/>
        <v>45875</v>
      </c>
      <c r="E3915" s="1">
        <f>D3915</f>
        <v>45875</v>
      </c>
      <c r="F3915">
        <v>389</v>
      </c>
      <c r="G3915">
        <v>30</v>
      </c>
      <c r="H3915">
        <f t="shared" si="369"/>
        <v>0</v>
      </c>
      <c r="I3915" t="str">
        <f t="shared" si="367"/>
        <v>On Time</v>
      </c>
      <c r="J3915" cm="1">
        <f t="array" ref="J3915">_xlfn.IFS(H3915&lt;30,0,H3915&lt;60,1,H3915&lt;90,2,H3915&lt;120,3)</f>
        <v>0</v>
      </c>
      <c r="M3915" t="str">
        <f t="shared" si="368"/>
        <v>Low</v>
      </c>
      <c r="N3915" t="str">
        <f t="shared" si="371"/>
        <v>Jul</v>
      </c>
      <c r="O3915">
        <f t="shared" si="372"/>
        <v>2025</v>
      </c>
    </row>
    <row r="3916" spans="1:15" x14ac:dyDescent="0.3">
      <c r="A3916">
        <v>200654</v>
      </c>
      <c r="B3916" t="s">
        <v>95</v>
      </c>
      <c r="C3916" s="2">
        <v>45845</v>
      </c>
      <c r="D3916" s="2">
        <f t="shared" si="370"/>
        <v>45890</v>
      </c>
      <c r="E3916" s="1">
        <f>D3916+1</f>
        <v>45891</v>
      </c>
      <c r="F3916">
        <v>2188</v>
      </c>
      <c r="G3916">
        <v>45</v>
      </c>
      <c r="H3916">
        <f t="shared" si="369"/>
        <v>0</v>
      </c>
      <c r="I3916" t="str">
        <f t="shared" si="367"/>
        <v>On Time</v>
      </c>
      <c r="J3916" cm="1">
        <f t="array" ref="J3916">_xlfn.IFS(H3916&lt;30,0,H3916&lt;60,1,H3916&lt;90,2,H3916&lt;120,3)</f>
        <v>0</v>
      </c>
      <c r="M3916" t="str">
        <f t="shared" si="368"/>
        <v>Low</v>
      </c>
      <c r="N3916" t="str">
        <f t="shared" si="371"/>
        <v>Jul</v>
      </c>
      <c r="O3916">
        <f t="shared" si="372"/>
        <v>2025</v>
      </c>
    </row>
    <row r="3917" spans="1:15" x14ac:dyDescent="0.3">
      <c r="A3917">
        <v>200655</v>
      </c>
      <c r="B3917" t="s">
        <v>96</v>
      </c>
      <c r="C3917" s="2">
        <v>45845</v>
      </c>
      <c r="D3917" s="2">
        <f t="shared" si="370"/>
        <v>45905</v>
      </c>
      <c r="E3917" s="1">
        <f>D3917</f>
        <v>45905</v>
      </c>
      <c r="F3917">
        <v>879</v>
      </c>
      <c r="G3917">
        <v>60</v>
      </c>
      <c r="H3917">
        <f t="shared" si="369"/>
        <v>0</v>
      </c>
      <c r="I3917" t="str">
        <f t="shared" si="367"/>
        <v>On Time</v>
      </c>
      <c r="J3917" cm="1">
        <f t="array" ref="J3917">_xlfn.IFS(H3917&lt;30,0,H3917&lt;60,1,H3917&lt;90,2,H3917&lt;120,3)</f>
        <v>0</v>
      </c>
      <c r="M3917" t="str">
        <f t="shared" si="368"/>
        <v>Low</v>
      </c>
      <c r="N3917" t="str">
        <f t="shared" si="371"/>
        <v>Jul</v>
      </c>
      <c r="O3917">
        <f t="shared" si="372"/>
        <v>2025</v>
      </c>
    </row>
    <row r="3918" spans="1:15" x14ac:dyDescent="0.3">
      <c r="A3918">
        <v>200625</v>
      </c>
      <c r="B3918" t="s">
        <v>39</v>
      </c>
      <c r="C3918" s="2">
        <v>45842</v>
      </c>
      <c r="D3918" s="2">
        <f t="shared" si="370"/>
        <v>45872</v>
      </c>
      <c r="E3918" s="1">
        <f>D3918+2</f>
        <v>45874</v>
      </c>
      <c r="F3918">
        <v>1343</v>
      </c>
      <c r="G3918">
        <v>30</v>
      </c>
      <c r="H3918">
        <f t="shared" si="369"/>
        <v>0</v>
      </c>
      <c r="I3918" t="str">
        <f t="shared" si="367"/>
        <v>On Time</v>
      </c>
      <c r="J3918" cm="1">
        <f t="array" ref="J3918">_xlfn.IFS(H3918&lt;30,0,H3918&lt;60,1,H3918&lt;90,2,H3918&lt;120,3)</f>
        <v>0</v>
      </c>
      <c r="M3918" t="str">
        <f t="shared" si="368"/>
        <v>Low</v>
      </c>
      <c r="N3918" t="str">
        <f t="shared" si="371"/>
        <v>Jul</v>
      </c>
      <c r="O3918">
        <f t="shared" si="372"/>
        <v>2025</v>
      </c>
    </row>
    <row r="3919" spans="1:15" x14ac:dyDescent="0.3">
      <c r="A3919">
        <v>200626</v>
      </c>
      <c r="B3919" t="s">
        <v>40</v>
      </c>
      <c r="C3919" s="2">
        <v>45842</v>
      </c>
      <c r="D3919" s="2">
        <f t="shared" si="370"/>
        <v>45872</v>
      </c>
      <c r="E3919" s="1">
        <f>D3919+5</f>
        <v>45877</v>
      </c>
      <c r="F3919">
        <v>2624</v>
      </c>
      <c r="G3919">
        <v>30</v>
      </c>
      <c r="H3919">
        <f t="shared" si="369"/>
        <v>0</v>
      </c>
      <c r="I3919" t="str">
        <f t="shared" si="367"/>
        <v>On Time</v>
      </c>
      <c r="J3919" cm="1">
        <f t="array" ref="J3919">_xlfn.IFS(H3919&lt;30,0,H3919&lt;60,1,H3919&lt;90,2,H3919&lt;120,3)</f>
        <v>0</v>
      </c>
      <c r="M3919" t="str">
        <f t="shared" si="368"/>
        <v>Low</v>
      </c>
      <c r="N3919" t="str">
        <f t="shared" si="371"/>
        <v>Jul</v>
      </c>
      <c r="O3919">
        <f t="shared" si="372"/>
        <v>2025</v>
      </c>
    </row>
    <row r="3920" spans="1:15" x14ac:dyDescent="0.3">
      <c r="A3920">
        <v>200627</v>
      </c>
      <c r="B3920" t="s">
        <v>41</v>
      </c>
      <c r="C3920" s="2">
        <v>45842</v>
      </c>
      <c r="D3920" s="2">
        <f t="shared" si="370"/>
        <v>45872</v>
      </c>
      <c r="E3920" s="1">
        <f>D3920</f>
        <v>45872</v>
      </c>
      <c r="F3920">
        <v>2712</v>
      </c>
      <c r="G3920">
        <v>30</v>
      </c>
      <c r="H3920">
        <f t="shared" si="369"/>
        <v>0</v>
      </c>
      <c r="I3920" t="str">
        <f t="shared" si="367"/>
        <v>On Time</v>
      </c>
      <c r="J3920" cm="1">
        <f t="array" ref="J3920">_xlfn.IFS(H3920&lt;30,0,H3920&lt;60,1,H3920&lt;90,2,H3920&lt;120,3)</f>
        <v>0</v>
      </c>
      <c r="M3920" t="str">
        <f t="shared" si="368"/>
        <v>Low</v>
      </c>
      <c r="N3920" t="str">
        <f t="shared" si="371"/>
        <v>Jul</v>
      </c>
      <c r="O3920">
        <f t="shared" si="372"/>
        <v>2025</v>
      </c>
    </row>
    <row r="3921" spans="1:15" x14ac:dyDescent="0.3">
      <c r="A3921">
        <v>200628</v>
      </c>
      <c r="B3921" t="s">
        <v>42</v>
      </c>
      <c r="C3921" s="2">
        <v>45842</v>
      </c>
      <c r="D3921" s="2">
        <f t="shared" si="370"/>
        <v>45872</v>
      </c>
      <c r="E3921" s="1">
        <f>D3921</f>
        <v>45872</v>
      </c>
      <c r="F3921">
        <v>3181</v>
      </c>
      <c r="G3921">
        <v>30</v>
      </c>
      <c r="H3921">
        <f t="shared" si="369"/>
        <v>0</v>
      </c>
      <c r="I3921" t="str">
        <f t="shared" si="367"/>
        <v>On Time</v>
      </c>
      <c r="J3921" cm="1">
        <f t="array" ref="J3921">_xlfn.IFS(H3921&lt;30,0,H3921&lt;60,1,H3921&lt;90,2,H3921&lt;120,3)</f>
        <v>0</v>
      </c>
      <c r="M3921" t="str">
        <f t="shared" si="368"/>
        <v>Low</v>
      </c>
      <c r="N3921" t="str">
        <f t="shared" si="371"/>
        <v>Jul</v>
      </c>
      <c r="O3921">
        <f t="shared" si="372"/>
        <v>2025</v>
      </c>
    </row>
    <row r="3922" spans="1:15" x14ac:dyDescent="0.3">
      <c r="A3922">
        <v>200629</v>
      </c>
      <c r="B3922" t="s">
        <v>43</v>
      </c>
      <c r="C3922" s="2">
        <v>45842</v>
      </c>
      <c r="D3922" s="2">
        <f t="shared" si="370"/>
        <v>45872</v>
      </c>
      <c r="E3922" s="1">
        <f>D3922+60</f>
        <v>45932</v>
      </c>
      <c r="F3922">
        <v>1798</v>
      </c>
      <c r="G3922">
        <v>30</v>
      </c>
      <c r="H3922">
        <f t="shared" si="369"/>
        <v>0</v>
      </c>
      <c r="I3922" t="str">
        <f t="shared" si="367"/>
        <v>On Time</v>
      </c>
      <c r="J3922" cm="1">
        <f t="array" ref="J3922">_xlfn.IFS(H3922&lt;30,0,H3922&lt;60,1,H3922&lt;90,2,H3922&lt;120,3)</f>
        <v>0</v>
      </c>
      <c r="M3922" t="str">
        <f t="shared" si="368"/>
        <v>Low</v>
      </c>
      <c r="N3922" t="str">
        <f t="shared" si="371"/>
        <v>Jul</v>
      </c>
      <c r="O3922">
        <f t="shared" si="372"/>
        <v>2025</v>
      </c>
    </row>
    <row r="3923" spans="1:15" x14ac:dyDescent="0.3">
      <c r="A3923">
        <v>200630</v>
      </c>
      <c r="B3923" t="s">
        <v>44</v>
      </c>
      <c r="C3923" s="2">
        <v>45842</v>
      </c>
      <c r="D3923" s="2">
        <f t="shared" si="370"/>
        <v>45887</v>
      </c>
      <c r="E3923" s="1">
        <f>D3923</f>
        <v>45887</v>
      </c>
      <c r="F3923">
        <v>3607</v>
      </c>
      <c r="G3923">
        <v>45</v>
      </c>
      <c r="H3923">
        <f t="shared" si="369"/>
        <v>0</v>
      </c>
      <c r="I3923" t="str">
        <f t="shared" si="367"/>
        <v>On Time</v>
      </c>
      <c r="J3923" cm="1">
        <f t="array" ref="J3923">_xlfn.IFS(H3923&lt;30,0,H3923&lt;60,1,H3923&lt;90,2,H3923&lt;120,3)</f>
        <v>0</v>
      </c>
      <c r="M3923" t="str">
        <f t="shared" si="368"/>
        <v>Low</v>
      </c>
      <c r="N3923" t="str">
        <f t="shared" si="371"/>
        <v>Jul</v>
      </c>
      <c r="O3923">
        <f t="shared" si="372"/>
        <v>2025</v>
      </c>
    </row>
    <row r="3924" spans="1:15" x14ac:dyDescent="0.3">
      <c r="A3924">
        <v>200631</v>
      </c>
      <c r="B3924" t="s">
        <v>20</v>
      </c>
      <c r="C3924" s="2">
        <v>45842</v>
      </c>
      <c r="D3924" s="2">
        <f t="shared" si="370"/>
        <v>45872</v>
      </c>
      <c r="F3924">
        <v>1999</v>
      </c>
      <c r="G3924">
        <v>30</v>
      </c>
      <c r="H3924">
        <f t="shared" si="369"/>
        <v>0</v>
      </c>
      <c r="I3924" t="str">
        <f t="shared" si="367"/>
        <v>On Time</v>
      </c>
      <c r="J3924" cm="1">
        <f t="array" ref="J3924">_xlfn.IFS(H3924&lt;30,0,H3924&lt;60,1,H3924&lt;90,2,H3924&lt;120,3)</f>
        <v>0</v>
      </c>
      <c r="M3924" t="str">
        <f t="shared" si="368"/>
        <v>Low</v>
      </c>
      <c r="N3924" t="str">
        <f t="shared" si="371"/>
        <v>Jul</v>
      </c>
      <c r="O3924">
        <f t="shared" si="372"/>
        <v>2025</v>
      </c>
    </row>
    <row r="3925" spans="1:15" x14ac:dyDescent="0.3">
      <c r="A3925">
        <v>200632</v>
      </c>
      <c r="B3925" t="s">
        <v>21</v>
      </c>
      <c r="C3925" s="2">
        <v>45842</v>
      </c>
      <c r="D3925" s="2">
        <f t="shared" si="370"/>
        <v>45872</v>
      </c>
      <c r="E3925" s="1">
        <f>D3925+3</f>
        <v>45875</v>
      </c>
      <c r="F3925">
        <v>739</v>
      </c>
      <c r="G3925">
        <v>30</v>
      </c>
      <c r="H3925">
        <f t="shared" si="369"/>
        <v>0</v>
      </c>
      <c r="I3925" t="str">
        <f t="shared" si="367"/>
        <v>On Time</v>
      </c>
      <c r="J3925" cm="1">
        <f t="array" ref="J3925">_xlfn.IFS(H3925&lt;30,0,H3925&lt;60,1,H3925&lt;90,2,H3925&lt;120,3)</f>
        <v>0</v>
      </c>
      <c r="M3925" t="str">
        <f t="shared" si="368"/>
        <v>Low</v>
      </c>
      <c r="N3925" t="str">
        <f t="shared" si="371"/>
        <v>Jul</v>
      </c>
      <c r="O3925">
        <f t="shared" si="372"/>
        <v>2025</v>
      </c>
    </row>
    <row r="3926" spans="1:15" x14ac:dyDescent="0.3">
      <c r="A3926">
        <v>200633</v>
      </c>
      <c r="B3926" t="s">
        <v>22</v>
      </c>
      <c r="C3926" s="2">
        <v>45842</v>
      </c>
      <c r="D3926" s="2">
        <f t="shared" si="370"/>
        <v>45872</v>
      </c>
      <c r="E3926" s="1">
        <f>D3926+1</f>
        <v>45873</v>
      </c>
      <c r="F3926">
        <v>784</v>
      </c>
      <c r="G3926">
        <v>30</v>
      </c>
      <c r="H3926">
        <f t="shared" si="369"/>
        <v>0</v>
      </c>
      <c r="I3926" t="str">
        <f t="shared" ref="I3926:I3989" si="373">IF(H3926=0,"On Time",IF(H3926&lt;=15,"Paid Late","Seriously Late"))</f>
        <v>On Time</v>
      </c>
      <c r="J3926" cm="1">
        <f t="array" ref="J3926">_xlfn.IFS(H3926&lt;30,0,H3926&lt;60,1,H3926&lt;90,2,H3926&lt;120,3)</f>
        <v>0</v>
      </c>
      <c r="M3926" t="str">
        <f t="shared" ref="M3926:M3989" si="374">IF(H3926&gt;30,"High",IF(H3926&gt;10,"Medium","Low"))</f>
        <v>Low</v>
      </c>
      <c r="N3926" t="str">
        <f t="shared" si="371"/>
        <v>Jul</v>
      </c>
      <c r="O3926">
        <f t="shared" si="372"/>
        <v>2025</v>
      </c>
    </row>
    <row r="3927" spans="1:15" x14ac:dyDescent="0.3">
      <c r="A3927">
        <v>200634</v>
      </c>
      <c r="B3927" t="s">
        <v>23</v>
      </c>
      <c r="C3927" s="2">
        <v>45842</v>
      </c>
      <c r="D3927" s="2">
        <f t="shared" si="370"/>
        <v>45887</v>
      </c>
      <c r="E3927" s="1">
        <f>D3927-1</f>
        <v>45886</v>
      </c>
      <c r="F3927">
        <v>7916</v>
      </c>
      <c r="G3927">
        <v>45</v>
      </c>
      <c r="H3927">
        <f t="shared" si="369"/>
        <v>0</v>
      </c>
      <c r="I3927" t="str">
        <f t="shared" si="373"/>
        <v>On Time</v>
      </c>
      <c r="J3927" cm="1">
        <f t="array" ref="J3927">_xlfn.IFS(H3927&lt;30,0,H3927&lt;60,1,H3927&lt;90,2,H3927&lt;120,3)</f>
        <v>0</v>
      </c>
      <c r="M3927" t="str">
        <f t="shared" si="374"/>
        <v>Low</v>
      </c>
      <c r="N3927" t="str">
        <f t="shared" si="371"/>
        <v>Jul</v>
      </c>
      <c r="O3927">
        <f t="shared" si="372"/>
        <v>2025</v>
      </c>
    </row>
    <row r="3928" spans="1:15" x14ac:dyDescent="0.3">
      <c r="A3928">
        <v>200635</v>
      </c>
      <c r="B3928" t="s">
        <v>24</v>
      </c>
      <c r="C3928" s="2">
        <v>45842</v>
      </c>
      <c r="D3928" s="2">
        <f t="shared" si="370"/>
        <v>45887</v>
      </c>
      <c r="E3928" s="1">
        <f>D3928</f>
        <v>45887</v>
      </c>
      <c r="F3928">
        <v>2721</v>
      </c>
      <c r="G3928">
        <v>45</v>
      </c>
      <c r="H3928">
        <f t="shared" si="369"/>
        <v>0</v>
      </c>
      <c r="I3928" t="str">
        <f t="shared" si="373"/>
        <v>On Time</v>
      </c>
      <c r="J3928" cm="1">
        <f t="array" ref="J3928">_xlfn.IFS(H3928&lt;30,0,H3928&lt;60,1,H3928&lt;90,2,H3928&lt;120,3)</f>
        <v>0</v>
      </c>
      <c r="M3928" t="str">
        <f t="shared" si="374"/>
        <v>Low</v>
      </c>
      <c r="N3928" t="str">
        <f t="shared" si="371"/>
        <v>Jul</v>
      </c>
      <c r="O3928">
        <f t="shared" si="372"/>
        <v>2025</v>
      </c>
    </row>
    <row r="3929" spans="1:15" x14ac:dyDescent="0.3">
      <c r="A3929">
        <v>200636</v>
      </c>
      <c r="B3929" t="s">
        <v>25</v>
      </c>
      <c r="C3929" s="2">
        <v>45842</v>
      </c>
      <c r="D3929" s="2">
        <f t="shared" si="370"/>
        <v>45902</v>
      </c>
      <c r="E3929" s="1">
        <f>D3929-5</f>
        <v>45897</v>
      </c>
      <c r="F3929">
        <v>3834</v>
      </c>
      <c r="G3929">
        <v>60</v>
      </c>
      <c r="H3929">
        <f t="shared" si="369"/>
        <v>0</v>
      </c>
      <c r="I3929" t="str">
        <f t="shared" si="373"/>
        <v>On Time</v>
      </c>
      <c r="J3929" cm="1">
        <f t="array" ref="J3929">_xlfn.IFS(H3929&lt;30,0,H3929&lt;60,1,H3929&lt;90,2,H3929&lt;120,3)</f>
        <v>0</v>
      </c>
      <c r="M3929" t="str">
        <f t="shared" si="374"/>
        <v>Low</v>
      </c>
      <c r="N3929" t="str">
        <f t="shared" si="371"/>
        <v>Jul</v>
      </c>
      <c r="O3929">
        <f t="shared" si="372"/>
        <v>2025</v>
      </c>
    </row>
    <row r="3930" spans="1:15" x14ac:dyDescent="0.3">
      <c r="A3930">
        <v>200637</v>
      </c>
      <c r="B3930" t="s">
        <v>26</v>
      </c>
      <c r="C3930" s="2">
        <v>45842</v>
      </c>
      <c r="D3930" s="2">
        <f t="shared" si="370"/>
        <v>45872</v>
      </c>
      <c r="E3930" s="1">
        <f>D3930+35</f>
        <v>45907</v>
      </c>
      <c r="F3930">
        <v>2883</v>
      </c>
      <c r="G3930">
        <v>30</v>
      </c>
      <c r="H3930">
        <f t="shared" si="369"/>
        <v>0</v>
      </c>
      <c r="I3930" t="str">
        <f t="shared" si="373"/>
        <v>On Time</v>
      </c>
      <c r="J3930" cm="1">
        <f t="array" ref="J3930">_xlfn.IFS(H3930&lt;30,0,H3930&lt;60,1,H3930&lt;90,2,H3930&lt;120,3)</f>
        <v>0</v>
      </c>
      <c r="M3930" t="str">
        <f t="shared" si="374"/>
        <v>Low</v>
      </c>
      <c r="N3930" t="str">
        <f t="shared" si="371"/>
        <v>Jul</v>
      </c>
      <c r="O3930">
        <f t="shared" si="372"/>
        <v>2025</v>
      </c>
    </row>
    <row r="3931" spans="1:15" x14ac:dyDescent="0.3">
      <c r="A3931">
        <v>200638</v>
      </c>
      <c r="B3931" t="s">
        <v>27</v>
      </c>
      <c r="C3931" s="2">
        <v>45842</v>
      </c>
      <c r="D3931" s="2">
        <f t="shared" si="370"/>
        <v>45902</v>
      </c>
      <c r="E3931" s="1">
        <f>D3931+75</f>
        <v>45977</v>
      </c>
      <c r="F3931">
        <v>4215</v>
      </c>
      <c r="G3931">
        <v>60</v>
      </c>
      <c r="H3931">
        <f t="shared" si="369"/>
        <v>0</v>
      </c>
      <c r="I3931" t="str">
        <f t="shared" si="373"/>
        <v>On Time</v>
      </c>
      <c r="J3931" cm="1">
        <f t="array" ref="J3931">_xlfn.IFS(H3931&lt;30,0,H3931&lt;60,1,H3931&lt;90,2,H3931&lt;120,3)</f>
        <v>0</v>
      </c>
      <c r="M3931" t="str">
        <f t="shared" si="374"/>
        <v>Low</v>
      </c>
      <c r="N3931" t="str">
        <f t="shared" si="371"/>
        <v>Jul</v>
      </c>
      <c r="O3931">
        <f t="shared" si="372"/>
        <v>2025</v>
      </c>
    </row>
    <row r="3932" spans="1:15" x14ac:dyDescent="0.3">
      <c r="A3932">
        <v>200639</v>
      </c>
      <c r="B3932" t="s">
        <v>28</v>
      </c>
      <c r="C3932" s="2">
        <v>45842</v>
      </c>
      <c r="D3932" s="2">
        <f t="shared" si="370"/>
        <v>45872</v>
      </c>
      <c r="E3932" s="1">
        <f>D3932+5</f>
        <v>45877</v>
      </c>
      <c r="F3932">
        <v>3896</v>
      </c>
      <c r="G3932">
        <v>30</v>
      </c>
      <c r="H3932">
        <f t="shared" si="369"/>
        <v>0</v>
      </c>
      <c r="I3932" t="str">
        <f t="shared" si="373"/>
        <v>On Time</v>
      </c>
      <c r="J3932" cm="1">
        <f t="array" ref="J3932">_xlfn.IFS(H3932&lt;30,0,H3932&lt;60,1,H3932&lt;90,2,H3932&lt;120,3)</f>
        <v>0</v>
      </c>
      <c r="M3932" t="str">
        <f t="shared" si="374"/>
        <v>Low</v>
      </c>
      <c r="N3932" t="str">
        <f t="shared" si="371"/>
        <v>Jul</v>
      </c>
      <c r="O3932">
        <f t="shared" si="372"/>
        <v>2025</v>
      </c>
    </row>
    <row r="3933" spans="1:15" x14ac:dyDescent="0.3">
      <c r="A3933">
        <v>200609</v>
      </c>
      <c r="B3933" t="s">
        <v>75</v>
      </c>
      <c r="C3933" s="2">
        <v>45841</v>
      </c>
      <c r="D3933" s="2">
        <f t="shared" si="370"/>
        <v>45901</v>
      </c>
      <c r="E3933" s="1">
        <f>D3933</f>
        <v>45901</v>
      </c>
      <c r="F3933">
        <v>13509</v>
      </c>
      <c r="G3933">
        <v>60</v>
      </c>
      <c r="H3933">
        <f t="shared" si="369"/>
        <v>0</v>
      </c>
      <c r="I3933" t="str">
        <f t="shared" si="373"/>
        <v>On Time</v>
      </c>
      <c r="J3933" cm="1">
        <f t="array" ref="J3933">_xlfn.IFS(H3933&lt;30,0,H3933&lt;60,1,H3933&lt;90,2,H3933&lt;120,3)</f>
        <v>0</v>
      </c>
      <c r="M3933" t="str">
        <f t="shared" si="374"/>
        <v>Low</v>
      </c>
      <c r="N3933" t="str">
        <f t="shared" si="371"/>
        <v>Jul</v>
      </c>
      <c r="O3933">
        <f t="shared" si="372"/>
        <v>2025</v>
      </c>
    </row>
    <row r="3934" spans="1:15" x14ac:dyDescent="0.3">
      <c r="A3934">
        <v>200610</v>
      </c>
      <c r="B3934" t="s">
        <v>76</v>
      </c>
      <c r="C3934" s="2">
        <v>45841</v>
      </c>
      <c r="D3934" s="2">
        <f t="shared" si="370"/>
        <v>45871</v>
      </c>
      <c r="E3934" s="1">
        <f>D3934+32</f>
        <v>45903</v>
      </c>
      <c r="F3934">
        <v>1773</v>
      </c>
      <c r="G3934">
        <v>30</v>
      </c>
      <c r="H3934">
        <f t="shared" si="369"/>
        <v>0</v>
      </c>
      <c r="I3934" t="str">
        <f t="shared" si="373"/>
        <v>On Time</v>
      </c>
      <c r="J3934" cm="1">
        <f t="array" ref="J3934">_xlfn.IFS(H3934&lt;30,0,H3934&lt;60,1,H3934&lt;90,2,H3934&lt;120,3)</f>
        <v>0</v>
      </c>
      <c r="M3934" t="str">
        <f t="shared" si="374"/>
        <v>Low</v>
      </c>
      <c r="N3934" t="str">
        <f t="shared" si="371"/>
        <v>Jul</v>
      </c>
      <c r="O3934">
        <f t="shared" si="372"/>
        <v>2025</v>
      </c>
    </row>
    <row r="3935" spans="1:15" x14ac:dyDescent="0.3">
      <c r="A3935">
        <v>200611</v>
      </c>
      <c r="B3935" t="s">
        <v>44</v>
      </c>
      <c r="C3935" s="2">
        <v>45841</v>
      </c>
      <c r="D3935" s="2">
        <f t="shared" si="370"/>
        <v>45886</v>
      </c>
      <c r="E3935" s="1">
        <f>D3935+15</f>
        <v>45901</v>
      </c>
      <c r="F3935">
        <v>827</v>
      </c>
      <c r="G3935">
        <v>45</v>
      </c>
      <c r="H3935">
        <f t="shared" si="369"/>
        <v>0</v>
      </c>
      <c r="I3935" t="str">
        <f t="shared" si="373"/>
        <v>On Time</v>
      </c>
      <c r="J3935" cm="1">
        <f t="array" ref="J3935">_xlfn.IFS(H3935&lt;30,0,H3935&lt;60,1,H3935&lt;90,2,H3935&lt;120,3)</f>
        <v>0</v>
      </c>
      <c r="M3935" t="str">
        <f t="shared" si="374"/>
        <v>Low</v>
      </c>
      <c r="N3935" t="str">
        <f t="shared" si="371"/>
        <v>Jul</v>
      </c>
      <c r="O3935">
        <f t="shared" si="372"/>
        <v>2025</v>
      </c>
    </row>
    <row r="3936" spans="1:15" x14ac:dyDescent="0.3">
      <c r="A3936">
        <v>200612</v>
      </c>
      <c r="B3936" t="s">
        <v>45</v>
      </c>
      <c r="C3936" s="2">
        <v>45841</v>
      </c>
      <c r="D3936" s="2">
        <f t="shared" si="370"/>
        <v>45886</v>
      </c>
      <c r="E3936" s="1">
        <f>D3936-2</f>
        <v>45884</v>
      </c>
      <c r="F3936">
        <v>501</v>
      </c>
      <c r="G3936">
        <v>45</v>
      </c>
      <c r="H3936">
        <f t="shared" si="369"/>
        <v>0</v>
      </c>
      <c r="I3936" t="str">
        <f t="shared" si="373"/>
        <v>On Time</v>
      </c>
      <c r="J3936" cm="1">
        <f t="array" ref="J3936">_xlfn.IFS(H3936&lt;30,0,H3936&lt;60,1,H3936&lt;90,2,H3936&lt;120,3)</f>
        <v>0</v>
      </c>
      <c r="M3936" t="str">
        <f t="shared" si="374"/>
        <v>Low</v>
      </c>
      <c r="N3936" t="str">
        <f t="shared" si="371"/>
        <v>Jul</v>
      </c>
      <c r="O3936">
        <f t="shared" si="372"/>
        <v>2025</v>
      </c>
    </row>
    <row r="3937" spans="1:15" x14ac:dyDescent="0.3">
      <c r="A3937">
        <v>200613</v>
      </c>
      <c r="B3937" t="s">
        <v>46</v>
      </c>
      <c r="C3937" s="2">
        <v>45841</v>
      </c>
      <c r="D3937" s="2">
        <f t="shared" si="370"/>
        <v>45901</v>
      </c>
      <c r="E3937" s="1">
        <f>D3937-2</f>
        <v>45899</v>
      </c>
      <c r="F3937">
        <v>113</v>
      </c>
      <c r="G3937">
        <v>60</v>
      </c>
      <c r="H3937">
        <f t="shared" si="369"/>
        <v>0</v>
      </c>
      <c r="I3937" t="str">
        <f t="shared" si="373"/>
        <v>On Time</v>
      </c>
      <c r="J3937" cm="1">
        <f t="array" ref="J3937">_xlfn.IFS(H3937&lt;30,0,H3937&lt;60,1,H3937&lt;90,2,H3937&lt;120,3)</f>
        <v>0</v>
      </c>
      <c r="M3937" t="str">
        <f t="shared" si="374"/>
        <v>Low</v>
      </c>
      <c r="N3937" t="str">
        <f t="shared" si="371"/>
        <v>Jul</v>
      </c>
      <c r="O3937">
        <f t="shared" si="372"/>
        <v>2025</v>
      </c>
    </row>
    <row r="3938" spans="1:15" x14ac:dyDescent="0.3">
      <c r="A3938">
        <v>200614</v>
      </c>
      <c r="B3938" t="s">
        <v>47</v>
      </c>
      <c r="C3938" s="2">
        <v>45841</v>
      </c>
      <c r="D3938" s="2">
        <f t="shared" si="370"/>
        <v>45901</v>
      </c>
      <c r="E3938" s="1">
        <f>D3938</f>
        <v>45901</v>
      </c>
      <c r="F3938">
        <v>2579</v>
      </c>
      <c r="G3938">
        <v>60</v>
      </c>
      <c r="H3938">
        <f t="shared" si="369"/>
        <v>0</v>
      </c>
      <c r="I3938" t="str">
        <f t="shared" si="373"/>
        <v>On Time</v>
      </c>
      <c r="J3938" cm="1">
        <f t="array" ref="J3938">_xlfn.IFS(H3938&lt;30,0,H3938&lt;60,1,H3938&lt;90,2,H3938&lt;120,3)</f>
        <v>0</v>
      </c>
      <c r="M3938" t="str">
        <f t="shared" si="374"/>
        <v>Low</v>
      </c>
      <c r="N3938" t="str">
        <f t="shared" si="371"/>
        <v>Jul</v>
      </c>
      <c r="O3938">
        <f t="shared" si="372"/>
        <v>2025</v>
      </c>
    </row>
    <row r="3939" spans="1:15" x14ac:dyDescent="0.3">
      <c r="A3939">
        <v>200615</v>
      </c>
      <c r="B3939" t="s">
        <v>48</v>
      </c>
      <c r="C3939" s="2">
        <v>45841</v>
      </c>
      <c r="D3939" s="2">
        <f t="shared" si="370"/>
        <v>45886</v>
      </c>
      <c r="E3939" s="1">
        <f>D3939+2</f>
        <v>45888</v>
      </c>
      <c r="F3939">
        <v>4707</v>
      </c>
      <c r="G3939">
        <v>45</v>
      </c>
      <c r="H3939">
        <f t="shared" si="369"/>
        <v>0</v>
      </c>
      <c r="I3939" t="str">
        <f t="shared" si="373"/>
        <v>On Time</v>
      </c>
      <c r="J3939" cm="1">
        <f t="array" ref="J3939">_xlfn.IFS(H3939&lt;30,0,H3939&lt;60,1,H3939&lt;90,2,H3939&lt;120,3)</f>
        <v>0</v>
      </c>
      <c r="M3939" t="str">
        <f t="shared" si="374"/>
        <v>Low</v>
      </c>
      <c r="N3939" t="str">
        <f t="shared" si="371"/>
        <v>Jul</v>
      </c>
      <c r="O3939">
        <f t="shared" si="372"/>
        <v>2025</v>
      </c>
    </row>
    <row r="3940" spans="1:15" x14ac:dyDescent="0.3">
      <c r="A3940">
        <v>200616</v>
      </c>
      <c r="B3940" t="s">
        <v>49</v>
      </c>
      <c r="C3940" s="2">
        <v>45841</v>
      </c>
      <c r="D3940" s="2">
        <f t="shared" si="370"/>
        <v>45871</v>
      </c>
      <c r="E3940" s="1">
        <f>D3940+2</f>
        <v>45873</v>
      </c>
      <c r="F3940">
        <v>1545</v>
      </c>
      <c r="G3940">
        <v>30</v>
      </c>
      <c r="H3940">
        <f t="shared" si="369"/>
        <v>0</v>
      </c>
      <c r="I3940" t="str">
        <f t="shared" si="373"/>
        <v>On Time</v>
      </c>
      <c r="J3940" cm="1">
        <f t="array" ref="J3940">_xlfn.IFS(H3940&lt;30,0,H3940&lt;60,1,H3940&lt;90,2,H3940&lt;120,3)</f>
        <v>0</v>
      </c>
      <c r="M3940" t="str">
        <f t="shared" si="374"/>
        <v>Low</v>
      </c>
      <c r="N3940" t="str">
        <f t="shared" si="371"/>
        <v>Jul</v>
      </c>
      <c r="O3940">
        <f t="shared" si="372"/>
        <v>2025</v>
      </c>
    </row>
    <row r="3941" spans="1:15" x14ac:dyDescent="0.3">
      <c r="A3941">
        <v>200617</v>
      </c>
      <c r="B3941" t="s">
        <v>50</v>
      </c>
      <c r="C3941" s="2">
        <v>45841</v>
      </c>
      <c r="D3941" s="2">
        <f t="shared" si="370"/>
        <v>45871</v>
      </c>
      <c r="E3941" s="1">
        <f>D3941+2</f>
        <v>45873</v>
      </c>
      <c r="F3941">
        <v>2086</v>
      </c>
      <c r="G3941">
        <v>30</v>
      </c>
      <c r="H3941">
        <f t="shared" si="369"/>
        <v>0</v>
      </c>
      <c r="I3941" t="str">
        <f t="shared" si="373"/>
        <v>On Time</v>
      </c>
      <c r="J3941" cm="1">
        <f t="array" ref="J3941">_xlfn.IFS(H3941&lt;30,0,H3941&lt;60,1,H3941&lt;90,2,H3941&lt;120,3)</f>
        <v>0</v>
      </c>
      <c r="M3941" t="str">
        <f t="shared" si="374"/>
        <v>Low</v>
      </c>
      <c r="N3941" t="str">
        <f t="shared" si="371"/>
        <v>Jul</v>
      </c>
      <c r="O3941">
        <f t="shared" si="372"/>
        <v>2025</v>
      </c>
    </row>
    <row r="3942" spans="1:15" x14ac:dyDescent="0.3">
      <c r="A3942">
        <v>200618</v>
      </c>
      <c r="B3942" t="s">
        <v>51</v>
      </c>
      <c r="C3942" s="2">
        <v>45841</v>
      </c>
      <c r="D3942" s="2">
        <f t="shared" si="370"/>
        <v>45871</v>
      </c>
      <c r="E3942" s="1">
        <f>D3942</f>
        <v>45871</v>
      </c>
      <c r="F3942">
        <v>15635</v>
      </c>
      <c r="G3942">
        <v>30</v>
      </c>
      <c r="H3942">
        <f t="shared" ref="H3942:H4005" si="375">MAX(0,P3907-D3942)</f>
        <v>0</v>
      </c>
      <c r="I3942" t="str">
        <f t="shared" si="373"/>
        <v>On Time</v>
      </c>
      <c r="J3942" cm="1">
        <f t="array" ref="J3942">_xlfn.IFS(H3942&lt;30,0,H3942&lt;60,1,H3942&lt;90,2,H3942&lt;120,3)</f>
        <v>0</v>
      </c>
      <c r="M3942" t="str">
        <f t="shared" si="374"/>
        <v>Low</v>
      </c>
      <c r="N3942" t="str">
        <f t="shared" si="371"/>
        <v>Jul</v>
      </c>
      <c r="O3942">
        <f t="shared" si="372"/>
        <v>2025</v>
      </c>
    </row>
    <row r="3943" spans="1:15" x14ac:dyDescent="0.3">
      <c r="A3943">
        <v>200619</v>
      </c>
      <c r="B3943" t="s">
        <v>52</v>
      </c>
      <c r="C3943" s="2">
        <v>45841</v>
      </c>
      <c r="D3943" s="2">
        <f t="shared" si="370"/>
        <v>45871</v>
      </c>
      <c r="E3943" s="1">
        <f>D3943+20</f>
        <v>45891</v>
      </c>
      <c r="F3943">
        <v>3361</v>
      </c>
      <c r="G3943">
        <v>30</v>
      </c>
      <c r="H3943">
        <f t="shared" si="375"/>
        <v>0</v>
      </c>
      <c r="I3943" t="str">
        <f t="shared" si="373"/>
        <v>On Time</v>
      </c>
      <c r="J3943" cm="1">
        <f t="array" ref="J3943">_xlfn.IFS(H3943&lt;30,0,H3943&lt;60,1,H3943&lt;90,2,H3943&lt;120,3)</f>
        <v>0</v>
      </c>
      <c r="M3943" t="str">
        <f t="shared" si="374"/>
        <v>Low</v>
      </c>
      <c r="N3943" t="str">
        <f t="shared" si="371"/>
        <v>Jul</v>
      </c>
      <c r="O3943">
        <f t="shared" si="372"/>
        <v>2025</v>
      </c>
    </row>
    <row r="3944" spans="1:15" x14ac:dyDescent="0.3">
      <c r="A3944">
        <v>200620</v>
      </c>
      <c r="B3944" t="s">
        <v>53</v>
      </c>
      <c r="C3944" s="2">
        <v>45841</v>
      </c>
      <c r="D3944" s="2">
        <f t="shared" si="370"/>
        <v>45871</v>
      </c>
      <c r="E3944" s="1">
        <f>D3944</f>
        <v>45871</v>
      </c>
      <c r="F3944">
        <v>1433</v>
      </c>
      <c r="G3944">
        <v>30</v>
      </c>
      <c r="H3944">
        <f t="shared" si="375"/>
        <v>0</v>
      </c>
      <c r="I3944" t="str">
        <f t="shared" si="373"/>
        <v>On Time</v>
      </c>
      <c r="J3944" cm="1">
        <f t="array" ref="J3944">_xlfn.IFS(H3944&lt;30,0,H3944&lt;60,1,H3944&lt;90,2,H3944&lt;120,3)</f>
        <v>0</v>
      </c>
      <c r="M3944" t="str">
        <f t="shared" si="374"/>
        <v>Low</v>
      </c>
      <c r="N3944" t="str">
        <f t="shared" si="371"/>
        <v>Jul</v>
      </c>
      <c r="O3944">
        <f t="shared" si="372"/>
        <v>2025</v>
      </c>
    </row>
    <row r="3945" spans="1:15" x14ac:dyDescent="0.3">
      <c r="A3945">
        <v>200621</v>
      </c>
      <c r="B3945" t="s">
        <v>54</v>
      </c>
      <c r="C3945" s="2">
        <v>45841</v>
      </c>
      <c r="D3945" s="2">
        <f t="shared" si="370"/>
        <v>45871</v>
      </c>
      <c r="E3945" s="1">
        <f>D3945+1</f>
        <v>45872</v>
      </c>
      <c r="F3945">
        <v>1730</v>
      </c>
      <c r="G3945">
        <v>30</v>
      </c>
      <c r="H3945">
        <f t="shared" si="375"/>
        <v>0</v>
      </c>
      <c r="I3945" t="str">
        <f t="shared" si="373"/>
        <v>On Time</v>
      </c>
      <c r="J3945" cm="1">
        <f t="array" ref="J3945">_xlfn.IFS(H3945&lt;30,0,H3945&lt;60,1,H3945&lt;90,2,H3945&lt;120,3)</f>
        <v>0</v>
      </c>
      <c r="M3945" t="str">
        <f t="shared" si="374"/>
        <v>Low</v>
      </c>
      <c r="N3945" t="str">
        <f t="shared" si="371"/>
        <v>Jul</v>
      </c>
      <c r="O3945">
        <f t="shared" si="372"/>
        <v>2025</v>
      </c>
    </row>
    <row r="3946" spans="1:15" x14ac:dyDescent="0.3">
      <c r="A3946">
        <v>200622</v>
      </c>
      <c r="B3946" t="s">
        <v>36</v>
      </c>
      <c r="C3946" s="2">
        <v>45841</v>
      </c>
      <c r="D3946" s="2">
        <f t="shared" si="370"/>
        <v>45871</v>
      </c>
      <c r="E3946" s="1">
        <f>D3946</f>
        <v>45871</v>
      </c>
      <c r="F3946">
        <v>4826</v>
      </c>
      <c r="G3946">
        <v>30</v>
      </c>
      <c r="H3946">
        <f t="shared" si="375"/>
        <v>0</v>
      </c>
      <c r="I3946" t="str">
        <f t="shared" si="373"/>
        <v>On Time</v>
      </c>
      <c r="J3946" cm="1">
        <f t="array" ref="J3946">_xlfn.IFS(H3946&lt;30,0,H3946&lt;60,1,H3946&lt;90,2,H3946&lt;120,3)</f>
        <v>0</v>
      </c>
      <c r="M3946" t="str">
        <f t="shared" si="374"/>
        <v>Low</v>
      </c>
      <c r="N3946" t="str">
        <f t="shared" si="371"/>
        <v>Jul</v>
      </c>
      <c r="O3946">
        <f t="shared" si="372"/>
        <v>2025</v>
      </c>
    </row>
    <row r="3947" spans="1:15" x14ac:dyDescent="0.3">
      <c r="A3947">
        <v>200623</v>
      </c>
      <c r="B3947" t="s">
        <v>37</v>
      </c>
      <c r="C3947" s="2">
        <v>45841</v>
      </c>
      <c r="D3947" s="2">
        <f t="shared" si="370"/>
        <v>45871</v>
      </c>
      <c r="E3947" s="1">
        <f>D3947</f>
        <v>45871</v>
      </c>
      <c r="F3947">
        <v>3013</v>
      </c>
      <c r="G3947">
        <v>30</v>
      </c>
      <c r="H3947">
        <f t="shared" si="375"/>
        <v>0</v>
      </c>
      <c r="I3947" t="str">
        <f t="shared" si="373"/>
        <v>On Time</v>
      </c>
      <c r="J3947" cm="1">
        <f t="array" ref="J3947">_xlfn.IFS(H3947&lt;30,0,H3947&lt;60,1,H3947&lt;90,2,H3947&lt;120,3)</f>
        <v>0</v>
      </c>
      <c r="M3947" t="str">
        <f t="shared" si="374"/>
        <v>Low</v>
      </c>
      <c r="N3947" t="str">
        <f t="shared" si="371"/>
        <v>Jul</v>
      </c>
      <c r="O3947">
        <f t="shared" si="372"/>
        <v>2025</v>
      </c>
    </row>
    <row r="3948" spans="1:15" x14ac:dyDescent="0.3">
      <c r="A3948">
        <v>200624</v>
      </c>
      <c r="B3948" t="s">
        <v>38</v>
      </c>
      <c r="C3948" s="2">
        <v>45841</v>
      </c>
      <c r="D3948" s="2">
        <f t="shared" si="370"/>
        <v>45871</v>
      </c>
      <c r="E3948" s="1">
        <f>D3948+5</f>
        <v>45876</v>
      </c>
      <c r="F3948">
        <v>179</v>
      </c>
      <c r="G3948">
        <v>30</v>
      </c>
      <c r="H3948">
        <f t="shared" si="375"/>
        <v>0</v>
      </c>
      <c r="I3948" t="str">
        <f t="shared" si="373"/>
        <v>On Time</v>
      </c>
      <c r="J3948" cm="1">
        <f t="array" ref="J3948">_xlfn.IFS(H3948&lt;30,0,H3948&lt;60,1,H3948&lt;90,2,H3948&lt;120,3)</f>
        <v>0</v>
      </c>
      <c r="M3948" t="str">
        <f t="shared" si="374"/>
        <v>Low</v>
      </c>
      <c r="N3948" t="str">
        <f t="shared" si="371"/>
        <v>Jul</v>
      </c>
      <c r="O3948">
        <f t="shared" si="372"/>
        <v>2025</v>
      </c>
    </row>
    <row r="3949" spans="1:15" x14ac:dyDescent="0.3">
      <c r="A3949">
        <v>200594</v>
      </c>
      <c r="B3949" t="s">
        <v>88</v>
      </c>
      <c r="C3949" s="2">
        <v>45840</v>
      </c>
      <c r="D3949" s="2">
        <f t="shared" si="370"/>
        <v>45870</v>
      </c>
      <c r="E3949" s="1">
        <f>D3949</f>
        <v>45870</v>
      </c>
      <c r="F3949">
        <v>2849</v>
      </c>
      <c r="G3949">
        <v>30</v>
      </c>
      <c r="H3949">
        <f t="shared" si="375"/>
        <v>0</v>
      </c>
      <c r="I3949" t="str">
        <f t="shared" si="373"/>
        <v>On Time</v>
      </c>
      <c r="J3949" cm="1">
        <f t="array" ref="J3949">_xlfn.IFS(H3949&lt;30,0,H3949&lt;60,1,H3949&lt;90,2,H3949&lt;120,3)</f>
        <v>0</v>
      </c>
      <c r="M3949" t="str">
        <f t="shared" si="374"/>
        <v>Low</v>
      </c>
      <c r="N3949" t="str">
        <f t="shared" si="371"/>
        <v>Jul</v>
      </c>
      <c r="O3949">
        <f t="shared" si="372"/>
        <v>2025</v>
      </c>
    </row>
    <row r="3950" spans="1:15" x14ac:dyDescent="0.3">
      <c r="A3950">
        <v>200595</v>
      </c>
      <c r="B3950" t="s">
        <v>89</v>
      </c>
      <c r="C3950" s="2">
        <v>45840</v>
      </c>
      <c r="D3950" s="2">
        <f t="shared" si="370"/>
        <v>45870</v>
      </c>
      <c r="E3950" s="1">
        <f>D3950</f>
        <v>45870</v>
      </c>
      <c r="F3950">
        <v>473</v>
      </c>
      <c r="G3950">
        <v>30</v>
      </c>
      <c r="H3950">
        <f t="shared" si="375"/>
        <v>0</v>
      </c>
      <c r="I3950" t="str">
        <f t="shared" si="373"/>
        <v>On Time</v>
      </c>
      <c r="J3950" cm="1">
        <f t="array" ref="J3950">_xlfn.IFS(H3950&lt;30,0,H3950&lt;60,1,H3950&lt;90,2,H3950&lt;120,3)</f>
        <v>0</v>
      </c>
      <c r="M3950" t="str">
        <f t="shared" si="374"/>
        <v>Low</v>
      </c>
      <c r="N3950" t="str">
        <f t="shared" si="371"/>
        <v>Jul</v>
      </c>
      <c r="O3950">
        <f t="shared" si="372"/>
        <v>2025</v>
      </c>
    </row>
    <row r="3951" spans="1:15" x14ac:dyDescent="0.3">
      <c r="A3951">
        <v>200596</v>
      </c>
      <c r="B3951" t="s">
        <v>90</v>
      </c>
      <c r="C3951" s="2">
        <v>45840</v>
      </c>
      <c r="D3951" s="2">
        <f t="shared" si="370"/>
        <v>45870</v>
      </c>
      <c r="E3951" s="1">
        <f>D3951+60</f>
        <v>45930</v>
      </c>
      <c r="F3951">
        <v>4937</v>
      </c>
      <c r="G3951">
        <v>30</v>
      </c>
      <c r="H3951">
        <f t="shared" si="375"/>
        <v>0</v>
      </c>
      <c r="I3951" t="str">
        <f t="shared" si="373"/>
        <v>On Time</v>
      </c>
      <c r="J3951" cm="1">
        <f t="array" ref="J3951">_xlfn.IFS(H3951&lt;30,0,H3951&lt;60,1,H3951&lt;90,2,H3951&lt;120,3)</f>
        <v>0</v>
      </c>
      <c r="M3951" t="str">
        <f t="shared" si="374"/>
        <v>Low</v>
      </c>
      <c r="N3951" t="str">
        <f t="shared" si="371"/>
        <v>Jul</v>
      </c>
      <c r="O3951">
        <f t="shared" si="372"/>
        <v>2025</v>
      </c>
    </row>
    <row r="3952" spans="1:15" x14ac:dyDescent="0.3">
      <c r="A3952">
        <v>200597</v>
      </c>
      <c r="B3952" t="s">
        <v>91</v>
      </c>
      <c r="C3952" s="2">
        <v>45840</v>
      </c>
      <c r="D3952" s="2">
        <f t="shared" si="370"/>
        <v>45870</v>
      </c>
      <c r="E3952" s="1">
        <f>D3952</f>
        <v>45870</v>
      </c>
      <c r="F3952">
        <v>3537</v>
      </c>
      <c r="G3952">
        <v>30</v>
      </c>
      <c r="H3952">
        <f t="shared" si="375"/>
        <v>0</v>
      </c>
      <c r="I3952" t="str">
        <f t="shared" si="373"/>
        <v>On Time</v>
      </c>
      <c r="J3952" cm="1">
        <f t="array" ref="J3952">_xlfn.IFS(H3952&lt;30,0,H3952&lt;60,1,H3952&lt;90,2,H3952&lt;120,3)</f>
        <v>0</v>
      </c>
      <c r="M3952" t="str">
        <f t="shared" si="374"/>
        <v>Low</v>
      </c>
      <c r="N3952" t="str">
        <f t="shared" si="371"/>
        <v>Jul</v>
      </c>
      <c r="O3952">
        <f t="shared" si="372"/>
        <v>2025</v>
      </c>
    </row>
    <row r="3953" spans="1:15" x14ac:dyDescent="0.3">
      <c r="A3953">
        <v>200598</v>
      </c>
      <c r="B3953" t="s">
        <v>92</v>
      </c>
      <c r="C3953" s="2">
        <v>45840</v>
      </c>
      <c r="D3953" s="2">
        <f t="shared" si="370"/>
        <v>45870</v>
      </c>
      <c r="E3953" s="1">
        <f>D3953</f>
        <v>45870</v>
      </c>
      <c r="F3953">
        <v>2321</v>
      </c>
      <c r="G3953">
        <v>30</v>
      </c>
      <c r="H3953">
        <f t="shared" si="375"/>
        <v>0</v>
      </c>
      <c r="I3953" t="str">
        <f t="shared" si="373"/>
        <v>On Time</v>
      </c>
      <c r="J3953" cm="1">
        <f t="array" ref="J3953">_xlfn.IFS(H3953&lt;30,0,H3953&lt;60,1,H3953&lt;90,2,H3953&lt;120,3)</f>
        <v>0</v>
      </c>
      <c r="M3953" t="str">
        <f t="shared" si="374"/>
        <v>Low</v>
      </c>
      <c r="N3953" t="str">
        <f t="shared" si="371"/>
        <v>Jul</v>
      </c>
      <c r="O3953">
        <f t="shared" si="372"/>
        <v>2025</v>
      </c>
    </row>
    <row r="3954" spans="1:15" x14ac:dyDescent="0.3">
      <c r="A3954">
        <v>200599</v>
      </c>
      <c r="B3954" t="s">
        <v>93</v>
      </c>
      <c r="C3954" s="2">
        <v>45840</v>
      </c>
      <c r="D3954" s="2">
        <f t="shared" si="370"/>
        <v>45870</v>
      </c>
      <c r="E3954" s="1">
        <f>D3954+3</f>
        <v>45873</v>
      </c>
      <c r="F3954">
        <v>1219</v>
      </c>
      <c r="G3954">
        <v>30</v>
      </c>
      <c r="H3954">
        <f t="shared" si="375"/>
        <v>0</v>
      </c>
      <c r="I3954" t="str">
        <f t="shared" si="373"/>
        <v>On Time</v>
      </c>
      <c r="J3954" cm="1">
        <f t="array" ref="J3954">_xlfn.IFS(H3954&lt;30,0,H3954&lt;60,1,H3954&lt;90,2,H3954&lt;120,3)</f>
        <v>0</v>
      </c>
      <c r="M3954" t="str">
        <f t="shared" si="374"/>
        <v>Low</v>
      </c>
      <c r="N3954" t="str">
        <f t="shared" si="371"/>
        <v>Jul</v>
      </c>
      <c r="O3954">
        <f t="shared" si="372"/>
        <v>2025</v>
      </c>
    </row>
    <row r="3955" spans="1:15" x14ac:dyDescent="0.3">
      <c r="A3955">
        <v>200600</v>
      </c>
      <c r="B3955" t="s">
        <v>94</v>
      </c>
      <c r="C3955" s="2">
        <v>45840</v>
      </c>
      <c r="D3955" s="2">
        <f t="shared" si="370"/>
        <v>45870</v>
      </c>
      <c r="E3955" s="1">
        <f>D3955+1</f>
        <v>45871</v>
      </c>
      <c r="F3955">
        <v>3058</v>
      </c>
      <c r="G3955">
        <v>30</v>
      </c>
      <c r="H3955">
        <f t="shared" si="375"/>
        <v>0</v>
      </c>
      <c r="I3955" t="str">
        <f t="shared" si="373"/>
        <v>On Time</v>
      </c>
      <c r="J3955" cm="1">
        <f t="array" ref="J3955">_xlfn.IFS(H3955&lt;30,0,H3955&lt;60,1,H3955&lt;90,2,H3955&lt;120,3)</f>
        <v>0</v>
      </c>
      <c r="M3955" t="str">
        <f t="shared" si="374"/>
        <v>Low</v>
      </c>
      <c r="N3955" t="str">
        <f t="shared" si="371"/>
        <v>Jul</v>
      </c>
      <c r="O3955">
        <f t="shared" si="372"/>
        <v>2025</v>
      </c>
    </row>
    <row r="3956" spans="1:15" x14ac:dyDescent="0.3">
      <c r="A3956">
        <v>200601</v>
      </c>
      <c r="B3956" t="s">
        <v>95</v>
      </c>
      <c r="C3956" s="2">
        <v>45840</v>
      </c>
      <c r="D3956" s="2">
        <f t="shared" si="370"/>
        <v>45885</v>
      </c>
      <c r="E3956" s="1">
        <f>D3956-1</f>
        <v>45884</v>
      </c>
      <c r="F3956">
        <v>2096</v>
      </c>
      <c r="G3956">
        <v>45</v>
      </c>
      <c r="H3956">
        <f t="shared" si="375"/>
        <v>0</v>
      </c>
      <c r="I3956" t="str">
        <f t="shared" si="373"/>
        <v>On Time</v>
      </c>
      <c r="J3956" cm="1">
        <f t="array" ref="J3956">_xlfn.IFS(H3956&lt;30,0,H3956&lt;60,1,H3956&lt;90,2,H3956&lt;120,3)</f>
        <v>0</v>
      </c>
      <c r="M3956" t="str">
        <f t="shared" si="374"/>
        <v>Low</v>
      </c>
      <c r="N3956" t="str">
        <f t="shared" si="371"/>
        <v>Jul</v>
      </c>
      <c r="O3956">
        <f t="shared" si="372"/>
        <v>2025</v>
      </c>
    </row>
    <row r="3957" spans="1:15" x14ac:dyDescent="0.3">
      <c r="A3957">
        <v>200602</v>
      </c>
      <c r="B3957" t="s">
        <v>68</v>
      </c>
      <c r="C3957" s="2">
        <v>45840</v>
      </c>
      <c r="D3957" s="2">
        <f t="shared" si="370"/>
        <v>45870</v>
      </c>
      <c r="E3957" s="1">
        <f>D3957</f>
        <v>45870</v>
      </c>
      <c r="F3957">
        <v>853</v>
      </c>
      <c r="G3957">
        <v>30</v>
      </c>
      <c r="H3957">
        <f t="shared" si="375"/>
        <v>0</v>
      </c>
      <c r="I3957" t="str">
        <f t="shared" si="373"/>
        <v>On Time</v>
      </c>
      <c r="J3957" cm="1">
        <f t="array" ref="J3957">_xlfn.IFS(H3957&lt;30,0,H3957&lt;60,1,H3957&lt;90,2,H3957&lt;120,3)</f>
        <v>0</v>
      </c>
      <c r="M3957" t="str">
        <f t="shared" si="374"/>
        <v>Low</v>
      </c>
      <c r="N3957" t="str">
        <f t="shared" si="371"/>
        <v>Jul</v>
      </c>
      <c r="O3957">
        <f t="shared" si="372"/>
        <v>2025</v>
      </c>
    </row>
    <row r="3958" spans="1:15" x14ac:dyDescent="0.3">
      <c r="A3958">
        <v>200603</v>
      </c>
      <c r="B3958" t="s">
        <v>69</v>
      </c>
      <c r="C3958" s="2">
        <v>45840</v>
      </c>
      <c r="D3958" s="2">
        <f t="shared" si="370"/>
        <v>45870</v>
      </c>
      <c r="E3958" s="1">
        <f>D3958+1</f>
        <v>45871</v>
      </c>
      <c r="F3958">
        <v>2398</v>
      </c>
      <c r="G3958">
        <v>30</v>
      </c>
      <c r="H3958">
        <f t="shared" si="375"/>
        <v>0</v>
      </c>
      <c r="I3958" t="str">
        <f t="shared" si="373"/>
        <v>On Time</v>
      </c>
      <c r="J3958" cm="1">
        <f t="array" ref="J3958">_xlfn.IFS(H3958&lt;30,0,H3958&lt;60,1,H3958&lt;90,2,H3958&lt;120,3)</f>
        <v>0</v>
      </c>
      <c r="M3958" t="str">
        <f t="shared" si="374"/>
        <v>Low</v>
      </c>
      <c r="N3958" t="str">
        <f t="shared" si="371"/>
        <v>Jul</v>
      </c>
      <c r="O3958">
        <f t="shared" si="372"/>
        <v>2025</v>
      </c>
    </row>
    <row r="3959" spans="1:15" x14ac:dyDescent="0.3">
      <c r="A3959">
        <v>200604</v>
      </c>
      <c r="B3959" t="s">
        <v>70</v>
      </c>
      <c r="C3959" s="2">
        <v>45840</v>
      </c>
      <c r="D3959" s="2">
        <f t="shared" si="370"/>
        <v>45870</v>
      </c>
      <c r="E3959" s="1">
        <f>D3959+35</f>
        <v>45905</v>
      </c>
      <c r="F3959">
        <v>3391</v>
      </c>
      <c r="G3959">
        <v>30</v>
      </c>
      <c r="H3959">
        <f t="shared" si="375"/>
        <v>0</v>
      </c>
      <c r="I3959" t="str">
        <f t="shared" si="373"/>
        <v>On Time</v>
      </c>
      <c r="J3959" cm="1">
        <f t="array" ref="J3959">_xlfn.IFS(H3959&lt;30,0,H3959&lt;60,1,H3959&lt;90,2,H3959&lt;120,3)</f>
        <v>0</v>
      </c>
      <c r="M3959" t="str">
        <f t="shared" si="374"/>
        <v>Low</v>
      </c>
      <c r="N3959" t="str">
        <f t="shared" si="371"/>
        <v>Jul</v>
      </c>
      <c r="O3959">
        <f t="shared" si="372"/>
        <v>2025</v>
      </c>
    </row>
    <row r="3960" spans="1:15" x14ac:dyDescent="0.3">
      <c r="A3960">
        <v>200605</v>
      </c>
      <c r="B3960" t="s">
        <v>71</v>
      </c>
      <c r="C3960" s="2">
        <v>45840</v>
      </c>
      <c r="D3960" s="2">
        <f t="shared" si="370"/>
        <v>45870</v>
      </c>
      <c r="E3960" s="1">
        <f>D3960+78</f>
        <v>45948</v>
      </c>
      <c r="F3960">
        <v>2809</v>
      </c>
      <c r="G3960">
        <v>30</v>
      </c>
      <c r="H3960">
        <f t="shared" si="375"/>
        <v>0</v>
      </c>
      <c r="I3960" t="str">
        <f t="shared" si="373"/>
        <v>On Time</v>
      </c>
      <c r="J3960" cm="1">
        <f t="array" ref="J3960">_xlfn.IFS(H3960&lt;30,0,H3960&lt;60,1,H3960&lt;90,2,H3960&lt;120,3)</f>
        <v>0</v>
      </c>
      <c r="M3960" t="str">
        <f t="shared" si="374"/>
        <v>Low</v>
      </c>
      <c r="N3960" t="str">
        <f t="shared" si="371"/>
        <v>Jul</v>
      </c>
      <c r="O3960">
        <f t="shared" si="372"/>
        <v>2025</v>
      </c>
    </row>
    <row r="3961" spans="1:15" x14ac:dyDescent="0.3">
      <c r="A3961">
        <v>200606</v>
      </c>
      <c r="B3961" t="s">
        <v>72</v>
      </c>
      <c r="C3961" s="2">
        <v>45840</v>
      </c>
      <c r="D3961" s="2">
        <f t="shared" si="370"/>
        <v>45870</v>
      </c>
      <c r="E3961" s="1">
        <f>D3961+5</f>
        <v>45875</v>
      </c>
      <c r="F3961">
        <v>3296</v>
      </c>
      <c r="G3961">
        <v>30</v>
      </c>
      <c r="H3961">
        <f t="shared" si="375"/>
        <v>0</v>
      </c>
      <c r="I3961" t="str">
        <f t="shared" si="373"/>
        <v>On Time</v>
      </c>
      <c r="J3961" cm="1">
        <f t="array" ref="J3961">_xlfn.IFS(H3961&lt;30,0,H3961&lt;60,1,H3961&lt;90,2,H3961&lt;120,3)</f>
        <v>0</v>
      </c>
      <c r="M3961" t="str">
        <f t="shared" si="374"/>
        <v>Low</v>
      </c>
      <c r="N3961" t="str">
        <f t="shared" si="371"/>
        <v>Jul</v>
      </c>
      <c r="O3961">
        <f t="shared" si="372"/>
        <v>2025</v>
      </c>
    </row>
    <row r="3962" spans="1:15" x14ac:dyDescent="0.3">
      <c r="A3962">
        <v>200607</v>
      </c>
      <c r="B3962" t="s">
        <v>73</v>
      </c>
      <c r="C3962" s="2">
        <v>45840</v>
      </c>
      <c r="D3962" s="2">
        <f t="shared" si="370"/>
        <v>45885</v>
      </c>
      <c r="E3962" s="1">
        <f>D3962</f>
        <v>45885</v>
      </c>
      <c r="F3962">
        <v>2664</v>
      </c>
      <c r="G3962">
        <v>45</v>
      </c>
      <c r="H3962">
        <f t="shared" si="375"/>
        <v>0</v>
      </c>
      <c r="I3962" t="str">
        <f t="shared" si="373"/>
        <v>On Time</v>
      </c>
      <c r="J3962" cm="1">
        <f t="array" ref="J3962">_xlfn.IFS(H3962&lt;30,0,H3962&lt;60,1,H3962&lt;90,2,H3962&lt;120,3)</f>
        <v>0</v>
      </c>
      <c r="M3962" t="str">
        <f t="shared" si="374"/>
        <v>Low</v>
      </c>
      <c r="N3962" t="str">
        <f t="shared" si="371"/>
        <v>Jul</v>
      </c>
      <c r="O3962">
        <f t="shared" si="372"/>
        <v>2025</v>
      </c>
    </row>
    <row r="3963" spans="1:15" x14ac:dyDescent="0.3">
      <c r="A3963">
        <v>200608</v>
      </c>
      <c r="B3963" t="s">
        <v>74</v>
      </c>
      <c r="C3963" s="2">
        <v>45840</v>
      </c>
      <c r="D3963" s="2">
        <f t="shared" si="370"/>
        <v>45885</v>
      </c>
      <c r="E3963" s="1">
        <f>D3963-1</f>
        <v>45884</v>
      </c>
      <c r="F3963">
        <v>612</v>
      </c>
      <c r="G3963">
        <v>45</v>
      </c>
      <c r="H3963">
        <f t="shared" si="375"/>
        <v>0</v>
      </c>
      <c r="I3963" t="str">
        <f t="shared" si="373"/>
        <v>On Time</v>
      </c>
      <c r="J3963" cm="1">
        <f t="array" ref="J3963">_xlfn.IFS(H3963&lt;30,0,H3963&lt;60,1,H3963&lt;90,2,H3963&lt;120,3)</f>
        <v>0</v>
      </c>
      <c r="M3963" t="str">
        <f t="shared" si="374"/>
        <v>Low</v>
      </c>
      <c r="N3963" t="str">
        <f t="shared" si="371"/>
        <v>Jul</v>
      </c>
      <c r="O3963">
        <f t="shared" si="372"/>
        <v>2025</v>
      </c>
    </row>
    <row r="3964" spans="1:15" x14ac:dyDescent="0.3">
      <c r="A3964">
        <v>200581</v>
      </c>
      <c r="B3964" t="s">
        <v>119</v>
      </c>
      <c r="C3964" s="2">
        <v>45839</v>
      </c>
      <c r="D3964" s="2">
        <f t="shared" si="370"/>
        <v>45869</v>
      </c>
      <c r="E3964" s="1">
        <f>D3964</f>
        <v>45869</v>
      </c>
      <c r="F3964">
        <v>2480</v>
      </c>
      <c r="G3964">
        <v>30</v>
      </c>
      <c r="H3964">
        <f t="shared" si="375"/>
        <v>0</v>
      </c>
      <c r="I3964" t="str">
        <f t="shared" si="373"/>
        <v>On Time</v>
      </c>
      <c r="J3964" cm="1">
        <f t="array" ref="J3964">_xlfn.IFS(H3964&lt;30,0,H3964&lt;60,1,H3964&lt;90,2,H3964&lt;120,3)</f>
        <v>0</v>
      </c>
      <c r="M3964" t="str">
        <f t="shared" si="374"/>
        <v>Low</v>
      </c>
      <c r="N3964" t="str">
        <f t="shared" si="371"/>
        <v>Jul</v>
      </c>
      <c r="O3964">
        <f t="shared" si="372"/>
        <v>2025</v>
      </c>
    </row>
    <row r="3965" spans="1:15" x14ac:dyDescent="0.3">
      <c r="A3965">
        <v>200582</v>
      </c>
      <c r="B3965" t="s">
        <v>100</v>
      </c>
      <c r="C3965" s="2">
        <v>45839</v>
      </c>
      <c r="D3965" s="2">
        <f t="shared" si="370"/>
        <v>45869</v>
      </c>
      <c r="E3965" s="1">
        <f>D3965+2</f>
        <v>45871</v>
      </c>
      <c r="F3965">
        <v>1805</v>
      </c>
      <c r="G3965">
        <v>30</v>
      </c>
      <c r="H3965">
        <f t="shared" si="375"/>
        <v>0</v>
      </c>
      <c r="I3965" t="str">
        <f t="shared" si="373"/>
        <v>On Time</v>
      </c>
      <c r="J3965" cm="1">
        <f t="array" ref="J3965">_xlfn.IFS(H3965&lt;30,0,H3965&lt;60,1,H3965&lt;90,2,H3965&lt;120,3)</f>
        <v>0</v>
      </c>
      <c r="M3965" t="str">
        <f t="shared" si="374"/>
        <v>Low</v>
      </c>
      <c r="N3965" t="str">
        <f t="shared" si="371"/>
        <v>Jul</v>
      </c>
      <c r="O3965">
        <f t="shared" si="372"/>
        <v>2025</v>
      </c>
    </row>
    <row r="3966" spans="1:15" x14ac:dyDescent="0.3">
      <c r="A3966">
        <v>200583</v>
      </c>
      <c r="B3966" t="s">
        <v>101</v>
      </c>
      <c r="C3966" s="2">
        <v>45839</v>
      </c>
      <c r="D3966" s="2">
        <f t="shared" si="370"/>
        <v>45869</v>
      </c>
      <c r="E3966" s="1">
        <f>D3966+2</f>
        <v>45871</v>
      </c>
      <c r="F3966">
        <v>926</v>
      </c>
      <c r="G3966">
        <v>30</v>
      </c>
      <c r="H3966">
        <f t="shared" si="375"/>
        <v>0</v>
      </c>
      <c r="I3966" t="str">
        <f t="shared" si="373"/>
        <v>On Time</v>
      </c>
      <c r="J3966" cm="1">
        <f t="array" ref="J3966">_xlfn.IFS(H3966&lt;30,0,H3966&lt;60,1,H3966&lt;90,2,H3966&lt;120,3)</f>
        <v>0</v>
      </c>
      <c r="M3966" t="str">
        <f t="shared" si="374"/>
        <v>Low</v>
      </c>
      <c r="N3966" t="str">
        <f t="shared" si="371"/>
        <v>Jul</v>
      </c>
      <c r="O3966">
        <f t="shared" si="372"/>
        <v>2025</v>
      </c>
    </row>
    <row r="3967" spans="1:15" x14ac:dyDescent="0.3">
      <c r="A3967">
        <v>200584</v>
      </c>
      <c r="B3967" t="s">
        <v>102</v>
      </c>
      <c r="C3967" s="2">
        <v>45839</v>
      </c>
      <c r="D3967" s="2">
        <f t="shared" si="370"/>
        <v>45869</v>
      </c>
      <c r="E3967" s="1">
        <f>D3967+2</f>
        <v>45871</v>
      </c>
      <c r="F3967">
        <v>2786</v>
      </c>
      <c r="G3967">
        <v>30</v>
      </c>
      <c r="H3967">
        <f t="shared" si="375"/>
        <v>0</v>
      </c>
      <c r="I3967" t="str">
        <f t="shared" si="373"/>
        <v>On Time</v>
      </c>
      <c r="J3967" cm="1">
        <f t="array" ref="J3967">_xlfn.IFS(H3967&lt;30,0,H3967&lt;60,1,H3967&lt;90,2,H3967&lt;120,3)</f>
        <v>0</v>
      </c>
      <c r="M3967" t="str">
        <f t="shared" si="374"/>
        <v>Low</v>
      </c>
      <c r="N3967" t="str">
        <f t="shared" si="371"/>
        <v>Jul</v>
      </c>
      <c r="O3967">
        <f t="shared" si="372"/>
        <v>2025</v>
      </c>
    </row>
    <row r="3968" spans="1:15" x14ac:dyDescent="0.3">
      <c r="A3968">
        <v>200585</v>
      </c>
      <c r="B3968" t="s">
        <v>103</v>
      </c>
      <c r="C3968" s="2">
        <v>45839</v>
      </c>
      <c r="D3968" s="2">
        <f t="shared" si="370"/>
        <v>45869</v>
      </c>
      <c r="E3968" s="1">
        <f>D3968</f>
        <v>45869</v>
      </c>
      <c r="F3968">
        <v>2981</v>
      </c>
      <c r="G3968">
        <v>30</v>
      </c>
      <c r="H3968">
        <f t="shared" si="375"/>
        <v>0</v>
      </c>
      <c r="I3968" t="str">
        <f t="shared" si="373"/>
        <v>On Time</v>
      </c>
      <c r="J3968" cm="1">
        <f t="array" ref="J3968">_xlfn.IFS(H3968&lt;30,0,H3968&lt;60,1,H3968&lt;90,2,H3968&lt;120,3)</f>
        <v>0</v>
      </c>
      <c r="M3968" t="str">
        <f t="shared" si="374"/>
        <v>Low</v>
      </c>
      <c r="N3968" t="str">
        <f t="shared" si="371"/>
        <v>Jul</v>
      </c>
      <c r="O3968">
        <f t="shared" si="372"/>
        <v>2025</v>
      </c>
    </row>
    <row r="3969" spans="1:15" x14ac:dyDescent="0.3">
      <c r="A3969">
        <v>200586</v>
      </c>
      <c r="B3969" t="s">
        <v>104</v>
      </c>
      <c r="C3969" s="2">
        <v>45839</v>
      </c>
      <c r="D3969" s="2">
        <f t="shared" si="370"/>
        <v>45869</v>
      </c>
      <c r="E3969" s="1">
        <f>D3969+20</f>
        <v>45889</v>
      </c>
      <c r="F3969">
        <v>4200</v>
      </c>
      <c r="G3969">
        <v>30</v>
      </c>
      <c r="H3969">
        <f t="shared" si="375"/>
        <v>0</v>
      </c>
      <c r="I3969" t="str">
        <f t="shared" si="373"/>
        <v>On Time</v>
      </c>
      <c r="J3969" cm="1">
        <f t="array" ref="J3969">_xlfn.IFS(H3969&lt;30,0,H3969&lt;60,1,H3969&lt;90,2,H3969&lt;120,3)</f>
        <v>0</v>
      </c>
      <c r="M3969" t="str">
        <f t="shared" si="374"/>
        <v>Low</v>
      </c>
      <c r="N3969" t="str">
        <f t="shared" si="371"/>
        <v>Jul</v>
      </c>
      <c r="O3969">
        <f t="shared" si="372"/>
        <v>2025</v>
      </c>
    </row>
    <row r="3970" spans="1:15" x14ac:dyDescent="0.3">
      <c r="A3970">
        <v>200587</v>
      </c>
      <c r="B3970" t="s">
        <v>105</v>
      </c>
      <c r="C3970" s="2">
        <v>45839</v>
      </c>
      <c r="D3970" s="2">
        <f t="shared" ref="D3970:D4033" si="376">C3970+G3970</f>
        <v>45869</v>
      </c>
      <c r="E3970" s="1">
        <f>D3970</f>
        <v>45869</v>
      </c>
      <c r="F3970">
        <v>2860</v>
      </c>
      <c r="G3970">
        <v>30</v>
      </c>
      <c r="H3970">
        <f t="shared" si="375"/>
        <v>0</v>
      </c>
      <c r="I3970" t="str">
        <f t="shared" si="373"/>
        <v>On Time</v>
      </c>
      <c r="J3970" cm="1">
        <f t="array" ref="J3970">_xlfn.IFS(H3970&lt;30,0,H3970&lt;60,1,H3970&lt;90,2,H3970&lt;120,3)</f>
        <v>0</v>
      </c>
      <c r="M3970" t="str">
        <f t="shared" si="374"/>
        <v>Low</v>
      </c>
      <c r="N3970" t="str">
        <f t="shared" ref="N3970:N4033" si="377">TEXT(C3970,"mmm")</f>
        <v>Jul</v>
      </c>
      <c r="O3970">
        <f t="shared" ref="O3970:O4033" si="378">YEAR(C3970)</f>
        <v>2025</v>
      </c>
    </row>
    <row r="3971" spans="1:15" x14ac:dyDescent="0.3">
      <c r="A3971">
        <v>200588</v>
      </c>
      <c r="B3971" t="s">
        <v>106</v>
      </c>
      <c r="C3971" s="2">
        <v>45839</v>
      </c>
      <c r="D3971" s="2">
        <f t="shared" si="376"/>
        <v>45869</v>
      </c>
      <c r="E3971" s="1">
        <f>D3971+1</f>
        <v>45870</v>
      </c>
      <c r="F3971">
        <v>3807</v>
      </c>
      <c r="G3971">
        <v>30</v>
      </c>
      <c r="H3971">
        <f t="shared" si="375"/>
        <v>0</v>
      </c>
      <c r="I3971" t="str">
        <f t="shared" si="373"/>
        <v>On Time</v>
      </c>
      <c r="J3971" cm="1">
        <f t="array" ref="J3971">_xlfn.IFS(H3971&lt;30,0,H3971&lt;60,1,H3971&lt;90,2,H3971&lt;120,3)</f>
        <v>0</v>
      </c>
      <c r="M3971" t="str">
        <f t="shared" si="374"/>
        <v>Low</v>
      </c>
      <c r="N3971" t="str">
        <f t="shared" si="377"/>
        <v>Jul</v>
      </c>
      <c r="O3971">
        <f t="shared" si="378"/>
        <v>2025</v>
      </c>
    </row>
    <row r="3972" spans="1:15" x14ac:dyDescent="0.3">
      <c r="A3972">
        <v>200589</v>
      </c>
      <c r="B3972" t="s">
        <v>107</v>
      </c>
      <c r="C3972" s="2">
        <v>45839</v>
      </c>
      <c r="D3972" s="2">
        <f t="shared" si="376"/>
        <v>45869</v>
      </c>
      <c r="E3972" s="1">
        <f>D3972</f>
        <v>45869</v>
      </c>
      <c r="F3972">
        <v>4770</v>
      </c>
      <c r="G3972">
        <v>30</v>
      </c>
      <c r="H3972">
        <f t="shared" si="375"/>
        <v>0</v>
      </c>
      <c r="I3972" t="str">
        <f t="shared" si="373"/>
        <v>On Time</v>
      </c>
      <c r="J3972" cm="1">
        <f t="array" ref="J3972">_xlfn.IFS(H3972&lt;30,0,H3972&lt;60,1,H3972&lt;90,2,H3972&lt;120,3)</f>
        <v>0</v>
      </c>
      <c r="M3972" t="str">
        <f t="shared" si="374"/>
        <v>Low</v>
      </c>
      <c r="N3972" t="str">
        <f t="shared" si="377"/>
        <v>Jul</v>
      </c>
      <c r="O3972">
        <f t="shared" si="378"/>
        <v>2025</v>
      </c>
    </row>
    <row r="3973" spans="1:15" x14ac:dyDescent="0.3">
      <c r="A3973">
        <v>200590</v>
      </c>
      <c r="B3973" t="s">
        <v>108</v>
      </c>
      <c r="C3973" s="2">
        <v>45839</v>
      </c>
      <c r="D3973" s="2">
        <f t="shared" si="376"/>
        <v>45869</v>
      </c>
      <c r="E3973" s="1">
        <f>D3973</f>
        <v>45869</v>
      </c>
      <c r="F3973">
        <v>1642</v>
      </c>
      <c r="G3973">
        <v>30</v>
      </c>
      <c r="H3973">
        <f t="shared" si="375"/>
        <v>0</v>
      </c>
      <c r="I3973" t="str">
        <f t="shared" si="373"/>
        <v>On Time</v>
      </c>
      <c r="J3973" cm="1">
        <f t="array" ref="J3973">_xlfn.IFS(H3973&lt;30,0,H3973&lt;60,1,H3973&lt;90,2,H3973&lt;120,3)</f>
        <v>0</v>
      </c>
      <c r="M3973" t="str">
        <f t="shared" si="374"/>
        <v>Low</v>
      </c>
      <c r="N3973" t="str">
        <f t="shared" si="377"/>
        <v>Jul</v>
      </c>
      <c r="O3973">
        <f t="shared" si="378"/>
        <v>2025</v>
      </c>
    </row>
    <row r="3974" spans="1:15" x14ac:dyDescent="0.3">
      <c r="A3974">
        <v>200591</v>
      </c>
      <c r="B3974" t="s">
        <v>85</v>
      </c>
      <c r="C3974" s="2">
        <v>45839</v>
      </c>
      <c r="D3974" s="2">
        <f t="shared" si="376"/>
        <v>45899</v>
      </c>
      <c r="E3974" s="1">
        <f>D3974+5</f>
        <v>45904</v>
      </c>
      <c r="F3974">
        <v>4764</v>
      </c>
      <c r="G3974">
        <v>60</v>
      </c>
      <c r="H3974">
        <f t="shared" si="375"/>
        <v>0</v>
      </c>
      <c r="I3974" t="str">
        <f t="shared" si="373"/>
        <v>On Time</v>
      </c>
      <c r="J3974" cm="1">
        <f t="array" ref="J3974">_xlfn.IFS(H3974&lt;30,0,H3974&lt;60,1,H3974&lt;90,2,H3974&lt;120,3)</f>
        <v>0</v>
      </c>
      <c r="M3974" t="str">
        <f t="shared" si="374"/>
        <v>Low</v>
      </c>
      <c r="N3974" t="str">
        <f t="shared" si="377"/>
        <v>Jul</v>
      </c>
      <c r="O3974">
        <f t="shared" si="378"/>
        <v>2025</v>
      </c>
    </row>
    <row r="3975" spans="1:15" x14ac:dyDescent="0.3">
      <c r="A3975">
        <v>200592</v>
      </c>
      <c r="B3975" t="s">
        <v>86</v>
      </c>
      <c r="C3975" s="2">
        <v>45839</v>
      </c>
      <c r="D3975" s="2">
        <f t="shared" si="376"/>
        <v>45869</v>
      </c>
      <c r="E3975" s="1">
        <f>D3975+2</f>
        <v>45871</v>
      </c>
      <c r="F3975">
        <v>922</v>
      </c>
      <c r="G3975">
        <v>30</v>
      </c>
      <c r="H3975">
        <f t="shared" si="375"/>
        <v>0</v>
      </c>
      <c r="I3975" t="str">
        <f t="shared" si="373"/>
        <v>On Time</v>
      </c>
      <c r="J3975" cm="1">
        <f t="array" ref="J3975">_xlfn.IFS(H3975&lt;30,0,H3975&lt;60,1,H3975&lt;90,2,H3975&lt;120,3)</f>
        <v>0</v>
      </c>
      <c r="M3975" t="str">
        <f t="shared" si="374"/>
        <v>Low</v>
      </c>
      <c r="N3975" t="str">
        <f t="shared" si="377"/>
        <v>Jul</v>
      </c>
      <c r="O3975">
        <f t="shared" si="378"/>
        <v>2025</v>
      </c>
    </row>
    <row r="3976" spans="1:15" x14ac:dyDescent="0.3">
      <c r="A3976">
        <v>200593</v>
      </c>
      <c r="B3976" t="s">
        <v>87</v>
      </c>
      <c r="C3976" s="2">
        <v>45839</v>
      </c>
      <c r="D3976" s="2">
        <f t="shared" si="376"/>
        <v>45869</v>
      </c>
      <c r="E3976" s="1">
        <f>D3976</f>
        <v>45869</v>
      </c>
      <c r="F3976">
        <v>211</v>
      </c>
      <c r="G3976">
        <v>30</v>
      </c>
      <c r="H3976">
        <f t="shared" si="375"/>
        <v>0</v>
      </c>
      <c r="I3976" t="str">
        <f t="shared" si="373"/>
        <v>On Time</v>
      </c>
      <c r="J3976" cm="1">
        <f t="array" ref="J3976">_xlfn.IFS(H3976&lt;30,0,H3976&lt;60,1,H3976&lt;90,2,H3976&lt;120,3)</f>
        <v>0</v>
      </c>
      <c r="M3976" t="str">
        <f t="shared" si="374"/>
        <v>Low</v>
      </c>
      <c r="N3976" t="str">
        <f t="shared" si="377"/>
        <v>Jul</v>
      </c>
      <c r="O3976">
        <f t="shared" si="378"/>
        <v>2025</v>
      </c>
    </row>
    <row r="3977" spans="1:15" x14ac:dyDescent="0.3">
      <c r="A3977">
        <v>200569</v>
      </c>
      <c r="B3977" t="s">
        <v>40</v>
      </c>
      <c r="C3977" s="2">
        <v>45838</v>
      </c>
      <c r="D3977" s="2">
        <f t="shared" si="376"/>
        <v>45868</v>
      </c>
      <c r="E3977" s="1">
        <f>D3977</f>
        <v>45868</v>
      </c>
      <c r="F3977">
        <v>1981</v>
      </c>
      <c r="G3977">
        <v>30</v>
      </c>
      <c r="H3977">
        <f t="shared" si="375"/>
        <v>0</v>
      </c>
      <c r="I3977" t="str">
        <f t="shared" si="373"/>
        <v>On Time</v>
      </c>
      <c r="J3977" cm="1">
        <f t="array" ref="J3977">_xlfn.IFS(H3977&lt;30,0,H3977&lt;60,1,H3977&lt;90,2,H3977&lt;120,3)</f>
        <v>0</v>
      </c>
      <c r="M3977" t="str">
        <f t="shared" si="374"/>
        <v>Low</v>
      </c>
      <c r="N3977" t="str">
        <f t="shared" si="377"/>
        <v>Jun</v>
      </c>
      <c r="O3977">
        <f t="shared" si="378"/>
        <v>2025</v>
      </c>
    </row>
    <row r="3978" spans="1:15" x14ac:dyDescent="0.3">
      <c r="A3978">
        <v>200570</v>
      </c>
      <c r="B3978" t="s">
        <v>41</v>
      </c>
      <c r="C3978" s="2">
        <v>45838</v>
      </c>
      <c r="D3978" s="2">
        <f t="shared" si="376"/>
        <v>45868</v>
      </c>
      <c r="E3978" s="1">
        <f>D3978-5</f>
        <v>45863</v>
      </c>
      <c r="F3978">
        <v>4240</v>
      </c>
      <c r="G3978">
        <v>30</v>
      </c>
      <c r="H3978">
        <f t="shared" si="375"/>
        <v>0</v>
      </c>
      <c r="I3978" t="str">
        <f t="shared" si="373"/>
        <v>On Time</v>
      </c>
      <c r="J3978" cm="1">
        <f t="array" ref="J3978">_xlfn.IFS(H3978&lt;30,0,H3978&lt;60,1,H3978&lt;90,2,H3978&lt;120,3)</f>
        <v>0</v>
      </c>
      <c r="M3978" t="str">
        <f t="shared" si="374"/>
        <v>Low</v>
      </c>
      <c r="N3978" t="str">
        <f t="shared" si="377"/>
        <v>Jun</v>
      </c>
      <c r="O3978">
        <f t="shared" si="378"/>
        <v>2025</v>
      </c>
    </row>
    <row r="3979" spans="1:15" x14ac:dyDescent="0.3">
      <c r="A3979">
        <v>200571</v>
      </c>
      <c r="B3979" t="s">
        <v>42</v>
      </c>
      <c r="C3979" s="2">
        <v>45838</v>
      </c>
      <c r="D3979" s="2">
        <f t="shared" si="376"/>
        <v>45868</v>
      </c>
      <c r="E3979" s="1">
        <f>D3979+35</f>
        <v>45903</v>
      </c>
      <c r="F3979">
        <v>1570</v>
      </c>
      <c r="G3979">
        <v>30</v>
      </c>
      <c r="H3979">
        <f t="shared" si="375"/>
        <v>0</v>
      </c>
      <c r="I3979" t="str">
        <f t="shared" si="373"/>
        <v>On Time</v>
      </c>
      <c r="J3979" cm="1">
        <f t="array" ref="J3979">_xlfn.IFS(H3979&lt;30,0,H3979&lt;60,1,H3979&lt;90,2,H3979&lt;120,3)</f>
        <v>0</v>
      </c>
      <c r="M3979" t="str">
        <f t="shared" si="374"/>
        <v>Low</v>
      </c>
      <c r="N3979" t="str">
        <f t="shared" si="377"/>
        <v>Jun</v>
      </c>
      <c r="O3979">
        <f t="shared" si="378"/>
        <v>2025</v>
      </c>
    </row>
    <row r="3980" spans="1:15" x14ac:dyDescent="0.3">
      <c r="A3980">
        <v>200572</v>
      </c>
      <c r="B3980" t="s">
        <v>43</v>
      </c>
      <c r="C3980" s="2">
        <v>45838</v>
      </c>
      <c r="D3980" s="2">
        <f t="shared" si="376"/>
        <v>45868</v>
      </c>
      <c r="E3980" s="1">
        <f>D3980+75</f>
        <v>45943</v>
      </c>
      <c r="F3980">
        <v>476</v>
      </c>
      <c r="G3980">
        <v>30</v>
      </c>
      <c r="H3980">
        <f t="shared" si="375"/>
        <v>0</v>
      </c>
      <c r="I3980" t="str">
        <f t="shared" si="373"/>
        <v>On Time</v>
      </c>
      <c r="J3980" cm="1">
        <f t="array" ref="J3980">_xlfn.IFS(H3980&lt;30,0,H3980&lt;60,1,H3980&lt;90,2,H3980&lt;120,3)</f>
        <v>0</v>
      </c>
      <c r="M3980" t="str">
        <f t="shared" si="374"/>
        <v>Low</v>
      </c>
      <c r="N3980" t="str">
        <f t="shared" si="377"/>
        <v>Jun</v>
      </c>
      <c r="O3980">
        <f t="shared" si="378"/>
        <v>2025</v>
      </c>
    </row>
    <row r="3981" spans="1:15" x14ac:dyDescent="0.3">
      <c r="A3981">
        <v>200573</v>
      </c>
      <c r="B3981" t="s">
        <v>44</v>
      </c>
      <c r="C3981" s="2">
        <v>45838</v>
      </c>
      <c r="D3981" s="2">
        <f t="shared" si="376"/>
        <v>45883</v>
      </c>
      <c r="E3981" s="1">
        <f>D3981+5</f>
        <v>45888</v>
      </c>
      <c r="F3981">
        <v>4767</v>
      </c>
      <c r="G3981">
        <v>45</v>
      </c>
      <c r="H3981">
        <f t="shared" si="375"/>
        <v>0</v>
      </c>
      <c r="I3981" t="str">
        <f t="shared" si="373"/>
        <v>On Time</v>
      </c>
      <c r="J3981" cm="1">
        <f t="array" ref="J3981">_xlfn.IFS(H3981&lt;30,0,H3981&lt;60,1,H3981&lt;90,2,H3981&lt;120,3)</f>
        <v>0</v>
      </c>
      <c r="M3981" t="str">
        <f t="shared" si="374"/>
        <v>Low</v>
      </c>
      <c r="N3981" t="str">
        <f t="shared" si="377"/>
        <v>Jun</v>
      </c>
      <c r="O3981">
        <f t="shared" si="378"/>
        <v>2025</v>
      </c>
    </row>
    <row r="3982" spans="1:15" x14ac:dyDescent="0.3">
      <c r="A3982">
        <v>200574</v>
      </c>
      <c r="B3982" t="s">
        <v>45</v>
      </c>
      <c r="C3982" s="2">
        <v>45838</v>
      </c>
      <c r="D3982" s="2">
        <f t="shared" si="376"/>
        <v>45883</v>
      </c>
      <c r="E3982" s="1">
        <f>D3982</f>
        <v>45883</v>
      </c>
      <c r="F3982">
        <v>4605</v>
      </c>
      <c r="G3982">
        <v>45</v>
      </c>
      <c r="H3982">
        <f t="shared" si="375"/>
        <v>0</v>
      </c>
      <c r="I3982" t="str">
        <f t="shared" si="373"/>
        <v>On Time</v>
      </c>
      <c r="J3982" cm="1">
        <f t="array" ref="J3982">_xlfn.IFS(H3982&lt;30,0,H3982&lt;60,1,H3982&lt;90,2,H3982&lt;120,3)</f>
        <v>0</v>
      </c>
      <c r="M3982" t="str">
        <f t="shared" si="374"/>
        <v>Low</v>
      </c>
      <c r="N3982" t="str">
        <f t="shared" si="377"/>
        <v>Jun</v>
      </c>
      <c r="O3982">
        <f t="shared" si="378"/>
        <v>2025</v>
      </c>
    </row>
    <row r="3983" spans="1:15" x14ac:dyDescent="0.3">
      <c r="A3983">
        <v>200575</v>
      </c>
      <c r="B3983" t="s">
        <v>46</v>
      </c>
      <c r="C3983" s="2">
        <v>45838</v>
      </c>
      <c r="D3983" s="2">
        <f t="shared" si="376"/>
        <v>45898</v>
      </c>
      <c r="E3983" s="1">
        <f>D3983-1</f>
        <v>45897</v>
      </c>
      <c r="F3983">
        <v>4875</v>
      </c>
      <c r="G3983">
        <v>60</v>
      </c>
      <c r="H3983">
        <f t="shared" si="375"/>
        <v>0</v>
      </c>
      <c r="I3983" t="str">
        <f t="shared" si="373"/>
        <v>On Time</v>
      </c>
      <c r="J3983" cm="1">
        <f t="array" ref="J3983">_xlfn.IFS(H3983&lt;30,0,H3983&lt;60,1,H3983&lt;90,2,H3983&lt;120,3)</f>
        <v>0</v>
      </c>
      <c r="M3983" t="str">
        <f t="shared" si="374"/>
        <v>Low</v>
      </c>
      <c r="N3983" t="str">
        <f t="shared" si="377"/>
        <v>Jun</v>
      </c>
      <c r="O3983">
        <f t="shared" si="378"/>
        <v>2025</v>
      </c>
    </row>
    <row r="3984" spans="1:15" x14ac:dyDescent="0.3">
      <c r="A3984">
        <v>200576</v>
      </c>
      <c r="B3984" t="s">
        <v>114</v>
      </c>
      <c r="C3984" s="2">
        <v>45838</v>
      </c>
      <c r="D3984" s="2">
        <f t="shared" si="376"/>
        <v>45868</v>
      </c>
      <c r="E3984" s="1">
        <f>D3984</f>
        <v>45868</v>
      </c>
      <c r="F3984">
        <v>897</v>
      </c>
      <c r="G3984">
        <v>30</v>
      </c>
      <c r="H3984">
        <f t="shared" si="375"/>
        <v>0</v>
      </c>
      <c r="I3984" t="str">
        <f t="shared" si="373"/>
        <v>On Time</v>
      </c>
      <c r="J3984" cm="1">
        <f t="array" ref="J3984">_xlfn.IFS(H3984&lt;30,0,H3984&lt;60,1,H3984&lt;90,2,H3984&lt;120,3)</f>
        <v>0</v>
      </c>
      <c r="M3984" t="str">
        <f t="shared" si="374"/>
        <v>Low</v>
      </c>
      <c r="N3984" t="str">
        <f t="shared" si="377"/>
        <v>Jun</v>
      </c>
      <c r="O3984">
        <f t="shared" si="378"/>
        <v>2025</v>
      </c>
    </row>
    <row r="3985" spans="1:15" x14ac:dyDescent="0.3">
      <c r="A3985">
        <v>200577</v>
      </c>
      <c r="B3985" t="s">
        <v>115</v>
      </c>
      <c r="C3985" s="2">
        <v>45838</v>
      </c>
      <c r="D3985" s="2">
        <f t="shared" si="376"/>
        <v>45868</v>
      </c>
      <c r="E3985" s="1">
        <f>D3985+32</f>
        <v>45900</v>
      </c>
      <c r="F3985">
        <v>2176</v>
      </c>
      <c r="G3985">
        <v>30</v>
      </c>
      <c r="H3985">
        <f t="shared" si="375"/>
        <v>0</v>
      </c>
      <c r="I3985" t="str">
        <f t="shared" si="373"/>
        <v>On Time</v>
      </c>
      <c r="J3985" cm="1">
        <f t="array" ref="J3985">_xlfn.IFS(H3985&lt;30,0,H3985&lt;60,1,H3985&lt;90,2,H3985&lt;120,3)</f>
        <v>0</v>
      </c>
      <c r="M3985" t="str">
        <f t="shared" si="374"/>
        <v>Low</v>
      </c>
      <c r="N3985" t="str">
        <f t="shared" si="377"/>
        <v>Jun</v>
      </c>
      <c r="O3985">
        <f t="shared" si="378"/>
        <v>2025</v>
      </c>
    </row>
    <row r="3986" spans="1:15" x14ac:dyDescent="0.3">
      <c r="A3986">
        <v>200578</v>
      </c>
      <c r="B3986" t="s">
        <v>116</v>
      </c>
      <c r="C3986" s="2">
        <v>45838</v>
      </c>
      <c r="D3986" s="2">
        <f t="shared" si="376"/>
        <v>45868</v>
      </c>
      <c r="E3986" s="1">
        <f>D3986+15</f>
        <v>45883</v>
      </c>
      <c r="F3986">
        <v>2030</v>
      </c>
      <c r="G3986">
        <v>30</v>
      </c>
      <c r="H3986">
        <f t="shared" si="375"/>
        <v>0</v>
      </c>
      <c r="I3986" t="str">
        <f t="shared" si="373"/>
        <v>On Time</v>
      </c>
      <c r="J3986" cm="1">
        <f t="array" ref="J3986">_xlfn.IFS(H3986&lt;30,0,H3986&lt;60,1,H3986&lt;90,2,H3986&lt;120,3)</f>
        <v>0</v>
      </c>
      <c r="M3986" t="str">
        <f t="shared" si="374"/>
        <v>Low</v>
      </c>
      <c r="N3986" t="str">
        <f t="shared" si="377"/>
        <v>Jun</v>
      </c>
      <c r="O3986">
        <f t="shared" si="378"/>
        <v>2025</v>
      </c>
    </row>
    <row r="3987" spans="1:15" x14ac:dyDescent="0.3">
      <c r="A3987">
        <v>200579</v>
      </c>
      <c r="B3987" t="s">
        <v>117</v>
      </c>
      <c r="C3987" s="2">
        <v>45838</v>
      </c>
      <c r="D3987" s="2">
        <f t="shared" si="376"/>
        <v>45868</v>
      </c>
      <c r="E3987" s="1">
        <f>D3987</f>
        <v>45868</v>
      </c>
      <c r="F3987">
        <v>4252</v>
      </c>
      <c r="G3987">
        <v>30</v>
      </c>
      <c r="H3987">
        <f t="shared" si="375"/>
        <v>0</v>
      </c>
      <c r="I3987" t="str">
        <f t="shared" si="373"/>
        <v>On Time</v>
      </c>
      <c r="J3987" cm="1">
        <f t="array" ref="J3987">_xlfn.IFS(H3987&lt;30,0,H3987&lt;60,1,H3987&lt;90,2,H3987&lt;120,3)</f>
        <v>0</v>
      </c>
      <c r="M3987" t="str">
        <f t="shared" si="374"/>
        <v>Low</v>
      </c>
      <c r="N3987" t="str">
        <f t="shared" si="377"/>
        <v>Jun</v>
      </c>
      <c r="O3987">
        <f t="shared" si="378"/>
        <v>2025</v>
      </c>
    </row>
    <row r="3988" spans="1:15" x14ac:dyDescent="0.3">
      <c r="A3988">
        <v>200580</v>
      </c>
      <c r="B3988" t="s">
        <v>118</v>
      </c>
      <c r="C3988" s="2">
        <v>45838</v>
      </c>
      <c r="D3988" s="2">
        <f t="shared" si="376"/>
        <v>45868</v>
      </c>
      <c r="E3988" s="1">
        <f>D3988-2</f>
        <v>45866</v>
      </c>
      <c r="F3988">
        <v>131</v>
      </c>
      <c r="G3988">
        <v>30</v>
      </c>
      <c r="H3988">
        <f t="shared" si="375"/>
        <v>0</v>
      </c>
      <c r="I3988" t="str">
        <f t="shared" si="373"/>
        <v>On Time</v>
      </c>
      <c r="J3988" cm="1">
        <f t="array" ref="J3988">_xlfn.IFS(H3988&lt;30,0,H3988&lt;60,1,H3988&lt;90,2,H3988&lt;120,3)</f>
        <v>0</v>
      </c>
      <c r="M3988" t="str">
        <f t="shared" si="374"/>
        <v>Low</v>
      </c>
      <c r="N3988" t="str">
        <f t="shared" si="377"/>
        <v>Jun</v>
      </c>
      <c r="O3988">
        <f t="shared" si="378"/>
        <v>2025</v>
      </c>
    </row>
    <row r="3989" spans="1:15" x14ac:dyDescent="0.3">
      <c r="A3989">
        <v>200556</v>
      </c>
      <c r="B3989" t="s">
        <v>33</v>
      </c>
      <c r="C3989" s="2">
        <v>45835</v>
      </c>
      <c r="D3989" s="2">
        <f t="shared" si="376"/>
        <v>45865</v>
      </c>
      <c r="E3989" s="1">
        <f>D3989</f>
        <v>45865</v>
      </c>
      <c r="F3989">
        <v>1479</v>
      </c>
      <c r="G3989">
        <v>30</v>
      </c>
      <c r="H3989">
        <f t="shared" si="375"/>
        <v>0</v>
      </c>
      <c r="I3989" t="str">
        <f t="shared" si="373"/>
        <v>On Time</v>
      </c>
      <c r="J3989" cm="1">
        <f t="array" ref="J3989">_xlfn.IFS(H3989&lt;30,0,H3989&lt;60,1,H3989&lt;90,2,H3989&lt;120,3)</f>
        <v>0</v>
      </c>
      <c r="M3989" t="str">
        <f t="shared" si="374"/>
        <v>Low</v>
      </c>
      <c r="N3989" t="str">
        <f t="shared" si="377"/>
        <v>Jun</v>
      </c>
      <c r="O3989">
        <f t="shared" si="378"/>
        <v>2025</v>
      </c>
    </row>
    <row r="3990" spans="1:15" x14ac:dyDescent="0.3">
      <c r="A3990">
        <v>200557</v>
      </c>
      <c r="B3990" t="s">
        <v>34</v>
      </c>
      <c r="C3990" s="2">
        <v>45835</v>
      </c>
      <c r="D3990" s="2">
        <f t="shared" si="376"/>
        <v>45895</v>
      </c>
      <c r="E3990" s="1">
        <f>D3990</f>
        <v>45895</v>
      </c>
      <c r="F3990">
        <v>945</v>
      </c>
      <c r="G3990">
        <v>60</v>
      </c>
      <c r="H3990">
        <f t="shared" si="375"/>
        <v>0</v>
      </c>
      <c r="I3990" t="str">
        <f t="shared" ref="I3990:I4053" si="379">IF(H3990=0,"On Time",IF(H3990&lt;=15,"Paid Late","Seriously Late"))</f>
        <v>On Time</v>
      </c>
      <c r="J3990" cm="1">
        <f t="array" ref="J3990">_xlfn.IFS(H3990&lt;30,0,H3990&lt;60,1,H3990&lt;90,2,H3990&lt;120,3)</f>
        <v>0</v>
      </c>
      <c r="M3990" t="str">
        <f t="shared" ref="M3990:M4053" si="380">IF(H3990&gt;30,"High",IF(H3990&gt;10,"Medium","Low"))</f>
        <v>Low</v>
      </c>
      <c r="N3990" t="str">
        <f t="shared" si="377"/>
        <v>Jun</v>
      </c>
      <c r="O3990">
        <f t="shared" si="378"/>
        <v>2025</v>
      </c>
    </row>
    <row r="3991" spans="1:15" x14ac:dyDescent="0.3">
      <c r="A3991">
        <v>200558</v>
      </c>
      <c r="B3991" t="s">
        <v>35</v>
      </c>
      <c r="C3991" s="2">
        <v>45835</v>
      </c>
      <c r="D3991" s="2">
        <f t="shared" si="376"/>
        <v>45880</v>
      </c>
      <c r="E3991" s="1">
        <f>D3991+5</f>
        <v>45885</v>
      </c>
      <c r="F3991">
        <v>3713</v>
      </c>
      <c r="G3991">
        <v>45</v>
      </c>
      <c r="H3991">
        <f t="shared" si="375"/>
        <v>0</v>
      </c>
      <c r="I3991" t="str">
        <f t="shared" si="379"/>
        <v>On Time</v>
      </c>
      <c r="J3991" cm="1">
        <f t="array" ref="J3991">_xlfn.IFS(H3991&lt;30,0,H3991&lt;60,1,H3991&lt;90,2,H3991&lt;120,3)</f>
        <v>0</v>
      </c>
      <c r="M3991" t="str">
        <f t="shared" si="380"/>
        <v>Low</v>
      </c>
      <c r="N3991" t="str">
        <f t="shared" si="377"/>
        <v>Jun</v>
      </c>
      <c r="O3991">
        <f t="shared" si="378"/>
        <v>2025</v>
      </c>
    </row>
    <row r="3992" spans="1:15" x14ac:dyDescent="0.3">
      <c r="A3992">
        <v>200559</v>
      </c>
      <c r="B3992" t="s">
        <v>36</v>
      </c>
      <c r="C3992" s="2">
        <v>45835</v>
      </c>
      <c r="D3992" s="2">
        <f t="shared" si="376"/>
        <v>45865</v>
      </c>
      <c r="E3992" s="1">
        <f>D3992+2</f>
        <v>45867</v>
      </c>
      <c r="F3992">
        <v>910</v>
      </c>
      <c r="G3992">
        <v>30</v>
      </c>
      <c r="H3992">
        <f t="shared" si="375"/>
        <v>0</v>
      </c>
      <c r="I3992" t="str">
        <f t="shared" si="379"/>
        <v>On Time</v>
      </c>
      <c r="J3992" cm="1">
        <f t="array" ref="J3992">_xlfn.IFS(H3992&lt;30,0,H3992&lt;60,1,H3992&lt;90,2,H3992&lt;120,3)</f>
        <v>0</v>
      </c>
      <c r="M3992" t="str">
        <f t="shared" si="380"/>
        <v>Low</v>
      </c>
      <c r="N3992" t="str">
        <f t="shared" si="377"/>
        <v>Jun</v>
      </c>
      <c r="O3992">
        <f t="shared" si="378"/>
        <v>2025</v>
      </c>
    </row>
    <row r="3993" spans="1:15" x14ac:dyDescent="0.3">
      <c r="A3993">
        <v>200560</v>
      </c>
      <c r="B3993" t="s">
        <v>64</v>
      </c>
      <c r="C3993" s="2">
        <v>45835</v>
      </c>
      <c r="D3993" s="2">
        <f t="shared" si="376"/>
        <v>45865</v>
      </c>
      <c r="E3993" s="1">
        <f>D3993+5</f>
        <v>45870</v>
      </c>
      <c r="F3993">
        <v>171</v>
      </c>
      <c r="G3993">
        <v>30</v>
      </c>
      <c r="H3993">
        <f t="shared" si="375"/>
        <v>0</v>
      </c>
      <c r="I3993" t="str">
        <f t="shared" si="379"/>
        <v>On Time</v>
      </c>
      <c r="J3993" cm="1">
        <f t="array" ref="J3993">_xlfn.IFS(H3993&lt;30,0,H3993&lt;60,1,H3993&lt;90,2,H3993&lt;120,3)</f>
        <v>0</v>
      </c>
      <c r="M3993" t="str">
        <f t="shared" si="380"/>
        <v>Low</v>
      </c>
      <c r="N3993" t="str">
        <f t="shared" si="377"/>
        <v>Jun</v>
      </c>
      <c r="O3993">
        <f t="shared" si="378"/>
        <v>2025</v>
      </c>
    </row>
    <row r="3994" spans="1:15" x14ac:dyDescent="0.3">
      <c r="A3994">
        <v>200561</v>
      </c>
      <c r="B3994" t="s">
        <v>25</v>
      </c>
      <c r="C3994" s="2">
        <v>45835</v>
      </c>
      <c r="D3994" s="2">
        <f t="shared" si="376"/>
        <v>45895</v>
      </c>
      <c r="E3994" s="1">
        <f>D3994</f>
        <v>45895</v>
      </c>
      <c r="F3994">
        <v>1541</v>
      </c>
      <c r="G3994">
        <v>60</v>
      </c>
      <c r="H3994">
        <f t="shared" si="375"/>
        <v>0</v>
      </c>
      <c r="I3994" t="str">
        <f t="shared" si="379"/>
        <v>On Time</v>
      </c>
      <c r="J3994" cm="1">
        <f t="array" ref="J3994">_xlfn.IFS(H3994&lt;30,0,H3994&lt;60,1,H3994&lt;90,2,H3994&lt;120,3)</f>
        <v>0</v>
      </c>
      <c r="M3994" t="str">
        <f t="shared" si="380"/>
        <v>Low</v>
      </c>
      <c r="N3994" t="str">
        <f t="shared" si="377"/>
        <v>Jun</v>
      </c>
      <c r="O3994">
        <f t="shared" si="378"/>
        <v>2025</v>
      </c>
    </row>
    <row r="3995" spans="1:15" x14ac:dyDescent="0.3">
      <c r="A3995">
        <v>200562</v>
      </c>
      <c r="B3995" t="s">
        <v>26</v>
      </c>
      <c r="C3995" s="2">
        <v>45835</v>
      </c>
      <c r="D3995" s="2">
        <f t="shared" si="376"/>
        <v>45865</v>
      </c>
      <c r="E3995" s="1">
        <f>D3995</f>
        <v>45865</v>
      </c>
      <c r="F3995">
        <v>2462</v>
      </c>
      <c r="G3995">
        <v>30</v>
      </c>
      <c r="H3995">
        <f t="shared" si="375"/>
        <v>0</v>
      </c>
      <c r="I3995" t="str">
        <f t="shared" si="379"/>
        <v>On Time</v>
      </c>
      <c r="J3995" cm="1">
        <f t="array" ref="J3995">_xlfn.IFS(H3995&lt;30,0,H3995&lt;60,1,H3995&lt;90,2,H3995&lt;120,3)</f>
        <v>0</v>
      </c>
      <c r="M3995" t="str">
        <f t="shared" si="380"/>
        <v>Low</v>
      </c>
      <c r="N3995" t="str">
        <f t="shared" si="377"/>
        <v>Jun</v>
      </c>
      <c r="O3995">
        <f t="shared" si="378"/>
        <v>2025</v>
      </c>
    </row>
    <row r="3996" spans="1:15" x14ac:dyDescent="0.3">
      <c r="A3996">
        <v>200563</v>
      </c>
      <c r="B3996" t="s">
        <v>27</v>
      </c>
      <c r="C3996" s="2">
        <v>45835</v>
      </c>
      <c r="D3996" s="2">
        <f t="shared" si="376"/>
        <v>45895</v>
      </c>
      <c r="E3996" s="1">
        <f>D3996+62</f>
        <v>45957</v>
      </c>
      <c r="F3996">
        <v>4504</v>
      </c>
      <c r="G3996">
        <v>60</v>
      </c>
      <c r="H3996">
        <f t="shared" si="375"/>
        <v>0</v>
      </c>
      <c r="I3996" t="str">
        <f t="shared" si="379"/>
        <v>On Time</v>
      </c>
      <c r="J3996" cm="1">
        <f t="array" ref="J3996">_xlfn.IFS(H3996&lt;30,0,H3996&lt;60,1,H3996&lt;90,2,H3996&lt;120,3)</f>
        <v>0</v>
      </c>
      <c r="M3996" t="str">
        <f t="shared" si="380"/>
        <v>Low</v>
      </c>
      <c r="N3996" t="str">
        <f t="shared" si="377"/>
        <v>Jun</v>
      </c>
      <c r="O3996">
        <f t="shared" si="378"/>
        <v>2025</v>
      </c>
    </row>
    <row r="3997" spans="1:15" x14ac:dyDescent="0.3">
      <c r="A3997">
        <v>200564</v>
      </c>
      <c r="B3997" t="s">
        <v>28</v>
      </c>
      <c r="C3997" s="2">
        <v>45835</v>
      </c>
      <c r="D3997" s="2">
        <f t="shared" si="376"/>
        <v>45865</v>
      </c>
      <c r="E3997" s="1">
        <f>D3997</f>
        <v>45865</v>
      </c>
      <c r="F3997">
        <v>4107</v>
      </c>
      <c r="G3997">
        <v>30</v>
      </c>
      <c r="H3997">
        <f t="shared" si="375"/>
        <v>0</v>
      </c>
      <c r="I3997" t="str">
        <f t="shared" si="379"/>
        <v>On Time</v>
      </c>
      <c r="J3997" cm="1">
        <f t="array" ref="J3997">_xlfn.IFS(H3997&lt;30,0,H3997&lt;60,1,H3997&lt;90,2,H3997&lt;120,3)</f>
        <v>0</v>
      </c>
      <c r="M3997" t="str">
        <f t="shared" si="380"/>
        <v>Low</v>
      </c>
      <c r="N3997" t="str">
        <f t="shared" si="377"/>
        <v>Jun</v>
      </c>
      <c r="O3997">
        <f t="shared" si="378"/>
        <v>2025</v>
      </c>
    </row>
    <row r="3998" spans="1:15" x14ac:dyDescent="0.3">
      <c r="A3998">
        <v>200565</v>
      </c>
      <c r="B3998" t="s">
        <v>29</v>
      </c>
      <c r="C3998" s="2">
        <v>45835</v>
      </c>
      <c r="D3998" s="2">
        <f t="shared" si="376"/>
        <v>45865</v>
      </c>
      <c r="F3998">
        <v>3791</v>
      </c>
      <c r="G3998">
        <v>30</v>
      </c>
      <c r="H3998">
        <f t="shared" si="375"/>
        <v>0</v>
      </c>
      <c r="I3998" t="str">
        <f t="shared" si="379"/>
        <v>On Time</v>
      </c>
      <c r="J3998" cm="1">
        <f t="array" ref="J3998">_xlfn.IFS(H3998&lt;30,0,H3998&lt;60,1,H3998&lt;90,2,H3998&lt;120,3)</f>
        <v>0</v>
      </c>
      <c r="M3998" t="str">
        <f t="shared" si="380"/>
        <v>Low</v>
      </c>
      <c r="N3998" t="str">
        <f t="shared" si="377"/>
        <v>Jun</v>
      </c>
      <c r="O3998">
        <f t="shared" si="378"/>
        <v>2025</v>
      </c>
    </row>
    <row r="3999" spans="1:15" x14ac:dyDescent="0.3">
      <c r="A3999">
        <v>200566</v>
      </c>
      <c r="B3999" t="s">
        <v>30</v>
      </c>
      <c r="C3999" s="2">
        <v>45835</v>
      </c>
      <c r="D3999" s="2">
        <f t="shared" si="376"/>
        <v>45865</v>
      </c>
      <c r="E3999" s="1">
        <f>D3999+3</f>
        <v>45868</v>
      </c>
      <c r="F3999">
        <v>11167</v>
      </c>
      <c r="G3999">
        <v>30</v>
      </c>
      <c r="H3999">
        <f t="shared" si="375"/>
        <v>0</v>
      </c>
      <c r="I3999" t="str">
        <f t="shared" si="379"/>
        <v>On Time</v>
      </c>
      <c r="J3999" cm="1">
        <f t="array" ref="J3999">_xlfn.IFS(H3999&lt;30,0,H3999&lt;60,1,H3999&lt;90,2,H3999&lt;120,3)</f>
        <v>0</v>
      </c>
      <c r="M3999" t="str">
        <f t="shared" si="380"/>
        <v>Low</v>
      </c>
      <c r="N3999" t="str">
        <f t="shared" si="377"/>
        <v>Jun</v>
      </c>
      <c r="O3999">
        <f t="shared" si="378"/>
        <v>2025</v>
      </c>
    </row>
    <row r="4000" spans="1:15" x14ac:dyDescent="0.3">
      <c r="A4000">
        <v>200567</v>
      </c>
      <c r="B4000" t="s">
        <v>31</v>
      </c>
      <c r="C4000" s="2">
        <v>45835</v>
      </c>
      <c r="D4000" s="2">
        <f t="shared" si="376"/>
        <v>45880</v>
      </c>
      <c r="E4000" s="1">
        <f>D4000+1</f>
        <v>45881</v>
      </c>
      <c r="F4000">
        <v>433</v>
      </c>
      <c r="G4000">
        <v>45</v>
      </c>
      <c r="H4000">
        <f t="shared" si="375"/>
        <v>0</v>
      </c>
      <c r="I4000" t="str">
        <f t="shared" si="379"/>
        <v>On Time</v>
      </c>
      <c r="J4000" cm="1">
        <f t="array" ref="J4000">_xlfn.IFS(H4000&lt;30,0,H4000&lt;60,1,H4000&lt;90,2,H4000&lt;120,3)</f>
        <v>0</v>
      </c>
      <c r="M4000" t="str">
        <f t="shared" si="380"/>
        <v>Low</v>
      </c>
      <c r="N4000" t="str">
        <f t="shared" si="377"/>
        <v>Jun</v>
      </c>
      <c r="O4000">
        <f t="shared" si="378"/>
        <v>2025</v>
      </c>
    </row>
    <row r="4001" spans="1:15" x14ac:dyDescent="0.3">
      <c r="A4001">
        <v>200568</v>
      </c>
      <c r="B4001" t="s">
        <v>39</v>
      </c>
      <c r="C4001" s="2">
        <v>45835</v>
      </c>
      <c r="D4001" s="2">
        <f t="shared" si="376"/>
        <v>45865</v>
      </c>
      <c r="E4001" s="1">
        <f>D4001-1</f>
        <v>45864</v>
      </c>
      <c r="F4001">
        <v>10498</v>
      </c>
      <c r="G4001">
        <v>30</v>
      </c>
      <c r="H4001">
        <f t="shared" si="375"/>
        <v>0</v>
      </c>
      <c r="I4001" t="str">
        <f t="shared" si="379"/>
        <v>On Time</v>
      </c>
      <c r="J4001" cm="1">
        <f t="array" ref="J4001">_xlfn.IFS(H4001&lt;30,0,H4001&lt;60,1,H4001&lt;90,2,H4001&lt;120,3)</f>
        <v>0</v>
      </c>
      <c r="M4001" t="str">
        <f t="shared" si="380"/>
        <v>Low</v>
      </c>
      <c r="N4001" t="str">
        <f t="shared" si="377"/>
        <v>Jun</v>
      </c>
      <c r="O4001">
        <f t="shared" si="378"/>
        <v>2025</v>
      </c>
    </row>
    <row r="4002" spans="1:15" x14ac:dyDescent="0.3">
      <c r="A4002">
        <v>200543</v>
      </c>
      <c r="B4002" t="s">
        <v>42</v>
      </c>
      <c r="C4002" s="2">
        <v>45834</v>
      </c>
      <c r="D4002" s="2">
        <f t="shared" si="376"/>
        <v>45864</v>
      </c>
      <c r="E4002" s="1">
        <f>D4002</f>
        <v>45864</v>
      </c>
      <c r="F4002">
        <v>4693</v>
      </c>
      <c r="G4002">
        <v>30</v>
      </c>
      <c r="H4002">
        <f t="shared" si="375"/>
        <v>0</v>
      </c>
      <c r="I4002" t="str">
        <f t="shared" si="379"/>
        <v>On Time</v>
      </c>
      <c r="J4002" cm="1">
        <f t="array" ref="J4002">_xlfn.IFS(H4002&lt;30,0,H4002&lt;60,1,H4002&lt;90,2,H4002&lt;120,3)</f>
        <v>0</v>
      </c>
      <c r="M4002" t="str">
        <f t="shared" si="380"/>
        <v>Low</v>
      </c>
      <c r="N4002" t="str">
        <f t="shared" si="377"/>
        <v>Jun</v>
      </c>
      <c r="O4002">
        <f t="shared" si="378"/>
        <v>2025</v>
      </c>
    </row>
    <row r="4003" spans="1:15" x14ac:dyDescent="0.3">
      <c r="A4003">
        <v>200544</v>
      </c>
      <c r="B4003" t="s">
        <v>43</v>
      </c>
      <c r="C4003" s="2">
        <v>45834</v>
      </c>
      <c r="D4003" s="2">
        <f t="shared" si="376"/>
        <v>45864</v>
      </c>
      <c r="E4003" s="1">
        <f>D4003+32</f>
        <v>45896</v>
      </c>
      <c r="F4003">
        <v>4105</v>
      </c>
      <c r="G4003">
        <v>30</v>
      </c>
      <c r="H4003">
        <f t="shared" si="375"/>
        <v>0</v>
      </c>
      <c r="I4003" t="str">
        <f t="shared" si="379"/>
        <v>On Time</v>
      </c>
      <c r="J4003" cm="1">
        <f t="array" ref="J4003">_xlfn.IFS(H4003&lt;30,0,H4003&lt;60,1,H4003&lt;90,2,H4003&lt;120,3)</f>
        <v>0</v>
      </c>
      <c r="M4003" t="str">
        <f t="shared" si="380"/>
        <v>Low</v>
      </c>
      <c r="N4003" t="str">
        <f t="shared" si="377"/>
        <v>Jun</v>
      </c>
      <c r="O4003">
        <f t="shared" si="378"/>
        <v>2025</v>
      </c>
    </row>
    <row r="4004" spans="1:15" x14ac:dyDescent="0.3">
      <c r="A4004">
        <v>200545</v>
      </c>
      <c r="B4004" t="s">
        <v>103</v>
      </c>
      <c r="C4004" s="2">
        <v>45834</v>
      </c>
      <c r="D4004" s="2">
        <f t="shared" si="376"/>
        <v>45864</v>
      </c>
      <c r="E4004" s="1">
        <f>D4004+15</f>
        <v>45879</v>
      </c>
      <c r="F4004">
        <v>6486</v>
      </c>
      <c r="G4004">
        <v>30</v>
      </c>
      <c r="H4004">
        <f t="shared" si="375"/>
        <v>0</v>
      </c>
      <c r="I4004" t="str">
        <f t="shared" si="379"/>
        <v>On Time</v>
      </c>
      <c r="J4004" cm="1">
        <f t="array" ref="J4004">_xlfn.IFS(H4004&lt;30,0,H4004&lt;60,1,H4004&lt;90,2,H4004&lt;120,3)</f>
        <v>0</v>
      </c>
      <c r="M4004" t="str">
        <f t="shared" si="380"/>
        <v>Low</v>
      </c>
      <c r="N4004" t="str">
        <f t="shared" si="377"/>
        <v>Jun</v>
      </c>
      <c r="O4004">
        <f t="shared" si="378"/>
        <v>2025</v>
      </c>
    </row>
    <row r="4005" spans="1:15" x14ac:dyDescent="0.3">
      <c r="A4005">
        <v>200546</v>
      </c>
      <c r="B4005" t="s">
        <v>104</v>
      </c>
      <c r="C4005" s="2">
        <v>45834</v>
      </c>
      <c r="D4005" s="2">
        <f t="shared" si="376"/>
        <v>45864</v>
      </c>
      <c r="E4005" s="1">
        <f>D4005-2</f>
        <v>45862</v>
      </c>
      <c r="F4005">
        <v>11281</v>
      </c>
      <c r="G4005">
        <v>30</v>
      </c>
      <c r="H4005">
        <f t="shared" si="375"/>
        <v>0</v>
      </c>
      <c r="I4005" t="str">
        <f t="shared" si="379"/>
        <v>On Time</v>
      </c>
      <c r="J4005" cm="1">
        <f t="array" ref="J4005">_xlfn.IFS(H4005&lt;30,0,H4005&lt;60,1,H4005&lt;90,2,H4005&lt;120,3)</f>
        <v>0</v>
      </c>
      <c r="M4005" t="str">
        <f t="shared" si="380"/>
        <v>Low</v>
      </c>
      <c r="N4005" t="str">
        <f t="shared" si="377"/>
        <v>Jun</v>
      </c>
      <c r="O4005">
        <f t="shared" si="378"/>
        <v>2025</v>
      </c>
    </row>
    <row r="4006" spans="1:15" x14ac:dyDescent="0.3">
      <c r="A4006">
        <v>200547</v>
      </c>
      <c r="B4006" t="s">
        <v>105</v>
      </c>
      <c r="C4006" s="2">
        <v>45834</v>
      </c>
      <c r="D4006" s="2">
        <f t="shared" si="376"/>
        <v>45864</v>
      </c>
      <c r="E4006" s="1">
        <f>D4006-2</f>
        <v>45862</v>
      </c>
      <c r="F4006">
        <v>3347</v>
      </c>
      <c r="G4006">
        <v>30</v>
      </c>
      <c r="H4006">
        <f t="shared" ref="H4006:H4069" si="381">MAX(0,P3971-D4006)</f>
        <v>0</v>
      </c>
      <c r="I4006" t="str">
        <f t="shared" si="379"/>
        <v>On Time</v>
      </c>
      <c r="J4006" cm="1">
        <f t="array" ref="J4006">_xlfn.IFS(H4006&lt;30,0,H4006&lt;60,1,H4006&lt;90,2,H4006&lt;120,3)</f>
        <v>0</v>
      </c>
      <c r="M4006" t="str">
        <f t="shared" si="380"/>
        <v>Low</v>
      </c>
      <c r="N4006" t="str">
        <f t="shared" si="377"/>
        <v>Jun</v>
      </c>
      <c r="O4006">
        <f t="shared" si="378"/>
        <v>2025</v>
      </c>
    </row>
    <row r="4007" spans="1:15" x14ac:dyDescent="0.3">
      <c r="A4007">
        <v>200548</v>
      </c>
      <c r="B4007" t="s">
        <v>114</v>
      </c>
      <c r="C4007" s="2">
        <v>45834</v>
      </c>
      <c r="D4007" s="2">
        <f t="shared" si="376"/>
        <v>45864</v>
      </c>
      <c r="E4007" s="1">
        <f>D4007</f>
        <v>45864</v>
      </c>
      <c r="F4007">
        <v>4127</v>
      </c>
      <c r="G4007">
        <v>30</v>
      </c>
      <c r="H4007">
        <f t="shared" si="381"/>
        <v>0</v>
      </c>
      <c r="I4007" t="str">
        <f t="shared" si="379"/>
        <v>On Time</v>
      </c>
      <c r="J4007" cm="1">
        <f t="array" ref="J4007">_xlfn.IFS(H4007&lt;30,0,H4007&lt;60,1,H4007&lt;90,2,H4007&lt;120,3)</f>
        <v>0</v>
      </c>
      <c r="M4007" t="str">
        <f t="shared" si="380"/>
        <v>Low</v>
      </c>
      <c r="N4007" t="str">
        <f t="shared" si="377"/>
        <v>Jun</v>
      </c>
      <c r="O4007">
        <f t="shared" si="378"/>
        <v>2025</v>
      </c>
    </row>
    <row r="4008" spans="1:15" x14ac:dyDescent="0.3">
      <c r="A4008">
        <v>200549</v>
      </c>
      <c r="B4008" t="s">
        <v>115</v>
      </c>
      <c r="C4008" s="2">
        <v>45834</v>
      </c>
      <c r="D4008" s="2">
        <f t="shared" si="376"/>
        <v>45864</v>
      </c>
      <c r="E4008" s="1">
        <f>D4008+2</f>
        <v>45866</v>
      </c>
      <c r="F4008">
        <v>2448</v>
      </c>
      <c r="G4008">
        <v>30</v>
      </c>
      <c r="H4008">
        <f t="shared" si="381"/>
        <v>0</v>
      </c>
      <c r="I4008" t="str">
        <f t="shared" si="379"/>
        <v>On Time</v>
      </c>
      <c r="J4008" cm="1">
        <f t="array" ref="J4008">_xlfn.IFS(H4008&lt;30,0,H4008&lt;60,1,H4008&lt;90,2,H4008&lt;120,3)</f>
        <v>0</v>
      </c>
      <c r="M4008" t="str">
        <f t="shared" si="380"/>
        <v>Low</v>
      </c>
      <c r="N4008" t="str">
        <f t="shared" si="377"/>
        <v>Jun</v>
      </c>
      <c r="O4008">
        <f t="shared" si="378"/>
        <v>2025</v>
      </c>
    </row>
    <row r="4009" spans="1:15" x14ac:dyDescent="0.3">
      <c r="A4009">
        <v>200550</v>
      </c>
      <c r="B4009" t="s">
        <v>116</v>
      </c>
      <c r="C4009" s="2">
        <v>45834</v>
      </c>
      <c r="D4009" s="2">
        <f t="shared" si="376"/>
        <v>45864</v>
      </c>
      <c r="E4009" s="1">
        <f>D4009+2</f>
        <v>45866</v>
      </c>
      <c r="F4009">
        <v>15943</v>
      </c>
      <c r="G4009">
        <v>30</v>
      </c>
      <c r="H4009">
        <f t="shared" si="381"/>
        <v>0</v>
      </c>
      <c r="I4009" t="str">
        <f t="shared" si="379"/>
        <v>On Time</v>
      </c>
      <c r="J4009" cm="1">
        <f t="array" ref="J4009">_xlfn.IFS(H4009&lt;30,0,H4009&lt;60,1,H4009&lt;90,2,H4009&lt;120,3)</f>
        <v>0</v>
      </c>
      <c r="M4009" t="str">
        <f t="shared" si="380"/>
        <v>Low</v>
      </c>
      <c r="N4009" t="str">
        <f t="shared" si="377"/>
        <v>Jun</v>
      </c>
      <c r="O4009">
        <f t="shared" si="378"/>
        <v>2025</v>
      </c>
    </row>
    <row r="4010" spans="1:15" x14ac:dyDescent="0.3">
      <c r="A4010">
        <v>200551</v>
      </c>
      <c r="B4010" t="s">
        <v>117</v>
      </c>
      <c r="C4010" s="2">
        <v>45834</v>
      </c>
      <c r="D4010" s="2">
        <f t="shared" si="376"/>
        <v>45864</v>
      </c>
      <c r="E4010" s="1">
        <f>D4010+2</f>
        <v>45866</v>
      </c>
      <c r="F4010">
        <v>3169</v>
      </c>
      <c r="G4010">
        <v>30</v>
      </c>
      <c r="H4010">
        <f t="shared" si="381"/>
        <v>0</v>
      </c>
      <c r="I4010" t="str">
        <f t="shared" si="379"/>
        <v>On Time</v>
      </c>
      <c r="J4010" cm="1">
        <f t="array" ref="J4010">_xlfn.IFS(H4010&lt;30,0,H4010&lt;60,1,H4010&lt;90,2,H4010&lt;120,3)</f>
        <v>0</v>
      </c>
      <c r="M4010" t="str">
        <f t="shared" si="380"/>
        <v>Low</v>
      </c>
      <c r="N4010" t="str">
        <f t="shared" si="377"/>
        <v>Jun</v>
      </c>
      <c r="O4010">
        <f t="shared" si="378"/>
        <v>2025</v>
      </c>
    </row>
    <row r="4011" spans="1:15" x14ac:dyDescent="0.3">
      <c r="A4011">
        <v>200552</v>
      </c>
      <c r="B4011" t="s">
        <v>118</v>
      </c>
      <c r="C4011" s="2">
        <v>45834</v>
      </c>
      <c r="D4011" s="2">
        <f t="shared" si="376"/>
        <v>45864</v>
      </c>
      <c r="E4011" s="1">
        <f>D4011</f>
        <v>45864</v>
      </c>
      <c r="F4011">
        <v>1683</v>
      </c>
      <c r="G4011">
        <v>30</v>
      </c>
      <c r="H4011">
        <f t="shared" si="381"/>
        <v>0</v>
      </c>
      <c r="I4011" t="str">
        <f t="shared" si="379"/>
        <v>On Time</v>
      </c>
      <c r="J4011" cm="1">
        <f t="array" ref="J4011">_xlfn.IFS(H4011&lt;30,0,H4011&lt;60,1,H4011&lt;90,2,H4011&lt;120,3)</f>
        <v>0</v>
      </c>
      <c r="M4011" t="str">
        <f t="shared" si="380"/>
        <v>Low</v>
      </c>
      <c r="N4011" t="str">
        <f t="shared" si="377"/>
        <v>Jun</v>
      </c>
      <c r="O4011">
        <f t="shared" si="378"/>
        <v>2025</v>
      </c>
    </row>
    <row r="4012" spans="1:15" x14ac:dyDescent="0.3">
      <c r="A4012">
        <v>200553</v>
      </c>
      <c r="B4012" t="s">
        <v>119</v>
      </c>
      <c r="C4012" s="2">
        <v>45834</v>
      </c>
      <c r="D4012" s="2">
        <f t="shared" si="376"/>
        <v>45864</v>
      </c>
      <c r="E4012" s="1">
        <f>D4012+20</f>
        <v>45884</v>
      </c>
      <c r="F4012">
        <v>4641</v>
      </c>
      <c r="G4012">
        <v>30</v>
      </c>
      <c r="H4012">
        <f t="shared" si="381"/>
        <v>0</v>
      </c>
      <c r="I4012" t="str">
        <f t="shared" si="379"/>
        <v>On Time</v>
      </c>
      <c r="J4012" cm="1">
        <f t="array" ref="J4012">_xlfn.IFS(H4012&lt;30,0,H4012&lt;60,1,H4012&lt;90,2,H4012&lt;120,3)</f>
        <v>0</v>
      </c>
      <c r="M4012" t="str">
        <f t="shared" si="380"/>
        <v>Low</v>
      </c>
      <c r="N4012" t="str">
        <f t="shared" si="377"/>
        <v>Jun</v>
      </c>
      <c r="O4012">
        <f t="shared" si="378"/>
        <v>2025</v>
      </c>
    </row>
    <row r="4013" spans="1:15" x14ac:dyDescent="0.3">
      <c r="A4013">
        <v>200554</v>
      </c>
      <c r="B4013" t="s">
        <v>31</v>
      </c>
      <c r="C4013" s="2">
        <v>45834</v>
      </c>
      <c r="D4013" s="2">
        <f t="shared" si="376"/>
        <v>45879</v>
      </c>
      <c r="E4013" s="1">
        <f>D4013</f>
        <v>45879</v>
      </c>
      <c r="F4013">
        <v>135</v>
      </c>
      <c r="G4013">
        <v>45</v>
      </c>
      <c r="H4013">
        <f t="shared" si="381"/>
        <v>0</v>
      </c>
      <c r="I4013" t="str">
        <f t="shared" si="379"/>
        <v>On Time</v>
      </c>
      <c r="J4013" cm="1">
        <f t="array" ref="J4013">_xlfn.IFS(H4013&lt;30,0,H4013&lt;60,1,H4013&lt;90,2,H4013&lt;120,3)</f>
        <v>0</v>
      </c>
      <c r="M4013" t="str">
        <f t="shared" si="380"/>
        <v>Low</v>
      </c>
      <c r="N4013" t="str">
        <f t="shared" si="377"/>
        <v>Jun</v>
      </c>
      <c r="O4013">
        <f t="shared" si="378"/>
        <v>2025</v>
      </c>
    </row>
    <row r="4014" spans="1:15" x14ac:dyDescent="0.3">
      <c r="A4014">
        <v>200555</v>
      </c>
      <c r="B4014" t="s">
        <v>32</v>
      </c>
      <c r="C4014" s="2">
        <v>45834</v>
      </c>
      <c r="D4014" s="2">
        <f t="shared" si="376"/>
        <v>45879</v>
      </c>
      <c r="E4014" s="1">
        <f>D4014+1</f>
        <v>45880</v>
      </c>
      <c r="F4014">
        <v>2934</v>
      </c>
      <c r="G4014">
        <v>45</v>
      </c>
      <c r="H4014">
        <f t="shared" si="381"/>
        <v>0</v>
      </c>
      <c r="I4014" t="str">
        <f t="shared" si="379"/>
        <v>On Time</v>
      </c>
      <c r="J4014" cm="1">
        <f t="array" ref="J4014">_xlfn.IFS(H4014&lt;30,0,H4014&lt;60,1,H4014&lt;90,2,H4014&lt;120,3)</f>
        <v>0</v>
      </c>
      <c r="M4014" t="str">
        <f t="shared" si="380"/>
        <v>Low</v>
      </c>
      <c r="N4014" t="str">
        <f t="shared" si="377"/>
        <v>Jun</v>
      </c>
      <c r="O4014">
        <f t="shared" si="378"/>
        <v>2025</v>
      </c>
    </row>
    <row r="4015" spans="1:15" x14ac:dyDescent="0.3">
      <c r="A4015">
        <v>200530</v>
      </c>
      <c r="B4015" t="s">
        <v>48</v>
      </c>
      <c r="C4015" s="2">
        <v>45833</v>
      </c>
      <c r="D4015" s="2">
        <f t="shared" si="376"/>
        <v>45878</v>
      </c>
      <c r="E4015" s="1">
        <f>D4015+60</f>
        <v>45938</v>
      </c>
      <c r="F4015">
        <v>3913</v>
      </c>
      <c r="G4015">
        <v>45</v>
      </c>
      <c r="H4015">
        <f t="shared" si="381"/>
        <v>0</v>
      </c>
      <c r="I4015" t="str">
        <f t="shared" si="379"/>
        <v>On Time</v>
      </c>
      <c r="J4015" cm="1">
        <f t="array" ref="J4015">_xlfn.IFS(H4015&lt;30,0,H4015&lt;60,1,H4015&lt;90,2,H4015&lt;120,3)</f>
        <v>0</v>
      </c>
      <c r="M4015" t="str">
        <f t="shared" si="380"/>
        <v>Low</v>
      </c>
      <c r="N4015" t="str">
        <f t="shared" si="377"/>
        <v>Jun</v>
      </c>
      <c r="O4015">
        <f t="shared" si="378"/>
        <v>2025</v>
      </c>
    </row>
    <row r="4016" spans="1:15" x14ac:dyDescent="0.3">
      <c r="A4016">
        <v>200531</v>
      </c>
      <c r="B4016" t="s">
        <v>49</v>
      </c>
      <c r="C4016" s="2">
        <v>45833</v>
      </c>
      <c r="D4016" s="2">
        <f t="shared" si="376"/>
        <v>45863</v>
      </c>
      <c r="E4016" s="1">
        <f>D4016</f>
        <v>45863</v>
      </c>
      <c r="F4016">
        <v>4831</v>
      </c>
      <c r="G4016">
        <v>30</v>
      </c>
      <c r="H4016">
        <f t="shared" si="381"/>
        <v>0</v>
      </c>
      <c r="I4016" t="str">
        <f t="shared" si="379"/>
        <v>On Time</v>
      </c>
      <c r="J4016" cm="1">
        <f t="array" ref="J4016">_xlfn.IFS(H4016&lt;30,0,H4016&lt;60,1,H4016&lt;90,2,H4016&lt;120,3)</f>
        <v>0</v>
      </c>
      <c r="M4016" t="str">
        <f t="shared" si="380"/>
        <v>Low</v>
      </c>
      <c r="N4016" t="str">
        <f t="shared" si="377"/>
        <v>Jun</v>
      </c>
      <c r="O4016">
        <f t="shared" si="378"/>
        <v>2025</v>
      </c>
    </row>
    <row r="4017" spans="1:15" x14ac:dyDescent="0.3">
      <c r="A4017">
        <v>200532</v>
      </c>
      <c r="B4017" t="s">
        <v>50</v>
      </c>
      <c r="C4017" s="2">
        <v>45833</v>
      </c>
      <c r="D4017" s="2">
        <f t="shared" si="376"/>
        <v>45863</v>
      </c>
      <c r="E4017" s="1">
        <f>D4017</f>
        <v>45863</v>
      </c>
      <c r="F4017">
        <v>1979</v>
      </c>
      <c r="G4017">
        <v>30</v>
      </c>
      <c r="H4017">
        <f t="shared" si="381"/>
        <v>0</v>
      </c>
      <c r="I4017" t="str">
        <f t="shared" si="379"/>
        <v>On Time</v>
      </c>
      <c r="J4017" cm="1">
        <f t="array" ref="J4017">_xlfn.IFS(H4017&lt;30,0,H4017&lt;60,1,H4017&lt;90,2,H4017&lt;120,3)</f>
        <v>0</v>
      </c>
      <c r="M4017" t="str">
        <f t="shared" si="380"/>
        <v>Low</v>
      </c>
      <c r="N4017" t="str">
        <f t="shared" si="377"/>
        <v>Jun</v>
      </c>
      <c r="O4017">
        <f t="shared" si="378"/>
        <v>2025</v>
      </c>
    </row>
    <row r="4018" spans="1:15" x14ac:dyDescent="0.3">
      <c r="A4018">
        <v>200533</v>
      </c>
      <c r="B4018" t="s">
        <v>51</v>
      </c>
      <c r="C4018" s="2">
        <v>45833</v>
      </c>
      <c r="D4018" s="2">
        <f t="shared" si="376"/>
        <v>45863</v>
      </c>
      <c r="E4018" s="1">
        <f>D4018+3</f>
        <v>45866</v>
      </c>
      <c r="F4018">
        <v>658</v>
      </c>
      <c r="G4018">
        <v>30</v>
      </c>
      <c r="H4018">
        <f t="shared" si="381"/>
        <v>0</v>
      </c>
      <c r="I4018" t="str">
        <f t="shared" si="379"/>
        <v>On Time</v>
      </c>
      <c r="J4018" cm="1">
        <f t="array" ref="J4018">_xlfn.IFS(H4018&lt;30,0,H4018&lt;60,1,H4018&lt;90,2,H4018&lt;120,3)</f>
        <v>0</v>
      </c>
      <c r="M4018" t="str">
        <f t="shared" si="380"/>
        <v>Low</v>
      </c>
      <c r="N4018" t="str">
        <f t="shared" si="377"/>
        <v>Jun</v>
      </c>
      <c r="O4018">
        <f t="shared" si="378"/>
        <v>2025</v>
      </c>
    </row>
    <row r="4019" spans="1:15" x14ac:dyDescent="0.3">
      <c r="A4019">
        <v>200534</v>
      </c>
      <c r="B4019" t="s">
        <v>52</v>
      </c>
      <c r="C4019" s="2">
        <v>45833</v>
      </c>
      <c r="D4019" s="2">
        <f t="shared" si="376"/>
        <v>45863</v>
      </c>
      <c r="E4019" s="1">
        <f>D4019+1</f>
        <v>45864</v>
      </c>
      <c r="F4019">
        <v>1429</v>
      </c>
      <c r="G4019">
        <v>30</v>
      </c>
      <c r="H4019">
        <f t="shared" si="381"/>
        <v>0</v>
      </c>
      <c r="I4019" t="str">
        <f t="shared" si="379"/>
        <v>On Time</v>
      </c>
      <c r="J4019" cm="1">
        <f t="array" ref="J4019">_xlfn.IFS(H4019&lt;30,0,H4019&lt;60,1,H4019&lt;90,2,H4019&lt;120,3)</f>
        <v>0</v>
      </c>
      <c r="M4019" t="str">
        <f t="shared" si="380"/>
        <v>Low</v>
      </c>
      <c r="N4019" t="str">
        <f t="shared" si="377"/>
        <v>Jun</v>
      </c>
      <c r="O4019">
        <f t="shared" si="378"/>
        <v>2025</v>
      </c>
    </row>
    <row r="4020" spans="1:15" x14ac:dyDescent="0.3">
      <c r="A4020">
        <v>200535</v>
      </c>
      <c r="B4020" t="s">
        <v>53</v>
      </c>
      <c r="C4020" s="2">
        <v>45833</v>
      </c>
      <c r="D4020" s="2">
        <f t="shared" si="376"/>
        <v>45863</v>
      </c>
      <c r="E4020" s="1">
        <f>D4020-1</f>
        <v>45862</v>
      </c>
      <c r="F4020">
        <v>307</v>
      </c>
      <c r="G4020">
        <v>30</v>
      </c>
      <c r="H4020">
        <f t="shared" si="381"/>
        <v>0</v>
      </c>
      <c r="I4020" t="str">
        <f t="shared" si="379"/>
        <v>On Time</v>
      </c>
      <c r="J4020" cm="1">
        <f t="array" ref="J4020">_xlfn.IFS(H4020&lt;30,0,H4020&lt;60,1,H4020&lt;90,2,H4020&lt;120,3)</f>
        <v>0</v>
      </c>
      <c r="M4020" t="str">
        <f t="shared" si="380"/>
        <v>Low</v>
      </c>
      <c r="N4020" t="str">
        <f t="shared" si="377"/>
        <v>Jun</v>
      </c>
      <c r="O4020">
        <f t="shared" si="378"/>
        <v>2025</v>
      </c>
    </row>
    <row r="4021" spans="1:15" x14ac:dyDescent="0.3">
      <c r="A4021">
        <v>200536</v>
      </c>
      <c r="B4021" t="s">
        <v>54</v>
      </c>
      <c r="C4021" s="2">
        <v>45833</v>
      </c>
      <c r="D4021" s="2">
        <f t="shared" si="376"/>
        <v>45863</v>
      </c>
      <c r="E4021" s="1">
        <f>D4021</f>
        <v>45863</v>
      </c>
      <c r="F4021">
        <v>4406</v>
      </c>
      <c r="G4021">
        <v>30</v>
      </c>
      <c r="H4021">
        <f t="shared" si="381"/>
        <v>0</v>
      </c>
      <c r="I4021" t="str">
        <f t="shared" si="379"/>
        <v>On Time</v>
      </c>
      <c r="J4021" cm="1">
        <f t="array" ref="J4021">_xlfn.IFS(H4021&lt;30,0,H4021&lt;60,1,H4021&lt;90,2,H4021&lt;120,3)</f>
        <v>0</v>
      </c>
      <c r="M4021" t="str">
        <f t="shared" si="380"/>
        <v>Low</v>
      </c>
      <c r="N4021" t="str">
        <f t="shared" si="377"/>
        <v>Jun</v>
      </c>
      <c r="O4021">
        <f t="shared" si="378"/>
        <v>2025</v>
      </c>
    </row>
    <row r="4022" spans="1:15" x14ac:dyDescent="0.3">
      <c r="A4022">
        <v>200537</v>
      </c>
      <c r="B4022" t="s">
        <v>36</v>
      </c>
      <c r="C4022" s="2">
        <v>45833</v>
      </c>
      <c r="D4022" s="2">
        <f t="shared" si="376"/>
        <v>45863</v>
      </c>
      <c r="E4022" s="1">
        <f>D4022+1</f>
        <v>45864</v>
      </c>
      <c r="F4022">
        <v>1870</v>
      </c>
      <c r="G4022">
        <v>30</v>
      </c>
      <c r="H4022">
        <f t="shared" si="381"/>
        <v>0</v>
      </c>
      <c r="I4022" t="str">
        <f t="shared" si="379"/>
        <v>On Time</v>
      </c>
      <c r="J4022" cm="1">
        <f t="array" ref="J4022">_xlfn.IFS(H4022&lt;30,0,H4022&lt;60,1,H4022&lt;90,2,H4022&lt;120,3)</f>
        <v>0</v>
      </c>
      <c r="M4022" t="str">
        <f t="shared" si="380"/>
        <v>Low</v>
      </c>
      <c r="N4022" t="str">
        <f t="shared" si="377"/>
        <v>Jun</v>
      </c>
      <c r="O4022">
        <f t="shared" si="378"/>
        <v>2025</v>
      </c>
    </row>
    <row r="4023" spans="1:15" x14ac:dyDescent="0.3">
      <c r="A4023">
        <v>200538</v>
      </c>
      <c r="B4023" t="s">
        <v>37</v>
      </c>
      <c r="C4023" s="2">
        <v>45833</v>
      </c>
      <c r="D4023" s="2">
        <f t="shared" si="376"/>
        <v>45863</v>
      </c>
      <c r="E4023" s="1">
        <f>D4023+35</f>
        <v>45898</v>
      </c>
      <c r="F4023">
        <v>1437</v>
      </c>
      <c r="G4023">
        <v>30</v>
      </c>
      <c r="H4023">
        <f t="shared" si="381"/>
        <v>0</v>
      </c>
      <c r="I4023" t="str">
        <f t="shared" si="379"/>
        <v>On Time</v>
      </c>
      <c r="J4023" cm="1">
        <f t="array" ref="J4023">_xlfn.IFS(H4023&lt;30,0,H4023&lt;60,1,H4023&lt;90,2,H4023&lt;120,3)</f>
        <v>0</v>
      </c>
      <c r="M4023" t="str">
        <f t="shared" si="380"/>
        <v>Low</v>
      </c>
      <c r="N4023" t="str">
        <f t="shared" si="377"/>
        <v>Jun</v>
      </c>
      <c r="O4023">
        <f t="shared" si="378"/>
        <v>2025</v>
      </c>
    </row>
    <row r="4024" spans="1:15" x14ac:dyDescent="0.3">
      <c r="A4024">
        <v>200539</v>
      </c>
      <c r="B4024" t="s">
        <v>38</v>
      </c>
      <c r="C4024" s="2">
        <v>45833</v>
      </c>
      <c r="D4024" s="2">
        <f t="shared" si="376"/>
        <v>45863</v>
      </c>
      <c r="E4024" s="1">
        <f>D4024+75</f>
        <v>45938</v>
      </c>
      <c r="F4024">
        <v>3124</v>
      </c>
      <c r="G4024">
        <v>30</v>
      </c>
      <c r="H4024">
        <f t="shared" si="381"/>
        <v>0</v>
      </c>
      <c r="I4024" t="str">
        <f t="shared" si="379"/>
        <v>On Time</v>
      </c>
      <c r="J4024" cm="1">
        <f t="array" ref="J4024">_xlfn.IFS(H4024&lt;30,0,H4024&lt;60,1,H4024&lt;90,2,H4024&lt;120,3)</f>
        <v>0</v>
      </c>
      <c r="M4024" t="str">
        <f t="shared" si="380"/>
        <v>Low</v>
      </c>
      <c r="N4024" t="str">
        <f t="shared" si="377"/>
        <v>Jun</v>
      </c>
      <c r="O4024">
        <f t="shared" si="378"/>
        <v>2025</v>
      </c>
    </row>
    <row r="4025" spans="1:15" x14ac:dyDescent="0.3">
      <c r="A4025">
        <v>200540</v>
      </c>
      <c r="B4025" t="s">
        <v>39</v>
      </c>
      <c r="C4025" s="2">
        <v>45833</v>
      </c>
      <c r="D4025" s="2">
        <f t="shared" si="376"/>
        <v>45863</v>
      </c>
      <c r="E4025" s="1">
        <f>D4025+5</f>
        <v>45868</v>
      </c>
      <c r="F4025">
        <v>3440</v>
      </c>
      <c r="G4025">
        <v>30</v>
      </c>
      <c r="H4025">
        <f t="shared" si="381"/>
        <v>0</v>
      </c>
      <c r="I4025" t="str">
        <f t="shared" si="379"/>
        <v>On Time</v>
      </c>
      <c r="J4025" cm="1">
        <f t="array" ref="J4025">_xlfn.IFS(H4025&lt;30,0,H4025&lt;60,1,H4025&lt;90,2,H4025&lt;120,3)</f>
        <v>0</v>
      </c>
      <c r="M4025" t="str">
        <f t="shared" si="380"/>
        <v>Low</v>
      </c>
      <c r="N4025" t="str">
        <f t="shared" si="377"/>
        <v>Jun</v>
      </c>
      <c r="O4025">
        <f t="shared" si="378"/>
        <v>2025</v>
      </c>
    </row>
    <row r="4026" spans="1:15" x14ac:dyDescent="0.3">
      <c r="A4026">
        <v>200541</v>
      </c>
      <c r="B4026" t="s">
        <v>40</v>
      </c>
      <c r="C4026" s="2">
        <v>45833</v>
      </c>
      <c r="D4026" s="2">
        <f t="shared" si="376"/>
        <v>45863</v>
      </c>
      <c r="E4026" s="1">
        <f>D4026</f>
        <v>45863</v>
      </c>
      <c r="F4026">
        <v>2024</v>
      </c>
      <c r="G4026">
        <v>30</v>
      </c>
      <c r="H4026">
        <f t="shared" si="381"/>
        <v>0</v>
      </c>
      <c r="I4026" t="str">
        <f t="shared" si="379"/>
        <v>On Time</v>
      </c>
      <c r="J4026" cm="1">
        <f t="array" ref="J4026">_xlfn.IFS(H4026&lt;30,0,H4026&lt;60,1,H4026&lt;90,2,H4026&lt;120,3)</f>
        <v>0</v>
      </c>
      <c r="M4026" t="str">
        <f t="shared" si="380"/>
        <v>Low</v>
      </c>
      <c r="N4026" t="str">
        <f t="shared" si="377"/>
        <v>Jun</v>
      </c>
      <c r="O4026">
        <f t="shared" si="378"/>
        <v>2025</v>
      </c>
    </row>
    <row r="4027" spans="1:15" x14ac:dyDescent="0.3">
      <c r="A4027">
        <v>200542</v>
      </c>
      <c r="B4027" t="s">
        <v>41</v>
      </c>
      <c r="C4027" s="2">
        <v>45833</v>
      </c>
      <c r="D4027" s="2">
        <f t="shared" si="376"/>
        <v>45863</v>
      </c>
      <c r="E4027" s="1">
        <f>D4027-1</f>
        <v>45862</v>
      </c>
      <c r="F4027">
        <v>4838</v>
      </c>
      <c r="G4027">
        <v>30</v>
      </c>
      <c r="H4027">
        <f t="shared" si="381"/>
        <v>0</v>
      </c>
      <c r="I4027" t="str">
        <f t="shared" si="379"/>
        <v>On Time</v>
      </c>
      <c r="J4027" cm="1">
        <f t="array" ref="J4027">_xlfn.IFS(H4027&lt;30,0,H4027&lt;60,1,H4027&lt;90,2,H4027&lt;120,3)</f>
        <v>0</v>
      </c>
      <c r="M4027" t="str">
        <f t="shared" si="380"/>
        <v>Low</v>
      </c>
      <c r="N4027" t="str">
        <f t="shared" si="377"/>
        <v>Jun</v>
      </c>
      <c r="O4027">
        <f t="shared" si="378"/>
        <v>2025</v>
      </c>
    </row>
    <row r="4028" spans="1:15" x14ac:dyDescent="0.3">
      <c r="A4028">
        <v>200514</v>
      </c>
      <c r="B4028" t="s">
        <v>90</v>
      </c>
      <c r="C4028" s="2">
        <v>45832</v>
      </c>
      <c r="D4028" s="2">
        <f t="shared" si="376"/>
        <v>45862</v>
      </c>
      <c r="E4028" s="1">
        <f>D4028-2</f>
        <v>45860</v>
      </c>
      <c r="F4028">
        <v>2412</v>
      </c>
      <c r="G4028">
        <v>30</v>
      </c>
      <c r="H4028">
        <f t="shared" si="381"/>
        <v>0</v>
      </c>
      <c r="I4028" t="str">
        <f t="shared" si="379"/>
        <v>On Time</v>
      </c>
      <c r="J4028" cm="1">
        <f t="array" ref="J4028">_xlfn.IFS(H4028&lt;30,0,H4028&lt;60,1,H4028&lt;90,2,H4028&lt;120,3)</f>
        <v>0</v>
      </c>
      <c r="M4028" t="str">
        <f t="shared" si="380"/>
        <v>Low</v>
      </c>
      <c r="N4028" t="str">
        <f t="shared" si="377"/>
        <v>Jun</v>
      </c>
      <c r="O4028">
        <f t="shared" si="378"/>
        <v>2025</v>
      </c>
    </row>
    <row r="4029" spans="1:15" x14ac:dyDescent="0.3">
      <c r="A4029">
        <v>200515</v>
      </c>
      <c r="B4029" t="s">
        <v>91</v>
      </c>
      <c r="C4029" s="2">
        <v>45832</v>
      </c>
      <c r="D4029" s="2">
        <f t="shared" si="376"/>
        <v>45862</v>
      </c>
      <c r="E4029" s="1">
        <f>D4029</f>
        <v>45862</v>
      </c>
      <c r="F4029">
        <v>919</v>
      </c>
      <c r="G4029">
        <v>30</v>
      </c>
      <c r="H4029">
        <f t="shared" si="381"/>
        <v>0</v>
      </c>
      <c r="I4029" t="str">
        <f t="shared" si="379"/>
        <v>On Time</v>
      </c>
      <c r="J4029" cm="1">
        <f t="array" ref="J4029">_xlfn.IFS(H4029&lt;30,0,H4029&lt;60,1,H4029&lt;90,2,H4029&lt;120,3)</f>
        <v>0</v>
      </c>
      <c r="M4029" t="str">
        <f t="shared" si="380"/>
        <v>Low</v>
      </c>
      <c r="N4029" t="str">
        <f t="shared" si="377"/>
        <v>Jun</v>
      </c>
      <c r="O4029">
        <f t="shared" si="378"/>
        <v>2025</v>
      </c>
    </row>
    <row r="4030" spans="1:15" x14ac:dyDescent="0.3">
      <c r="A4030">
        <v>200516</v>
      </c>
      <c r="B4030" t="s">
        <v>92</v>
      </c>
      <c r="C4030" s="2">
        <v>45832</v>
      </c>
      <c r="D4030" s="2">
        <f t="shared" si="376"/>
        <v>45862</v>
      </c>
      <c r="E4030" s="1">
        <f>D4030+2</f>
        <v>45864</v>
      </c>
      <c r="F4030">
        <v>3413</v>
      </c>
      <c r="G4030">
        <v>30</v>
      </c>
      <c r="H4030">
        <f t="shared" si="381"/>
        <v>0</v>
      </c>
      <c r="I4030" t="str">
        <f t="shared" si="379"/>
        <v>On Time</v>
      </c>
      <c r="J4030" cm="1">
        <f t="array" ref="J4030">_xlfn.IFS(H4030&lt;30,0,H4030&lt;60,1,H4030&lt;90,2,H4030&lt;120,3)</f>
        <v>0</v>
      </c>
      <c r="M4030" t="str">
        <f t="shared" si="380"/>
        <v>Low</v>
      </c>
      <c r="N4030" t="str">
        <f t="shared" si="377"/>
        <v>Jun</v>
      </c>
      <c r="O4030">
        <f t="shared" si="378"/>
        <v>2025</v>
      </c>
    </row>
    <row r="4031" spans="1:15" x14ac:dyDescent="0.3">
      <c r="A4031">
        <v>200517</v>
      </c>
      <c r="B4031" t="s">
        <v>93</v>
      </c>
      <c r="C4031" s="2">
        <v>45832</v>
      </c>
      <c r="D4031" s="2">
        <f t="shared" si="376"/>
        <v>45862</v>
      </c>
      <c r="E4031" s="1">
        <f>D4031+2</f>
        <v>45864</v>
      </c>
      <c r="F4031">
        <v>3852</v>
      </c>
      <c r="G4031">
        <v>30</v>
      </c>
      <c r="H4031">
        <f t="shared" si="381"/>
        <v>0</v>
      </c>
      <c r="I4031" t="str">
        <f t="shared" si="379"/>
        <v>On Time</v>
      </c>
      <c r="J4031" cm="1">
        <f t="array" ref="J4031">_xlfn.IFS(H4031&lt;30,0,H4031&lt;60,1,H4031&lt;90,2,H4031&lt;120,3)</f>
        <v>0</v>
      </c>
      <c r="M4031" t="str">
        <f t="shared" si="380"/>
        <v>Low</v>
      </c>
      <c r="N4031" t="str">
        <f t="shared" si="377"/>
        <v>Jun</v>
      </c>
      <c r="O4031">
        <f t="shared" si="378"/>
        <v>2025</v>
      </c>
    </row>
    <row r="4032" spans="1:15" x14ac:dyDescent="0.3">
      <c r="A4032">
        <v>200518</v>
      </c>
      <c r="B4032" t="s">
        <v>94</v>
      </c>
      <c r="C4032" s="2">
        <v>45832</v>
      </c>
      <c r="D4032" s="2">
        <f t="shared" si="376"/>
        <v>45862</v>
      </c>
      <c r="E4032" s="1">
        <f>D4032+2</f>
        <v>45864</v>
      </c>
      <c r="F4032">
        <v>1751</v>
      </c>
      <c r="G4032">
        <v>30</v>
      </c>
      <c r="H4032">
        <f t="shared" si="381"/>
        <v>0</v>
      </c>
      <c r="I4032" t="str">
        <f t="shared" si="379"/>
        <v>On Time</v>
      </c>
      <c r="J4032" cm="1">
        <f t="array" ref="J4032">_xlfn.IFS(H4032&lt;30,0,H4032&lt;60,1,H4032&lt;90,2,H4032&lt;120,3)</f>
        <v>0</v>
      </c>
      <c r="M4032" t="str">
        <f t="shared" si="380"/>
        <v>Low</v>
      </c>
      <c r="N4032" t="str">
        <f t="shared" si="377"/>
        <v>Jun</v>
      </c>
      <c r="O4032">
        <f t="shared" si="378"/>
        <v>2025</v>
      </c>
    </row>
    <row r="4033" spans="1:15" x14ac:dyDescent="0.3">
      <c r="A4033">
        <v>200519</v>
      </c>
      <c r="B4033" t="s">
        <v>95</v>
      </c>
      <c r="C4033" s="2">
        <v>45832</v>
      </c>
      <c r="D4033" s="2">
        <f t="shared" si="376"/>
        <v>45877</v>
      </c>
      <c r="E4033" s="1">
        <f>D4033</f>
        <v>45877</v>
      </c>
      <c r="F4033">
        <v>1470</v>
      </c>
      <c r="G4033">
        <v>45</v>
      </c>
      <c r="H4033">
        <f t="shared" si="381"/>
        <v>0</v>
      </c>
      <c r="I4033" t="str">
        <f t="shared" si="379"/>
        <v>On Time</v>
      </c>
      <c r="J4033" cm="1">
        <f t="array" ref="J4033">_xlfn.IFS(H4033&lt;30,0,H4033&lt;60,1,H4033&lt;90,2,H4033&lt;120,3)</f>
        <v>0</v>
      </c>
      <c r="M4033" t="str">
        <f t="shared" si="380"/>
        <v>Low</v>
      </c>
      <c r="N4033" t="str">
        <f t="shared" si="377"/>
        <v>Jun</v>
      </c>
      <c r="O4033">
        <f t="shared" si="378"/>
        <v>2025</v>
      </c>
    </row>
    <row r="4034" spans="1:15" x14ac:dyDescent="0.3">
      <c r="A4034">
        <v>200520</v>
      </c>
      <c r="B4034" t="s">
        <v>68</v>
      </c>
      <c r="C4034" s="2">
        <v>45832</v>
      </c>
      <c r="D4034" s="2">
        <f t="shared" ref="D4034:D4097" si="382">C4034+G4034</f>
        <v>45862</v>
      </c>
      <c r="E4034" s="1">
        <f>D4034+20</f>
        <v>45882</v>
      </c>
      <c r="F4034">
        <v>3738</v>
      </c>
      <c r="G4034">
        <v>30</v>
      </c>
      <c r="H4034">
        <f t="shared" si="381"/>
        <v>0</v>
      </c>
      <c r="I4034" t="str">
        <f t="shared" si="379"/>
        <v>On Time</v>
      </c>
      <c r="J4034" cm="1">
        <f t="array" ref="J4034">_xlfn.IFS(H4034&lt;30,0,H4034&lt;60,1,H4034&lt;90,2,H4034&lt;120,3)</f>
        <v>0</v>
      </c>
      <c r="M4034" t="str">
        <f t="shared" si="380"/>
        <v>Low</v>
      </c>
      <c r="N4034" t="str">
        <f t="shared" ref="N4034:N4097" si="383">TEXT(C4034,"mmm")</f>
        <v>Jun</v>
      </c>
      <c r="O4034">
        <f t="shared" ref="O4034:O4097" si="384">YEAR(C4034)</f>
        <v>2025</v>
      </c>
    </row>
    <row r="4035" spans="1:15" x14ac:dyDescent="0.3">
      <c r="A4035">
        <v>200521</v>
      </c>
      <c r="B4035" t="s">
        <v>69</v>
      </c>
      <c r="C4035" s="2">
        <v>45832</v>
      </c>
      <c r="D4035" s="2">
        <f t="shared" si="382"/>
        <v>45862</v>
      </c>
      <c r="E4035" s="1">
        <f>D4035</f>
        <v>45862</v>
      </c>
      <c r="F4035">
        <v>4429</v>
      </c>
      <c r="G4035">
        <v>30</v>
      </c>
      <c r="H4035">
        <f t="shared" si="381"/>
        <v>0</v>
      </c>
      <c r="I4035" t="str">
        <f t="shared" si="379"/>
        <v>On Time</v>
      </c>
      <c r="J4035" cm="1">
        <f t="array" ref="J4035">_xlfn.IFS(H4035&lt;30,0,H4035&lt;60,1,H4035&lt;90,2,H4035&lt;120,3)</f>
        <v>0</v>
      </c>
      <c r="M4035" t="str">
        <f t="shared" si="380"/>
        <v>Low</v>
      </c>
      <c r="N4035" t="str">
        <f t="shared" si="383"/>
        <v>Jun</v>
      </c>
      <c r="O4035">
        <f t="shared" si="384"/>
        <v>2025</v>
      </c>
    </row>
    <row r="4036" spans="1:15" x14ac:dyDescent="0.3">
      <c r="A4036">
        <v>200522</v>
      </c>
      <c r="B4036" t="s">
        <v>70</v>
      </c>
      <c r="C4036" s="2">
        <v>45832</v>
      </c>
      <c r="D4036" s="2">
        <f t="shared" si="382"/>
        <v>45862</v>
      </c>
      <c r="E4036" s="1">
        <f>D4036+1</f>
        <v>45863</v>
      </c>
      <c r="F4036">
        <v>3360</v>
      </c>
      <c r="G4036">
        <v>30</v>
      </c>
      <c r="H4036">
        <f t="shared" si="381"/>
        <v>0</v>
      </c>
      <c r="I4036" t="str">
        <f t="shared" si="379"/>
        <v>On Time</v>
      </c>
      <c r="J4036" cm="1">
        <f t="array" ref="J4036">_xlfn.IFS(H4036&lt;30,0,H4036&lt;60,1,H4036&lt;90,2,H4036&lt;120,3)</f>
        <v>0</v>
      </c>
      <c r="M4036" t="str">
        <f t="shared" si="380"/>
        <v>Low</v>
      </c>
      <c r="N4036" t="str">
        <f t="shared" si="383"/>
        <v>Jun</v>
      </c>
      <c r="O4036">
        <f t="shared" si="384"/>
        <v>2025</v>
      </c>
    </row>
    <row r="4037" spans="1:15" x14ac:dyDescent="0.3">
      <c r="A4037">
        <v>200523</v>
      </c>
      <c r="B4037" t="s">
        <v>71</v>
      </c>
      <c r="C4037" s="2">
        <v>45832</v>
      </c>
      <c r="D4037" s="2">
        <f t="shared" si="382"/>
        <v>45862</v>
      </c>
      <c r="E4037" s="1">
        <f>D4037</f>
        <v>45862</v>
      </c>
      <c r="F4037">
        <v>4197</v>
      </c>
      <c r="G4037">
        <v>30</v>
      </c>
      <c r="H4037">
        <f t="shared" si="381"/>
        <v>0</v>
      </c>
      <c r="I4037" t="str">
        <f t="shared" si="379"/>
        <v>On Time</v>
      </c>
      <c r="J4037" cm="1">
        <f t="array" ref="J4037">_xlfn.IFS(H4037&lt;30,0,H4037&lt;60,1,H4037&lt;90,2,H4037&lt;120,3)</f>
        <v>0</v>
      </c>
      <c r="M4037" t="str">
        <f t="shared" si="380"/>
        <v>Low</v>
      </c>
      <c r="N4037" t="str">
        <f t="shared" si="383"/>
        <v>Jun</v>
      </c>
      <c r="O4037">
        <f t="shared" si="384"/>
        <v>2025</v>
      </c>
    </row>
    <row r="4038" spans="1:15" x14ac:dyDescent="0.3">
      <c r="A4038">
        <v>200524</v>
      </c>
      <c r="B4038" t="s">
        <v>72</v>
      </c>
      <c r="C4038" s="2">
        <v>45832</v>
      </c>
      <c r="D4038" s="2">
        <f t="shared" si="382"/>
        <v>45862</v>
      </c>
      <c r="E4038" s="1">
        <f>D4038</f>
        <v>45862</v>
      </c>
      <c r="F4038">
        <v>3537</v>
      </c>
      <c r="G4038">
        <v>30</v>
      </c>
      <c r="H4038">
        <f t="shared" si="381"/>
        <v>0</v>
      </c>
      <c r="I4038" t="str">
        <f t="shared" si="379"/>
        <v>On Time</v>
      </c>
      <c r="J4038" cm="1">
        <f t="array" ref="J4038">_xlfn.IFS(H4038&lt;30,0,H4038&lt;60,1,H4038&lt;90,2,H4038&lt;120,3)</f>
        <v>0</v>
      </c>
      <c r="M4038" t="str">
        <f t="shared" si="380"/>
        <v>Low</v>
      </c>
      <c r="N4038" t="str">
        <f t="shared" si="383"/>
        <v>Jun</v>
      </c>
      <c r="O4038">
        <f t="shared" si="384"/>
        <v>2025</v>
      </c>
    </row>
    <row r="4039" spans="1:15" x14ac:dyDescent="0.3">
      <c r="A4039">
        <v>200525</v>
      </c>
      <c r="B4039" t="s">
        <v>73</v>
      </c>
      <c r="C4039" s="2">
        <v>45832</v>
      </c>
      <c r="D4039" s="2">
        <f t="shared" si="382"/>
        <v>45877</v>
      </c>
      <c r="E4039" s="1">
        <f>D4039+5</f>
        <v>45882</v>
      </c>
      <c r="F4039">
        <v>4172</v>
      </c>
      <c r="G4039">
        <v>45</v>
      </c>
      <c r="H4039">
        <f t="shared" si="381"/>
        <v>0</v>
      </c>
      <c r="I4039" t="str">
        <f t="shared" si="379"/>
        <v>On Time</v>
      </c>
      <c r="J4039" cm="1">
        <f t="array" ref="J4039">_xlfn.IFS(H4039&lt;30,0,H4039&lt;60,1,H4039&lt;90,2,H4039&lt;120,3)</f>
        <v>0</v>
      </c>
      <c r="M4039" t="str">
        <f t="shared" si="380"/>
        <v>Low</v>
      </c>
      <c r="N4039" t="str">
        <f t="shared" si="383"/>
        <v>Jun</v>
      </c>
      <c r="O4039">
        <f t="shared" si="384"/>
        <v>2025</v>
      </c>
    </row>
    <row r="4040" spans="1:15" x14ac:dyDescent="0.3">
      <c r="A4040">
        <v>200526</v>
      </c>
      <c r="B4040" t="s">
        <v>74</v>
      </c>
      <c r="C4040" s="2">
        <v>45832</v>
      </c>
      <c r="D4040" s="2">
        <f t="shared" si="382"/>
        <v>45877</v>
      </c>
      <c r="E4040" s="1">
        <f>D4040+2</f>
        <v>45879</v>
      </c>
      <c r="F4040">
        <v>1455</v>
      </c>
      <c r="G4040">
        <v>45</v>
      </c>
      <c r="H4040">
        <f t="shared" si="381"/>
        <v>0</v>
      </c>
      <c r="I4040" t="str">
        <f t="shared" si="379"/>
        <v>On Time</v>
      </c>
      <c r="J4040" cm="1">
        <f t="array" ref="J4040">_xlfn.IFS(H4040&lt;30,0,H4040&lt;60,1,H4040&lt;90,2,H4040&lt;120,3)</f>
        <v>0</v>
      </c>
      <c r="M4040" t="str">
        <f t="shared" si="380"/>
        <v>Low</v>
      </c>
      <c r="N4040" t="str">
        <f t="shared" si="383"/>
        <v>Jun</v>
      </c>
      <c r="O4040">
        <f t="shared" si="384"/>
        <v>2025</v>
      </c>
    </row>
    <row r="4041" spans="1:15" x14ac:dyDescent="0.3">
      <c r="A4041">
        <v>200527</v>
      </c>
      <c r="B4041" t="s">
        <v>45</v>
      </c>
      <c r="C4041" s="2">
        <v>45832</v>
      </c>
      <c r="D4041" s="2">
        <f t="shared" si="382"/>
        <v>45877</v>
      </c>
      <c r="E4041" s="1">
        <f>D4041</f>
        <v>45877</v>
      </c>
      <c r="F4041">
        <v>1323</v>
      </c>
      <c r="G4041">
        <v>45</v>
      </c>
      <c r="H4041">
        <f t="shared" si="381"/>
        <v>0</v>
      </c>
      <c r="I4041" t="str">
        <f t="shared" si="379"/>
        <v>On Time</v>
      </c>
      <c r="J4041" cm="1">
        <f t="array" ref="J4041">_xlfn.IFS(H4041&lt;30,0,H4041&lt;60,1,H4041&lt;90,2,H4041&lt;120,3)</f>
        <v>0</v>
      </c>
      <c r="M4041" t="str">
        <f t="shared" si="380"/>
        <v>Low</v>
      </c>
      <c r="N4041" t="str">
        <f t="shared" si="383"/>
        <v>Jun</v>
      </c>
      <c r="O4041">
        <f t="shared" si="384"/>
        <v>2025</v>
      </c>
    </row>
    <row r="4042" spans="1:15" x14ac:dyDescent="0.3">
      <c r="A4042">
        <v>200528</v>
      </c>
      <c r="B4042" t="s">
        <v>46</v>
      </c>
      <c r="C4042" s="2">
        <v>45832</v>
      </c>
      <c r="D4042" s="2">
        <f t="shared" si="382"/>
        <v>45892</v>
      </c>
      <c r="E4042" s="1">
        <f>D4042</f>
        <v>45892</v>
      </c>
      <c r="F4042">
        <v>4750</v>
      </c>
      <c r="G4042">
        <v>60</v>
      </c>
      <c r="H4042">
        <f t="shared" si="381"/>
        <v>0</v>
      </c>
      <c r="I4042" t="str">
        <f t="shared" si="379"/>
        <v>On Time</v>
      </c>
      <c r="J4042" cm="1">
        <f t="array" ref="J4042">_xlfn.IFS(H4042&lt;30,0,H4042&lt;60,1,H4042&lt;90,2,H4042&lt;120,3)</f>
        <v>0</v>
      </c>
      <c r="M4042" t="str">
        <f t="shared" si="380"/>
        <v>Low</v>
      </c>
      <c r="N4042" t="str">
        <f t="shared" si="383"/>
        <v>Jun</v>
      </c>
      <c r="O4042">
        <f t="shared" si="384"/>
        <v>2025</v>
      </c>
    </row>
    <row r="4043" spans="1:15" x14ac:dyDescent="0.3">
      <c r="A4043">
        <v>200529</v>
      </c>
      <c r="B4043" t="s">
        <v>47</v>
      </c>
      <c r="C4043" s="2">
        <v>45832</v>
      </c>
      <c r="D4043" s="2">
        <f t="shared" si="382"/>
        <v>45892</v>
      </c>
      <c r="E4043" s="1">
        <f>D4043</f>
        <v>45892</v>
      </c>
      <c r="F4043">
        <v>109</v>
      </c>
      <c r="G4043">
        <v>60</v>
      </c>
      <c r="H4043">
        <f t="shared" si="381"/>
        <v>0</v>
      </c>
      <c r="I4043" t="str">
        <f t="shared" si="379"/>
        <v>On Time</v>
      </c>
      <c r="J4043" cm="1">
        <f t="array" ref="J4043">_xlfn.IFS(H4043&lt;30,0,H4043&lt;60,1,H4043&lt;90,2,H4043&lt;120,3)</f>
        <v>0</v>
      </c>
      <c r="M4043" t="str">
        <f t="shared" si="380"/>
        <v>Low</v>
      </c>
      <c r="N4043" t="str">
        <f t="shared" si="383"/>
        <v>Jun</v>
      </c>
      <c r="O4043">
        <f t="shared" si="384"/>
        <v>2025</v>
      </c>
    </row>
    <row r="4044" spans="1:15" x14ac:dyDescent="0.3">
      <c r="A4044">
        <v>200499</v>
      </c>
      <c r="B4044" t="s">
        <v>115</v>
      </c>
      <c r="C4044" s="2">
        <v>45831</v>
      </c>
      <c r="D4044" s="2">
        <f t="shared" si="382"/>
        <v>45861</v>
      </c>
      <c r="F4044">
        <v>251</v>
      </c>
      <c r="G4044">
        <v>30</v>
      </c>
      <c r="H4044">
        <f t="shared" si="381"/>
        <v>0</v>
      </c>
      <c r="I4044" t="str">
        <f t="shared" si="379"/>
        <v>On Time</v>
      </c>
      <c r="J4044" cm="1">
        <f t="array" ref="J4044">_xlfn.IFS(H4044&lt;30,0,H4044&lt;60,1,H4044&lt;90,2,H4044&lt;120,3)</f>
        <v>0</v>
      </c>
      <c r="M4044" t="str">
        <f t="shared" si="380"/>
        <v>Low</v>
      </c>
      <c r="N4044" t="str">
        <f t="shared" si="383"/>
        <v>Jun</v>
      </c>
      <c r="O4044">
        <f t="shared" si="384"/>
        <v>2025</v>
      </c>
    </row>
    <row r="4045" spans="1:15" x14ac:dyDescent="0.3">
      <c r="A4045">
        <v>200500</v>
      </c>
      <c r="B4045" t="s">
        <v>116</v>
      </c>
      <c r="C4045" s="2">
        <v>45831</v>
      </c>
      <c r="D4045" s="2">
        <f t="shared" si="382"/>
        <v>45861</v>
      </c>
      <c r="E4045" s="1">
        <f>D4045+3</f>
        <v>45864</v>
      </c>
      <c r="F4045">
        <v>12356</v>
      </c>
      <c r="G4045">
        <v>30</v>
      </c>
      <c r="H4045">
        <f t="shared" si="381"/>
        <v>0</v>
      </c>
      <c r="I4045" t="str">
        <f t="shared" si="379"/>
        <v>On Time</v>
      </c>
      <c r="J4045" cm="1">
        <f t="array" ref="J4045">_xlfn.IFS(H4045&lt;30,0,H4045&lt;60,1,H4045&lt;90,2,H4045&lt;120,3)</f>
        <v>0</v>
      </c>
      <c r="M4045" t="str">
        <f t="shared" si="380"/>
        <v>Low</v>
      </c>
      <c r="N4045" t="str">
        <f t="shared" si="383"/>
        <v>Jun</v>
      </c>
      <c r="O4045">
        <f t="shared" si="384"/>
        <v>2025</v>
      </c>
    </row>
    <row r="4046" spans="1:15" x14ac:dyDescent="0.3">
      <c r="A4046">
        <v>200501</v>
      </c>
      <c r="B4046" t="s">
        <v>117</v>
      </c>
      <c r="C4046" s="2">
        <v>45831</v>
      </c>
      <c r="D4046" s="2">
        <f t="shared" si="382"/>
        <v>45861</v>
      </c>
      <c r="E4046" s="1">
        <f>D4046+1</f>
        <v>45862</v>
      </c>
      <c r="F4046">
        <v>4174</v>
      </c>
      <c r="G4046">
        <v>30</v>
      </c>
      <c r="H4046">
        <f t="shared" si="381"/>
        <v>0</v>
      </c>
      <c r="I4046" t="str">
        <f t="shared" si="379"/>
        <v>On Time</v>
      </c>
      <c r="J4046" cm="1">
        <f t="array" ref="J4046">_xlfn.IFS(H4046&lt;30,0,H4046&lt;60,1,H4046&lt;90,2,H4046&lt;120,3)</f>
        <v>0</v>
      </c>
      <c r="M4046" t="str">
        <f t="shared" si="380"/>
        <v>Low</v>
      </c>
      <c r="N4046" t="str">
        <f t="shared" si="383"/>
        <v>Jun</v>
      </c>
      <c r="O4046">
        <f t="shared" si="384"/>
        <v>2025</v>
      </c>
    </row>
    <row r="4047" spans="1:15" x14ac:dyDescent="0.3">
      <c r="A4047">
        <v>200502</v>
      </c>
      <c r="B4047" t="s">
        <v>118</v>
      </c>
      <c r="C4047" s="2">
        <v>45831</v>
      </c>
      <c r="D4047" s="2">
        <f t="shared" si="382"/>
        <v>45861</v>
      </c>
      <c r="E4047" s="1">
        <f>D4047-1</f>
        <v>45860</v>
      </c>
      <c r="F4047">
        <v>1245</v>
      </c>
      <c r="G4047">
        <v>30</v>
      </c>
      <c r="H4047">
        <f t="shared" si="381"/>
        <v>0</v>
      </c>
      <c r="I4047" t="str">
        <f t="shared" si="379"/>
        <v>On Time</v>
      </c>
      <c r="J4047" cm="1">
        <f t="array" ref="J4047">_xlfn.IFS(H4047&lt;30,0,H4047&lt;60,1,H4047&lt;90,2,H4047&lt;120,3)</f>
        <v>0</v>
      </c>
      <c r="M4047" t="str">
        <f t="shared" si="380"/>
        <v>Low</v>
      </c>
      <c r="N4047" t="str">
        <f t="shared" si="383"/>
        <v>Jun</v>
      </c>
      <c r="O4047">
        <f t="shared" si="384"/>
        <v>2025</v>
      </c>
    </row>
    <row r="4048" spans="1:15" x14ac:dyDescent="0.3">
      <c r="A4048">
        <v>200503</v>
      </c>
      <c r="B4048" t="s">
        <v>119</v>
      </c>
      <c r="C4048" s="2">
        <v>45831</v>
      </c>
      <c r="D4048" s="2">
        <f t="shared" si="382"/>
        <v>45861</v>
      </c>
      <c r="E4048" s="1">
        <f>D4048</f>
        <v>45861</v>
      </c>
      <c r="F4048">
        <v>12714</v>
      </c>
      <c r="G4048">
        <v>30</v>
      </c>
      <c r="H4048">
        <f t="shared" si="381"/>
        <v>0</v>
      </c>
      <c r="I4048" t="str">
        <f t="shared" si="379"/>
        <v>On Time</v>
      </c>
      <c r="J4048" cm="1">
        <f t="array" ref="J4048">_xlfn.IFS(H4048&lt;30,0,H4048&lt;60,1,H4048&lt;90,2,H4048&lt;120,3)</f>
        <v>0</v>
      </c>
      <c r="M4048" t="str">
        <f t="shared" si="380"/>
        <v>Low</v>
      </c>
      <c r="N4048" t="str">
        <f t="shared" si="383"/>
        <v>Jun</v>
      </c>
      <c r="O4048">
        <f t="shared" si="384"/>
        <v>2025</v>
      </c>
    </row>
    <row r="4049" spans="1:15" x14ac:dyDescent="0.3">
      <c r="A4049">
        <v>200504</v>
      </c>
      <c r="B4049" t="s">
        <v>100</v>
      </c>
      <c r="C4049" s="2">
        <v>45831</v>
      </c>
      <c r="D4049" s="2">
        <f t="shared" si="382"/>
        <v>45861</v>
      </c>
      <c r="E4049" s="1">
        <f>D4049-5</f>
        <v>45856</v>
      </c>
      <c r="F4049">
        <v>15896</v>
      </c>
      <c r="G4049">
        <v>30</v>
      </c>
      <c r="H4049">
        <f t="shared" si="381"/>
        <v>0</v>
      </c>
      <c r="I4049" t="str">
        <f t="shared" si="379"/>
        <v>On Time</v>
      </c>
      <c r="J4049" cm="1">
        <f t="array" ref="J4049">_xlfn.IFS(H4049&lt;30,0,H4049&lt;60,1,H4049&lt;90,2,H4049&lt;120,3)</f>
        <v>0</v>
      </c>
      <c r="M4049" t="str">
        <f t="shared" si="380"/>
        <v>Low</v>
      </c>
      <c r="N4049" t="str">
        <f t="shared" si="383"/>
        <v>Jun</v>
      </c>
      <c r="O4049">
        <f t="shared" si="384"/>
        <v>2025</v>
      </c>
    </row>
    <row r="4050" spans="1:15" x14ac:dyDescent="0.3">
      <c r="A4050">
        <v>200505</v>
      </c>
      <c r="B4050" t="s">
        <v>101</v>
      </c>
      <c r="C4050" s="2">
        <v>45831</v>
      </c>
      <c r="D4050" s="2">
        <f t="shared" si="382"/>
        <v>45861</v>
      </c>
      <c r="E4050" s="1">
        <f>D4050+35</f>
        <v>45896</v>
      </c>
      <c r="F4050">
        <v>3919</v>
      </c>
      <c r="G4050">
        <v>30</v>
      </c>
      <c r="H4050">
        <f t="shared" si="381"/>
        <v>0</v>
      </c>
      <c r="I4050" t="str">
        <f t="shared" si="379"/>
        <v>On Time</v>
      </c>
      <c r="J4050" cm="1">
        <f t="array" ref="J4050">_xlfn.IFS(H4050&lt;30,0,H4050&lt;60,1,H4050&lt;90,2,H4050&lt;120,3)</f>
        <v>0</v>
      </c>
      <c r="M4050" t="str">
        <f t="shared" si="380"/>
        <v>Low</v>
      </c>
      <c r="N4050" t="str">
        <f t="shared" si="383"/>
        <v>Jun</v>
      </c>
      <c r="O4050">
        <f t="shared" si="384"/>
        <v>2025</v>
      </c>
    </row>
    <row r="4051" spans="1:15" x14ac:dyDescent="0.3">
      <c r="A4051">
        <v>200506</v>
      </c>
      <c r="B4051" t="s">
        <v>102</v>
      </c>
      <c r="C4051" s="2">
        <v>45831</v>
      </c>
      <c r="D4051" s="2">
        <f t="shared" si="382"/>
        <v>45861</v>
      </c>
      <c r="E4051" s="1">
        <f>D4051+75</f>
        <v>45936</v>
      </c>
      <c r="F4051">
        <v>4936</v>
      </c>
      <c r="G4051">
        <v>30</v>
      </c>
      <c r="H4051">
        <f t="shared" si="381"/>
        <v>0</v>
      </c>
      <c r="I4051" t="str">
        <f t="shared" si="379"/>
        <v>On Time</v>
      </c>
      <c r="J4051" cm="1">
        <f t="array" ref="J4051">_xlfn.IFS(H4051&lt;30,0,H4051&lt;60,1,H4051&lt;90,2,H4051&lt;120,3)</f>
        <v>0</v>
      </c>
      <c r="M4051" t="str">
        <f t="shared" si="380"/>
        <v>Low</v>
      </c>
      <c r="N4051" t="str">
        <f t="shared" si="383"/>
        <v>Jun</v>
      </c>
      <c r="O4051">
        <f t="shared" si="384"/>
        <v>2025</v>
      </c>
    </row>
    <row r="4052" spans="1:15" x14ac:dyDescent="0.3">
      <c r="A4052">
        <v>200507</v>
      </c>
      <c r="B4052" t="s">
        <v>103</v>
      </c>
      <c r="C4052" s="2">
        <v>45831</v>
      </c>
      <c r="D4052" s="2">
        <f t="shared" si="382"/>
        <v>45861</v>
      </c>
      <c r="E4052" s="1">
        <f>D4052+5</f>
        <v>45866</v>
      </c>
      <c r="F4052">
        <v>2168</v>
      </c>
      <c r="G4052">
        <v>30</v>
      </c>
      <c r="H4052">
        <f t="shared" si="381"/>
        <v>0</v>
      </c>
      <c r="I4052" t="str">
        <f t="shared" si="379"/>
        <v>On Time</v>
      </c>
      <c r="J4052" cm="1">
        <f t="array" ref="J4052">_xlfn.IFS(H4052&lt;30,0,H4052&lt;60,1,H4052&lt;90,2,H4052&lt;120,3)</f>
        <v>0</v>
      </c>
      <c r="M4052" t="str">
        <f t="shared" si="380"/>
        <v>Low</v>
      </c>
      <c r="N4052" t="str">
        <f t="shared" si="383"/>
        <v>Jun</v>
      </c>
      <c r="O4052">
        <f t="shared" si="384"/>
        <v>2025</v>
      </c>
    </row>
    <row r="4053" spans="1:15" x14ac:dyDescent="0.3">
      <c r="A4053">
        <v>200508</v>
      </c>
      <c r="B4053" t="s">
        <v>104</v>
      </c>
      <c r="C4053" s="2">
        <v>45831</v>
      </c>
      <c r="D4053" s="2">
        <f t="shared" si="382"/>
        <v>45861</v>
      </c>
      <c r="E4053" s="1">
        <f>D4053</f>
        <v>45861</v>
      </c>
      <c r="F4053">
        <v>3199</v>
      </c>
      <c r="G4053">
        <v>30</v>
      </c>
      <c r="H4053">
        <f t="shared" si="381"/>
        <v>0</v>
      </c>
      <c r="I4053" t="str">
        <f t="shared" si="379"/>
        <v>On Time</v>
      </c>
      <c r="J4053" cm="1">
        <f t="array" ref="J4053">_xlfn.IFS(H4053&lt;30,0,H4053&lt;60,1,H4053&lt;90,2,H4053&lt;120,3)</f>
        <v>0</v>
      </c>
      <c r="M4053" t="str">
        <f t="shared" si="380"/>
        <v>Low</v>
      </c>
      <c r="N4053" t="str">
        <f t="shared" si="383"/>
        <v>Jun</v>
      </c>
      <c r="O4053">
        <f t="shared" si="384"/>
        <v>2025</v>
      </c>
    </row>
    <row r="4054" spans="1:15" x14ac:dyDescent="0.3">
      <c r="A4054">
        <v>200509</v>
      </c>
      <c r="B4054" t="s">
        <v>105</v>
      </c>
      <c r="C4054" s="2">
        <v>45831</v>
      </c>
      <c r="D4054" s="2">
        <f t="shared" si="382"/>
        <v>45861</v>
      </c>
      <c r="E4054" s="1">
        <f>D4054-1</f>
        <v>45860</v>
      </c>
      <c r="F4054">
        <v>7754</v>
      </c>
      <c r="G4054">
        <v>30</v>
      </c>
      <c r="H4054">
        <f t="shared" si="381"/>
        <v>0</v>
      </c>
      <c r="I4054" t="str">
        <f t="shared" ref="I4054:I4117" si="385">IF(H4054=0,"On Time",IF(H4054&lt;=15,"Paid Late","Seriously Late"))</f>
        <v>On Time</v>
      </c>
      <c r="J4054" cm="1">
        <f t="array" ref="J4054">_xlfn.IFS(H4054&lt;30,0,H4054&lt;60,1,H4054&lt;90,2,H4054&lt;120,3)</f>
        <v>0</v>
      </c>
      <c r="M4054" t="str">
        <f t="shared" ref="M4054:M4117" si="386">IF(H4054&gt;30,"High",IF(H4054&gt;10,"Medium","Low"))</f>
        <v>Low</v>
      </c>
      <c r="N4054" t="str">
        <f t="shared" si="383"/>
        <v>Jun</v>
      </c>
      <c r="O4054">
        <f t="shared" si="384"/>
        <v>2025</v>
      </c>
    </row>
    <row r="4055" spans="1:15" x14ac:dyDescent="0.3">
      <c r="A4055">
        <v>200510</v>
      </c>
      <c r="B4055" t="s">
        <v>86</v>
      </c>
      <c r="C4055" s="2">
        <v>45831</v>
      </c>
      <c r="D4055" s="2">
        <f t="shared" si="382"/>
        <v>45861</v>
      </c>
      <c r="E4055" s="1">
        <f>D4055</f>
        <v>45861</v>
      </c>
      <c r="F4055">
        <v>795</v>
      </c>
      <c r="G4055">
        <v>30</v>
      </c>
      <c r="H4055">
        <f t="shared" si="381"/>
        <v>0</v>
      </c>
      <c r="I4055" t="str">
        <f t="shared" si="385"/>
        <v>On Time</v>
      </c>
      <c r="J4055" cm="1">
        <f t="array" ref="J4055">_xlfn.IFS(H4055&lt;30,0,H4055&lt;60,1,H4055&lt;90,2,H4055&lt;120,3)</f>
        <v>0</v>
      </c>
      <c r="M4055" t="str">
        <f t="shared" si="386"/>
        <v>Low</v>
      </c>
      <c r="N4055" t="str">
        <f t="shared" si="383"/>
        <v>Jun</v>
      </c>
      <c r="O4055">
        <f t="shared" si="384"/>
        <v>2025</v>
      </c>
    </row>
    <row r="4056" spans="1:15" x14ac:dyDescent="0.3">
      <c r="A4056">
        <v>200511</v>
      </c>
      <c r="B4056" t="s">
        <v>87</v>
      </c>
      <c r="C4056" s="2">
        <v>45831</v>
      </c>
      <c r="D4056" s="2">
        <f t="shared" si="382"/>
        <v>45861</v>
      </c>
      <c r="E4056" s="1">
        <f>D4056+32</f>
        <v>45893</v>
      </c>
      <c r="F4056">
        <v>3259</v>
      </c>
      <c r="G4056">
        <v>30</v>
      </c>
      <c r="H4056">
        <f t="shared" si="381"/>
        <v>0</v>
      </c>
      <c r="I4056" t="str">
        <f t="shared" si="385"/>
        <v>On Time</v>
      </c>
      <c r="J4056" cm="1">
        <f t="array" ref="J4056">_xlfn.IFS(H4056&lt;30,0,H4056&lt;60,1,H4056&lt;90,2,H4056&lt;120,3)</f>
        <v>0</v>
      </c>
      <c r="M4056" t="str">
        <f t="shared" si="386"/>
        <v>Low</v>
      </c>
      <c r="N4056" t="str">
        <f t="shared" si="383"/>
        <v>Jun</v>
      </c>
      <c r="O4056">
        <f t="shared" si="384"/>
        <v>2025</v>
      </c>
    </row>
    <row r="4057" spans="1:15" x14ac:dyDescent="0.3">
      <c r="A4057">
        <v>200512</v>
      </c>
      <c r="B4057" t="s">
        <v>88</v>
      </c>
      <c r="C4057" s="2">
        <v>45831</v>
      </c>
      <c r="D4057" s="2">
        <f t="shared" si="382"/>
        <v>45861</v>
      </c>
      <c r="E4057" s="1">
        <f>D4057+15</f>
        <v>45876</v>
      </c>
      <c r="F4057">
        <v>2996</v>
      </c>
      <c r="G4057">
        <v>30</v>
      </c>
      <c r="H4057">
        <f t="shared" si="381"/>
        <v>0</v>
      </c>
      <c r="I4057" t="str">
        <f t="shared" si="385"/>
        <v>On Time</v>
      </c>
      <c r="J4057" cm="1">
        <f t="array" ref="J4057">_xlfn.IFS(H4057&lt;30,0,H4057&lt;60,1,H4057&lt;90,2,H4057&lt;120,3)</f>
        <v>0</v>
      </c>
      <c r="M4057" t="str">
        <f t="shared" si="386"/>
        <v>Low</v>
      </c>
      <c r="N4057" t="str">
        <f t="shared" si="383"/>
        <v>Jun</v>
      </c>
      <c r="O4057">
        <f t="shared" si="384"/>
        <v>2025</v>
      </c>
    </row>
    <row r="4058" spans="1:15" x14ac:dyDescent="0.3">
      <c r="A4058">
        <v>200513</v>
      </c>
      <c r="B4058" t="s">
        <v>89</v>
      </c>
      <c r="C4058" s="2">
        <v>45831</v>
      </c>
      <c r="D4058" s="2">
        <f t="shared" si="382"/>
        <v>45861</v>
      </c>
      <c r="E4058" s="1">
        <f>D4058</f>
        <v>45861</v>
      </c>
      <c r="F4058">
        <v>2180</v>
      </c>
      <c r="G4058">
        <v>30</v>
      </c>
      <c r="H4058">
        <f t="shared" si="381"/>
        <v>0</v>
      </c>
      <c r="I4058" t="str">
        <f t="shared" si="385"/>
        <v>On Time</v>
      </c>
      <c r="J4058" cm="1">
        <f t="array" ref="J4058">_xlfn.IFS(H4058&lt;30,0,H4058&lt;60,1,H4058&lt;90,2,H4058&lt;120,3)</f>
        <v>0</v>
      </c>
      <c r="M4058" t="str">
        <f t="shared" si="386"/>
        <v>Low</v>
      </c>
      <c r="N4058" t="str">
        <f t="shared" si="383"/>
        <v>Jun</v>
      </c>
      <c r="O4058">
        <f t="shared" si="384"/>
        <v>2025</v>
      </c>
    </row>
    <row r="4059" spans="1:15" x14ac:dyDescent="0.3">
      <c r="A4059">
        <v>200468</v>
      </c>
      <c r="B4059" t="s">
        <v>64</v>
      </c>
      <c r="C4059" s="2">
        <v>45827</v>
      </c>
      <c r="D4059" s="2">
        <f t="shared" si="382"/>
        <v>45857</v>
      </c>
      <c r="E4059" s="1">
        <f>D4059+1</f>
        <v>45858</v>
      </c>
      <c r="F4059">
        <v>4595</v>
      </c>
      <c r="G4059">
        <v>30</v>
      </c>
      <c r="H4059">
        <f t="shared" si="381"/>
        <v>0</v>
      </c>
      <c r="I4059" t="str">
        <f t="shared" si="385"/>
        <v>On Time</v>
      </c>
      <c r="J4059" cm="1">
        <f t="array" ref="J4059">_xlfn.IFS(H4059&lt;30,0,H4059&lt;60,1,H4059&lt;90,2,H4059&lt;120,3)</f>
        <v>0</v>
      </c>
      <c r="M4059" t="str">
        <f t="shared" si="386"/>
        <v>Low</v>
      </c>
      <c r="N4059" t="str">
        <f t="shared" si="383"/>
        <v>Jun</v>
      </c>
      <c r="O4059">
        <f t="shared" si="384"/>
        <v>2025</v>
      </c>
    </row>
    <row r="4060" spans="1:15" x14ac:dyDescent="0.3">
      <c r="A4060">
        <v>200469</v>
      </c>
      <c r="B4060" t="s">
        <v>65</v>
      </c>
      <c r="C4060" s="2">
        <v>45827</v>
      </c>
      <c r="D4060" s="2">
        <f t="shared" si="382"/>
        <v>45872</v>
      </c>
      <c r="E4060" s="1">
        <f>D4060-1</f>
        <v>45871</v>
      </c>
      <c r="F4060">
        <v>3605</v>
      </c>
      <c r="G4060">
        <v>45</v>
      </c>
      <c r="H4060">
        <f t="shared" si="381"/>
        <v>0</v>
      </c>
      <c r="I4060" t="str">
        <f t="shared" si="385"/>
        <v>On Time</v>
      </c>
      <c r="J4060" cm="1">
        <f t="array" ref="J4060">_xlfn.IFS(H4060&lt;30,0,H4060&lt;60,1,H4060&lt;90,2,H4060&lt;120,3)</f>
        <v>0</v>
      </c>
      <c r="M4060" t="str">
        <f t="shared" si="386"/>
        <v>Low</v>
      </c>
      <c r="N4060" t="str">
        <f t="shared" si="383"/>
        <v>Jun</v>
      </c>
      <c r="O4060">
        <f t="shared" si="384"/>
        <v>2025</v>
      </c>
    </row>
    <row r="4061" spans="1:15" x14ac:dyDescent="0.3">
      <c r="A4061">
        <v>200470</v>
      </c>
      <c r="B4061" t="s">
        <v>66</v>
      </c>
      <c r="C4061" s="2">
        <v>45827</v>
      </c>
      <c r="D4061" s="2">
        <f t="shared" si="382"/>
        <v>45887</v>
      </c>
      <c r="E4061" s="1">
        <f>D4061</f>
        <v>45887</v>
      </c>
      <c r="F4061">
        <v>2615</v>
      </c>
      <c r="G4061">
        <v>60</v>
      </c>
      <c r="H4061">
        <f t="shared" si="381"/>
        <v>0</v>
      </c>
      <c r="I4061" t="str">
        <f t="shared" si="385"/>
        <v>On Time</v>
      </c>
      <c r="J4061" cm="1">
        <f t="array" ref="J4061">_xlfn.IFS(H4061&lt;30,0,H4061&lt;60,1,H4061&lt;90,2,H4061&lt;120,3)</f>
        <v>0</v>
      </c>
      <c r="M4061" t="str">
        <f t="shared" si="386"/>
        <v>Low</v>
      </c>
      <c r="N4061" t="str">
        <f t="shared" si="383"/>
        <v>Jun</v>
      </c>
      <c r="O4061">
        <f t="shared" si="384"/>
        <v>2025</v>
      </c>
    </row>
    <row r="4062" spans="1:15" x14ac:dyDescent="0.3">
      <c r="A4062">
        <v>200471</v>
      </c>
      <c r="B4062" t="s">
        <v>67</v>
      </c>
      <c r="C4062" s="2">
        <v>45827</v>
      </c>
      <c r="D4062" s="2">
        <f t="shared" si="382"/>
        <v>45857</v>
      </c>
      <c r="E4062" s="1">
        <f>D4062+1</f>
        <v>45858</v>
      </c>
      <c r="F4062">
        <v>3186</v>
      </c>
      <c r="G4062">
        <v>30</v>
      </c>
      <c r="H4062">
        <f t="shared" si="381"/>
        <v>0</v>
      </c>
      <c r="I4062" t="str">
        <f t="shared" si="385"/>
        <v>On Time</v>
      </c>
      <c r="J4062" cm="1">
        <f t="array" ref="J4062">_xlfn.IFS(H4062&lt;30,0,H4062&lt;60,1,H4062&lt;90,2,H4062&lt;120,3)</f>
        <v>0</v>
      </c>
      <c r="M4062" t="str">
        <f t="shared" si="386"/>
        <v>Low</v>
      </c>
      <c r="N4062" t="str">
        <f t="shared" si="383"/>
        <v>Jun</v>
      </c>
      <c r="O4062">
        <f t="shared" si="384"/>
        <v>2025</v>
      </c>
    </row>
    <row r="4063" spans="1:15" x14ac:dyDescent="0.3">
      <c r="A4063">
        <v>200472</v>
      </c>
      <c r="B4063" t="s">
        <v>68</v>
      </c>
      <c r="C4063" s="2">
        <v>45827</v>
      </c>
      <c r="D4063" s="2">
        <f t="shared" si="382"/>
        <v>45857</v>
      </c>
      <c r="E4063" s="1">
        <f>D4063+35</f>
        <v>45892</v>
      </c>
      <c r="F4063">
        <v>1381</v>
      </c>
      <c r="G4063">
        <v>30</v>
      </c>
      <c r="H4063">
        <f t="shared" si="381"/>
        <v>0</v>
      </c>
      <c r="I4063" t="str">
        <f t="shared" si="385"/>
        <v>On Time</v>
      </c>
      <c r="J4063" cm="1">
        <f t="array" ref="J4063">_xlfn.IFS(H4063&lt;30,0,H4063&lt;60,1,H4063&lt;90,2,H4063&lt;120,3)</f>
        <v>0</v>
      </c>
      <c r="M4063" t="str">
        <f t="shared" si="386"/>
        <v>Low</v>
      </c>
      <c r="N4063" t="str">
        <f t="shared" si="383"/>
        <v>Jun</v>
      </c>
      <c r="O4063">
        <f t="shared" si="384"/>
        <v>2025</v>
      </c>
    </row>
    <row r="4064" spans="1:15" x14ac:dyDescent="0.3">
      <c r="A4064">
        <v>200473</v>
      </c>
      <c r="B4064" t="s">
        <v>69</v>
      </c>
      <c r="C4064" s="2">
        <v>45827</v>
      </c>
      <c r="D4064" s="2">
        <f t="shared" si="382"/>
        <v>45857</v>
      </c>
      <c r="E4064" s="1">
        <f>D4064+90</f>
        <v>45947</v>
      </c>
      <c r="F4064">
        <v>6087</v>
      </c>
      <c r="G4064">
        <v>30</v>
      </c>
      <c r="H4064">
        <f t="shared" si="381"/>
        <v>0</v>
      </c>
      <c r="I4064" t="str">
        <f t="shared" si="385"/>
        <v>On Time</v>
      </c>
      <c r="J4064" cm="1">
        <f t="array" ref="J4064">_xlfn.IFS(H4064&lt;30,0,H4064&lt;60,1,H4064&lt;90,2,H4064&lt;120,3)</f>
        <v>0</v>
      </c>
      <c r="M4064" t="str">
        <f t="shared" si="386"/>
        <v>Low</v>
      </c>
      <c r="N4064" t="str">
        <f t="shared" si="383"/>
        <v>Jun</v>
      </c>
      <c r="O4064">
        <f t="shared" si="384"/>
        <v>2025</v>
      </c>
    </row>
    <row r="4065" spans="1:15" x14ac:dyDescent="0.3">
      <c r="A4065">
        <v>200474</v>
      </c>
      <c r="B4065" t="s">
        <v>70</v>
      </c>
      <c r="C4065" s="2">
        <v>45827</v>
      </c>
      <c r="D4065" s="2">
        <f t="shared" si="382"/>
        <v>45857</v>
      </c>
      <c r="E4065" s="1">
        <f>D4065+5</f>
        <v>45862</v>
      </c>
      <c r="F4065">
        <v>3663</v>
      </c>
      <c r="G4065">
        <v>30</v>
      </c>
      <c r="H4065">
        <f t="shared" si="381"/>
        <v>0</v>
      </c>
      <c r="I4065" t="str">
        <f t="shared" si="385"/>
        <v>On Time</v>
      </c>
      <c r="J4065" cm="1">
        <f t="array" ref="J4065">_xlfn.IFS(H4065&lt;30,0,H4065&lt;60,1,H4065&lt;90,2,H4065&lt;120,3)</f>
        <v>0</v>
      </c>
      <c r="M4065" t="str">
        <f t="shared" si="386"/>
        <v>Low</v>
      </c>
      <c r="N4065" t="str">
        <f t="shared" si="383"/>
        <v>Jun</v>
      </c>
      <c r="O4065">
        <f t="shared" si="384"/>
        <v>2025</v>
      </c>
    </row>
    <row r="4066" spans="1:15" x14ac:dyDescent="0.3">
      <c r="A4066">
        <v>200475</v>
      </c>
      <c r="B4066" t="s">
        <v>71</v>
      </c>
      <c r="C4066" s="2">
        <v>45827</v>
      </c>
      <c r="D4066" s="2">
        <f t="shared" si="382"/>
        <v>45857</v>
      </c>
      <c r="E4066" s="1">
        <f>D4066</f>
        <v>45857</v>
      </c>
      <c r="F4066">
        <v>8190</v>
      </c>
      <c r="G4066">
        <v>30</v>
      </c>
      <c r="H4066">
        <f t="shared" si="381"/>
        <v>0</v>
      </c>
      <c r="I4066" t="str">
        <f t="shared" si="385"/>
        <v>On Time</v>
      </c>
      <c r="J4066" cm="1">
        <f t="array" ref="J4066">_xlfn.IFS(H4066&lt;30,0,H4066&lt;60,1,H4066&lt;90,2,H4066&lt;120,3)</f>
        <v>0</v>
      </c>
      <c r="M4066" t="str">
        <f t="shared" si="386"/>
        <v>Low</v>
      </c>
      <c r="N4066" t="str">
        <f t="shared" si="383"/>
        <v>Jun</v>
      </c>
      <c r="O4066">
        <f t="shared" si="384"/>
        <v>2025</v>
      </c>
    </row>
    <row r="4067" spans="1:15" x14ac:dyDescent="0.3">
      <c r="A4067">
        <v>200476</v>
      </c>
      <c r="B4067" t="s">
        <v>72</v>
      </c>
      <c r="C4067" s="2">
        <v>45827</v>
      </c>
      <c r="D4067" s="2">
        <f t="shared" si="382"/>
        <v>45857</v>
      </c>
      <c r="E4067" s="1">
        <f>D4067-1</f>
        <v>45856</v>
      </c>
      <c r="F4067">
        <v>1215</v>
      </c>
      <c r="G4067">
        <v>30</v>
      </c>
      <c r="H4067">
        <f t="shared" si="381"/>
        <v>0</v>
      </c>
      <c r="I4067" t="str">
        <f t="shared" si="385"/>
        <v>On Time</v>
      </c>
      <c r="J4067" cm="1">
        <f t="array" ref="J4067">_xlfn.IFS(H4067&lt;30,0,H4067&lt;60,1,H4067&lt;90,2,H4067&lt;120,3)</f>
        <v>0</v>
      </c>
      <c r="M4067" t="str">
        <f t="shared" si="386"/>
        <v>Low</v>
      </c>
      <c r="N4067" t="str">
        <f t="shared" si="383"/>
        <v>Jun</v>
      </c>
      <c r="O4067">
        <f t="shared" si="384"/>
        <v>2025</v>
      </c>
    </row>
    <row r="4068" spans="1:15" x14ac:dyDescent="0.3">
      <c r="A4068">
        <v>200477</v>
      </c>
      <c r="B4068" t="s">
        <v>73</v>
      </c>
      <c r="C4068" s="2">
        <v>45827</v>
      </c>
      <c r="D4068" s="2">
        <f t="shared" si="382"/>
        <v>45872</v>
      </c>
      <c r="E4068" s="1">
        <f>D4068</f>
        <v>45872</v>
      </c>
      <c r="F4068">
        <v>2215</v>
      </c>
      <c r="G4068">
        <v>45</v>
      </c>
      <c r="H4068">
        <f t="shared" si="381"/>
        <v>0</v>
      </c>
      <c r="I4068" t="str">
        <f t="shared" si="385"/>
        <v>On Time</v>
      </c>
      <c r="J4068" cm="1">
        <f t="array" ref="J4068">_xlfn.IFS(H4068&lt;30,0,H4068&lt;60,1,H4068&lt;90,2,H4068&lt;120,3)</f>
        <v>0</v>
      </c>
      <c r="M4068" t="str">
        <f t="shared" si="386"/>
        <v>Low</v>
      </c>
      <c r="N4068" t="str">
        <f t="shared" si="383"/>
        <v>Jun</v>
      </c>
      <c r="O4068">
        <f t="shared" si="384"/>
        <v>2025</v>
      </c>
    </row>
    <row r="4069" spans="1:15" x14ac:dyDescent="0.3">
      <c r="A4069">
        <v>200478</v>
      </c>
      <c r="B4069" t="s">
        <v>101</v>
      </c>
      <c r="C4069" s="2">
        <v>45827</v>
      </c>
      <c r="D4069" s="2">
        <f t="shared" si="382"/>
        <v>45857</v>
      </c>
      <c r="E4069" s="1">
        <f>D4069+32</f>
        <v>45889</v>
      </c>
      <c r="F4069">
        <v>4385</v>
      </c>
      <c r="G4069">
        <v>30</v>
      </c>
      <c r="H4069">
        <f t="shared" si="381"/>
        <v>0</v>
      </c>
      <c r="I4069" t="str">
        <f t="shared" si="385"/>
        <v>On Time</v>
      </c>
      <c r="J4069" cm="1">
        <f t="array" ref="J4069">_xlfn.IFS(H4069&lt;30,0,H4069&lt;60,1,H4069&lt;90,2,H4069&lt;120,3)</f>
        <v>0</v>
      </c>
      <c r="M4069" t="str">
        <f t="shared" si="386"/>
        <v>Low</v>
      </c>
      <c r="N4069" t="str">
        <f t="shared" si="383"/>
        <v>Jun</v>
      </c>
      <c r="O4069">
        <f t="shared" si="384"/>
        <v>2025</v>
      </c>
    </row>
    <row r="4070" spans="1:15" x14ac:dyDescent="0.3">
      <c r="A4070">
        <v>200479</v>
      </c>
      <c r="B4070" t="s">
        <v>102</v>
      </c>
      <c r="C4070" s="2">
        <v>45827</v>
      </c>
      <c r="D4070" s="2">
        <f t="shared" si="382"/>
        <v>45857</v>
      </c>
      <c r="E4070" s="1">
        <f>D4070+15</f>
        <v>45872</v>
      </c>
      <c r="F4070">
        <v>4821</v>
      </c>
      <c r="G4070">
        <v>30</v>
      </c>
      <c r="H4070">
        <f t="shared" ref="H4070:H4133" si="387">MAX(0,P4035-D4070)</f>
        <v>0</v>
      </c>
      <c r="I4070" t="str">
        <f t="shared" si="385"/>
        <v>On Time</v>
      </c>
      <c r="J4070" cm="1">
        <f t="array" ref="J4070">_xlfn.IFS(H4070&lt;30,0,H4070&lt;60,1,H4070&lt;90,2,H4070&lt;120,3)</f>
        <v>0</v>
      </c>
      <c r="M4070" t="str">
        <f t="shared" si="386"/>
        <v>Low</v>
      </c>
      <c r="N4070" t="str">
        <f t="shared" si="383"/>
        <v>Jun</v>
      </c>
      <c r="O4070">
        <f t="shared" si="384"/>
        <v>2025</v>
      </c>
    </row>
    <row r="4071" spans="1:15" x14ac:dyDescent="0.3">
      <c r="A4071">
        <v>200480</v>
      </c>
      <c r="B4071" t="s">
        <v>103</v>
      </c>
      <c r="C4071" s="2">
        <v>45827</v>
      </c>
      <c r="D4071" s="2">
        <f t="shared" si="382"/>
        <v>45857</v>
      </c>
      <c r="E4071" s="1">
        <f>D4071-2</f>
        <v>45855</v>
      </c>
      <c r="F4071">
        <v>3733</v>
      </c>
      <c r="G4071">
        <v>30</v>
      </c>
      <c r="H4071">
        <f t="shared" si="387"/>
        <v>0</v>
      </c>
      <c r="I4071" t="str">
        <f t="shared" si="385"/>
        <v>On Time</v>
      </c>
      <c r="J4071" cm="1">
        <f t="array" ref="J4071">_xlfn.IFS(H4071&lt;30,0,H4071&lt;60,1,H4071&lt;90,2,H4071&lt;120,3)</f>
        <v>0</v>
      </c>
      <c r="M4071" t="str">
        <f t="shared" si="386"/>
        <v>Low</v>
      </c>
      <c r="N4071" t="str">
        <f t="shared" si="383"/>
        <v>Jun</v>
      </c>
      <c r="O4071">
        <f t="shared" si="384"/>
        <v>2025</v>
      </c>
    </row>
    <row r="4072" spans="1:15" x14ac:dyDescent="0.3">
      <c r="A4072">
        <v>200481</v>
      </c>
      <c r="B4072" t="s">
        <v>104</v>
      </c>
      <c r="C4072" s="2">
        <v>45827</v>
      </c>
      <c r="D4072" s="2">
        <f t="shared" si="382"/>
        <v>45857</v>
      </c>
      <c r="E4072" s="1">
        <f>D4072-2</f>
        <v>45855</v>
      </c>
      <c r="F4072">
        <v>16692</v>
      </c>
      <c r="G4072">
        <v>30</v>
      </c>
      <c r="H4072">
        <f t="shared" si="387"/>
        <v>0</v>
      </c>
      <c r="I4072" t="str">
        <f t="shared" si="385"/>
        <v>On Time</v>
      </c>
      <c r="J4072" cm="1">
        <f t="array" ref="J4072">_xlfn.IFS(H4072&lt;30,0,H4072&lt;60,1,H4072&lt;90,2,H4072&lt;120,3)</f>
        <v>0</v>
      </c>
      <c r="M4072" t="str">
        <f t="shared" si="386"/>
        <v>Low</v>
      </c>
      <c r="N4072" t="str">
        <f t="shared" si="383"/>
        <v>Jun</v>
      </c>
      <c r="O4072">
        <f t="shared" si="384"/>
        <v>2025</v>
      </c>
    </row>
    <row r="4073" spans="1:15" x14ac:dyDescent="0.3">
      <c r="A4073">
        <v>200482</v>
      </c>
      <c r="B4073" t="s">
        <v>105</v>
      </c>
      <c r="C4073" s="2">
        <v>45827</v>
      </c>
      <c r="D4073" s="2">
        <f t="shared" si="382"/>
        <v>45857</v>
      </c>
      <c r="E4073" s="1">
        <f>D4073</f>
        <v>45857</v>
      </c>
      <c r="F4073">
        <v>2907</v>
      </c>
      <c r="G4073">
        <v>30</v>
      </c>
      <c r="H4073">
        <f t="shared" si="387"/>
        <v>0</v>
      </c>
      <c r="I4073" t="str">
        <f t="shared" si="385"/>
        <v>On Time</v>
      </c>
      <c r="J4073" cm="1">
        <f t="array" ref="J4073">_xlfn.IFS(H4073&lt;30,0,H4073&lt;60,1,H4073&lt;90,2,H4073&lt;120,3)</f>
        <v>0</v>
      </c>
      <c r="M4073" t="str">
        <f t="shared" si="386"/>
        <v>Low</v>
      </c>
      <c r="N4073" t="str">
        <f t="shared" si="383"/>
        <v>Jun</v>
      </c>
      <c r="O4073">
        <f t="shared" si="384"/>
        <v>2025</v>
      </c>
    </row>
    <row r="4074" spans="1:15" x14ac:dyDescent="0.3">
      <c r="A4074">
        <v>200451</v>
      </c>
      <c r="B4074" t="s">
        <v>101</v>
      </c>
      <c r="C4074" s="2">
        <v>45826</v>
      </c>
      <c r="D4074" s="2">
        <f t="shared" si="382"/>
        <v>45856</v>
      </c>
      <c r="E4074" s="1">
        <f>D4074+2</f>
        <v>45858</v>
      </c>
      <c r="F4074">
        <v>3832</v>
      </c>
      <c r="G4074">
        <v>30</v>
      </c>
      <c r="H4074">
        <f t="shared" si="387"/>
        <v>0</v>
      </c>
      <c r="I4074" t="str">
        <f t="shared" si="385"/>
        <v>On Time</v>
      </c>
      <c r="J4074" cm="1">
        <f t="array" ref="J4074">_xlfn.IFS(H4074&lt;30,0,H4074&lt;60,1,H4074&lt;90,2,H4074&lt;120,3)</f>
        <v>0</v>
      </c>
      <c r="M4074" t="str">
        <f t="shared" si="386"/>
        <v>Low</v>
      </c>
      <c r="N4074" t="str">
        <f t="shared" si="383"/>
        <v>Jun</v>
      </c>
      <c r="O4074">
        <f t="shared" si="384"/>
        <v>2025</v>
      </c>
    </row>
    <row r="4075" spans="1:15" x14ac:dyDescent="0.3">
      <c r="A4075">
        <v>200452</v>
      </c>
      <c r="B4075" t="s">
        <v>102</v>
      </c>
      <c r="C4075" s="2">
        <v>45826</v>
      </c>
      <c r="D4075" s="2">
        <f t="shared" si="382"/>
        <v>45856</v>
      </c>
      <c r="E4075" s="1">
        <f>D4075+2</f>
        <v>45858</v>
      </c>
      <c r="F4075">
        <v>625</v>
      </c>
      <c r="G4075">
        <v>30</v>
      </c>
      <c r="H4075">
        <f t="shared" si="387"/>
        <v>0</v>
      </c>
      <c r="I4075" t="str">
        <f t="shared" si="385"/>
        <v>On Time</v>
      </c>
      <c r="J4075" cm="1">
        <f t="array" ref="J4075">_xlfn.IFS(H4075&lt;30,0,H4075&lt;60,1,H4075&lt;90,2,H4075&lt;120,3)</f>
        <v>0</v>
      </c>
      <c r="M4075" t="str">
        <f t="shared" si="386"/>
        <v>Low</v>
      </c>
      <c r="N4075" t="str">
        <f t="shared" si="383"/>
        <v>Jun</v>
      </c>
      <c r="O4075">
        <f t="shared" si="384"/>
        <v>2025</v>
      </c>
    </row>
    <row r="4076" spans="1:15" x14ac:dyDescent="0.3">
      <c r="A4076">
        <v>200453</v>
      </c>
      <c r="B4076" t="s">
        <v>103</v>
      </c>
      <c r="C4076" s="2">
        <v>45826</v>
      </c>
      <c r="D4076" s="2">
        <f t="shared" si="382"/>
        <v>45856</v>
      </c>
      <c r="E4076" s="1">
        <f>D4076</f>
        <v>45856</v>
      </c>
      <c r="F4076">
        <v>2661</v>
      </c>
      <c r="G4076">
        <v>30</v>
      </c>
      <c r="H4076">
        <f t="shared" si="387"/>
        <v>0</v>
      </c>
      <c r="I4076" t="str">
        <f t="shared" si="385"/>
        <v>On Time</v>
      </c>
      <c r="J4076" cm="1">
        <f t="array" ref="J4076">_xlfn.IFS(H4076&lt;30,0,H4076&lt;60,1,H4076&lt;90,2,H4076&lt;120,3)</f>
        <v>0</v>
      </c>
      <c r="M4076" t="str">
        <f t="shared" si="386"/>
        <v>Low</v>
      </c>
      <c r="N4076" t="str">
        <f t="shared" si="383"/>
        <v>Jun</v>
      </c>
      <c r="O4076">
        <f t="shared" si="384"/>
        <v>2025</v>
      </c>
    </row>
    <row r="4077" spans="1:15" x14ac:dyDescent="0.3">
      <c r="A4077">
        <v>200454</v>
      </c>
      <c r="B4077" t="s">
        <v>104</v>
      </c>
      <c r="C4077" s="2">
        <v>45826</v>
      </c>
      <c r="D4077" s="2">
        <f t="shared" si="382"/>
        <v>45856</v>
      </c>
      <c r="E4077" s="1">
        <f>D4077+20</f>
        <v>45876</v>
      </c>
      <c r="F4077">
        <v>1326</v>
      </c>
      <c r="G4077">
        <v>30</v>
      </c>
      <c r="H4077">
        <f t="shared" si="387"/>
        <v>0</v>
      </c>
      <c r="I4077" t="str">
        <f t="shared" si="385"/>
        <v>On Time</v>
      </c>
      <c r="J4077" cm="1">
        <f t="array" ref="J4077">_xlfn.IFS(H4077&lt;30,0,H4077&lt;60,1,H4077&lt;90,2,H4077&lt;120,3)</f>
        <v>0</v>
      </c>
      <c r="M4077" t="str">
        <f t="shared" si="386"/>
        <v>Low</v>
      </c>
      <c r="N4077" t="str">
        <f t="shared" si="383"/>
        <v>Jun</v>
      </c>
      <c r="O4077">
        <f t="shared" si="384"/>
        <v>2025</v>
      </c>
    </row>
    <row r="4078" spans="1:15" x14ac:dyDescent="0.3">
      <c r="A4078">
        <v>200455</v>
      </c>
      <c r="B4078" t="s">
        <v>105</v>
      </c>
      <c r="C4078" s="2">
        <v>45826</v>
      </c>
      <c r="D4078" s="2">
        <f t="shared" si="382"/>
        <v>45856</v>
      </c>
      <c r="E4078" s="1">
        <f>D4078</f>
        <v>45856</v>
      </c>
      <c r="F4078">
        <v>1414</v>
      </c>
      <c r="G4078">
        <v>30</v>
      </c>
      <c r="H4078">
        <f t="shared" si="387"/>
        <v>0</v>
      </c>
      <c r="I4078" t="str">
        <f t="shared" si="385"/>
        <v>On Time</v>
      </c>
      <c r="J4078" cm="1">
        <f t="array" ref="J4078">_xlfn.IFS(H4078&lt;30,0,H4078&lt;60,1,H4078&lt;90,2,H4078&lt;120,3)</f>
        <v>0</v>
      </c>
      <c r="M4078" t="str">
        <f t="shared" si="386"/>
        <v>Low</v>
      </c>
      <c r="N4078" t="str">
        <f t="shared" si="383"/>
        <v>Jun</v>
      </c>
      <c r="O4078">
        <f t="shared" si="384"/>
        <v>2025</v>
      </c>
    </row>
    <row r="4079" spans="1:15" x14ac:dyDescent="0.3">
      <c r="A4079">
        <v>200456</v>
      </c>
      <c r="B4079" t="s">
        <v>114</v>
      </c>
      <c r="C4079" s="2">
        <v>45826</v>
      </c>
      <c r="D4079" s="2">
        <f t="shared" si="382"/>
        <v>45856</v>
      </c>
      <c r="E4079" s="1">
        <f>D4079+1</f>
        <v>45857</v>
      </c>
      <c r="F4079">
        <v>2332</v>
      </c>
      <c r="G4079">
        <v>30</v>
      </c>
      <c r="H4079">
        <f t="shared" si="387"/>
        <v>0</v>
      </c>
      <c r="I4079" t="str">
        <f t="shared" si="385"/>
        <v>On Time</v>
      </c>
      <c r="J4079" cm="1">
        <f t="array" ref="J4079">_xlfn.IFS(H4079&lt;30,0,H4079&lt;60,1,H4079&lt;90,2,H4079&lt;120,3)</f>
        <v>0</v>
      </c>
      <c r="M4079" t="str">
        <f t="shared" si="386"/>
        <v>Low</v>
      </c>
      <c r="N4079" t="str">
        <f t="shared" si="383"/>
        <v>Jun</v>
      </c>
      <c r="O4079">
        <f t="shared" si="384"/>
        <v>2025</v>
      </c>
    </row>
    <row r="4080" spans="1:15" x14ac:dyDescent="0.3">
      <c r="A4080">
        <v>200457</v>
      </c>
      <c r="B4080" t="s">
        <v>115</v>
      </c>
      <c r="C4080" s="2">
        <v>45826</v>
      </c>
      <c r="D4080" s="2">
        <f t="shared" si="382"/>
        <v>45856</v>
      </c>
      <c r="E4080" s="1">
        <f>D4080</f>
        <v>45856</v>
      </c>
      <c r="F4080">
        <v>4954</v>
      </c>
      <c r="G4080">
        <v>30</v>
      </c>
      <c r="H4080">
        <f t="shared" si="387"/>
        <v>0</v>
      </c>
      <c r="I4080" t="str">
        <f t="shared" si="385"/>
        <v>On Time</v>
      </c>
      <c r="J4080" cm="1">
        <f t="array" ref="J4080">_xlfn.IFS(H4080&lt;30,0,H4080&lt;60,1,H4080&lt;90,2,H4080&lt;120,3)</f>
        <v>0</v>
      </c>
      <c r="M4080" t="str">
        <f t="shared" si="386"/>
        <v>Low</v>
      </c>
      <c r="N4080" t="str">
        <f t="shared" si="383"/>
        <v>Jun</v>
      </c>
      <c r="O4080">
        <f t="shared" si="384"/>
        <v>2025</v>
      </c>
    </row>
    <row r="4081" spans="1:15" x14ac:dyDescent="0.3">
      <c r="A4081">
        <v>200458</v>
      </c>
      <c r="B4081" t="s">
        <v>116</v>
      </c>
      <c r="C4081" s="2">
        <v>45826</v>
      </c>
      <c r="D4081" s="2">
        <f t="shared" si="382"/>
        <v>45856</v>
      </c>
      <c r="E4081" s="1">
        <f>D4081</f>
        <v>45856</v>
      </c>
      <c r="F4081">
        <v>4064</v>
      </c>
      <c r="G4081">
        <v>30</v>
      </c>
      <c r="H4081">
        <f t="shared" si="387"/>
        <v>0</v>
      </c>
      <c r="I4081" t="str">
        <f t="shared" si="385"/>
        <v>On Time</v>
      </c>
      <c r="J4081" cm="1">
        <f t="array" ref="J4081">_xlfn.IFS(H4081&lt;30,0,H4081&lt;60,1,H4081&lt;90,2,H4081&lt;120,3)</f>
        <v>0</v>
      </c>
      <c r="M4081" t="str">
        <f t="shared" si="386"/>
        <v>Low</v>
      </c>
      <c r="N4081" t="str">
        <f t="shared" si="383"/>
        <v>Jun</v>
      </c>
      <c r="O4081">
        <f t="shared" si="384"/>
        <v>2025</v>
      </c>
    </row>
    <row r="4082" spans="1:15" x14ac:dyDescent="0.3">
      <c r="A4082">
        <v>200459</v>
      </c>
      <c r="B4082" t="s">
        <v>117</v>
      </c>
      <c r="C4082" s="2">
        <v>45826</v>
      </c>
      <c r="D4082" s="2">
        <f t="shared" si="382"/>
        <v>45856</v>
      </c>
      <c r="E4082" s="1">
        <f>D4082+5</f>
        <v>45861</v>
      </c>
      <c r="F4082">
        <v>2735</v>
      </c>
      <c r="G4082">
        <v>30</v>
      </c>
      <c r="H4082">
        <f t="shared" si="387"/>
        <v>0</v>
      </c>
      <c r="I4082" t="str">
        <f t="shared" si="385"/>
        <v>On Time</v>
      </c>
      <c r="J4082" cm="1">
        <f t="array" ref="J4082">_xlfn.IFS(H4082&lt;30,0,H4082&lt;60,1,H4082&lt;90,2,H4082&lt;120,3)</f>
        <v>0</v>
      </c>
      <c r="M4082" t="str">
        <f t="shared" si="386"/>
        <v>Low</v>
      </c>
      <c r="N4082" t="str">
        <f t="shared" si="383"/>
        <v>Jun</v>
      </c>
      <c r="O4082">
        <f t="shared" si="384"/>
        <v>2025</v>
      </c>
    </row>
    <row r="4083" spans="1:15" x14ac:dyDescent="0.3">
      <c r="A4083">
        <v>200460</v>
      </c>
      <c r="B4083" t="s">
        <v>118</v>
      </c>
      <c r="C4083" s="2">
        <v>45826</v>
      </c>
      <c r="D4083" s="2">
        <f t="shared" si="382"/>
        <v>45856</v>
      </c>
      <c r="E4083" s="1">
        <f>D4083+2</f>
        <v>45858</v>
      </c>
      <c r="F4083">
        <v>4380</v>
      </c>
      <c r="G4083">
        <v>30</v>
      </c>
      <c r="H4083">
        <f t="shared" si="387"/>
        <v>0</v>
      </c>
      <c r="I4083" t="str">
        <f t="shared" si="385"/>
        <v>On Time</v>
      </c>
      <c r="J4083" cm="1">
        <f t="array" ref="J4083">_xlfn.IFS(H4083&lt;30,0,H4083&lt;60,1,H4083&lt;90,2,H4083&lt;120,3)</f>
        <v>0</v>
      </c>
      <c r="M4083" t="str">
        <f t="shared" si="386"/>
        <v>Low</v>
      </c>
      <c r="N4083" t="str">
        <f t="shared" si="383"/>
        <v>Jun</v>
      </c>
      <c r="O4083">
        <f t="shared" si="384"/>
        <v>2025</v>
      </c>
    </row>
    <row r="4084" spans="1:15" x14ac:dyDescent="0.3">
      <c r="A4084">
        <v>200461</v>
      </c>
      <c r="B4084" t="s">
        <v>119</v>
      </c>
      <c r="C4084" s="2">
        <v>45826</v>
      </c>
      <c r="D4084" s="2">
        <f t="shared" si="382"/>
        <v>45856</v>
      </c>
      <c r="E4084" s="1">
        <f>D4084</f>
        <v>45856</v>
      </c>
      <c r="F4084">
        <v>1415</v>
      </c>
      <c r="G4084">
        <v>30</v>
      </c>
      <c r="H4084">
        <f t="shared" si="387"/>
        <v>0</v>
      </c>
      <c r="I4084" t="str">
        <f t="shared" si="385"/>
        <v>On Time</v>
      </c>
      <c r="J4084" cm="1">
        <f t="array" ref="J4084">_xlfn.IFS(H4084&lt;30,0,H4084&lt;60,1,H4084&lt;90,2,H4084&lt;120,3)</f>
        <v>0</v>
      </c>
      <c r="M4084" t="str">
        <f t="shared" si="386"/>
        <v>Low</v>
      </c>
      <c r="N4084" t="str">
        <f t="shared" si="383"/>
        <v>Jun</v>
      </c>
      <c r="O4084">
        <f t="shared" si="384"/>
        <v>2025</v>
      </c>
    </row>
    <row r="4085" spans="1:15" x14ac:dyDescent="0.3">
      <c r="A4085">
        <v>200462</v>
      </c>
      <c r="B4085" t="s">
        <v>31</v>
      </c>
      <c r="C4085" s="2">
        <v>45826</v>
      </c>
      <c r="D4085" s="2">
        <f t="shared" si="382"/>
        <v>45871</v>
      </c>
      <c r="E4085" s="1">
        <f>D4085</f>
        <v>45871</v>
      </c>
      <c r="F4085">
        <v>4306</v>
      </c>
      <c r="G4085">
        <v>45</v>
      </c>
      <c r="H4085">
        <f t="shared" si="387"/>
        <v>0</v>
      </c>
      <c r="I4085" t="str">
        <f t="shared" si="385"/>
        <v>On Time</v>
      </c>
      <c r="J4085" cm="1">
        <f t="array" ref="J4085">_xlfn.IFS(H4085&lt;30,0,H4085&lt;60,1,H4085&lt;90,2,H4085&lt;120,3)</f>
        <v>0</v>
      </c>
      <c r="M4085" t="str">
        <f t="shared" si="386"/>
        <v>Low</v>
      </c>
      <c r="N4085" t="str">
        <f t="shared" si="383"/>
        <v>Jun</v>
      </c>
      <c r="O4085">
        <f t="shared" si="384"/>
        <v>2025</v>
      </c>
    </row>
    <row r="4086" spans="1:15" x14ac:dyDescent="0.3">
      <c r="A4086">
        <v>200463</v>
      </c>
      <c r="B4086" t="s">
        <v>32</v>
      </c>
      <c r="C4086" s="2">
        <v>45826</v>
      </c>
      <c r="D4086" s="2">
        <f t="shared" si="382"/>
        <v>45871</v>
      </c>
      <c r="E4086" s="1">
        <f>D4086</f>
        <v>45871</v>
      </c>
      <c r="F4086">
        <v>2583</v>
      </c>
      <c r="G4086">
        <v>45</v>
      </c>
      <c r="H4086">
        <f t="shared" si="387"/>
        <v>0</v>
      </c>
      <c r="I4086" t="str">
        <f t="shared" si="385"/>
        <v>On Time</v>
      </c>
      <c r="J4086" cm="1">
        <f t="array" ref="J4086">_xlfn.IFS(H4086&lt;30,0,H4086&lt;60,1,H4086&lt;90,2,H4086&lt;120,3)</f>
        <v>0</v>
      </c>
      <c r="M4086" t="str">
        <f t="shared" si="386"/>
        <v>Low</v>
      </c>
      <c r="N4086" t="str">
        <f t="shared" si="383"/>
        <v>Jun</v>
      </c>
      <c r="O4086">
        <f t="shared" si="384"/>
        <v>2025</v>
      </c>
    </row>
    <row r="4087" spans="1:15" x14ac:dyDescent="0.3">
      <c r="A4087">
        <v>200464</v>
      </c>
      <c r="B4087" t="s">
        <v>33</v>
      </c>
      <c r="C4087" s="2">
        <v>45826</v>
      </c>
      <c r="D4087" s="2">
        <f t="shared" si="382"/>
        <v>45856</v>
      </c>
      <c r="E4087" s="1">
        <f>D4087+60</f>
        <v>45916</v>
      </c>
      <c r="F4087">
        <v>4231</v>
      </c>
      <c r="G4087">
        <v>30</v>
      </c>
      <c r="H4087">
        <f t="shared" si="387"/>
        <v>0</v>
      </c>
      <c r="I4087" t="str">
        <f t="shared" si="385"/>
        <v>On Time</v>
      </c>
      <c r="J4087" cm="1">
        <f t="array" ref="J4087">_xlfn.IFS(H4087&lt;30,0,H4087&lt;60,1,H4087&lt;90,2,H4087&lt;120,3)</f>
        <v>0</v>
      </c>
      <c r="M4087" t="str">
        <f t="shared" si="386"/>
        <v>Low</v>
      </c>
      <c r="N4087" t="str">
        <f t="shared" si="383"/>
        <v>Jun</v>
      </c>
      <c r="O4087">
        <f t="shared" si="384"/>
        <v>2025</v>
      </c>
    </row>
    <row r="4088" spans="1:15" x14ac:dyDescent="0.3">
      <c r="A4088">
        <v>200465</v>
      </c>
      <c r="B4088" t="s">
        <v>34</v>
      </c>
      <c r="C4088" s="2">
        <v>45826</v>
      </c>
      <c r="D4088" s="2">
        <f t="shared" si="382"/>
        <v>45886</v>
      </c>
      <c r="E4088" s="1">
        <f>D4088</f>
        <v>45886</v>
      </c>
      <c r="F4088">
        <v>4193</v>
      </c>
      <c r="G4088">
        <v>60</v>
      </c>
      <c r="H4088">
        <f t="shared" si="387"/>
        <v>0</v>
      </c>
      <c r="I4088" t="str">
        <f t="shared" si="385"/>
        <v>On Time</v>
      </c>
      <c r="J4088" cm="1">
        <f t="array" ref="J4088">_xlfn.IFS(H4088&lt;30,0,H4088&lt;60,1,H4088&lt;90,2,H4088&lt;120,3)</f>
        <v>0</v>
      </c>
      <c r="M4088" t="str">
        <f t="shared" si="386"/>
        <v>Low</v>
      </c>
      <c r="N4088" t="str">
        <f t="shared" si="383"/>
        <v>Jun</v>
      </c>
      <c r="O4088">
        <f t="shared" si="384"/>
        <v>2025</v>
      </c>
    </row>
    <row r="4089" spans="1:15" x14ac:dyDescent="0.3">
      <c r="A4089">
        <v>200466</v>
      </c>
      <c r="B4089" t="s">
        <v>35</v>
      </c>
      <c r="C4089" s="2">
        <v>45826</v>
      </c>
      <c r="D4089" s="2">
        <f t="shared" si="382"/>
        <v>45871</v>
      </c>
      <c r="E4089" s="1">
        <f>D4089</f>
        <v>45871</v>
      </c>
      <c r="F4089">
        <v>1288</v>
      </c>
      <c r="G4089">
        <v>45</v>
      </c>
      <c r="H4089">
        <f t="shared" si="387"/>
        <v>0</v>
      </c>
      <c r="I4089" t="str">
        <f t="shared" si="385"/>
        <v>On Time</v>
      </c>
      <c r="J4089" cm="1">
        <f t="array" ref="J4089">_xlfn.IFS(H4089&lt;30,0,H4089&lt;60,1,H4089&lt;90,2,H4089&lt;120,3)</f>
        <v>0</v>
      </c>
      <c r="M4089" t="str">
        <f t="shared" si="386"/>
        <v>Low</v>
      </c>
      <c r="N4089" t="str">
        <f t="shared" si="383"/>
        <v>Jun</v>
      </c>
      <c r="O4089">
        <f t="shared" si="384"/>
        <v>2025</v>
      </c>
    </row>
    <row r="4090" spans="1:15" x14ac:dyDescent="0.3">
      <c r="A4090">
        <v>200467</v>
      </c>
      <c r="B4090" t="s">
        <v>36</v>
      </c>
      <c r="C4090" s="2">
        <v>45826</v>
      </c>
      <c r="D4090" s="2">
        <f t="shared" si="382"/>
        <v>45856</v>
      </c>
      <c r="E4090" s="1">
        <f>D4090+3</f>
        <v>45859</v>
      </c>
      <c r="F4090">
        <v>184</v>
      </c>
      <c r="G4090">
        <v>30</v>
      </c>
      <c r="H4090">
        <f t="shared" si="387"/>
        <v>0</v>
      </c>
      <c r="I4090" t="str">
        <f t="shared" si="385"/>
        <v>On Time</v>
      </c>
      <c r="J4090" cm="1">
        <f t="array" ref="J4090">_xlfn.IFS(H4090&lt;30,0,H4090&lt;60,1,H4090&lt;90,2,H4090&lt;120,3)</f>
        <v>0</v>
      </c>
      <c r="M4090" t="str">
        <f t="shared" si="386"/>
        <v>Low</v>
      </c>
      <c r="N4090" t="str">
        <f t="shared" si="383"/>
        <v>Jun</v>
      </c>
      <c r="O4090">
        <f t="shared" si="384"/>
        <v>2025</v>
      </c>
    </row>
    <row r="4091" spans="1:15" x14ac:dyDescent="0.3">
      <c r="A4091">
        <v>200433</v>
      </c>
      <c r="B4091" t="s">
        <v>55</v>
      </c>
      <c r="C4091" s="2">
        <v>45825</v>
      </c>
      <c r="D4091" s="2">
        <f t="shared" si="382"/>
        <v>45855</v>
      </c>
      <c r="F4091">
        <v>4810</v>
      </c>
      <c r="G4091">
        <v>30</v>
      </c>
      <c r="H4091">
        <f t="shared" si="387"/>
        <v>0</v>
      </c>
      <c r="I4091" t="str">
        <f t="shared" si="385"/>
        <v>On Time</v>
      </c>
      <c r="J4091" cm="1">
        <f t="array" ref="J4091">_xlfn.IFS(H4091&lt;30,0,H4091&lt;60,1,H4091&lt;90,2,H4091&lt;120,3)</f>
        <v>0</v>
      </c>
      <c r="M4091" t="str">
        <f t="shared" si="386"/>
        <v>Low</v>
      </c>
      <c r="N4091" t="str">
        <f t="shared" si="383"/>
        <v>Jun</v>
      </c>
      <c r="O4091">
        <f t="shared" si="384"/>
        <v>2025</v>
      </c>
    </row>
    <row r="4092" spans="1:15" x14ac:dyDescent="0.3">
      <c r="A4092">
        <v>200434</v>
      </c>
      <c r="B4092" t="s">
        <v>56</v>
      </c>
      <c r="C4092" s="2">
        <v>45825</v>
      </c>
      <c r="D4092" s="2">
        <f t="shared" si="382"/>
        <v>45870</v>
      </c>
      <c r="E4092" s="1">
        <f>D4092+3</f>
        <v>45873</v>
      </c>
      <c r="F4092">
        <v>4326</v>
      </c>
      <c r="G4092">
        <v>45</v>
      </c>
      <c r="H4092">
        <f t="shared" si="387"/>
        <v>0</v>
      </c>
      <c r="I4092" t="str">
        <f t="shared" si="385"/>
        <v>On Time</v>
      </c>
      <c r="J4092" cm="1">
        <f t="array" ref="J4092">_xlfn.IFS(H4092&lt;30,0,H4092&lt;60,1,H4092&lt;90,2,H4092&lt;120,3)</f>
        <v>0</v>
      </c>
      <c r="M4092" t="str">
        <f t="shared" si="386"/>
        <v>Low</v>
      </c>
      <c r="N4092" t="str">
        <f t="shared" si="383"/>
        <v>Jun</v>
      </c>
      <c r="O4092">
        <f t="shared" si="384"/>
        <v>2025</v>
      </c>
    </row>
    <row r="4093" spans="1:15" x14ac:dyDescent="0.3">
      <c r="A4093">
        <v>200435</v>
      </c>
      <c r="B4093" t="s">
        <v>57</v>
      </c>
      <c r="C4093" s="2">
        <v>45825</v>
      </c>
      <c r="D4093" s="2">
        <f t="shared" si="382"/>
        <v>45885</v>
      </c>
      <c r="E4093" s="1">
        <f>D4093+1</f>
        <v>45886</v>
      </c>
      <c r="F4093">
        <v>3102</v>
      </c>
      <c r="G4093">
        <v>60</v>
      </c>
      <c r="H4093">
        <f t="shared" si="387"/>
        <v>0</v>
      </c>
      <c r="I4093" t="str">
        <f t="shared" si="385"/>
        <v>On Time</v>
      </c>
      <c r="J4093" cm="1">
        <f t="array" ref="J4093">_xlfn.IFS(H4093&lt;30,0,H4093&lt;60,1,H4093&lt;90,2,H4093&lt;120,3)</f>
        <v>0</v>
      </c>
      <c r="M4093" t="str">
        <f t="shared" si="386"/>
        <v>Low</v>
      </c>
      <c r="N4093" t="str">
        <f t="shared" si="383"/>
        <v>Jun</v>
      </c>
      <c r="O4093">
        <f t="shared" si="384"/>
        <v>2025</v>
      </c>
    </row>
    <row r="4094" spans="1:15" x14ac:dyDescent="0.3">
      <c r="A4094">
        <v>200436</v>
      </c>
      <c r="B4094" t="s">
        <v>58</v>
      </c>
      <c r="C4094" s="2">
        <v>45825</v>
      </c>
      <c r="D4094" s="2">
        <f t="shared" si="382"/>
        <v>45855</v>
      </c>
      <c r="E4094" s="1">
        <f>D4094-1</f>
        <v>45854</v>
      </c>
      <c r="F4094">
        <v>1765</v>
      </c>
      <c r="G4094">
        <v>30</v>
      </c>
      <c r="H4094">
        <f t="shared" si="387"/>
        <v>0</v>
      </c>
      <c r="I4094" t="str">
        <f t="shared" si="385"/>
        <v>On Time</v>
      </c>
      <c r="J4094" cm="1">
        <f t="array" ref="J4094">_xlfn.IFS(H4094&lt;30,0,H4094&lt;60,1,H4094&lt;90,2,H4094&lt;120,3)</f>
        <v>0</v>
      </c>
      <c r="M4094" t="str">
        <f t="shared" si="386"/>
        <v>Low</v>
      </c>
      <c r="N4094" t="str">
        <f t="shared" si="383"/>
        <v>Jun</v>
      </c>
      <c r="O4094">
        <f t="shared" si="384"/>
        <v>2025</v>
      </c>
    </row>
    <row r="4095" spans="1:15" x14ac:dyDescent="0.3">
      <c r="A4095">
        <v>200437</v>
      </c>
      <c r="B4095" t="s">
        <v>59</v>
      </c>
      <c r="C4095" s="2">
        <v>45825</v>
      </c>
      <c r="D4095" s="2">
        <f t="shared" si="382"/>
        <v>45855</v>
      </c>
      <c r="E4095" s="1">
        <f>D4095</f>
        <v>45855</v>
      </c>
      <c r="F4095">
        <v>3394</v>
      </c>
      <c r="G4095">
        <v>30</v>
      </c>
      <c r="H4095">
        <f t="shared" si="387"/>
        <v>0</v>
      </c>
      <c r="I4095" t="str">
        <f t="shared" si="385"/>
        <v>On Time</v>
      </c>
      <c r="J4095" cm="1">
        <f t="array" ref="J4095">_xlfn.IFS(H4095&lt;30,0,H4095&lt;60,1,H4095&lt;90,2,H4095&lt;120,3)</f>
        <v>0</v>
      </c>
      <c r="M4095" t="str">
        <f t="shared" si="386"/>
        <v>Low</v>
      </c>
      <c r="N4095" t="str">
        <f t="shared" si="383"/>
        <v>Jun</v>
      </c>
      <c r="O4095">
        <f t="shared" si="384"/>
        <v>2025</v>
      </c>
    </row>
    <row r="4096" spans="1:15" x14ac:dyDescent="0.3">
      <c r="A4096">
        <v>200438</v>
      </c>
      <c r="B4096" t="s">
        <v>60</v>
      </c>
      <c r="C4096" s="2">
        <v>45825</v>
      </c>
      <c r="D4096" s="2">
        <f t="shared" si="382"/>
        <v>45855</v>
      </c>
      <c r="E4096" s="1">
        <f>D4096-5</f>
        <v>45850</v>
      </c>
      <c r="F4096">
        <v>3061</v>
      </c>
      <c r="G4096">
        <v>30</v>
      </c>
      <c r="H4096">
        <f t="shared" si="387"/>
        <v>0</v>
      </c>
      <c r="I4096" t="str">
        <f t="shared" si="385"/>
        <v>On Time</v>
      </c>
      <c r="J4096" cm="1">
        <f t="array" ref="J4096">_xlfn.IFS(H4096&lt;30,0,H4096&lt;60,1,H4096&lt;90,2,H4096&lt;120,3)</f>
        <v>0</v>
      </c>
      <c r="M4096" t="str">
        <f t="shared" si="386"/>
        <v>Low</v>
      </c>
      <c r="N4096" t="str">
        <f t="shared" si="383"/>
        <v>Jun</v>
      </c>
      <c r="O4096">
        <f t="shared" si="384"/>
        <v>2025</v>
      </c>
    </row>
    <row r="4097" spans="1:15" x14ac:dyDescent="0.3">
      <c r="A4097">
        <v>200439</v>
      </c>
      <c r="B4097" t="s">
        <v>61</v>
      </c>
      <c r="C4097" s="2">
        <v>45825</v>
      </c>
      <c r="D4097" s="2">
        <f t="shared" si="382"/>
        <v>45855</v>
      </c>
      <c r="E4097" s="1">
        <f>D4097+35</f>
        <v>45890</v>
      </c>
      <c r="F4097">
        <v>4203</v>
      </c>
      <c r="G4097">
        <v>30</v>
      </c>
      <c r="H4097">
        <f t="shared" si="387"/>
        <v>0</v>
      </c>
      <c r="I4097" t="str">
        <f t="shared" si="385"/>
        <v>On Time</v>
      </c>
      <c r="J4097" cm="1">
        <f t="array" ref="J4097">_xlfn.IFS(H4097&lt;30,0,H4097&lt;60,1,H4097&lt;90,2,H4097&lt;120,3)</f>
        <v>0</v>
      </c>
      <c r="M4097" t="str">
        <f t="shared" si="386"/>
        <v>Low</v>
      </c>
      <c r="N4097" t="str">
        <f t="shared" si="383"/>
        <v>Jun</v>
      </c>
      <c r="O4097">
        <f t="shared" si="384"/>
        <v>2025</v>
      </c>
    </row>
    <row r="4098" spans="1:15" x14ac:dyDescent="0.3">
      <c r="A4098">
        <v>200440</v>
      </c>
      <c r="B4098" t="s">
        <v>62</v>
      </c>
      <c r="C4098" s="2">
        <v>45825</v>
      </c>
      <c r="D4098" s="2">
        <f t="shared" ref="D4098:D4161" si="388">C4098+G4098</f>
        <v>45855</v>
      </c>
      <c r="E4098" s="1">
        <f>D4098+75</f>
        <v>45930</v>
      </c>
      <c r="F4098">
        <v>2342</v>
      </c>
      <c r="G4098">
        <v>30</v>
      </c>
      <c r="H4098">
        <f t="shared" si="387"/>
        <v>0</v>
      </c>
      <c r="I4098" t="str">
        <f t="shared" si="385"/>
        <v>On Time</v>
      </c>
      <c r="J4098" cm="1">
        <f t="array" ref="J4098">_xlfn.IFS(H4098&lt;30,0,H4098&lt;60,1,H4098&lt;90,2,H4098&lt;120,3)</f>
        <v>0</v>
      </c>
      <c r="M4098" t="str">
        <f t="shared" si="386"/>
        <v>Low</v>
      </c>
      <c r="N4098" t="str">
        <f t="shared" ref="N4098:N4161" si="389">TEXT(C4098,"mmm")</f>
        <v>Jun</v>
      </c>
      <c r="O4098">
        <f t="shared" ref="O4098:O4161" si="390">YEAR(C4098)</f>
        <v>2025</v>
      </c>
    </row>
    <row r="4099" spans="1:15" x14ac:dyDescent="0.3">
      <c r="A4099">
        <v>200441</v>
      </c>
      <c r="B4099" t="s">
        <v>63</v>
      </c>
      <c r="C4099" s="2">
        <v>45825</v>
      </c>
      <c r="D4099" s="2">
        <f t="shared" si="388"/>
        <v>45855</v>
      </c>
      <c r="E4099" s="1">
        <f>D4099+5</f>
        <v>45860</v>
      </c>
      <c r="F4099">
        <v>4977</v>
      </c>
      <c r="G4099">
        <v>30</v>
      </c>
      <c r="H4099">
        <f t="shared" si="387"/>
        <v>0</v>
      </c>
      <c r="I4099" t="str">
        <f t="shared" si="385"/>
        <v>On Time</v>
      </c>
      <c r="J4099" cm="1">
        <f t="array" ref="J4099">_xlfn.IFS(H4099&lt;30,0,H4099&lt;60,1,H4099&lt;90,2,H4099&lt;120,3)</f>
        <v>0</v>
      </c>
      <c r="M4099" t="str">
        <f t="shared" si="386"/>
        <v>Low</v>
      </c>
      <c r="N4099" t="str">
        <f t="shared" si="389"/>
        <v>Jun</v>
      </c>
      <c r="O4099">
        <f t="shared" si="390"/>
        <v>2025</v>
      </c>
    </row>
    <row r="4100" spans="1:15" x14ac:dyDescent="0.3">
      <c r="A4100">
        <v>200442</v>
      </c>
      <c r="B4100" t="s">
        <v>64</v>
      </c>
      <c r="C4100" s="2">
        <v>45825</v>
      </c>
      <c r="D4100" s="2">
        <f t="shared" si="388"/>
        <v>45855</v>
      </c>
      <c r="E4100" s="1">
        <f>D4100</f>
        <v>45855</v>
      </c>
      <c r="F4100">
        <v>3519</v>
      </c>
      <c r="G4100">
        <v>30</v>
      </c>
      <c r="H4100">
        <f t="shared" si="387"/>
        <v>0</v>
      </c>
      <c r="I4100" t="str">
        <f t="shared" si="385"/>
        <v>On Time</v>
      </c>
      <c r="J4100" cm="1">
        <f t="array" ref="J4100">_xlfn.IFS(H4100&lt;30,0,H4100&lt;60,1,H4100&lt;90,2,H4100&lt;120,3)</f>
        <v>0</v>
      </c>
      <c r="M4100" t="str">
        <f t="shared" si="386"/>
        <v>Low</v>
      </c>
      <c r="N4100" t="str">
        <f t="shared" si="389"/>
        <v>Jun</v>
      </c>
      <c r="O4100">
        <f t="shared" si="390"/>
        <v>2025</v>
      </c>
    </row>
    <row r="4101" spans="1:15" x14ac:dyDescent="0.3">
      <c r="A4101">
        <v>200443</v>
      </c>
      <c r="B4101" t="s">
        <v>65</v>
      </c>
      <c r="C4101" s="2">
        <v>45825</v>
      </c>
      <c r="D4101" s="2">
        <f t="shared" si="388"/>
        <v>45870</v>
      </c>
      <c r="E4101" s="1">
        <f>D4101-1</f>
        <v>45869</v>
      </c>
      <c r="F4101">
        <v>3626</v>
      </c>
      <c r="G4101">
        <v>45</v>
      </c>
      <c r="H4101">
        <f t="shared" si="387"/>
        <v>0</v>
      </c>
      <c r="I4101" t="str">
        <f t="shared" si="385"/>
        <v>On Time</v>
      </c>
      <c r="J4101" cm="1">
        <f t="array" ref="J4101">_xlfn.IFS(H4101&lt;30,0,H4101&lt;60,1,H4101&lt;90,2,H4101&lt;120,3)</f>
        <v>0</v>
      </c>
      <c r="M4101" t="str">
        <f t="shared" si="386"/>
        <v>Low</v>
      </c>
      <c r="N4101" t="str">
        <f t="shared" si="389"/>
        <v>Jun</v>
      </c>
      <c r="O4101">
        <f t="shared" si="390"/>
        <v>2025</v>
      </c>
    </row>
    <row r="4102" spans="1:15" x14ac:dyDescent="0.3">
      <c r="A4102">
        <v>200444</v>
      </c>
      <c r="B4102" t="s">
        <v>94</v>
      </c>
      <c r="C4102" s="2">
        <v>45825</v>
      </c>
      <c r="D4102" s="2">
        <f t="shared" si="388"/>
        <v>45855</v>
      </c>
      <c r="E4102" s="1">
        <f>D4102</f>
        <v>45855</v>
      </c>
      <c r="F4102">
        <v>824</v>
      </c>
      <c r="G4102">
        <v>30</v>
      </c>
      <c r="H4102">
        <f t="shared" si="387"/>
        <v>0</v>
      </c>
      <c r="I4102" t="str">
        <f t="shared" si="385"/>
        <v>On Time</v>
      </c>
      <c r="J4102" cm="1">
        <f t="array" ref="J4102">_xlfn.IFS(H4102&lt;30,0,H4102&lt;60,1,H4102&lt;90,2,H4102&lt;120,3)</f>
        <v>0</v>
      </c>
      <c r="M4102" t="str">
        <f t="shared" si="386"/>
        <v>Low</v>
      </c>
      <c r="N4102" t="str">
        <f t="shared" si="389"/>
        <v>Jun</v>
      </c>
      <c r="O4102">
        <f t="shared" si="390"/>
        <v>2025</v>
      </c>
    </row>
    <row r="4103" spans="1:15" x14ac:dyDescent="0.3">
      <c r="A4103">
        <v>200445</v>
      </c>
      <c r="B4103" t="s">
        <v>95</v>
      </c>
      <c r="C4103" s="2">
        <v>45825</v>
      </c>
      <c r="D4103" s="2">
        <f t="shared" si="388"/>
        <v>45870</v>
      </c>
      <c r="E4103" s="1">
        <f>D4103+32</f>
        <v>45902</v>
      </c>
      <c r="F4103">
        <v>888</v>
      </c>
      <c r="G4103">
        <v>45</v>
      </c>
      <c r="H4103">
        <f t="shared" si="387"/>
        <v>0</v>
      </c>
      <c r="I4103" t="str">
        <f t="shared" si="385"/>
        <v>On Time</v>
      </c>
      <c r="J4103" cm="1">
        <f t="array" ref="J4103">_xlfn.IFS(H4103&lt;30,0,H4103&lt;60,1,H4103&lt;90,2,H4103&lt;120,3)</f>
        <v>0</v>
      </c>
      <c r="M4103" t="str">
        <f t="shared" si="386"/>
        <v>Low</v>
      </c>
      <c r="N4103" t="str">
        <f t="shared" si="389"/>
        <v>Jun</v>
      </c>
      <c r="O4103">
        <f t="shared" si="390"/>
        <v>2025</v>
      </c>
    </row>
    <row r="4104" spans="1:15" x14ac:dyDescent="0.3">
      <c r="A4104">
        <v>200446</v>
      </c>
      <c r="B4104" t="s">
        <v>96</v>
      </c>
      <c r="C4104" s="2">
        <v>45825</v>
      </c>
      <c r="D4104" s="2">
        <f t="shared" si="388"/>
        <v>45885</v>
      </c>
      <c r="E4104" s="1">
        <f>D4104+15</f>
        <v>45900</v>
      </c>
      <c r="F4104">
        <v>4946</v>
      </c>
      <c r="G4104">
        <v>60</v>
      </c>
      <c r="H4104">
        <f t="shared" si="387"/>
        <v>0</v>
      </c>
      <c r="I4104" t="str">
        <f t="shared" si="385"/>
        <v>On Time</v>
      </c>
      <c r="J4104" cm="1">
        <f t="array" ref="J4104">_xlfn.IFS(H4104&lt;30,0,H4104&lt;60,1,H4104&lt;90,2,H4104&lt;120,3)</f>
        <v>0</v>
      </c>
      <c r="M4104" t="str">
        <f t="shared" si="386"/>
        <v>Low</v>
      </c>
      <c r="N4104" t="str">
        <f t="shared" si="389"/>
        <v>Jun</v>
      </c>
      <c r="O4104">
        <f t="shared" si="390"/>
        <v>2025</v>
      </c>
    </row>
    <row r="4105" spans="1:15" x14ac:dyDescent="0.3">
      <c r="A4105">
        <v>200447</v>
      </c>
      <c r="B4105" t="s">
        <v>97</v>
      </c>
      <c r="C4105" s="2">
        <v>45825</v>
      </c>
      <c r="D4105" s="2">
        <f t="shared" si="388"/>
        <v>45855</v>
      </c>
      <c r="E4105" s="1">
        <f>D4105</f>
        <v>45855</v>
      </c>
      <c r="F4105">
        <v>12458</v>
      </c>
      <c r="G4105">
        <v>30</v>
      </c>
      <c r="H4105">
        <f t="shared" si="387"/>
        <v>0</v>
      </c>
      <c r="I4105" t="str">
        <f t="shared" si="385"/>
        <v>On Time</v>
      </c>
      <c r="J4105" cm="1">
        <f t="array" ref="J4105">_xlfn.IFS(H4105&lt;30,0,H4105&lt;60,1,H4105&lt;90,2,H4105&lt;120,3)</f>
        <v>0</v>
      </c>
      <c r="M4105" t="str">
        <f t="shared" si="386"/>
        <v>Low</v>
      </c>
      <c r="N4105" t="str">
        <f t="shared" si="389"/>
        <v>Jun</v>
      </c>
      <c r="O4105">
        <f t="shared" si="390"/>
        <v>2025</v>
      </c>
    </row>
    <row r="4106" spans="1:15" x14ac:dyDescent="0.3">
      <c r="A4106">
        <v>200448</v>
      </c>
      <c r="B4106" t="s">
        <v>98</v>
      </c>
      <c r="C4106" s="2">
        <v>45825</v>
      </c>
      <c r="D4106" s="2">
        <f t="shared" si="388"/>
        <v>45855</v>
      </c>
      <c r="E4106" s="1">
        <f>D4106-2</f>
        <v>45853</v>
      </c>
      <c r="F4106">
        <v>1479</v>
      </c>
      <c r="G4106">
        <v>30</v>
      </c>
      <c r="H4106">
        <f t="shared" si="387"/>
        <v>0</v>
      </c>
      <c r="I4106" t="str">
        <f t="shared" si="385"/>
        <v>On Time</v>
      </c>
      <c r="J4106" cm="1">
        <f t="array" ref="J4106">_xlfn.IFS(H4106&lt;30,0,H4106&lt;60,1,H4106&lt;90,2,H4106&lt;120,3)</f>
        <v>0</v>
      </c>
      <c r="M4106" t="str">
        <f t="shared" si="386"/>
        <v>Low</v>
      </c>
      <c r="N4106" t="str">
        <f t="shared" si="389"/>
        <v>Jun</v>
      </c>
      <c r="O4106">
        <f t="shared" si="390"/>
        <v>2025</v>
      </c>
    </row>
    <row r="4107" spans="1:15" x14ac:dyDescent="0.3">
      <c r="A4107">
        <v>200449</v>
      </c>
      <c r="B4107" t="s">
        <v>99</v>
      </c>
      <c r="C4107" s="2">
        <v>45825</v>
      </c>
      <c r="D4107" s="2">
        <f t="shared" si="388"/>
        <v>45855</v>
      </c>
      <c r="E4107" s="1">
        <f>D4107</f>
        <v>45855</v>
      </c>
      <c r="F4107">
        <v>1950</v>
      </c>
      <c r="G4107">
        <v>30</v>
      </c>
      <c r="H4107">
        <f t="shared" si="387"/>
        <v>0</v>
      </c>
      <c r="I4107" t="str">
        <f t="shared" si="385"/>
        <v>On Time</v>
      </c>
      <c r="J4107" cm="1">
        <f t="array" ref="J4107">_xlfn.IFS(H4107&lt;30,0,H4107&lt;60,1,H4107&lt;90,2,H4107&lt;120,3)</f>
        <v>0</v>
      </c>
      <c r="M4107" t="str">
        <f t="shared" si="386"/>
        <v>Low</v>
      </c>
      <c r="N4107" t="str">
        <f t="shared" si="389"/>
        <v>Jun</v>
      </c>
      <c r="O4107">
        <f t="shared" si="390"/>
        <v>2025</v>
      </c>
    </row>
    <row r="4108" spans="1:15" x14ac:dyDescent="0.3">
      <c r="A4108">
        <v>200450</v>
      </c>
      <c r="B4108" t="s">
        <v>100</v>
      </c>
      <c r="C4108" s="2">
        <v>45825</v>
      </c>
      <c r="D4108" s="2">
        <f t="shared" si="388"/>
        <v>45855</v>
      </c>
      <c r="E4108" s="1">
        <f>D4108+2</f>
        <v>45857</v>
      </c>
      <c r="F4108">
        <v>12882</v>
      </c>
      <c r="G4108">
        <v>30</v>
      </c>
      <c r="H4108">
        <f t="shared" si="387"/>
        <v>0</v>
      </c>
      <c r="I4108" t="str">
        <f t="shared" si="385"/>
        <v>On Time</v>
      </c>
      <c r="J4108" cm="1">
        <f t="array" ref="J4108">_xlfn.IFS(H4108&lt;30,0,H4108&lt;60,1,H4108&lt;90,2,H4108&lt;120,3)</f>
        <v>0</v>
      </c>
      <c r="M4108" t="str">
        <f t="shared" si="386"/>
        <v>Low</v>
      </c>
      <c r="N4108" t="str">
        <f t="shared" si="389"/>
        <v>Jun</v>
      </c>
      <c r="O4108">
        <f t="shared" si="390"/>
        <v>2025</v>
      </c>
    </row>
    <row r="4109" spans="1:15" x14ac:dyDescent="0.3">
      <c r="A4109">
        <v>200417</v>
      </c>
      <c r="B4109" t="s">
        <v>114</v>
      </c>
      <c r="C4109" s="2">
        <v>45824</v>
      </c>
      <c r="D4109" s="2">
        <f t="shared" si="388"/>
        <v>45854</v>
      </c>
      <c r="E4109" s="1">
        <f>D4109+2</f>
        <v>45856</v>
      </c>
      <c r="F4109">
        <v>4338</v>
      </c>
      <c r="G4109">
        <v>30</v>
      </c>
      <c r="H4109">
        <f t="shared" si="387"/>
        <v>0</v>
      </c>
      <c r="I4109" t="str">
        <f t="shared" si="385"/>
        <v>On Time</v>
      </c>
      <c r="J4109" cm="1">
        <f t="array" ref="J4109">_xlfn.IFS(H4109&lt;30,0,H4109&lt;60,1,H4109&lt;90,2,H4109&lt;120,3)</f>
        <v>0</v>
      </c>
      <c r="M4109" t="str">
        <f t="shared" si="386"/>
        <v>Low</v>
      </c>
      <c r="N4109" t="str">
        <f t="shared" si="389"/>
        <v>Jun</v>
      </c>
      <c r="O4109">
        <f t="shared" si="390"/>
        <v>2025</v>
      </c>
    </row>
    <row r="4110" spans="1:15" x14ac:dyDescent="0.3">
      <c r="A4110">
        <v>200418</v>
      </c>
      <c r="B4110" t="s">
        <v>115</v>
      </c>
      <c r="C4110" s="2">
        <v>45824</v>
      </c>
      <c r="D4110" s="2">
        <f t="shared" si="388"/>
        <v>45854</v>
      </c>
      <c r="E4110" s="1">
        <f>D4110+2</f>
        <v>45856</v>
      </c>
      <c r="F4110">
        <v>2076</v>
      </c>
      <c r="G4110">
        <v>30</v>
      </c>
      <c r="H4110">
        <f t="shared" si="387"/>
        <v>0</v>
      </c>
      <c r="I4110" t="str">
        <f t="shared" si="385"/>
        <v>On Time</v>
      </c>
      <c r="J4110" cm="1">
        <f t="array" ref="J4110">_xlfn.IFS(H4110&lt;30,0,H4110&lt;60,1,H4110&lt;90,2,H4110&lt;120,3)</f>
        <v>0</v>
      </c>
      <c r="M4110" t="str">
        <f t="shared" si="386"/>
        <v>Low</v>
      </c>
      <c r="N4110" t="str">
        <f t="shared" si="389"/>
        <v>Jun</v>
      </c>
      <c r="O4110">
        <f t="shared" si="390"/>
        <v>2025</v>
      </c>
    </row>
    <row r="4111" spans="1:15" x14ac:dyDescent="0.3">
      <c r="A4111">
        <v>200419</v>
      </c>
      <c r="B4111" t="s">
        <v>116</v>
      </c>
      <c r="C4111" s="2">
        <v>45824</v>
      </c>
      <c r="D4111" s="2">
        <f t="shared" si="388"/>
        <v>45854</v>
      </c>
      <c r="E4111" s="1">
        <f>D4111+2</f>
        <v>45856</v>
      </c>
      <c r="F4111">
        <v>1203</v>
      </c>
      <c r="G4111">
        <v>30</v>
      </c>
      <c r="H4111">
        <f t="shared" si="387"/>
        <v>0</v>
      </c>
      <c r="I4111" t="str">
        <f t="shared" si="385"/>
        <v>On Time</v>
      </c>
      <c r="J4111" cm="1">
        <f t="array" ref="J4111">_xlfn.IFS(H4111&lt;30,0,H4111&lt;60,1,H4111&lt;90,2,H4111&lt;120,3)</f>
        <v>0</v>
      </c>
      <c r="M4111" t="str">
        <f t="shared" si="386"/>
        <v>Low</v>
      </c>
      <c r="N4111" t="str">
        <f t="shared" si="389"/>
        <v>Jun</v>
      </c>
      <c r="O4111">
        <f t="shared" si="390"/>
        <v>2025</v>
      </c>
    </row>
    <row r="4112" spans="1:15" x14ac:dyDescent="0.3">
      <c r="A4112">
        <v>200420</v>
      </c>
      <c r="B4112" t="s">
        <v>20</v>
      </c>
      <c r="C4112" s="2">
        <v>45824</v>
      </c>
      <c r="D4112" s="2">
        <f t="shared" si="388"/>
        <v>45854</v>
      </c>
      <c r="E4112" s="1">
        <f>D4112</f>
        <v>45854</v>
      </c>
      <c r="F4112">
        <v>2332</v>
      </c>
      <c r="G4112">
        <v>30</v>
      </c>
      <c r="H4112">
        <f t="shared" si="387"/>
        <v>0</v>
      </c>
      <c r="I4112" t="str">
        <f t="shared" si="385"/>
        <v>On Time</v>
      </c>
      <c r="J4112" cm="1">
        <f t="array" ref="J4112">_xlfn.IFS(H4112&lt;30,0,H4112&lt;60,1,H4112&lt;90,2,H4112&lt;120,3)</f>
        <v>0</v>
      </c>
      <c r="M4112" t="str">
        <f t="shared" si="386"/>
        <v>Low</v>
      </c>
      <c r="N4112" t="str">
        <f t="shared" si="389"/>
        <v>Jun</v>
      </c>
      <c r="O4112">
        <f t="shared" si="390"/>
        <v>2025</v>
      </c>
    </row>
    <row r="4113" spans="1:15" x14ac:dyDescent="0.3">
      <c r="A4113">
        <v>200421</v>
      </c>
      <c r="B4113" t="s">
        <v>21</v>
      </c>
      <c r="C4113" s="2">
        <v>45824</v>
      </c>
      <c r="D4113" s="2">
        <f t="shared" si="388"/>
        <v>45854</v>
      </c>
      <c r="E4113" s="1">
        <f>D4113+20</f>
        <v>45874</v>
      </c>
      <c r="F4113">
        <v>4150</v>
      </c>
      <c r="G4113">
        <v>30</v>
      </c>
      <c r="H4113">
        <f t="shared" si="387"/>
        <v>0</v>
      </c>
      <c r="I4113" t="str">
        <f t="shared" si="385"/>
        <v>On Time</v>
      </c>
      <c r="J4113" cm="1">
        <f t="array" ref="J4113">_xlfn.IFS(H4113&lt;30,0,H4113&lt;60,1,H4113&lt;90,2,H4113&lt;120,3)</f>
        <v>0</v>
      </c>
      <c r="M4113" t="str">
        <f t="shared" si="386"/>
        <v>Low</v>
      </c>
      <c r="N4113" t="str">
        <f t="shared" si="389"/>
        <v>Jun</v>
      </c>
      <c r="O4113">
        <f t="shared" si="390"/>
        <v>2025</v>
      </c>
    </row>
    <row r="4114" spans="1:15" x14ac:dyDescent="0.3">
      <c r="A4114">
        <v>200422</v>
      </c>
      <c r="B4114" t="s">
        <v>22</v>
      </c>
      <c r="C4114" s="2">
        <v>45824</v>
      </c>
      <c r="D4114" s="2">
        <f t="shared" si="388"/>
        <v>45854</v>
      </c>
      <c r="E4114" s="1">
        <f>D4114</f>
        <v>45854</v>
      </c>
      <c r="F4114">
        <v>3258</v>
      </c>
      <c r="G4114">
        <v>30</v>
      </c>
      <c r="H4114">
        <f t="shared" si="387"/>
        <v>0</v>
      </c>
      <c r="I4114" t="str">
        <f t="shared" si="385"/>
        <v>On Time</v>
      </c>
      <c r="J4114" cm="1">
        <f t="array" ref="J4114">_xlfn.IFS(H4114&lt;30,0,H4114&lt;60,1,H4114&lt;90,2,H4114&lt;120,3)</f>
        <v>0</v>
      </c>
      <c r="M4114" t="str">
        <f t="shared" si="386"/>
        <v>Low</v>
      </c>
      <c r="N4114" t="str">
        <f t="shared" si="389"/>
        <v>Jun</v>
      </c>
      <c r="O4114">
        <f t="shared" si="390"/>
        <v>2025</v>
      </c>
    </row>
    <row r="4115" spans="1:15" x14ac:dyDescent="0.3">
      <c r="A4115">
        <v>200423</v>
      </c>
      <c r="B4115" t="s">
        <v>23</v>
      </c>
      <c r="C4115" s="2">
        <v>45824</v>
      </c>
      <c r="D4115" s="2">
        <f t="shared" si="388"/>
        <v>45869</v>
      </c>
      <c r="E4115" s="1">
        <f>D4115+1</f>
        <v>45870</v>
      </c>
      <c r="F4115">
        <v>4364</v>
      </c>
      <c r="G4115">
        <v>45</v>
      </c>
      <c r="H4115">
        <f t="shared" si="387"/>
        <v>0</v>
      </c>
      <c r="I4115" t="str">
        <f t="shared" si="385"/>
        <v>On Time</v>
      </c>
      <c r="J4115" cm="1">
        <f t="array" ref="J4115">_xlfn.IFS(H4115&lt;30,0,H4115&lt;60,1,H4115&lt;90,2,H4115&lt;120,3)</f>
        <v>0</v>
      </c>
      <c r="M4115" t="str">
        <f t="shared" si="386"/>
        <v>Low</v>
      </c>
      <c r="N4115" t="str">
        <f t="shared" si="389"/>
        <v>Jun</v>
      </c>
      <c r="O4115">
        <f t="shared" si="390"/>
        <v>2025</v>
      </c>
    </row>
    <row r="4116" spans="1:15" x14ac:dyDescent="0.3">
      <c r="A4116">
        <v>200424</v>
      </c>
      <c r="B4116" t="s">
        <v>24</v>
      </c>
      <c r="C4116" s="2">
        <v>45824</v>
      </c>
      <c r="D4116" s="2">
        <f t="shared" si="388"/>
        <v>45869</v>
      </c>
      <c r="E4116" s="1">
        <f>D4116</f>
        <v>45869</v>
      </c>
      <c r="F4116">
        <v>3141</v>
      </c>
      <c r="G4116">
        <v>45</v>
      </c>
      <c r="H4116">
        <f t="shared" si="387"/>
        <v>0</v>
      </c>
      <c r="I4116" t="str">
        <f t="shared" si="385"/>
        <v>On Time</v>
      </c>
      <c r="J4116" cm="1">
        <f t="array" ref="J4116">_xlfn.IFS(H4116&lt;30,0,H4116&lt;60,1,H4116&lt;90,2,H4116&lt;120,3)</f>
        <v>0</v>
      </c>
      <c r="M4116" t="str">
        <f t="shared" si="386"/>
        <v>Low</v>
      </c>
      <c r="N4116" t="str">
        <f t="shared" si="389"/>
        <v>Jun</v>
      </c>
      <c r="O4116">
        <f t="shared" si="390"/>
        <v>2025</v>
      </c>
    </row>
    <row r="4117" spans="1:15" x14ac:dyDescent="0.3">
      <c r="A4117">
        <v>200425</v>
      </c>
      <c r="B4117" t="s">
        <v>25</v>
      </c>
      <c r="C4117" s="2">
        <v>45824</v>
      </c>
      <c r="D4117" s="2">
        <f t="shared" si="388"/>
        <v>45884</v>
      </c>
      <c r="E4117" s="1">
        <f>D4117</f>
        <v>45884</v>
      </c>
      <c r="F4117">
        <v>4999</v>
      </c>
      <c r="G4117">
        <v>60</v>
      </c>
      <c r="H4117">
        <f t="shared" si="387"/>
        <v>0</v>
      </c>
      <c r="I4117" t="str">
        <f t="shared" si="385"/>
        <v>On Time</v>
      </c>
      <c r="J4117" cm="1">
        <f t="array" ref="J4117">_xlfn.IFS(H4117&lt;30,0,H4117&lt;60,1,H4117&lt;90,2,H4117&lt;120,3)</f>
        <v>0</v>
      </c>
      <c r="M4117" t="str">
        <f t="shared" si="386"/>
        <v>Low</v>
      </c>
      <c r="N4117" t="str">
        <f t="shared" si="389"/>
        <v>Jun</v>
      </c>
      <c r="O4117">
        <f t="shared" si="390"/>
        <v>2025</v>
      </c>
    </row>
    <row r="4118" spans="1:15" x14ac:dyDescent="0.3">
      <c r="A4118">
        <v>200426</v>
      </c>
      <c r="B4118" t="s">
        <v>26</v>
      </c>
      <c r="C4118" s="2">
        <v>45824</v>
      </c>
      <c r="D4118" s="2">
        <f t="shared" si="388"/>
        <v>45854</v>
      </c>
      <c r="E4118" s="1">
        <f>D4118+5</f>
        <v>45859</v>
      </c>
      <c r="F4118">
        <v>4068</v>
      </c>
      <c r="G4118">
        <v>30</v>
      </c>
      <c r="H4118">
        <f t="shared" si="387"/>
        <v>0</v>
      </c>
      <c r="I4118" t="str">
        <f t="shared" ref="I4118:I4181" si="391">IF(H4118=0,"On Time",IF(H4118&lt;=15,"Paid Late","Seriously Late"))</f>
        <v>On Time</v>
      </c>
      <c r="J4118" cm="1">
        <f t="array" ref="J4118">_xlfn.IFS(H4118&lt;30,0,H4118&lt;60,1,H4118&lt;90,2,H4118&lt;120,3)</f>
        <v>0</v>
      </c>
      <c r="M4118" t="str">
        <f t="shared" ref="M4118:M4181" si="392">IF(H4118&gt;30,"High",IF(H4118&gt;10,"Medium","Low"))</f>
        <v>Low</v>
      </c>
      <c r="N4118" t="str">
        <f t="shared" si="389"/>
        <v>Jun</v>
      </c>
      <c r="O4118">
        <f t="shared" si="390"/>
        <v>2025</v>
      </c>
    </row>
    <row r="4119" spans="1:15" x14ac:dyDescent="0.3">
      <c r="A4119">
        <v>200427</v>
      </c>
      <c r="B4119" t="s">
        <v>27</v>
      </c>
      <c r="C4119" s="2">
        <v>45824</v>
      </c>
      <c r="D4119" s="2">
        <f t="shared" si="388"/>
        <v>45884</v>
      </c>
      <c r="E4119" s="1">
        <f>D4119+2</f>
        <v>45886</v>
      </c>
      <c r="F4119">
        <v>8798</v>
      </c>
      <c r="G4119">
        <v>60</v>
      </c>
      <c r="H4119">
        <f t="shared" si="387"/>
        <v>0</v>
      </c>
      <c r="I4119" t="str">
        <f t="shared" si="391"/>
        <v>On Time</v>
      </c>
      <c r="J4119" cm="1">
        <f t="array" ref="J4119">_xlfn.IFS(H4119&lt;30,0,H4119&lt;60,1,H4119&lt;90,2,H4119&lt;120,3)</f>
        <v>0</v>
      </c>
      <c r="M4119" t="str">
        <f t="shared" si="392"/>
        <v>Low</v>
      </c>
      <c r="N4119" t="str">
        <f t="shared" si="389"/>
        <v>Jun</v>
      </c>
      <c r="O4119">
        <f t="shared" si="390"/>
        <v>2025</v>
      </c>
    </row>
    <row r="4120" spans="1:15" x14ac:dyDescent="0.3">
      <c r="A4120">
        <v>200428</v>
      </c>
      <c r="B4120" t="s">
        <v>28</v>
      </c>
      <c r="C4120" s="2">
        <v>45824</v>
      </c>
      <c r="D4120" s="2">
        <f t="shared" si="388"/>
        <v>45854</v>
      </c>
      <c r="E4120" s="1">
        <f>D4120+5</f>
        <v>45859</v>
      </c>
      <c r="F4120">
        <v>16016</v>
      </c>
      <c r="G4120">
        <v>30</v>
      </c>
      <c r="H4120">
        <f t="shared" si="387"/>
        <v>0</v>
      </c>
      <c r="I4120" t="str">
        <f t="shared" si="391"/>
        <v>On Time</v>
      </c>
      <c r="J4120" cm="1">
        <f t="array" ref="J4120">_xlfn.IFS(H4120&lt;30,0,H4120&lt;60,1,H4120&lt;90,2,H4120&lt;120,3)</f>
        <v>0</v>
      </c>
      <c r="M4120" t="str">
        <f t="shared" si="392"/>
        <v>Low</v>
      </c>
      <c r="N4120" t="str">
        <f t="shared" si="389"/>
        <v>Jun</v>
      </c>
      <c r="O4120">
        <f t="shared" si="390"/>
        <v>2025</v>
      </c>
    </row>
    <row r="4121" spans="1:15" x14ac:dyDescent="0.3">
      <c r="A4121">
        <v>200429</v>
      </c>
      <c r="B4121" t="s">
        <v>29</v>
      </c>
      <c r="C4121" s="2">
        <v>45824</v>
      </c>
      <c r="D4121" s="2">
        <f t="shared" si="388"/>
        <v>45854</v>
      </c>
      <c r="E4121" s="1">
        <f>D4121</f>
        <v>45854</v>
      </c>
      <c r="F4121">
        <v>4675</v>
      </c>
      <c r="G4121">
        <v>30</v>
      </c>
      <c r="H4121">
        <f t="shared" si="387"/>
        <v>0</v>
      </c>
      <c r="I4121" t="str">
        <f t="shared" si="391"/>
        <v>On Time</v>
      </c>
      <c r="J4121" cm="1">
        <f t="array" ref="J4121">_xlfn.IFS(H4121&lt;30,0,H4121&lt;60,1,H4121&lt;90,2,H4121&lt;120,3)</f>
        <v>0</v>
      </c>
      <c r="M4121" t="str">
        <f t="shared" si="392"/>
        <v>Low</v>
      </c>
      <c r="N4121" t="str">
        <f t="shared" si="389"/>
        <v>Jun</v>
      </c>
      <c r="O4121">
        <f t="shared" si="390"/>
        <v>2025</v>
      </c>
    </row>
    <row r="4122" spans="1:15" x14ac:dyDescent="0.3">
      <c r="A4122">
        <v>200430</v>
      </c>
      <c r="B4122" t="s">
        <v>30</v>
      </c>
      <c r="C4122" s="2">
        <v>45824</v>
      </c>
      <c r="D4122" s="2">
        <f t="shared" si="388"/>
        <v>45854</v>
      </c>
      <c r="E4122" s="1">
        <f>D4122</f>
        <v>45854</v>
      </c>
      <c r="F4122">
        <v>670</v>
      </c>
      <c r="G4122">
        <v>30</v>
      </c>
      <c r="H4122">
        <f t="shared" si="387"/>
        <v>0</v>
      </c>
      <c r="I4122" t="str">
        <f t="shared" si="391"/>
        <v>On Time</v>
      </c>
      <c r="J4122" cm="1">
        <f t="array" ref="J4122">_xlfn.IFS(H4122&lt;30,0,H4122&lt;60,1,H4122&lt;90,2,H4122&lt;120,3)</f>
        <v>0</v>
      </c>
      <c r="M4122" t="str">
        <f t="shared" si="392"/>
        <v>Low</v>
      </c>
      <c r="N4122" t="str">
        <f t="shared" si="389"/>
        <v>Jun</v>
      </c>
      <c r="O4122">
        <f t="shared" si="390"/>
        <v>2025</v>
      </c>
    </row>
    <row r="4123" spans="1:15" x14ac:dyDescent="0.3">
      <c r="A4123">
        <v>200431</v>
      </c>
      <c r="B4123" t="s">
        <v>31</v>
      </c>
      <c r="C4123" s="2">
        <v>45824</v>
      </c>
      <c r="D4123" s="2">
        <f t="shared" si="388"/>
        <v>45869</v>
      </c>
      <c r="E4123" s="1">
        <f>D4123+60</f>
        <v>45929</v>
      </c>
      <c r="F4123">
        <v>352</v>
      </c>
      <c r="G4123">
        <v>45</v>
      </c>
      <c r="H4123">
        <f t="shared" si="387"/>
        <v>0</v>
      </c>
      <c r="I4123" t="str">
        <f t="shared" si="391"/>
        <v>On Time</v>
      </c>
      <c r="J4123" cm="1">
        <f t="array" ref="J4123">_xlfn.IFS(H4123&lt;30,0,H4123&lt;60,1,H4123&lt;90,2,H4123&lt;120,3)</f>
        <v>0</v>
      </c>
      <c r="M4123" t="str">
        <f t="shared" si="392"/>
        <v>Low</v>
      </c>
      <c r="N4123" t="str">
        <f t="shared" si="389"/>
        <v>Jun</v>
      </c>
      <c r="O4123">
        <f t="shared" si="390"/>
        <v>2025</v>
      </c>
    </row>
    <row r="4124" spans="1:15" x14ac:dyDescent="0.3">
      <c r="A4124">
        <v>200432</v>
      </c>
      <c r="B4124" t="s">
        <v>54</v>
      </c>
      <c r="C4124" s="2">
        <v>45824</v>
      </c>
      <c r="D4124" s="2">
        <f t="shared" si="388"/>
        <v>45854</v>
      </c>
      <c r="E4124" s="1">
        <f>D4124</f>
        <v>45854</v>
      </c>
      <c r="F4124">
        <v>4333</v>
      </c>
      <c r="G4124">
        <v>30</v>
      </c>
      <c r="H4124">
        <f t="shared" si="387"/>
        <v>0</v>
      </c>
      <c r="I4124" t="str">
        <f t="shared" si="391"/>
        <v>On Time</v>
      </c>
      <c r="J4124" cm="1">
        <f t="array" ref="J4124">_xlfn.IFS(H4124&lt;30,0,H4124&lt;60,1,H4124&lt;90,2,H4124&lt;120,3)</f>
        <v>0</v>
      </c>
      <c r="M4124" t="str">
        <f t="shared" si="392"/>
        <v>Low</v>
      </c>
      <c r="N4124" t="str">
        <f t="shared" si="389"/>
        <v>Jun</v>
      </c>
      <c r="O4124">
        <f t="shared" si="390"/>
        <v>2025</v>
      </c>
    </row>
    <row r="4125" spans="1:15" x14ac:dyDescent="0.3">
      <c r="A4125">
        <v>200400</v>
      </c>
      <c r="B4125" t="s">
        <v>56</v>
      </c>
      <c r="C4125" s="2">
        <v>45821</v>
      </c>
      <c r="D4125" s="2">
        <f t="shared" si="388"/>
        <v>45866</v>
      </c>
      <c r="E4125" s="1">
        <f>D4125</f>
        <v>45866</v>
      </c>
      <c r="F4125">
        <v>2197</v>
      </c>
      <c r="G4125">
        <v>45</v>
      </c>
      <c r="H4125">
        <f t="shared" si="387"/>
        <v>0</v>
      </c>
      <c r="I4125" t="str">
        <f t="shared" si="391"/>
        <v>On Time</v>
      </c>
      <c r="J4125" cm="1">
        <f t="array" ref="J4125">_xlfn.IFS(H4125&lt;30,0,H4125&lt;60,1,H4125&lt;90,2,H4125&lt;120,3)</f>
        <v>0</v>
      </c>
      <c r="M4125" t="str">
        <f t="shared" si="392"/>
        <v>Low</v>
      </c>
      <c r="N4125" t="str">
        <f t="shared" si="389"/>
        <v>Jun</v>
      </c>
      <c r="O4125">
        <f t="shared" si="390"/>
        <v>2025</v>
      </c>
    </row>
    <row r="4126" spans="1:15" x14ac:dyDescent="0.3">
      <c r="A4126">
        <v>200401</v>
      </c>
      <c r="B4126" t="s">
        <v>57</v>
      </c>
      <c r="C4126" s="2">
        <v>45821</v>
      </c>
      <c r="D4126" s="2">
        <f t="shared" si="388"/>
        <v>45881</v>
      </c>
      <c r="E4126" s="1">
        <f>D4126+3</f>
        <v>45884</v>
      </c>
      <c r="F4126">
        <v>3028</v>
      </c>
      <c r="G4126">
        <v>60</v>
      </c>
      <c r="H4126">
        <f t="shared" si="387"/>
        <v>0</v>
      </c>
      <c r="I4126" t="str">
        <f t="shared" si="391"/>
        <v>On Time</v>
      </c>
      <c r="J4126" cm="1">
        <f t="array" ref="J4126">_xlfn.IFS(H4126&lt;30,0,H4126&lt;60,1,H4126&lt;90,2,H4126&lt;120,3)</f>
        <v>0</v>
      </c>
      <c r="M4126" t="str">
        <f t="shared" si="392"/>
        <v>Low</v>
      </c>
      <c r="N4126" t="str">
        <f t="shared" si="389"/>
        <v>Jun</v>
      </c>
      <c r="O4126">
        <f t="shared" si="390"/>
        <v>2025</v>
      </c>
    </row>
    <row r="4127" spans="1:15" x14ac:dyDescent="0.3">
      <c r="A4127">
        <v>200402</v>
      </c>
      <c r="B4127" t="s">
        <v>58</v>
      </c>
      <c r="C4127" s="2">
        <v>45821</v>
      </c>
      <c r="D4127" s="2">
        <f t="shared" si="388"/>
        <v>45851</v>
      </c>
      <c r="E4127" s="1">
        <f>D4127+1</f>
        <v>45852</v>
      </c>
      <c r="F4127">
        <v>4553</v>
      </c>
      <c r="G4127">
        <v>30</v>
      </c>
      <c r="H4127">
        <f t="shared" si="387"/>
        <v>0</v>
      </c>
      <c r="I4127" t="str">
        <f t="shared" si="391"/>
        <v>On Time</v>
      </c>
      <c r="J4127" cm="1">
        <f t="array" ref="J4127">_xlfn.IFS(H4127&lt;30,0,H4127&lt;60,1,H4127&lt;90,2,H4127&lt;120,3)</f>
        <v>0</v>
      </c>
      <c r="M4127" t="str">
        <f t="shared" si="392"/>
        <v>Low</v>
      </c>
      <c r="N4127" t="str">
        <f t="shared" si="389"/>
        <v>Jun</v>
      </c>
      <c r="O4127">
        <f t="shared" si="390"/>
        <v>2025</v>
      </c>
    </row>
    <row r="4128" spans="1:15" x14ac:dyDescent="0.3">
      <c r="A4128">
        <v>200403</v>
      </c>
      <c r="B4128" t="s">
        <v>59</v>
      </c>
      <c r="C4128" s="2">
        <v>45821</v>
      </c>
      <c r="D4128" s="2">
        <f t="shared" si="388"/>
        <v>45851</v>
      </c>
      <c r="E4128" s="1">
        <f>D4128-1</f>
        <v>45850</v>
      </c>
      <c r="F4128">
        <v>2557</v>
      </c>
      <c r="G4128">
        <v>30</v>
      </c>
      <c r="H4128">
        <f t="shared" si="387"/>
        <v>0</v>
      </c>
      <c r="I4128" t="str">
        <f t="shared" si="391"/>
        <v>On Time</v>
      </c>
      <c r="J4128" cm="1">
        <f t="array" ref="J4128">_xlfn.IFS(H4128&lt;30,0,H4128&lt;60,1,H4128&lt;90,2,H4128&lt;120,3)</f>
        <v>0</v>
      </c>
      <c r="M4128" t="str">
        <f t="shared" si="392"/>
        <v>Low</v>
      </c>
      <c r="N4128" t="str">
        <f t="shared" si="389"/>
        <v>Jun</v>
      </c>
      <c r="O4128">
        <f t="shared" si="390"/>
        <v>2025</v>
      </c>
    </row>
    <row r="4129" spans="1:15" x14ac:dyDescent="0.3">
      <c r="A4129">
        <v>200404</v>
      </c>
      <c r="B4129" t="s">
        <v>60</v>
      </c>
      <c r="C4129" s="2">
        <v>45821</v>
      </c>
      <c r="D4129" s="2">
        <f t="shared" si="388"/>
        <v>45851</v>
      </c>
      <c r="E4129" s="1">
        <f>D4129</f>
        <v>45851</v>
      </c>
      <c r="F4129">
        <v>3197</v>
      </c>
      <c r="G4129">
        <v>30</v>
      </c>
      <c r="H4129">
        <f t="shared" si="387"/>
        <v>0</v>
      </c>
      <c r="I4129" t="str">
        <f t="shared" si="391"/>
        <v>On Time</v>
      </c>
      <c r="J4129" cm="1">
        <f t="array" ref="J4129">_xlfn.IFS(H4129&lt;30,0,H4129&lt;60,1,H4129&lt;90,2,H4129&lt;120,3)</f>
        <v>0</v>
      </c>
      <c r="M4129" t="str">
        <f t="shared" si="392"/>
        <v>Low</v>
      </c>
      <c r="N4129" t="str">
        <f t="shared" si="389"/>
        <v>Jun</v>
      </c>
      <c r="O4129">
        <f t="shared" si="390"/>
        <v>2025</v>
      </c>
    </row>
    <row r="4130" spans="1:15" x14ac:dyDescent="0.3">
      <c r="A4130">
        <v>200405</v>
      </c>
      <c r="B4130" t="s">
        <v>61</v>
      </c>
      <c r="C4130" s="2">
        <v>45821</v>
      </c>
      <c r="D4130" s="2">
        <f t="shared" si="388"/>
        <v>45851</v>
      </c>
      <c r="E4130" s="1">
        <f>D4130+1</f>
        <v>45852</v>
      </c>
      <c r="F4130">
        <v>456</v>
      </c>
      <c r="G4130">
        <v>30</v>
      </c>
      <c r="H4130">
        <f t="shared" si="387"/>
        <v>0</v>
      </c>
      <c r="I4130" t="str">
        <f t="shared" si="391"/>
        <v>On Time</v>
      </c>
      <c r="J4130" cm="1">
        <f t="array" ref="J4130">_xlfn.IFS(H4130&lt;30,0,H4130&lt;60,1,H4130&lt;90,2,H4130&lt;120,3)</f>
        <v>0</v>
      </c>
      <c r="M4130" t="str">
        <f t="shared" si="392"/>
        <v>Low</v>
      </c>
      <c r="N4130" t="str">
        <f t="shared" si="389"/>
        <v>Jun</v>
      </c>
      <c r="O4130">
        <f t="shared" si="390"/>
        <v>2025</v>
      </c>
    </row>
    <row r="4131" spans="1:15" x14ac:dyDescent="0.3">
      <c r="A4131">
        <v>200406</v>
      </c>
      <c r="B4131" t="s">
        <v>62</v>
      </c>
      <c r="C4131" s="2">
        <v>45821</v>
      </c>
      <c r="D4131" s="2">
        <f t="shared" si="388"/>
        <v>45851</v>
      </c>
      <c r="E4131" s="1">
        <f>D4131+35</f>
        <v>45886</v>
      </c>
      <c r="F4131">
        <v>1537</v>
      </c>
      <c r="G4131">
        <v>30</v>
      </c>
      <c r="H4131">
        <f t="shared" si="387"/>
        <v>0</v>
      </c>
      <c r="I4131" t="str">
        <f t="shared" si="391"/>
        <v>On Time</v>
      </c>
      <c r="J4131" cm="1">
        <f t="array" ref="J4131">_xlfn.IFS(H4131&lt;30,0,H4131&lt;60,1,H4131&lt;90,2,H4131&lt;120,3)</f>
        <v>0</v>
      </c>
      <c r="M4131" t="str">
        <f t="shared" si="392"/>
        <v>Low</v>
      </c>
      <c r="N4131" t="str">
        <f t="shared" si="389"/>
        <v>Jun</v>
      </c>
      <c r="O4131">
        <f t="shared" si="390"/>
        <v>2025</v>
      </c>
    </row>
    <row r="4132" spans="1:15" x14ac:dyDescent="0.3">
      <c r="A4132">
        <v>200407</v>
      </c>
      <c r="B4132" t="s">
        <v>63</v>
      </c>
      <c r="C4132" s="2">
        <v>45821</v>
      </c>
      <c r="D4132" s="2">
        <f t="shared" si="388"/>
        <v>45851</v>
      </c>
      <c r="E4132" s="1">
        <f>D4132+75</f>
        <v>45926</v>
      </c>
      <c r="F4132">
        <v>5760</v>
      </c>
      <c r="G4132">
        <v>30</v>
      </c>
      <c r="H4132">
        <f t="shared" si="387"/>
        <v>0</v>
      </c>
      <c r="I4132" t="str">
        <f t="shared" si="391"/>
        <v>On Time</v>
      </c>
      <c r="J4132" cm="1">
        <f t="array" ref="J4132">_xlfn.IFS(H4132&lt;30,0,H4132&lt;60,1,H4132&lt;90,2,H4132&lt;120,3)</f>
        <v>0</v>
      </c>
      <c r="M4132" t="str">
        <f t="shared" si="392"/>
        <v>Low</v>
      </c>
      <c r="N4132" t="str">
        <f t="shared" si="389"/>
        <v>Jun</v>
      </c>
      <c r="O4132">
        <f t="shared" si="390"/>
        <v>2025</v>
      </c>
    </row>
    <row r="4133" spans="1:15" x14ac:dyDescent="0.3">
      <c r="A4133">
        <v>200408</v>
      </c>
      <c r="B4133" t="s">
        <v>64</v>
      </c>
      <c r="C4133" s="2">
        <v>45821</v>
      </c>
      <c r="D4133" s="2">
        <f t="shared" si="388"/>
        <v>45851</v>
      </c>
      <c r="E4133" s="1">
        <f>D4133+5</f>
        <v>45856</v>
      </c>
      <c r="F4133">
        <v>12417</v>
      </c>
      <c r="G4133">
        <v>30</v>
      </c>
      <c r="H4133">
        <f t="shared" si="387"/>
        <v>0</v>
      </c>
      <c r="I4133" t="str">
        <f t="shared" si="391"/>
        <v>On Time</v>
      </c>
      <c r="J4133" cm="1">
        <f t="array" ref="J4133">_xlfn.IFS(H4133&lt;30,0,H4133&lt;60,1,H4133&lt;90,2,H4133&lt;120,3)</f>
        <v>0</v>
      </c>
      <c r="M4133" t="str">
        <f t="shared" si="392"/>
        <v>Low</v>
      </c>
      <c r="N4133" t="str">
        <f t="shared" si="389"/>
        <v>Jun</v>
      </c>
      <c r="O4133">
        <f t="shared" si="390"/>
        <v>2025</v>
      </c>
    </row>
    <row r="4134" spans="1:15" x14ac:dyDescent="0.3">
      <c r="A4134">
        <v>200409</v>
      </c>
      <c r="B4134" t="s">
        <v>65</v>
      </c>
      <c r="C4134" s="2">
        <v>45821</v>
      </c>
      <c r="D4134" s="2">
        <f t="shared" si="388"/>
        <v>45866</v>
      </c>
      <c r="E4134" s="1">
        <f>D4134</f>
        <v>45866</v>
      </c>
      <c r="F4134">
        <v>2635</v>
      </c>
      <c r="G4134">
        <v>45</v>
      </c>
      <c r="H4134">
        <f t="shared" ref="H4134:H4197" si="393">MAX(0,P4099-D4134)</f>
        <v>0</v>
      </c>
      <c r="I4134" t="str">
        <f t="shared" si="391"/>
        <v>On Time</v>
      </c>
      <c r="J4134" cm="1">
        <f t="array" ref="J4134">_xlfn.IFS(H4134&lt;30,0,H4134&lt;60,1,H4134&lt;90,2,H4134&lt;120,3)</f>
        <v>0</v>
      </c>
      <c r="M4134" t="str">
        <f t="shared" si="392"/>
        <v>Low</v>
      </c>
      <c r="N4134" t="str">
        <f t="shared" si="389"/>
        <v>Jun</v>
      </c>
      <c r="O4134">
        <f t="shared" si="390"/>
        <v>2025</v>
      </c>
    </row>
    <row r="4135" spans="1:15" x14ac:dyDescent="0.3">
      <c r="A4135">
        <v>200410</v>
      </c>
      <c r="B4135" t="s">
        <v>66</v>
      </c>
      <c r="C4135" s="2">
        <v>45821</v>
      </c>
      <c r="D4135" s="2">
        <f t="shared" si="388"/>
        <v>45881</v>
      </c>
      <c r="E4135" s="1">
        <f>D4135-1</f>
        <v>45880</v>
      </c>
      <c r="F4135">
        <v>3727</v>
      </c>
      <c r="G4135">
        <v>60</v>
      </c>
      <c r="H4135">
        <f t="shared" si="393"/>
        <v>0</v>
      </c>
      <c r="I4135" t="str">
        <f t="shared" si="391"/>
        <v>On Time</v>
      </c>
      <c r="J4135" cm="1">
        <f t="array" ref="J4135">_xlfn.IFS(H4135&lt;30,0,H4135&lt;60,1,H4135&lt;90,2,H4135&lt;120,3)</f>
        <v>0</v>
      </c>
      <c r="M4135" t="str">
        <f t="shared" si="392"/>
        <v>Low</v>
      </c>
      <c r="N4135" t="str">
        <f t="shared" si="389"/>
        <v>Jun</v>
      </c>
      <c r="O4135">
        <f t="shared" si="390"/>
        <v>2025</v>
      </c>
    </row>
    <row r="4136" spans="1:15" x14ac:dyDescent="0.3">
      <c r="A4136">
        <v>200411</v>
      </c>
      <c r="B4136" t="s">
        <v>108</v>
      </c>
      <c r="C4136" s="2">
        <v>45821</v>
      </c>
      <c r="D4136" s="2">
        <f t="shared" si="388"/>
        <v>45851</v>
      </c>
      <c r="E4136" s="1">
        <f>D4136</f>
        <v>45851</v>
      </c>
      <c r="F4136">
        <v>1964</v>
      </c>
      <c r="G4136">
        <v>30</v>
      </c>
      <c r="H4136">
        <f t="shared" si="393"/>
        <v>0</v>
      </c>
      <c r="I4136" t="str">
        <f t="shared" si="391"/>
        <v>On Time</v>
      </c>
      <c r="J4136" cm="1">
        <f t="array" ref="J4136">_xlfn.IFS(H4136&lt;30,0,H4136&lt;60,1,H4136&lt;90,2,H4136&lt;120,3)</f>
        <v>0</v>
      </c>
      <c r="M4136" t="str">
        <f t="shared" si="392"/>
        <v>Low</v>
      </c>
      <c r="N4136" t="str">
        <f t="shared" si="389"/>
        <v>Jun</v>
      </c>
      <c r="O4136">
        <f t="shared" si="390"/>
        <v>2025</v>
      </c>
    </row>
    <row r="4137" spans="1:15" x14ac:dyDescent="0.3">
      <c r="A4137">
        <v>200412</v>
      </c>
      <c r="B4137" t="s">
        <v>109</v>
      </c>
      <c r="C4137" s="2">
        <v>45821</v>
      </c>
      <c r="D4137" s="2">
        <f t="shared" si="388"/>
        <v>45851</v>
      </c>
      <c r="E4137" s="1">
        <f>D4137+32</f>
        <v>45883</v>
      </c>
      <c r="F4137">
        <v>3277</v>
      </c>
      <c r="G4137">
        <v>30</v>
      </c>
      <c r="H4137">
        <f t="shared" si="393"/>
        <v>0</v>
      </c>
      <c r="I4137" t="str">
        <f t="shared" si="391"/>
        <v>On Time</v>
      </c>
      <c r="J4137" cm="1">
        <f t="array" ref="J4137">_xlfn.IFS(H4137&lt;30,0,H4137&lt;60,1,H4137&lt;90,2,H4137&lt;120,3)</f>
        <v>0</v>
      </c>
      <c r="M4137" t="str">
        <f t="shared" si="392"/>
        <v>Low</v>
      </c>
      <c r="N4137" t="str">
        <f t="shared" si="389"/>
        <v>Jun</v>
      </c>
      <c r="O4137">
        <f t="shared" si="390"/>
        <v>2025</v>
      </c>
    </row>
    <row r="4138" spans="1:15" x14ac:dyDescent="0.3">
      <c r="A4138">
        <v>200413</v>
      </c>
      <c r="B4138" t="s">
        <v>110</v>
      </c>
      <c r="C4138" s="2">
        <v>45821</v>
      </c>
      <c r="D4138" s="2">
        <f t="shared" si="388"/>
        <v>45866</v>
      </c>
      <c r="E4138" s="1">
        <f>D4138+15</f>
        <v>45881</v>
      </c>
      <c r="F4138">
        <v>2026</v>
      </c>
      <c r="G4138">
        <v>45</v>
      </c>
      <c r="H4138">
        <f t="shared" si="393"/>
        <v>0</v>
      </c>
      <c r="I4138" t="str">
        <f t="shared" si="391"/>
        <v>On Time</v>
      </c>
      <c r="J4138" cm="1">
        <f t="array" ref="J4138">_xlfn.IFS(H4138&lt;30,0,H4138&lt;60,1,H4138&lt;90,2,H4138&lt;120,3)</f>
        <v>0</v>
      </c>
      <c r="M4138" t="str">
        <f t="shared" si="392"/>
        <v>Low</v>
      </c>
      <c r="N4138" t="str">
        <f t="shared" si="389"/>
        <v>Jun</v>
      </c>
      <c r="O4138">
        <f t="shared" si="390"/>
        <v>2025</v>
      </c>
    </row>
    <row r="4139" spans="1:15" x14ac:dyDescent="0.3">
      <c r="A4139">
        <v>200414</v>
      </c>
      <c r="B4139" t="s">
        <v>111</v>
      </c>
      <c r="C4139" s="2">
        <v>45821</v>
      </c>
      <c r="D4139" s="2">
        <f t="shared" si="388"/>
        <v>45881</v>
      </c>
      <c r="E4139" s="1">
        <f>D4139-2</f>
        <v>45879</v>
      </c>
      <c r="F4139">
        <v>202</v>
      </c>
      <c r="G4139">
        <v>60</v>
      </c>
      <c r="H4139">
        <f t="shared" si="393"/>
        <v>0</v>
      </c>
      <c r="I4139" t="str">
        <f t="shared" si="391"/>
        <v>On Time</v>
      </c>
      <c r="J4139" cm="1">
        <f t="array" ref="J4139">_xlfn.IFS(H4139&lt;30,0,H4139&lt;60,1,H4139&lt;90,2,H4139&lt;120,3)</f>
        <v>0</v>
      </c>
      <c r="M4139" t="str">
        <f t="shared" si="392"/>
        <v>Low</v>
      </c>
      <c r="N4139" t="str">
        <f t="shared" si="389"/>
        <v>Jun</v>
      </c>
      <c r="O4139">
        <f t="shared" si="390"/>
        <v>2025</v>
      </c>
    </row>
    <row r="4140" spans="1:15" x14ac:dyDescent="0.3">
      <c r="A4140">
        <v>200415</v>
      </c>
      <c r="B4140" t="s">
        <v>112</v>
      </c>
      <c r="C4140" s="2">
        <v>45821</v>
      </c>
      <c r="D4140" s="2">
        <f t="shared" si="388"/>
        <v>45866</v>
      </c>
      <c r="E4140" s="1">
        <f>D4140-2</f>
        <v>45864</v>
      </c>
      <c r="F4140">
        <v>2576</v>
      </c>
      <c r="G4140">
        <v>45</v>
      </c>
      <c r="H4140">
        <f t="shared" si="393"/>
        <v>0</v>
      </c>
      <c r="I4140" t="str">
        <f t="shared" si="391"/>
        <v>On Time</v>
      </c>
      <c r="J4140" cm="1">
        <f t="array" ref="J4140">_xlfn.IFS(H4140&lt;30,0,H4140&lt;60,1,H4140&lt;90,2,H4140&lt;120,3)</f>
        <v>0</v>
      </c>
      <c r="M4140" t="str">
        <f t="shared" si="392"/>
        <v>Low</v>
      </c>
      <c r="N4140" t="str">
        <f t="shared" si="389"/>
        <v>Jun</v>
      </c>
      <c r="O4140">
        <f t="shared" si="390"/>
        <v>2025</v>
      </c>
    </row>
    <row r="4141" spans="1:15" x14ac:dyDescent="0.3">
      <c r="A4141">
        <v>200416</v>
      </c>
      <c r="B4141" t="s">
        <v>113</v>
      </c>
      <c r="C4141" s="2">
        <v>45821</v>
      </c>
      <c r="D4141" s="2">
        <f t="shared" si="388"/>
        <v>45866</v>
      </c>
      <c r="E4141" s="1">
        <f>D4141</f>
        <v>45866</v>
      </c>
      <c r="F4141">
        <v>2131</v>
      </c>
      <c r="G4141">
        <v>45</v>
      </c>
      <c r="H4141">
        <f t="shared" si="393"/>
        <v>0</v>
      </c>
      <c r="I4141" t="str">
        <f t="shared" si="391"/>
        <v>On Time</v>
      </c>
      <c r="J4141" cm="1">
        <f t="array" ref="J4141">_xlfn.IFS(H4141&lt;30,0,H4141&lt;60,1,H4141&lt;90,2,H4141&lt;120,3)</f>
        <v>0</v>
      </c>
      <c r="M4141" t="str">
        <f t="shared" si="392"/>
        <v>Low</v>
      </c>
      <c r="N4141" t="str">
        <f t="shared" si="389"/>
        <v>Jun</v>
      </c>
      <c r="O4141">
        <f t="shared" si="390"/>
        <v>2025</v>
      </c>
    </row>
    <row r="4142" spans="1:15" x14ac:dyDescent="0.3">
      <c r="A4142">
        <v>200386</v>
      </c>
      <c r="B4142" t="s">
        <v>43</v>
      </c>
      <c r="C4142" s="2">
        <v>45820</v>
      </c>
      <c r="D4142" s="2">
        <f t="shared" si="388"/>
        <v>45850</v>
      </c>
      <c r="E4142" s="1">
        <f>D4142+2</f>
        <v>45852</v>
      </c>
      <c r="F4142">
        <v>3564</v>
      </c>
      <c r="G4142">
        <v>30</v>
      </c>
      <c r="H4142">
        <f t="shared" si="393"/>
        <v>0</v>
      </c>
      <c r="I4142" t="str">
        <f t="shared" si="391"/>
        <v>On Time</v>
      </c>
      <c r="J4142" cm="1">
        <f t="array" ref="J4142">_xlfn.IFS(H4142&lt;30,0,H4142&lt;60,1,H4142&lt;90,2,H4142&lt;120,3)</f>
        <v>0</v>
      </c>
      <c r="M4142" t="str">
        <f t="shared" si="392"/>
        <v>Low</v>
      </c>
      <c r="N4142" t="str">
        <f t="shared" si="389"/>
        <v>Jun</v>
      </c>
      <c r="O4142">
        <f t="shared" si="390"/>
        <v>2025</v>
      </c>
    </row>
    <row r="4143" spans="1:15" x14ac:dyDescent="0.3">
      <c r="A4143">
        <v>200387</v>
      </c>
      <c r="B4143" t="s">
        <v>44</v>
      </c>
      <c r="C4143" s="2">
        <v>45820</v>
      </c>
      <c r="D4143" s="2">
        <f t="shared" si="388"/>
        <v>45865</v>
      </c>
      <c r="E4143" s="1">
        <f>D4143</f>
        <v>45865</v>
      </c>
      <c r="F4143">
        <v>1521</v>
      </c>
      <c r="G4143">
        <v>45</v>
      </c>
      <c r="H4143">
        <f t="shared" si="393"/>
        <v>0</v>
      </c>
      <c r="I4143" t="str">
        <f t="shared" si="391"/>
        <v>On Time</v>
      </c>
      <c r="J4143" cm="1">
        <f t="array" ref="J4143">_xlfn.IFS(H4143&lt;30,0,H4143&lt;60,1,H4143&lt;90,2,H4143&lt;120,3)</f>
        <v>0</v>
      </c>
      <c r="M4143" t="str">
        <f t="shared" si="392"/>
        <v>Low</v>
      </c>
      <c r="N4143" t="str">
        <f t="shared" si="389"/>
        <v>Jun</v>
      </c>
      <c r="O4143">
        <f t="shared" si="390"/>
        <v>2025</v>
      </c>
    </row>
    <row r="4144" spans="1:15" x14ac:dyDescent="0.3">
      <c r="A4144">
        <v>200388</v>
      </c>
      <c r="B4144" t="s">
        <v>96</v>
      </c>
      <c r="C4144" s="2">
        <v>45820</v>
      </c>
      <c r="D4144" s="2">
        <f t="shared" si="388"/>
        <v>45880</v>
      </c>
      <c r="E4144" s="1">
        <f>D4144+20</f>
        <v>45900</v>
      </c>
      <c r="F4144">
        <v>18187</v>
      </c>
      <c r="G4144">
        <v>60</v>
      </c>
      <c r="H4144">
        <f t="shared" si="393"/>
        <v>0</v>
      </c>
      <c r="I4144" t="str">
        <f t="shared" si="391"/>
        <v>On Time</v>
      </c>
      <c r="J4144" cm="1">
        <f t="array" ref="J4144">_xlfn.IFS(H4144&lt;30,0,H4144&lt;60,1,H4144&lt;90,2,H4144&lt;120,3)</f>
        <v>0</v>
      </c>
      <c r="M4144" t="str">
        <f t="shared" si="392"/>
        <v>Low</v>
      </c>
      <c r="N4144" t="str">
        <f t="shared" si="389"/>
        <v>Jun</v>
      </c>
      <c r="O4144">
        <f t="shared" si="390"/>
        <v>2025</v>
      </c>
    </row>
    <row r="4145" spans="1:15" x14ac:dyDescent="0.3">
      <c r="A4145">
        <v>200389</v>
      </c>
      <c r="B4145" t="s">
        <v>97</v>
      </c>
      <c r="C4145" s="2">
        <v>45820</v>
      </c>
      <c r="D4145" s="2">
        <f t="shared" si="388"/>
        <v>45850</v>
      </c>
      <c r="E4145" s="1">
        <f>D4145</f>
        <v>45850</v>
      </c>
      <c r="F4145">
        <v>3699</v>
      </c>
      <c r="G4145">
        <v>30</v>
      </c>
      <c r="H4145">
        <f t="shared" si="393"/>
        <v>0</v>
      </c>
      <c r="I4145" t="str">
        <f t="shared" si="391"/>
        <v>On Time</v>
      </c>
      <c r="J4145" cm="1">
        <f t="array" ref="J4145">_xlfn.IFS(H4145&lt;30,0,H4145&lt;60,1,H4145&lt;90,2,H4145&lt;120,3)</f>
        <v>0</v>
      </c>
      <c r="M4145" t="str">
        <f t="shared" si="392"/>
        <v>Low</v>
      </c>
      <c r="N4145" t="str">
        <f t="shared" si="389"/>
        <v>Jun</v>
      </c>
      <c r="O4145">
        <f t="shared" si="390"/>
        <v>2025</v>
      </c>
    </row>
    <row r="4146" spans="1:15" x14ac:dyDescent="0.3">
      <c r="A4146">
        <v>200390</v>
      </c>
      <c r="B4146" t="s">
        <v>98</v>
      </c>
      <c r="C4146" s="2">
        <v>45820</v>
      </c>
      <c r="D4146" s="2">
        <f t="shared" si="388"/>
        <v>45850</v>
      </c>
      <c r="E4146" s="1">
        <f>D4146+1</f>
        <v>45851</v>
      </c>
      <c r="F4146">
        <v>4198</v>
      </c>
      <c r="G4146">
        <v>30</v>
      </c>
      <c r="H4146">
        <f t="shared" si="393"/>
        <v>0</v>
      </c>
      <c r="I4146" t="str">
        <f t="shared" si="391"/>
        <v>On Time</v>
      </c>
      <c r="J4146" cm="1">
        <f t="array" ref="J4146">_xlfn.IFS(H4146&lt;30,0,H4146&lt;60,1,H4146&lt;90,2,H4146&lt;120,3)</f>
        <v>0</v>
      </c>
      <c r="M4146" t="str">
        <f t="shared" si="392"/>
        <v>Low</v>
      </c>
      <c r="N4146" t="str">
        <f t="shared" si="389"/>
        <v>Jun</v>
      </c>
      <c r="O4146">
        <f t="shared" si="390"/>
        <v>2025</v>
      </c>
    </row>
    <row r="4147" spans="1:15" x14ac:dyDescent="0.3">
      <c r="A4147">
        <v>200391</v>
      </c>
      <c r="B4147" t="s">
        <v>99</v>
      </c>
      <c r="C4147" s="2">
        <v>45820</v>
      </c>
      <c r="D4147" s="2">
        <f t="shared" si="388"/>
        <v>45850</v>
      </c>
      <c r="E4147" s="1">
        <f>D4147</f>
        <v>45850</v>
      </c>
      <c r="F4147">
        <v>1333</v>
      </c>
      <c r="G4147">
        <v>30</v>
      </c>
      <c r="H4147">
        <f t="shared" si="393"/>
        <v>0</v>
      </c>
      <c r="I4147" t="str">
        <f t="shared" si="391"/>
        <v>On Time</v>
      </c>
      <c r="J4147" cm="1">
        <f t="array" ref="J4147">_xlfn.IFS(H4147&lt;30,0,H4147&lt;60,1,H4147&lt;90,2,H4147&lt;120,3)</f>
        <v>0</v>
      </c>
      <c r="M4147" t="str">
        <f t="shared" si="392"/>
        <v>Low</v>
      </c>
      <c r="N4147" t="str">
        <f t="shared" si="389"/>
        <v>Jun</v>
      </c>
      <c r="O4147">
        <f t="shared" si="390"/>
        <v>2025</v>
      </c>
    </row>
    <row r="4148" spans="1:15" x14ac:dyDescent="0.3">
      <c r="A4148">
        <v>200392</v>
      </c>
      <c r="B4148" t="s">
        <v>100</v>
      </c>
      <c r="C4148" s="2">
        <v>45820</v>
      </c>
      <c r="D4148" s="2">
        <f t="shared" si="388"/>
        <v>45850</v>
      </c>
      <c r="E4148" s="1">
        <f>D4148</f>
        <v>45850</v>
      </c>
      <c r="F4148">
        <v>1997</v>
      </c>
      <c r="G4148">
        <v>30</v>
      </c>
      <c r="H4148">
        <f t="shared" si="393"/>
        <v>0</v>
      </c>
      <c r="I4148" t="str">
        <f t="shared" si="391"/>
        <v>On Time</v>
      </c>
      <c r="J4148" cm="1">
        <f t="array" ref="J4148">_xlfn.IFS(H4148&lt;30,0,H4148&lt;60,1,H4148&lt;90,2,H4148&lt;120,3)</f>
        <v>0</v>
      </c>
      <c r="M4148" t="str">
        <f t="shared" si="392"/>
        <v>Low</v>
      </c>
      <c r="N4148" t="str">
        <f t="shared" si="389"/>
        <v>Jun</v>
      </c>
      <c r="O4148">
        <f t="shared" si="390"/>
        <v>2025</v>
      </c>
    </row>
    <row r="4149" spans="1:15" x14ac:dyDescent="0.3">
      <c r="A4149">
        <v>200393</v>
      </c>
      <c r="B4149" t="s">
        <v>101</v>
      </c>
      <c r="C4149" s="2">
        <v>45820</v>
      </c>
      <c r="D4149" s="2">
        <f t="shared" si="388"/>
        <v>45850</v>
      </c>
      <c r="E4149" s="1">
        <f>D4149+5</f>
        <v>45855</v>
      </c>
      <c r="F4149">
        <v>783</v>
      </c>
      <c r="G4149">
        <v>30</v>
      </c>
      <c r="H4149">
        <f t="shared" si="393"/>
        <v>0</v>
      </c>
      <c r="I4149" t="str">
        <f t="shared" si="391"/>
        <v>On Time</v>
      </c>
      <c r="J4149" cm="1">
        <f t="array" ref="J4149">_xlfn.IFS(H4149&lt;30,0,H4149&lt;60,1,H4149&lt;90,2,H4149&lt;120,3)</f>
        <v>0</v>
      </c>
      <c r="M4149" t="str">
        <f t="shared" si="392"/>
        <v>Low</v>
      </c>
      <c r="N4149" t="str">
        <f t="shared" si="389"/>
        <v>Jun</v>
      </c>
      <c r="O4149">
        <f t="shared" si="390"/>
        <v>2025</v>
      </c>
    </row>
    <row r="4150" spans="1:15" x14ac:dyDescent="0.3">
      <c r="A4150">
        <v>200394</v>
      </c>
      <c r="B4150" t="s">
        <v>102</v>
      </c>
      <c r="C4150" s="2">
        <v>45820</v>
      </c>
      <c r="D4150" s="2">
        <f t="shared" si="388"/>
        <v>45850</v>
      </c>
      <c r="E4150" s="1">
        <f>D4150+2</f>
        <v>45852</v>
      </c>
      <c r="F4150">
        <v>4674</v>
      </c>
      <c r="G4150">
        <v>30</v>
      </c>
      <c r="H4150">
        <f t="shared" si="393"/>
        <v>0</v>
      </c>
      <c r="I4150" t="str">
        <f t="shared" si="391"/>
        <v>On Time</v>
      </c>
      <c r="J4150" cm="1">
        <f t="array" ref="J4150">_xlfn.IFS(H4150&lt;30,0,H4150&lt;60,1,H4150&lt;90,2,H4150&lt;120,3)</f>
        <v>0</v>
      </c>
      <c r="M4150" t="str">
        <f t="shared" si="392"/>
        <v>Low</v>
      </c>
      <c r="N4150" t="str">
        <f t="shared" si="389"/>
        <v>Jun</v>
      </c>
      <c r="O4150">
        <f t="shared" si="390"/>
        <v>2025</v>
      </c>
    </row>
    <row r="4151" spans="1:15" x14ac:dyDescent="0.3">
      <c r="A4151">
        <v>200395</v>
      </c>
      <c r="B4151" t="s">
        <v>103</v>
      </c>
      <c r="C4151" s="2">
        <v>45820</v>
      </c>
      <c r="D4151" s="2">
        <f t="shared" si="388"/>
        <v>45850</v>
      </c>
      <c r="E4151" s="1">
        <f>D4151</f>
        <v>45850</v>
      </c>
      <c r="F4151">
        <v>1020</v>
      </c>
      <c r="G4151">
        <v>30</v>
      </c>
      <c r="H4151">
        <f t="shared" si="393"/>
        <v>0</v>
      </c>
      <c r="I4151" t="str">
        <f t="shared" si="391"/>
        <v>On Time</v>
      </c>
      <c r="J4151" cm="1">
        <f t="array" ref="J4151">_xlfn.IFS(H4151&lt;30,0,H4151&lt;60,1,H4151&lt;90,2,H4151&lt;120,3)</f>
        <v>0</v>
      </c>
      <c r="M4151" t="str">
        <f t="shared" si="392"/>
        <v>Low</v>
      </c>
      <c r="N4151" t="str">
        <f t="shared" si="389"/>
        <v>Jun</v>
      </c>
      <c r="O4151">
        <f t="shared" si="390"/>
        <v>2025</v>
      </c>
    </row>
    <row r="4152" spans="1:15" x14ac:dyDescent="0.3">
      <c r="A4152">
        <v>200396</v>
      </c>
      <c r="B4152" t="s">
        <v>104</v>
      </c>
      <c r="C4152" s="2">
        <v>45820</v>
      </c>
      <c r="D4152" s="2">
        <f t="shared" si="388"/>
        <v>45850</v>
      </c>
      <c r="E4152" s="1">
        <f>D4152</f>
        <v>45850</v>
      </c>
      <c r="F4152">
        <v>1976</v>
      </c>
      <c r="G4152">
        <v>30</v>
      </c>
      <c r="H4152">
        <f t="shared" si="393"/>
        <v>0</v>
      </c>
      <c r="I4152" t="str">
        <f t="shared" si="391"/>
        <v>On Time</v>
      </c>
      <c r="J4152" cm="1">
        <f t="array" ref="J4152">_xlfn.IFS(H4152&lt;30,0,H4152&lt;60,1,H4152&lt;90,2,H4152&lt;120,3)</f>
        <v>0</v>
      </c>
      <c r="M4152" t="str">
        <f t="shared" si="392"/>
        <v>Low</v>
      </c>
      <c r="N4152" t="str">
        <f t="shared" si="389"/>
        <v>Jun</v>
      </c>
      <c r="O4152">
        <f t="shared" si="390"/>
        <v>2025</v>
      </c>
    </row>
    <row r="4153" spans="1:15" x14ac:dyDescent="0.3">
      <c r="A4153">
        <v>200397</v>
      </c>
      <c r="B4153" t="s">
        <v>105</v>
      </c>
      <c r="C4153" s="2">
        <v>45820</v>
      </c>
      <c r="D4153" s="2">
        <f t="shared" si="388"/>
        <v>45850</v>
      </c>
      <c r="E4153" s="1">
        <f>D4153</f>
        <v>45850</v>
      </c>
      <c r="F4153">
        <v>17756</v>
      </c>
      <c r="G4153">
        <v>30</v>
      </c>
      <c r="H4153">
        <f t="shared" si="393"/>
        <v>0</v>
      </c>
      <c r="I4153" t="str">
        <f t="shared" si="391"/>
        <v>On Time</v>
      </c>
      <c r="J4153" cm="1">
        <f t="array" ref="J4153">_xlfn.IFS(H4153&lt;30,0,H4153&lt;60,1,H4153&lt;90,2,H4153&lt;120,3)</f>
        <v>0</v>
      </c>
      <c r="M4153" t="str">
        <f t="shared" si="392"/>
        <v>Low</v>
      </c>
      <c r="N4153" t="str">
        <f t="shared" si="389"/>
        <v>Jun</v>
      </c>
      <c r="O4153">
        <f t="shared" si="390"/>
        <v>2025</v>
      </c>
    </row>
    <row r="4154" spans="1:15" x14ac:dyDescent="0.3">
      <c r="A4154">
        <v>200398</v>
      </c>
      <c r="B4154" t="s">
        <v>106</v>
      </c>
      <c r="C4154" s="2">
        <v>45820</v>
      </c>
      <c r="D4154" s="2">
        <f t="shared" si="388"/>
        <v>45850</v>
      </c>
      <c r="E4154" s="1">
        <f>D4154+60</f>
        <v>45910</v>
      </c>
      <c r="F4154">
        <v>2776</v>
      </c>
      <c r="G4154">
        <v>30</v>
      </c>
      <c r="H4154">
        <f t="shared" si="393"/>
        <v>0</v>
      </c>
      <c r="I4154" t="str">
        <f t="shared" si="391"/>
        <v>On Time</v>
      </c>
      <c r="J4154" cm="1">
        <f t="array" ref="J4154">_xlfn.IFS(H4154&lt;30,0,H4154&lt;60,1,H4154&lt;90,2,H4154&lt;120,3)</f>
        <v>0</v>
      </c>
      <c r="M4154" t="str">
        <f t="shared" si="392"/>
        <v>Low</v>
      </c>
      <c r="N4154" t="str">
        <f t="shared" si="389"/>
        <v>Jun</v>
      </c>
      <c r="O4154">
        <f t="shared" si="390"/>
        <v>2025</v>
      </c>
    </row>
    <row r="4155" spans="1:15" x14ac:dyDescent="0.3">
      <c r="A4155">
        <v>200399</v>
      </c>
      <c r="B4155" t="s">
        <v>107</v>
      </c>
      <c r="C4155" s="2">
        <v>45820</v>
      </c>
      <c r="D4155" s="2">
        <f t="shared" si="388"/>
        <v>45850</v>
      </c>
      <c r="E4155" s="1">
        <f>D4155</f>
        <v>45850</v>
      </c>
      <c r="F4155">
        <v>1018</v>
      </c>
      <c r="G4155">
        <v>30</v>
      </c>
      <c r="H4155">
        <f t="shared" si="393"/>
        <v>0</v>
      </c>
      <c r="I4155" t="str">
        <f t="shared" si="391"/>
        <v>On Time</v>
      </c>
      <c r="J4155" cm="1">
        <f t="array" ref="J4155">_xlfn.IFS(H4155&lt;30,0,H4155&lt;60,1,H4155&lt;90,2,H4155&lt;120,3)</f>
        <v>0</v>
      </c>
      <c r="M4155" t="str">
        <f t="shared" si="392"/>
        <v>Low</v>
      </c>
      <c r="N4155" t="str">
        <f t="shared" si="389"/>
        <v>Jun</v>
      </c>
      <c r="O4155">
        <f t="shared" si="390"/>
        <v>2025</v>
      </c>
    </row>
    <row r="4156" spans="1:15" x14ac:dyDescent="0.3">
      <c r="A4156">
        <v>200370</v>
      </c>
      <c r="B4156" t="s">
        <v>92</v>
      </c>
      <c r="C4156" s="2">
        <v>45819</v>
      </c>
      <c r="D4156" s="2">
        <f t="shared" si="388"/>
        <v>45849</v>
      </c>
      <c r="E4156" s="1">
        <f>D4156-1</f>
        <v>45848</v>
      </c>
      <c r="F4156">
        <v>2171</v>
      </c>
      <c r="G4156">
        <v>30</v>
      </c>
      <c r="H4156">
        <f t="shared" si="393"/>
        <v>0</v>
      </c>
      <c r="I4156" t="str">
        <f t="shared" si="391"/>
        <v>On Time</v>
      </c>
      <c r="J4156" cm="1">
        <f t="array" ref="J4156">_xlfn.IFS(H4156&lt;30,0,H4156&lt;60,1,H4156&lt;90,2,H4156&lt;120,3)</f>
        <v>0</v>
      </c>
      <c r="M4156" t="str">
        <f t="shared" si="392"/>
        <v>Low</v>
      </c>
      <c r="N4156" t="str">
        <f t="shared" si="389"/>
        <v>Jun</v>
      </c>
      <c r="O4156">
        <f t="shared" si="390"/>
        <v>2025</v>
      </c>
    </row>
    <row r="4157" spans="1:15" x14ac:dyDescent="0.3">
      <c r="A4157">
        <v>200371</v>
      </c>
      <c r="B4157" t="s">
        <v>93</v>
      </c>
      <c r="C4157" s="2">
        <v>45819</v>
      </c>
      <c r="D4157" s="2">
        <f t="shared" si="388"/>
        <v>45849</v>
      </c>
      <c r="E4157" s="1">
        <f>D4157</f>
        <v>45849</v>
      </c>
      <c r="F4157">
        <v>843</v>
      </c>
      <c r="G4157">
        <v>30</v>
      </c>
      <c r="H4157">
        <f t="shared" si="393"/>
        <v>0</v>
      </c>
      <c r="I4157" t="str">
        <f t="shared" si="391"/>
        <v>On Time</v>
      </c>
      <c r="J4157" cm="1">
        <f t="array" ref="J4157">_xlfn.IFS(H4157&lt;30,0,H4157&lt;60,1,H4157&lt;90,2,H4157&lt;120,3)</f>
        <v>0</v>
      </c>
      <c r="M4157" t="str">
        <f t="shared" si="392"/>
        <v>Low</v>
      </c>
      <c r="N4157" t="str">
        <f t="shared" si="389"/>
        <v>Jun</v>
      </c>
      <c r="O4157">
        <f t="shared" si="390"/>
        <v>2025</v>
      </c>
    </row>
    <row r="4158" spans="1:15" x14ac:dyDescent="0.3">
      <c r="A4158">
        <v>200372</v>
      </c>
      <c r="B4158" t="s">
        <v>94</v>
      </c>
      <c r="C4158" s="2">
        <v>45819</v>
      </c>
      <c r="D4158" s="2">
        <f t="shared" si="388"/>
        <v>45849</v>
      </c>
      <c r="E4158" s="1">
        <f>D4158-5</f>
        <v>45844</v>
      </c>
      <c r="F4158">
        <v>3592</v>
      </c>
      <c r="G4158">
        <v>30</v>
      </c>
      <c r="H4158">
        <f t="shared" si="393"/>
        <v>0</v>
      </c>
      <c r="I4158" t="str">
        <f t="shared" si="391"/>
        <v>On Time</v>
      </c>
      <c r="J4158" cm="1">
        <f t="array" ref="J4158">_xlfn.IFS(H4158&lt;30,0,H4158&lt;60,1,H4158&lt;90,2,H4158&lt;120,3)</f>
        <v>0</v>
      </c>
      <c r="M4158" t="str">
        <f t="shared" si="392"/>
        <v>Low</v>
      </c>
      <c r="N4158" t="str">
        <f t="shared" si="389"/>
        <v>Jun</v>
      </c>
      <c r="O4158">
        <f t="shared" si="390"/>
        <v>2025</v>
      </c>
    </row>
    <row r="4159" spans="1:15" x14ac:dyDescent="0.3">
      <c r="A4159">
        <v>200373</v>
      </c>
      <c r="B4159" t="s">
        <v>95</v>
      </c>
      <c r="C4159" s="2">
        <v>45819</v>
      </c>
      <c r="D4159" s="2">
        <f t="shared" si="388"/>
        <v>45864</v>
      </c>
      <c r="E4159" s="1">
        <f>D4159+35</f>
        <v>45899</v>
      </c>
      <c r="F4159">
        <v>3861</v>
      </c>
      <c r="G4159">
        <v>45</v>
      </c>
      <c r="H4159">
        <f t="shared" si="393"/>
        <v>0</v>
      </c>
      <c r="I4159" t="str">
        <f t="shared" si="391"/>
        <v>On Time</v>
      </c>
      <c r="J4159" cm="1">
        <f t="array" ref="J4159">_xlfn.IFS(H4159&lt;30,0,H4159&lt;60,1,H4159&lt;90,2,H4159&lt;120,3)</f>
        <v>0</v>
      </c>
      <c r="M4159" t="str">
        <f t="shared" si="392"/>
        <v>Low</v>
      </c>
      <c r="N4159" t="str">
        <f t="shared" si="389"/>
        <v>Jun</v>
      </c>
      <c r="O4159">
        <f t="shared" si="390"/>
        <v>2025</v>
      </c>
    </row>
    <row r="4160" spans="1:15" x14ac:dyDescent="0.3">
      <c r="A4160">
        <v>200374</v>
      </c>
      <c r="B4160" t="s">
        <v>96</v>
      </c>
      <c r="C4160" s="2">
        <v>45819</v>
      </c>
      <c r="D4160" s="2">
        <f t="shared" si="388"/>
        <v>45879</v>
      </c>
      <c r="E4160" s="1">
        <f>D4160+69</f>
        <v>45948</v>
      </c>
      <c r="F4160">
        <v>3706</v>
      </c>
      <c r="G4160">
        <v>60</v>
      </c>
      <c r="H4160">
        <f t="shared" si="393"/>
        <v>0</v>
      </c>
      <c r="I4160" t="str">
        <f t="shared" si="391"/>
        <v>On Time</v>
      </c>
      <c r="J4160" cm="1">
        <f t="array" ref="J4160">_xlfn.IFS(H4160&lt;30,0,H4160&lt;60,1,H4160&lt;90,2,H4160&lt;120,3)</f>
        <v>0</v>
      </c>
      <c r="M4160" t="str">
        <f t="shared" si="392"/>
        <v>Low</v>
      </c>
      <c r="N4160" t="str">
        <f t="shared" si="389"/>
        <v>Jun</v>
      </c>
      <c r="O4160">
        <f t="shared" si="390"/>
        <v>2025</v>
      </c>
    </row>
    <row r="4161" spans="1:15" x14ac:dyDescent="0.3">
      <c r="A4161">
        <v>200375</v>
      </c>
      <c r="B4161" t="s">
        <v>97</v>
      </c>
      <c r="C4161" s="2">
        <v>45819</v>
      </c>
      <c r="D4161" s="2">
        <f t="shared" si="388"/>
        <v>45849</v>
      </c>
      <c r="E4161" s="1">
        <f>D4161+5</f>
        <v>45854</v>
      </c>
      <c r="F4161">
        <v>3750</v>
      </c>
      <c r="G4161">
        <v>30</v>
      </c>
      <c r="H4161">
        <f t="shared" si="393"/>
        <v>0</v>
      </c>
      <c r="I4161" t="str">
        <f t="shared" si="391"/>
        <v>On Time</v>
      </c>
      <c r="J4161" cm="1">
        <f t="array" ref="J4161">_xlfn.IFS(H4161&lt;30,0,H4161&lt;60,1,H4161&lt;90,2,H4161&lt;120,3)</f>
        <v>0</v>
      </c>
      <c r="M4161" t="str">
        <f t="shared" si="392"/>
        <v>Low</v>
      </c>
      <c r="N4161" t="str">
        <f t="shared" si="389"/>
        <v>Jun</v>
      </c>
      <c r="O4161">
        <f t="shared" si="390"/>
        <v>2025</v>
      </c>
    </row>
    <row r="4162" spans="1:15" x14ac:dyDescent="0.3">
      <c r="A4162">
        <v>200376</v>
      </c>
      <c r="B4162" t="s">
        <v>98</v>
      </c>
      <c r="C4162" s="2">
        <v>45819</v>
      </c>
      <c r="D4162" s="2">
        <f t="shared" ref="D4162:D4225" si="394">C4162+G4162</f>
        <v>45849</v>
      </c>
      <c r="E4162" s="1">
        <f>D4162</f>
        <v>45849</v>
      </c>
      <c r="F4162">
        <v>1162</v>
      </c>
      <c r="G4162">
        <v>30</v>
      </c>
      <c r="H4162">
        <f t="shared" si="393"/>
        <v>0</v>
      </c>
      <c r="I4162" t="str">
        <f t="shared" si="391"/>
        <v>On Time</v>
      </c>
      <c r="J4162" cm="1">
        <f t="array" ref="J4162">_xlfn.IFS(H4162&lt;30,0,H4162&lt;60,1,H4162&lt;90,2,H4162&lt;120,3)</f>
        <v>0</v>
      </c>
      <c r="M4162" t="str">
        <f t="shared" si="392"/>
        <v>Low</v>
      </c>
      <c r="N4162" t="str">
        <f t="shared" ref="N4162:N4225" si="395">TEXT(C4162,"mmm")</f>
        <v>Jun</v>
      </c>
      <c r="O4162">
        <f t="shared" ref="O4162:O4225" si="396">YEAR(C4162)</f>
        <v>2025</v>
      </c>
    </row>
    <row r="4163" spans="1:15" x14ac:dyDescent="0.3">
      <c r="A4163">
        <v>200377</v>
      </c>
      <c r="B4163" t="s">
        <v>99</v>
      </c>
      <c r="C4163" s="2">
        <v>45819</v>
      </c>
      <c r="D4163" s="2">
        <f t="shared" si="394"/>
        <v>45849</v>
      </c>
      <c r="E4163" s="1">
        <f>D4163-1</f>
        <v>45848</v>
      </c>
      <c r="F4163">
        <v>3073</v>
      </c>
      <c r="G4163">
        <v>30</v>
      </c>
      <c r="H4163">
        <f t="shared" si="393"/>
        <v>0</v>
      </c>
      <c r="I4163" t="str">
        <f t="shared" si="391"/>
        <v>On Time</v>
      </c>
      <c r="J4163" cm="1">
        <f t="array" ref="J4163">_xlfn.IFS(H4163&lt;30,0,H4163&lt;60,1,H4163&lt;90,2,H4163&lt;120,3)</f>
        <v>0</v>
      </c>
      <c r="M4163" t="str">
        <f t="shared" si="392"/>
        <v>Low</v>
      </c>
      <c r="N4163" t="str">
        <f t="shared" si="395"/>
        <v>Jun</v>
      </c>
      <c r="O4163">
        <f t="shared" si="396"/>
        <v>2025</v>
      </c>
    </row>
    <row r="4164" spans="1:15" x14ac:dyDescent="0.3">
      <c r="A4164">
        <v>200378</v>
      </c>
      <c r="B4164" t="s">
        <v>100</v>
      </c>
      <c r="C4164" s="2">
        <v>45819</v>
      </c>
      <c r="D4164" s="2">
        <f t="shared" si="394"/>
        <v>45849</v>
      </c>
      <c r="E4164" s="1">
        <f>D4164</f>
        <v>45849</v>
      </c>
      <c r="F4164">
        <v>1372</v>
      </c>
      <c r="G4164">
        <v>30</v>
      </c>
      <c r="H4164">
        <f t="shared" si="393"/>
        <v>0</v>
      </c>
      <c r="I4164" t="str">
        <f t="shared" si="391"/>
        <v>On Time</v>
      </c>
      <c r="J4164" cm="1">
        <f t="array" ref="J4164">_xlfn.IFS(H4164&lt;30,0,H4164&lt;60,1,H4164&lt;90,2,H4164&lt;120,3)</f>
        <v>0</v>
      </c>
      <c r="M4164" t="str">
        <f t="shared" si="392"/>
        <v>Low</v>
      </c>
      <c r="N4164" t="str">
        <f t="shared" si="395"/>
        <v>Jun</v>
      </c>
      <c r="O4164">
        <f t="shared" si="396"/>
        <v>2025</v>
      </c>
    </row>
    <row r="4165" spans="1:15" x14ac:dyDescent="0.3">
      <c r="A4165">
        <v>200379</v>
      </c>
      <c r="B4165" t="s">
        <v>101</v>
      </c>
      <c r="C4165" s="2">
        <v>45819</v>
      </c>
      <c r="D4165" s="2">
        <f t="shared" si="394"/>
        <v>45849</v>
      </c>
      <c r="E4165" s="1">
        <f>D4165+32</f>
        <v>45881</v>
      </c>
      <c r="F4165">
        <v>3115</v>
      </c>
      <c r="G4165">
        <v>30</v>
      </c>
      <c r="H4165">
        <f t="shared" si="393"/>
        <v>0</v>
      </c>
      <c r="I4165" t="str">
        <f t="shared" si="391"/>
        <v>On Time</v>
      </c>
      <c r="J4165" cm="1">
        <f t="array" ref="J4165">_xlfn.IFS(H4165&lt;30,0,H4165&lt;60,1,H4165&lt;90,2,H4165&lt;120,3)</f>
        <v>0</v>
      </c>
      <c r="M4165" t="str">
        <f t="shared" si="392"/>
        <v>Low</v>
      </c>
      <c r="N4165" t="str">
        <f t="shared" si="395"/>
        <v>Jun</v>
      </c>
      <c r="O4165">
        <f t="shared" si="396"/>
        <v>2025</v>
      </c>
    </row>
    <row r="4166" spans="1:15" x14ac:dyDescent="0.3">
      <c r="A4166">
        <v>200380</v>
      </c>
      <c r="B4166" t="s">
        <v>102</v>
      </c>
      <c r="C4166" s="2">
        <v>45819</v>
      </c>
      <c r="D4166" s="2">
        <f t="shared" si="394"/>
        <v>45849</v>
      </c>
      <c r="E4166" s="1">
        <f>D4166+15</f>
        <v>45864</v>
      </c>
      <c r="F4166">
        <v>266</v>
      </c>
      <c r="G4166">
        <v>30</v>
      </c>
      <c r="H4166">
        <f t="shared" si="393"/>
        <v>0</v>
      </c>
      <c r="I4166" t="str">
        <f t="shared" si="391"/>
        <v>On Time</v>
      </c>
      <c r="J4166" cm="1">
        <f t="array" ref="J4166">_xlfn.IFS(H4166&lt;30,0,H4166&lt;60,1,H4166&lt;90,2,H4166&lt;120,3)</f>
        <v>0</v>
      </c>
      <c r="M4166" t="str">
        <f t="shared" si="392"/>
        <v>Low</v>
      </c>
      <c r="N4166" t="str">
        <f t="shared" si="395"/>
        <v>Jun</v>
      </c>
      <c r="O4166">
        <f t="shared" si="396"/>
        <v>2025</v>
      </c>
    </row>
    <row r="4167" spans="1:15" x14ac:dyDescent="0.3">
      <c r="A4167">
        <v>200381</v>
      </c>
      <c r="B4167" t="s">
        <v>38</v>
      </c>
      <c r="C4167" s="2">
        <v>45819</v>
      </c>
      <c r="D4167" s="2">
        <f t="shared" si="394"/>
        <v>45849</v>
      </c>
      <c r="E4167" s="1">
        <f>D4167</f>
        <v>45849</v>
      </c>
      <c r="F4167">
        <v>480</v>
      </c>
      <c r="G4167">
        <v>30</v>
      </c>
      <c r="H4167">
        <f t="shared" si="393"/>
        <v>0</v>
      </c>
      <c r="I4167" t="str">
        <f t="shared" si="391"/>
        <v>On Time</v>
      </c>
      <c r="J4167" cm="1">
        <f t="array" ref="J4167">_xlfn.IFS(H4167&lt;30,0,H4167&lt;60,1,H4167&lt;90,2,H4167&lt;120,3)</f>
        <v>0</v>
      </c>
      <c r="M4167" t="str">
        <f t="shared" si="392"/>
        <v>Low</v>
      </c>
      <c r="N4167" t="str">
        <f t="shared" si="395"/>
        <v>Jun</v>
      </c>
      <c r="O4167">
        <f t="shared" si="396"/>
        <v>2025</v>
      </c>
    </row>
    <row r="4168" spans="1:15" x14ac:dyDescent="0.3">
      <c r="A4168">
        <v>200382</v>
      </c>
      <c r="B4168" t="s">
        <v>39</v>
      </c>
      <c r="C4168" s="2">
        <v>45819</v>
      </c>
      <c r="D4168" s="2">
        <f t="shared" si="394"/>
        <v>45849</v>
      </c>
      <c r="E4168" s="1">
        <f>D4168-2</f>
        <v>45847</v>
      </c>
      <c r="F4168">
        <v>2969</v>
      </c>
      <c r="G4168">
        <v>30</v>
      </c>
      <c r="H4168">
        <f t="shared" si="393"/>
        <v>0</v>
      </c>
      <c r="I4168" t="str">
        <f t="shared" si="391"/>
        <v>On Time</v>
      </c>
      <c r="J4168" cm="1">
        <f t="array" ref="J4168">_xlfn.IFS(H4168&lt;30,0,H4168&lt;60,1,H4168&lt;90,2,H4168&lt;120,3)</f>
        <v>0</v>
      </c>
      <c r="M4168" t="str">
        <f t="shared" si="392"/>
        <v>Low</v>
      </c>
      <c r="N4168" t="str">
        <f t="shared" si="395"/>
        <v>Jun</v>
      </c>
      <c r="O4168">
        <f t="shared" si="396"/>
        <v>2025</v>
      </c>
    </row>
    <row r="4169" spans="1:15" x14ac:dyDescent="0.3">
      <c r="A4169">
        <v>200383</v>
      </c>
      <c r="B4169" t="s">
        <v>40</v>
      </c>
      <c r="C4169" s="2">
        <v>45819</v>
      </c>
      <c r="D4169" s="2">
        <f t="shared" si="394"/>
        <v>45849</v>
      </c>
      <c r="E4169" s="1">
        <f>D4169</f>
        <v>45849</v>
      </c>
      <c r="F4169">
        <v>4983</v>
      </c>
      <c r="G4169">
        <v>30</v>
      </c>
      <c r="H4169">
        <f t="shared" si="393"/>
        <v>0</v>
      </c>
      <c r="I4169" t="str">
        <f t="shared" si="391"/>
        <v>On Time</v>
      </c>
      <c r="J4169" cm="1">
        <f t="array" ref="J4169">_xlfn.IFS(H4169&lt;30,0,H4169&lt;60,1,H4169&lt;90,2,H4169&lt;120,3)</f>
        <v>0</v>
      </c>
      <c r="M4169" t="str">
        <f t="shared" si="392"/>
        <v>Low</v>
      </c>
      <c r="N4169" t="str">
        <f t="shared" si="395"/>
        <v>Jun</v>
      </c>
      <c r="O4169">
        <f t="shared" si="396"/>
        <v>2025</v>
      </c>
    </row>
    <row r="4170" spans="1:15" x14ac:dyDescent="0.3">
      <c r="A4170">
        <v>200384</v>
      </c>
      <c r="B4170" t="s">
        <v>41</v>
      </c>
      <c r="C4170" s="2">
        <v>45819</v>
      </c>
      <c r="D4170" s="2">
        <f t="shared" si="394"/>
        <v>45849</v>
      </c>
      <c r="E4170" s="1">
        <f>D4170+2</f>
        <v>45851</v>
      </c>
      <c r="F4170">
        <v>2319</v>
      </c>
      <c r="G4170">
        <v>30</v>
      </c>
      <c r="H4170">
        <f t="shared" si="393"/>
        <v>0</v>
      </c>
      <c r="I4170" t="str">
        <f t="shared" si="391"/>
        <v>On Time</v>
      </c>
      <c r="J4170" cm="1">
        <f t="array" ref="J4170">_xlfn.IFS(H4170&lt;30,0,H4170&lt;60,1,H4170&lt;90,2,H4170&lt;120,3)</f>
        <v>0</v>
      </c>
      <c r="M4170" t="str">
        <f t="shared" si="392"/>
        <v>Low</v>
      </c>
      <c r="N4170" t="str">
        <f t="shared" si="395"/>
        <v>Jun</v>
      </c>
      <c r="O4170">
        <f t="shared" si="396"/>
        <v>2025</v>
      </c>
    </row>
    <row r="4171" spans="1:15" x14ac:dyDescent="0.3">
      <c r="A4171">
        <v>200385</v>
      </c>
      <c r="B4171" t="s">
        <v>42</v>
      </c>
      <c r="C4171" s="2">
        <v>45819</v>
      </c>
      <c r="D4171" s="2">
        <f t="shared" si="394"/>
        <v>45849</v>
      </c>
      <c r="E4171" s="1">
        <f>D4171+2</f>
        <v>45851</v>
      </c>
      <c r="F4171">
        <v>127</v>
      </c>
      <c r="G4171">
        <v>30</v>
      </c>
      <c r="H4171">
        <f t="shared" si="393"/>
        <v>0</v>
      </c>
      <c r="I4171" t="str">
        <f t="shared" si="391"/>
        <v>On Time</v>
      </c>
      <c r="J4171" cm="1">
        <f t="array" ref="J4171">_xlfn.IFS(H4171&lt;30,0,H4171&lt;60,1,H4171&lt;90,2,H4171&lt;120,3)</f>
        <v>0</v>
      </c>
      <c r="M4171" t="str">
        <f t="shared" si="392"/>
        <v>Low</v>
      </c>
      <c r="N4171" t="str">
        <f t="shared" si="395"/>
        <v>Jun</v>
      </c>
      <c r="O4171">
        <f t="shared" si="396"/>
        <v>2025</v>
      </c>
    </row>
    <row r="4172" spans="1:15" x14ac:dyDescent="0.3">
      <c r="A4172">
        <v>200356</v>
      </c>
      <c r="B4172" t="s">
        <v>26</v>
      </c>
      <c r="C4172" s="2">
        <v>45818</v>
      </c>
      <c r="D4172" s="2">
        <f t="shared" si="394"/>
        <v>45848</v>
      </c>
      <c r="E4172" s="1">
        <f>D4172</f>
        <v>45848</v>
      </c>
      <c r="F4172">
        <v>1476</v>
      </c>
      <c r="G4172">
        <v>30</v>
      </c>
      <c r="H4172">
        <f t="shared" si="393"/>
        <v>0</v>
      </c>
      <c r="I4172" t="str">
        <f t="shared" si="391"/>
        <v>On Time</v>
      </c>
      <c r="J4172" cm="1">
        <f t="array" ref="J4172">_xlfn.IFS(H4172&lt;30,0,H4172&lt;60,1,H4172&lt;90,2,H4172&lt;120,3)</f>
        <v>0</v>
      </c>
      <c r="M4172" t="str">
        <f t="shared" si="392"/>
        <v>Low</v>
      </c>
      <c r="N4172" t="str">
        <f t="shared" si="395"/>
        <v>Jun</v>
      </c>
      <c r="O4172">
        <f t="shared" si="396"/>
        <v>2025</v>
      </c>
    </row>
    <row r="4173" spans="1:15" x14ac:dyDescent="0.3">
      <c r="A4173">
        <v>200357</v>
      </c>
      <c r="B4173" t="s">
        <v>27</v>
      </c>
      <c r="C4173" s="2">
        <v>45818</v>
      </c>
      <c r="D4173" s="2">
        <f t="shared" si="394"/>
        <v>45878</v>
      </c>
      <c r="E4173" s="1">
        <f>D4173+1</f>
        <v>45879</v>
      </c>
      <c r="F4173">
        <v>3534</v>
      </c>
      <c r="G4173">
        <v>60</v>
      </c>
      <c r="H4173">
        <f t="shared" si="393"/>
        <v>0</v>
      </c>
      <c r="I4173" t="str">
        <f t="shared" si="391"/>
        <v>On Time</v>
      </c>
      <c r="J4173" cm="1">
        <f t="array" ref="J4173">_xlfn.IFS(H4173&lt;30,0,H4173&lt;60,1,H4173&lt;90,2,H4173&lt;120,3)</f>
        <v>0</v>
      </c>
      <c r="M4173" t="str">
        <f t="shared" si="392"/>
        <v>Low</v>
      </c>
      <c r="N4173" t="str">
        <f t="shared" si="395"/>
        <v>Jun</v>
      </c>
      <c r="O4173">
        <f t="shared" si="396"/>
        <v>2025</v>
      </c>
    </row>
    <row r="4174" spans="1:15" x14ac:dyDescent="0.3">
      <c r="A4174">
        <v>200358</v>
      </c>
      <c r="B4174" t="s">
        <v>28</v>
      </c>
      <c r="C4174" s="2">
        <v>45818</v>
      </c>
      <c r="D4174" s="2">
        <f t="shared" si="394"/>
        <v>45848</v>
      </c>
      <c r="E4174" s="1">
        <f>D4174</f>
        <v>45848</v>
      </c>
      <c r="F4174">
        <v>3947</v>
      </c>
      <c r="G4174">
        <v>30</v>
      </c>
      <c r="H4174">
        <f t="shared" si="393"/>
        <v>0</v>
      </c>
      <c r="I4174" t="str">
        <f t="shared" si="391"/>
        <v>On Time</v>
      </c>
      <c r="J4174" cm="1">
        <f t="array" ref="J4174">_xlfn.IFS(H4174&lt;30,0,H4174&lt;60,1,H4174&lt;90,2,H4174&lt;120,3)</f>
        <v>0</v>
      </c>
      <c r="M4174" t="str">
        <f t="shared" si="392"/>
        <v>Low</v>
      </c>
      <c r="N4174" t="str">
        <f t="shared" si="395"/>
        <v>Jun</v>
      </c>
      <c r="O4174">
        <f t="shared" si="396"/>
        <v>2025</v>
      </c>
    </row>
    <row r="4175" spans="1:15" x14ac:dyDescent="0.3">
      <c r="A4175">
        <v>200359</v>
      </c>
      <c r="B4175" t="s">
        <v>29</v>
      </c>
      <c r="C4175" s="2">
        <v>45818</v>
      </c>
      <c r="D4175" s="2">
        <f t="shared" si="394"/>
        <v>45848</v>
      </c>
      <c r="E4175" s="1">
        <f>D4175</f>
        <v>45848</v>
      </c>
      <c r="F4175">
        <v>2676</v>
      </c>
      <c r="G4175">
        <v>30</v>
      </c>
      <c r="H4175">
        <f t="shared" si="393"/>
        <v>0</v>
      </c>
      <c r="I4175" t="str">
        <f t="shared" si="391"/>
        <v>On Time</v>
      </c>
      <c r="J4175" cm="1">
        <f t="array" ref="J4175">_xlfn.IFS(H4175&lt;30,0,H4175&lt;60,1,H4175&lt;90,2,H4175&lt;120,3)</f>
        <v>0</v>
      </c>
      <c r="M4175" t="str">
        <f t="shared" si="392"/>
        <v>Low</v>
      </c>
      <c r="N4175" t="str">
        <f t="shared" si="395"/>
        <v>Jun</v>
      </c>
      <c r="O4175">
        <f t="shared" si="396"/>
        <v>2025</v>
      </c>
    </row>
    <row r="4176" spans="1:15" x14ac:dyDescent="0.3">
      <c r="A4176">
        <v>200360</v>
      </c>
      <c r="B4176" t="s">
        <v>75</v>
      </c>
      <c r="C4176" s="2">
        <v>45818</v>
      </c>
      <c r="D4176" s="2">
        <f t="shared" si="394"/>
        <v>45878</v>
      </c>
      <c r="E4176" s="1">
        <f>D4176+5</f>
        <v>45883</v>
      </c>
      <c r="F4176">
        <v>1077</v>
      </c>
      <c r="G4176">
        <v>60</v>
      </c>
      <c r="H4176">
        <f t="shared" si="393"/>
        <v>0</v>
      </c>
      <c r="I4176" t="str">
        <f t="shared" si="391"/>
        <v>On Time</v>
      </c>
      <c r="J4176" cm="1">
        <f t="array" ref="J4176">_xlfn.IFS(H4176&lt;30,0,H4176&lt;60,1,H4176&lt;90,2,H4176&lt;120,3)</f>
        <v>0</v>
      </c>
      <c r="M4176" t="str">
        <f t="shared" si="392"/>
        <v>Low</v>
      </c>
      <c r="N4176" t="str">
        <f t="shared" si="395"/>
        <v>Jun</v>
      </c>
      <c r="O4176">
        <f t="shared" si="396"/>
        <v>2025</v>
      </c>
    </row>
    <row r="4177" spans="1:15" x14ac:dyDescent="0.3">
      <c r="A4177">
        <v>200361</v>
      </c>
      <c r="B4177" t="s">
        <v>76</v>
      </c>
      <c r="C4177" s="2">
        <v>45818</v>
      </c>
      <c r="D4177" s="2">
        <f t="shared" si="394"/>
        <v>45848</v>
      </c>
      <c r="E4177" s="1">
        <f>D4177+2</f>
        <v>45850</v>
      </c>
      <c r="F4177">
        <v>4261</v>
      </c>
      <c r="G4177">
        <v>30</v>
      </c>
      <c r="H4177">
        <f t="shared" si="393"/>
        <v>0</v>
      </c>
      <c r="I4177" t="str">
        <f t="shared" si="391"/>
        <v>On Time</v>
      </c>
      <c r="J4177" cm="1">
        <f t="array" ref="J4177">_xlfn.IFS(H4177&lt;30,0,H4177&lt;60,1,H4177&lt;90,2,H4177&lt;120,3)</f>
        <v>0</v>
      </c>
      <c r="M4177" t="str">
        <f t="shared" si="392"/>
        <v>Low</v>
      </c>
      <c r="N4177" t="str">
        <f t="shared" si="395"/>
        <v>Jun</v>
      </c>
      <c r="O4177">
        <f t="shared" si="396"/>
        <v>2025</v>
      </c>
    </row>
    <row r="4178" spans="1:15" x14ac:dyDescent="0.3">
      <c r="A4178">
        <v>200362</v>
      </c>
      <c r="B4178" t="s">
        <v>77</v>
      </c>
      <c r="C4178" s="2">
        <v>45818</v>
      </c>
      <c r="D4178" s="2">
        <f t="shared" si="394"/>
        <v>45848</v>
      </c>
      <c r="E4178" s="1">
        <f>D4178+5</f>
        <v>45853</v>
      </c>
      <c r="F4178">
        <v>1656</v>
      </c>
      <c r="G4178">
        <v>30</v>
      </c>
      <c r="H4178">
        <f t="shared" si="393"/>
        <v>0</v>
      </c>
      <c r="I4178" t="str">
        <f t="shared" si="391"/>
        <v>On Time</v>
      </c>
      <c r="J4178" cm="1">
        <f t="array" ref="J4178">_xlfn.IFS(H4178&lt;30,0,H4178&lt;60,1,H4178&lt;90,2,H4178&lt;120,3)</f>
        <v>0</v>
      </c>
      <c r="M4178" t="str">
        <f t="shared" si="392"/>
        <v>Low</v>
      </c>
      <c r="N4178" t="str">
        <f t="shared" si="395"/>
        <v>Jun</v>
      </c>
      <c r="O4178">
        <f t="shared" si="396"/>
        <v>2025</v>
      </c>
    </row>
    <row r="4179" spans="1:15" x14ac:dyDescent="0.3">
      <c r="A4179">
        <v>200363</v>
      </c>
      <c r="B4179" t="s">
        <v>78</v>
      </c>
      <c r="C4179" s="2">
        <v>45818</v>
      </c>
      <c r="D4179" s="2">
        <f t="shared" si="394"/>
        <v>45848</v>
      </c>
      <c r="E4179" s="1">
        <f>D4179</f>
        <v>45848</v>
      </c>
      <c r="F4179">
        <v>1109</v>
      </c>
      <c r="G4179">
        <v>30</v>
      </c>
      <c r="H4179">
        <f t="shared" si="393"/>
        <v>0</v>
      </c>
      <c r="I4179" t="str">
        <f t="shared" si="391"/>
        <v>On Time</v>
      </c>
      <c r="J4179" cm="1">
        <f t="array" ref="J4179">_xlfn.IFS(H4179&lt;30,0,H4179&lt;60,1,H4179&lt;90,2,H4179&lt;120,3)</f>
        <v>0</v>
      </c>
      <c r="M4179" t="str">
        <f t="shared" si="392"/>
        <v>Low</v>
      </c>
      <c r="N4179" t="str">
        <f t="shared" si="395"/>
        <v>Jun</v>
      </c>
      <c r="O4179">
        <f t="shared" si="396"/>
        <v>2025</v>
      </c>
    </row>
    <row r="4180" spans="1:15" x14ac:dyDescent="0.3">
      <c r="A4180">
        <v>200364</v>
      </c>
      <c r="B4180" t="s">
        <v>79</v>
      </c>
      <c r="C4180" s="2">
        <v>45818</v>
      </c>
      <c r="D4180" s="2">
        <f t="shared" si="394"/>
        <v>45848</v>
      </c>
      <c r="E4180" s="1">
        <f>D4180</f>
        <v>45848</v>
      </c>
      <c r="F4180">
        <v>2166</v>
      </c>
      <c r="G4180">
        <v>30</v>
      </c>
      <c r="H4180">
        <f t="shared" si="393"/>
        <v>0</v>
      </c>
      <c r="I4180" t="str">
        <f t="shared" si="391"/>
        <v>On Time</v>
      </c>
      <c r="J4180" cm="1">
        <f t="array" ref="J4180">_xlfn.IFS(H4180&lt;30,0,H4180&lt;60,1,H4180&lt;90,2,H4180&lt;120,3)</f>
        <v>0</v>
      </c>
      <c r="M4180" t="str">
        <f t="shared" si="392"/>
        <v>Low</v>
      </c>
      <c r="N4180" t="str">
        <f t="shared" si="395"/>
        <v>Jun</v>
      </c>
      <c r="O4180">
        <f t="shared" si="396"/>
        <v>2025</v>
      </c>
    </row>
    <row r="4181" spans="1:15" x14ac:dyDescent="0.3">
      <c r="A4181">
        <v>200365</v>
      </c>
      <c r="B4181" t="s">
        <v>80</v>
      </c>
      <c r="C4181" s="2">
        <v>45818</v>
      </c>
      <c r="D4181" s="2">
        <f t="shared" si="394"/>
        <v>45848</v>
      </c>
      <c r="E4181" s="1">
        <f>D4181+60</f>
        <v>45908</v>
      </c>
      <c r="F4181">
        <v>2380</v>
      </c>
      <c r="G4181">
        <v>30</v>
      </c>
      <c r="H4181">
        <f t="shared" si="393"/>
        <v>0</v>
      </c>
      <c r="I4181" t="str">
        <f t="shared" si="391"/>
        <v>On Time</v>
      </c>
      <c r="J4181" cm="1">
        <f t="array" ref="J4181">_xlfn.IFS(H4181&lt;30,0,H4181&lt;60,1,H4181&lt;90,2,H4181&lt;120,3)</f>
        <v>0</v>
      </c>
      <c r="M4181" t="str">
        <f t="shared" si="392"/>
        <v>Low</v>
      </c>
      <c r="N4181" t="str">
        <f t="shared" si="395"/>
        <v>Jun</v>
      </c>
      <c r="O4181">
        <f t="shared" si="396"/>
        <v>2025</v>
      </c>
    </row>
    <row r="4182" spans="1:15" x14ac:dyDescent="0.3">
      <c r="A4182">
        <v>200366</v>
      </c>
      <c r="B4182" t="s">
        <v>81</v>
      </c>
      <c r="C4182" s="2">
        <v>45818</v>
      </c>
      <c r="D4182" s="2">
        <f t="shared" si="394"/>
        <v>45848</v>
      </c>
      <c r="E4182" s="1">
        <f>D4182</f>
        <v>45848</v>
      </c>
      <c r="F4182">
        <v>2387</v>
      </c>
      <c r="G4182">
        <v>30</v>
      </c>
      <c r="H4182">
        <f t="shared" si="393"/>
        <v>0</v>
      </c>
      <c r="I4182" t="str">
        <f t="shared" ref="I4182:I4245" si="397">IF(H4182=0,"On Time",IF(H4182&lt;=15,"Paid Late","Seriously Late"))</f>
        <v>On Time</v>
      </c>
      <c r="J4182" cm="1">
        <f t="array" ref="J4182">_xlfn.IFS(H4182&lt;30,0,H4182&lt;60,1,H4182&lt;90,2,H4182&lt;120,3)</f>
        <v>0</v>
      </c>
      <c r="M4182" t="str">
        <f t="shared" ref="M4182:M4245" si="398">IF(H4182&gt;30,"High",IF(H4182&gt;10,"Medium","Low"))</f>
        <v>Low</v>
      </c>
      <c r="N4182" t="str">
        <f t="shared" si="395"/>
        <v>Jun</v>
      </c>
      <c r="O4182">
        <f t="shared" si="396"/>
        <v>2025</v>
      </c>
    </row>
    <row r="4183" spans="1:15" x14ac:dyDescent="0.3">
      <c r="A4183">
        <v>200367</v>
      </c>
      <c r="B4183" t="s">
        <v>82</v>
      </c>
      <c r="C4183" s="2">
        <v>45818</v>
      </c>
      <c r="D4183" s="2">
        <f t="shared" si="394"/>
        <v>45863</v>
      </c>
      <c r="F4183">
        <v>2248</v>
      </c>
      <c r="G4183">
        <v>45</v>
      </c>
      <c r="H4183">
        <f t="shared" si="393"/>
        <v>0</v>
      </c>
      <c r="I4183" t="str">
        <f t="shared" si="397"/>
        <v>On Time</v>
      </c>
      <c r="J4183" cm="1">
        <f t="array" ref="J4183">_xlfn.IFS(H4183&lt;30,0,H4183&lt;60,1,H4183&lt;90,2,H4183&lt;120,3)</f>
        <v>0</v>
      </c>
      <c r="M4183" t="str">
        <f t="shared" si="398"/>
        <v>Low</v>
      </c>
      <c r="N4183" t="str">
        <f t="shared" si="395"/>
        <v>Jun</v>
      </c>
      <c r="O4183">
        <f t="shared" si="396"/>
        <v>2025</v>
      </c>
    </row>
    <row r="4184" spans="1:15" x14ac:dyDescent="0.3">
      <c r="A4184">
        <v>200368</v>
      </c>
      <c r="B4184" t="s">
        <v>83</v>
      </c>
      <c r="C4184" s="2">
        <v>45818</v>
      </c>
      <c r="D4184" s="2">
        <f t="shared" si="394"/>
        <v>45863</v>
      </c>
      <c r="E4184" s="1">
        <f>D4184+3</f>
        <v>45866</v>
      </c>
      <c r="F4184">
        <v>4889</v>
      </c>
      <c r="G4184">
        <v>45</v>
      </c>
      <c r="H4184">
        <f t="shared" si="393"/>
        <v>0</v>
      </c>
      <c r="I4184" t="str">
        <f t="shared" si="397"/>
        <v>On Time</v>
      </c>
      <c r="J4184" cm="1">
        <f t="array" ref="J4184">_xlfn.IFS(H4184&lt;30,0,H4184&lt;60,1,H4184&lt;90,2,H4184&lt;120,3)</f>
        <v>0</v>
      </c>
      <c r="M4184" t="str">
        <f t="shared" si="398"/>
        <v>Low</v>
      </c>
      <c r="N4184" t="str">
        <f t="shared" si="395"/>
        <v>Jun</v>
      </c>
      <c r="O4184">
        <f t="shared" si="396"/>
        <v>2025</v>
      </c>
    </row>
    <row r="4185" spans="1:15" x14ac:dyDescent="0.3">
      <c r="A4185">
        <v>200369</v>
      </c>
      <c r="B4185" t="s">
        <v>84</v>
      </c>
      <c r="C4185" s="2">
        <v>45818</v>
      </c>
      <c r="D4185" s="2">
        <f t="shared" si="394"/>
        <v>45878</v>
      </c>
      <c r="E4185" s="1">
        <f>D4185+1</f>
        <v>45879</v>
      </c>
      <c r="F4185">
        <v>1785</v>
      </c>
      <c r="G4185">
        <v>60</v>
      </c>
      <c r="H4185">
        <f t="shared" si="393"/>
        <v>0</v>
      </c>
      <c r="I4185" t="str">
        <f t="shared" si="397"/>
        <v>On Time</v>
      </c>
      <c r="J4185" cm="1">
        <f t="array" ref="J4185">_xlfn.IFS(H4185&lt;30,0,H4185&lt;60,1,H4185&lt;90,2,H4185&lt;120,3)</f>
        <v>0</v>
      </c>
      <c r="M4185" t="str">
        <f t="shared" si="398"/>
        <v>Low</v>
      </c>
      <c r="N4185" t="str">
        <f t="shared" si="395"/>
        <v>Jun</v>
      </c>
      <c r="O4185">
        <f t="shared" si="396"/>
        <v>2025</v>
      </c>
    </row>
    <row r="4186" spans="1:15" x14ac:dyDescent="0.3">
      <c r="A4186">
        <v>200338</v>
      </c>
      <c r="B4186" t="s">
        <v>52</v>
      </c>
      <c r="C4186" s="2">
        <v>45817</v>
      </c>
      <c r="D4186" s="2">
        <f t="shared" si="394"/>
        <v>45847</v>
      </c>
      <c r="E4186" s="1">
        <f>D4186</f>
        <v>45847</v>
      </c>
      <c r="F4186">
        <v>990</v>
      </c>
      <c r="G4186">
        <v>30</v>
      </c>
      <c r="H4186">
        <f t="shared" si="393"/>
        <v>0</v>
      </c>
      <c r="I4186" t="str">
        <f t="shared" si="397"/>
        <v>On Time</v>
      </c>
      <c r="J4186" cm="1">
        <f t="array" ref="J4186">_xlfn.IFS(H4186&lt;30,0,H4186&lt;60,1,H4186&lt;90,2,H4186&lt;120,3)</f>
        <v>0</v>
      </c>
      <c r="M4186" t="str">
        <f t="shared" si="398"/>
        <v>Low</v>
      </c>
      <c r="N4186" t="str">
        <f t="shared" si="395"/>
        <v>Jun</v>
      </c>
      <c r="O4186">
        <f t="shared" si="396"/>
        <v>2025</v>
      </c>
    </row>
    <row r="4187" spans="1:15" x14ac:dyDescent="0.3">
      <c r="A4187">
        <v>200339</v>
      </c>
      <c r="B4187" t="s">
        <v>53</v>
      </c>
      <c r="C4187" s="2">
        <v>45817</v>
      </c>
      <c r="D4187" s="2">
        <f t="shared" si="394"/>
        <v>45847</v>
      </c>
      <c r="E4187" s="1">
        <f>D4187+1</f>
        <v>45848</v>
      </c>
      <c r="F4187">
        <v>1463</v>
      </c>
      <c r="G4187">
        <v>30</v>
      </c>
      <c r="H4187">
        <f t="shared" si="393"/>
        <v>0</v>
      </c>
      <c r="I4187" t="str">
        <f t="shared" si="397"/>
        <v>On Time</v>
      </c>
      <c r="J4187" cm="1">
        <f t="array" ref="J4187">_xlfn.IFS(H4187&lt;30,0,H4187&lt;60,1,H4187&lt;90,2,H4187&lt;120,3)</f>
        <v>0</v>
      </c>
      <c r="M4187" t="str">
        <f t="shared" si="398"/>
        <v>Low</v>
      </c>
      <c r="N4187" t="str">
        <f t="shared" si="395"/>
        <v>Jun</v>
      </c>
      <c r="O4187">
        <f t="shared" si="396"/>
        <v>2025</v>
      </c>
    </row>
    <row r="4188" spans="1:15" x14ac:dyDescent="0.3">
      <c r="A4188">
        <v>200340</v>
      </c>
      <c r="B4188" t="s">
        <v>54</v>
      </c>
      <c r="C4188" s="2">
        <v>45817</v>
      </c>
      <c r="D4188" s="2">
        <f t="shared" si="394"/>
        <v>45847</v>
      </c>
      <c r="E4188" s="1">
        <f>D4188+35</f>
        <v>45882</v>
      </c>
      <c r="F4188">
        <v>297</v>
      </c>
      <c r="G4188">
        <v>30</v>
      </c>
      <c r="H4188">
        <f t="shared" si="393"/>
        <v>0</v>
      </c>
      <c r="I4188" t="str">
        <f t="shared" si="397"/>
        <v>On Time</v>
      </c>
      <c r="J4188" cm="1">
        <f t="array" ref="J4188">_xlfn.IFS(H4188&lt;30,0,H4188&lt;60,1,H4188&lt;90,2,H4188&lt;120,3)</f>
        <v>0</v>
      </c>
      <c r="M4188" t="str">
        <f t="shared" si="398"/>
        <v>Low</v>
      </c>
      <c r="N4188" t="str">
        <f t="shared" si="395"/>
        <v>Jun</v>
      </c>
      <c r="O4188">
        <f t="shared" si="396"/>
        <v>2025</v>
      </c>
    </row>
    <row r="4189" spans="1:15" x14ac:dyDescent="0.3">
      <c r="A4189">
        <v>200341</v>
      </c>
      <c r="B4189" t="s">
        <v>36</v>
      </c>
      <c r="C4189" s="2">
        <v>45817</v>
      </c>
      <c r="D4189" s="2">
        <f t="shared" si="394"/>
        <v>45847</v>
      </c>
      <c r="E4189" s="1">
        <f>D4189+75</f>
        <v>45922</v>
      </c>
      <c r="F4189">
        <v>3716</v>
      </c>
      <c r="G4189">
        <v>30</v>
      </c>
      <c r="H4189">
        <f t="shared" si="393"/>
        <v>0</v>
      </c>
      <c r="I4189" t="str">
        <f t="shared" si="397"/>
        <v>On Time</v>
      </c>
      <c r="J4189" cm="1">
        <f t="array" ref="J4189">_xlfn.IFS(H4189&lt;30,0,H4189&lt;60,1,H4189&lt;90,2,H4189&lt;120,3)</f>
        <v>0</v>
      </c>
      <c r="M4189" t="str">
        <f t="shared" si="398"/>
        <v>Low</v>
      </c>
      <c r="N4189" t="str">
        <f t="shared" si="395"/>
        <v>Jun</v>
      </c>
      <c r="O4189">
        <f t="shared" si="396"/>
        <v>2025</v>
      </c>
    </row>
    <row r="4190" spans="1:15" x14ac:dyDescent="0.3">
      <c r="A4190">
        <v>200342</v>
      </c>
      <c r="B4190" t="s">
        <v>37</v>
      </c>
      <c r="C4190" s="2">
        <v>45817</v>
      </c>
      <c r="D4190" s="2">
        <f t="shared" si="394"/>
        <v>45847</v>
      </c>
      <c r="E4190" s="1">
        <f>D4190+5</f>
        <v>45852</v>
      </c>
      <c r="F4190">
        <v>1345</v>
      </c>
      <c r="G4190">
        <v>30</v>
      </c>
      <c r="H4190">
        <f t="shared" si="393"/>
        <v>0</v>
      </c>
      <c r="I4190" t="str">
        <f t="shared" si="397"/>
        <v>On Time</v>
      </c>
      <c r="J4190" cm="1">
        <f t="array" ref="J4190">_xlfn.IFS(H4190&lt;30,0,H4190&lt;60,1,H4190&lt;90,2,H4190&lt;120,3)</f>
        <v>0</v>
      </c>
      <c r="M4190" t="str">
        <f t="shared" si="398"/>
        <v>Low</v>
      </c>
      <c r="N4190" t="str">
        <f t="shared" si="395"/>
        <v>Jun</v>
      </c>
      <c r="O4190">
        <f t="shared" si="396"/>
        <v>2025</v>
      </c>
    </row>
    <row r="4191" spans="1:15" x14ac:dyDescent="0.3">
      <c r="A4191">
        <v>200343</v>
      </c>
      <c r="B4191" t="s">
        <v>38</v>
      </c>
      <c r="C4191" s="2">
        <v>45817</v>
      </c>
      <c r="D4191" s="2">
        <f t="shared" si="394"/>
        <v>45847</v>
      </c>
      <c r="E4191" s="1">
        <f>D4191</f>
        <v>45847</v>
      </c>
      <c r="F4191">
        <v>4112</v>
      </c>
      <c r="G4191">
        <v>30</v>
      </c>
      <c r="H4191">
        <f t="shared" si="393"/>
        <v>0</v>
      </c>
      <c r="I4191" t="str">
        <f t="shared" si="397"/>
        <v>On Time</v>
      </c>
      <c r="J4191" cm="1">
        <f t="array" ref="J4191">_xlfn.IFS(H4191&lt;30,0,H4191&lt;60,1,H4191&lt;90,2,H4191&lt;120,3)</f>
        <v>0</v>
      </c>
      <c r="M4191" t="str">
        <f t="shared" si="398"/>
        <v>Low</v>
      </c>
      <c r="N4191" t="str">
        <f t="shared" si="395"/>
        <v>Jun</v>
      </c>
      <c r="O4191">
        <f t="shared" si="396"/>
        <v>2025</v>
      </c>
    </row>
    <row r="4192" spans="1:15" x14ac:dyDescent="0.3">
      <c r="A4192">
        <v>200344</v>
      </c>
      <c r="B4192" t="s">
        <v>39</v>
      </c>
      <c r="C4192" s="2">
        <v>45817</v>
      </c>
      <c r="D4192" s="2">
        <f t="shared" si="394"/>
        <v>45847</v>
      </c>
      <c r="E4192" s="1">
        <f>D4192-1</f>
        <v>45846</v>
      </c>
      <c r="F4192">
        <v>3776</v>
      </c>
      <c r="G4192">
        <v>30</v>
      </c>
      <c r="H4192">
        <f t="shared" si="393"/>
        <v>0</v>
      </c>
      <c r="I4192" t="str">
        <f t="shared" si="397"/>
        <v>On Time</v>
      </c>
      <c r="J4192" cm="1">
        <f t="array" ref="J4192">_xlfn.IFS(H4192&lt;30,0,H4192&lt;60,1,H4192&lt;90,2,H4192&lt;120,3)</f>
        <v>0</v>
      </c>
      <c r="M4192" t="str">
        <f t="shared" si="398"/>
        <v>Low</v>
      </c>
      <c r="N4192" t="str">
        <f t="shared" si="395"/>
        <v>Jun</v>
      </c>
      <c r="O4192">
        <f t="shared" si="396"/>
        <v>2025</v>
      </c>
    </row>
    <row r="4193" spans="1:15" x14ac:dyDescent="0.3">
      <c r="A4193">
        <v>200345</v>
      </c>
      <c r="B4193" t="s">
        <v>40</v>
      </c>
      <c r="C4193" s="2">
        <v>45817</v>
      </c>
      <c r="D4193" s="2">
        <f t="shared" si="394"/>
        <v>45847</v>
      </c>
      <c r="E4193" s="1">
        <f>D4193</f>
        <v>45847</v>
      </c>
      <c r="F4193">
        <v>424</v>
      </c>
      <c r="G4193">
        <v>30</v>
      </c>
      <c r="H4193">
        <f t="shared" si="393"/>
        <v>0</v>
      </c>
      <c r="I4193" t="str">
        <f t="shared" si="397"/>
        <v>On Time</v>
      </c>
      <c r="J4193" cm="1">
        <f t="array" ref="J4193">_xlfn.IFS(H4193&lt;30,0,H4193&lt;60,1,H4193&lt;90,2,H4193&lt;120,3)</f>
        <v>0</v>
      </c>
      <c r="M4193" t="str">
        <f t="shared" si="398"/>
        <v>Low</v>
      </c>
      <c r="N4193" t="str">
        <f t="shared" si="395"/>
        <v>Jun</v>
      </c>
      <c r="O4193">
        <f t="shared" si="396"/>
        <v>2025</v>
      </c>
    </row>
    <row r="4194" spans="1:15" x14ac:dyDescent="0.3">
      <c r="A4194">
        <v>200346</v>
      </c>
      <c r="B4194" t="s">
        <v>41</v>
      </c>
      <c r="C4194" s="2">
        <v>45817</v>
      </c>
      <c r="D4194" s="2">
        <f t="shared" si="394"/>
        <v>45847</v>
      </c>
      <c r="E4194" s="1">
        <f>D4194+32</f>
        <v>45879</v>
      </c>
      <c r="F4194">
        <v>1963</v>
      </c>
      <c r="G4194">
        <v>30</v>
      </c>
      <c r="H4194">
        <f t="shared" si="393"/>
        <v>0</v>
      </c>
      <c r="I4194" t="str">
        <f t="shared" si="397"/>
        <v>On Time</v>
      </c>
      <c r="J4194" cm="1">
        <f t="array" ref="J4194">_xlfn.IFS(H4194&lt;30,0,H4194&lt;60,1,H4194&lt;90,2,H4194&lt;120,3)</f>
        <v>0</v>
      </c>
      <c r="M4194" t="str">
        <f t="shared" si="398"/>
        <v>Low</v>
      </c>
      <c r="N4194" t="str">
        <f t="shared" si="395"/>
        <v>Jun</v>
      </c>
      <c r="O4194">
        <f t="shared" si="396"/>
        <v>2025</v>
      </c>
    </row>
    <row r="4195" spans="1:15" x14ac:dyDescent="0.3">
      <c r="A4195">
        <v>200347</v>
      </c>
      <c r="B4195" t="s">
        <v>42</v>
      </c>
      <c r="C4195" s="2">
        <v>45817</v>
      </c>
      <c r="D4195" s="2">
        <f t="shared" si="394"/>
        <v>45847</v>
      </c>
      <c r="E4195" s="1">
        <f>D4195+15</f>
        <v>45862</v>
      </c>
      <c r="F4195">
        <v>344</v>
      </c>
      <c r="G4195">
        <v>30</v>
      </c>
      <c r="H4195">
        <f t="shared" si="393"/>
        <v>0</v>
      </c>
      <c r="I4195" t="str">
        <f t="shared" si="397"/>
        <v>On Time</v>
      </c>
      <c r="J4195" cm="1">
        <f t="array" ref="J4195">_xlfn.IFS(H4195&lt;30,0,H4195&lt;60,1,H4195&lt;90,2,H4195&lt;120,3)</f>
        <v>0</v>
      </c>
      <c r="M4195" t="str">
        <f t="shared" si="398"/>
        <v>Low</v>
      </c>
      <c r="N4195" t="str">
        <f t="shared" si="395"/>
        <v>Jun</v>
      </c>
      <c r="O4195">
        <f t="shared" si="396"/>
        <v>2025</v>
      </c>
    </row>
    <row r="4196" spans="1:15" x14ac:dyDescent="0.3">
      <c r="A4196">
        <v>200348</v>
      </c>
      <c r="B4196" t="s">
        <v>43</v>
      </c>
      <c r="C4196" s="2">
        <v>45817</v>
      </c>
      <c r="D4196" s="2">
        <f t="shared" si="394"/>
        <v>45847</v>
      </c>
      <c r="E4196" s="1">
        <f>D4196-2</f>
        <v>45845</v>
      </c>
      <c r="F4196">
        <v>3846</v>
      </c>
      <c r="G4196">
        <v>30</v>
      </c>
      <c r="H4196">
        <f t="shared" si="393"/>
        <v>0</v>
      </c>
      <c r="I4196" t="str">
        <f t="shared" si="397"/>
        <v>On Time</v>
      </c>
      <c r="J4196" cm="1">
        <f t="array" ref="J4196">_xlfn.IFS(H4196&lt;30,0,H4196&lt;60,1,H4196&lt;90,2,H4196&lt;120,3)</f>
        <v>0</v>
      </c>
      <c r="M4196" t="str">
        <f t="shared" si="398"/>
        <v>Low</v>
      </c>
      <c r="N4196" t="str">
        <f t="shared" si="395"/>
        <v>Jun</v>
      </c>
      <c r="O4196">
        <f t="shared" si="396"/>
        <v>2025</v>
      </c>
    </row>
    <row r="4197" spans="1:15" x14ac:dyDescent="0.3">
      <c r="A4197">
        <v>200349</v>
      </c>
      <c r="B4197" t="s">
        <v>44</v>
      </c>
      <c r="C4197" s="2">
        <v>45817</v>
      </c>
      <c r="D4197" s="2">
        <f t="shared" si="394"/>
        <v>45862</v>
      </c>
      <c r="E4197" s="1">
        <f>D4197-2</f>
        <v>45860</v>
      </c>
      <c r="F4197">
        <v>3396</v>
      </c>
      <c r="G4197">
        <v>45</v>
      </c>
      <c r="H4197">
        <f t="shared" si="393"/>
        <v>0</v>
      </c>
      <c r="I4197" t="str">
        <f t="shared" si="397"/>
        <v>On Time</v>
      </c>
      <c r="J4197" cm="1">
        <f t="array" ref="J4197">_xlfn.IFS(H4197&lt;30,0,H4197&lt;60,1,H4197&lt;90,2,H4197&lt;120,3)</f>
        <v>0</v>
      </c>
      <c r="M4197" t="str">
        <f t="shared" si="398"/>
        <v>Low</v>
      </c>
      <c r="N4197" t="str">
        <f t="shared" si="395"/>
        <v>Jun</v>
      </c>
      <c r="O4197">
        <f t="shared" si="396"/>
        <v>2025</v>
      </c>
    </row>
    <row r="4198" spans="1:15" x14ac:dyDescent="0.3">
      <c r="A4198">
        <v>200350</v>
      </c>
      <c r="B4198" t="s">
        <v>20</v>
      </c>
      <c r="C4198" s="2">
        <v>45817</v>
      </c>
      <c r="D4198" s="2">
        <f t="shared" si="394"/>
        <v>45847</v>
      </c>
      <c r="E4198" s="1">
        <f>D4198</f>
        <v>45847</v>
      </c>
      <c r="F4198">
        <v>13687</v>
      </c>
      <c r="G4198">
        <v>30</v>
      </c>
      <c r="H4198">
        <f t="shared" ref="H4198:H4261" si="399">MAX(0,P4163-D4198)</f>
        <v>0</v>
      </c>
      <c r="I4198" t="str">
        <f t="shared" si="397"/>
        <v>On Time</v>
      </c>
      <c r="J4198" cm="1">
        <f t="array" ref="J4198">_xlfn.IFS(H4198&lt;30,0,H4198&lt;60,1,H4198&lt;90,2,H4198&lt;120,3)</f>
        <v>0</v>
      </c>
      <c r="M4198" t="str">
        <f t="shared" si="398"/>
        <v>Low</v>
      </c>
      <c r="N4198" t="str">
        <f t="shared" si="395"/>
        <v>Jun</v>
      </c>
      <c r="O4198">
        <f t="shared" si="396"/>
        <v>2025</v>
      </c>
    </row>
    <row r="4199" spans="1:15" x14ac:dyDescent="0.3">
      <c r="A4199">
        <v>200351</v>
      </c>
      <c r="B4199" t="s">
        <v>21</v>
      </c>
      <c r="C4199" s="2">
        <v>45817</v>
      </c>
      <c r="D4199" s="2">
        <f t="shared" si="394"/>
        <v>45847</v>
      </c>
      <c r="E4199" s="1">
        <f>D4199+2</f>
        <v>45849</v>
      </c>
      <c r="F4199">
        <v>3349</v>
      </c>
      <c r="G4199">
        <v>30</v>
      </c>
      <c r="H4199">
        <f t="shared" si="399"/>
        <v>0</v>
      </c>
      <c r="I4199" t="str">
        <f t="shared" si="397"/>
        <v>On Time</v>
      </c>
      <c r="J4199" cm="1">
        <f t="array" ref="J4199">_xlfn.IFS(H4199&lt;30,0,H4199&lt;60,1,H4199&lt;90,2,H4199&lt;120,3)</f>
        <v>0</v>
      </c>
      <c r="M4199" t="str">
        <f t="shared" si="398"/>
        <v>Low</v>
      </c>
      <c r="N4199" t="str">
        <f t="shared" si="395"/>
        <v>Jun</v>
      </c>
      <c r="O4199">
        <f t="shared" si="396"/>
        <v>2025</v>
      </c>
    </row>
    <row r="4200" spans="1:15" x14ac:dyDescent="0.3">
      <c r="A4200">
        <v>200352</v>
      </c>
      <c r="B4200" t="s">
        <v>22</v>
      </c>
      <c r="C4200" s="2">
        <v>45817</v>
      </c>
      <c r="D4200" s="2">
        <f t="shared" si="394"/>
        <v>45847</v>
      </c>
      <c r="E4200" s="1">
        <f>D4200+2</f>
        <v>45849</v>
      </c>
      <c r="F4200">
        <v>4784</v>
      </c>
      <c r="G4200">
        <v>30</v>
      </c>
      <c r="H4200">
        <f t="shared" si="399"/>
        <v>0</v>
      </c>
      <c r="I4200" t="str">
        <f t="shared" si="397"/>
        <v>On Time</v>
      </c>
      <c r="J4200" cm="1">
        <f t="array" ref="J4200">_xlfn.IFS(H4200&lt;30,0,H4200&lt;60,1,H4200&lt;90,2,H4200&lt;120,3)</f>
        <v>0</v>
      </c>
      <c r="M4200" t="str">
        <f t="shared" si="398"/>
        <v>Low</v>
      </c>
      <c r="N4200" t="str">
        <f t="shared" si="395"/>
        <v>Jun</v>
      </c>
      <c r="O4200">
        <f t="shared" si="396"/>
        <v>2025</v>
      </c>
    </row>
    <row r="4201" spans="1:15" x14ac:dyDescent="0.3">
      <c r="A4201">
        <v>200353</v>
      </c>
      <c r="B4201" t="s">
        <v>23</v>
      </c>
      <c r="C4201" s="2">
        <v>45817</v>
      </c>
      <c r="D4201" s="2">
        <f t="shared" si="394"/>
        <v>45862</v>
      </c>
      <c r="E4201" s="1">
        <f>D4201+2</f>
        <v>45864</v>
      </c>
      <c r="F4201">
        <v>2345</v>
      </c>
      <c r="G4201">
        <v>45</v>
      </c>
      <c r="H4201">
        <f t="shared" si="399"/>
        <v>0</v>
      </c>
      <c r="I4201" t="str">
        <f t="shared" si="397"/>
        <v>On Time</v>
      </c>
      <c r="J4201" cm="1">
        <f t="array" ref="J4201">_xlfn.IFS(H4201&lt;30,0,H4201&lt;60,1,H4201&lt;90,2,H4201&lt;120,3)</f>
        <v>0</v>
      </c>
      <c r="M4201" t="str">
        <f t="shared" si="398"/>
        <v>Low</v>
      </c>
      <c r="N4201" t="str">
        <f t="shared" si="395"/>
        <v>Jun</v>
      </c>
      <c r="O4201">
        <f t="shared" si="396"/>
        <v>2025</v>
      </c>
    </row>
    <row r="4202" spans="1:15" x14ac:dyDescent="0.3">
      <c r="A4202">
        <v>200354</v>
      </c>
      <c r="B4202" t="s">
        <v>24</v>
      </c>
      <c r="C4202" s="2">
        <v>45817</v>
      </c>
      <c r="D4202" s="2">
        <f t="shared" si="394"/>
        <v>45862</v>
      </c>
      <c r="E4202" s="1">
        <f>D4202</f>
        <v>45862</v>
      </c>
      <c r="F4202">
        <v>1681</v>
      </c>
      <c r="G4202">
        <v>45</v>
      </c>
      <c r="H4202">
        <f t="shared" si="399"/>
        <v>0</v>
      </c>
      <c r="I4202" t="str">
        <f t="shared" si="397"/>
        <v>On Time</v>
      </c>
      <c r="J4202" cm="1">
        <f t="array" ref="J4202">_xlfn.IFS(H4202&lt;30,0,H4202&lt;60,1,H4202&lt;90,2,H4202&lt;120,3)</f>
        <v>0</v>
      </c>
      <c r="M4202" t="str">
        <f t="shared" si="398"/>
        <v>Low</v>
      </c>
      <c r="N4202" t="str">
        <f t="shared" si="395"/>
        <v>Jun</v>
      </c>
      <c r="O4202">
        <f t="shared" si="396"/>
        <v>2025</v>
      </c>
    </row>
    <row r="4203" spans="1:15" x14ac:dyDescent="0.3">
      <c r="A4203">
        <v>200355</v>
      </c>
      <c r="B4203" t="s">
        <v>25</v>
      </c>
      <c r="C4203" s="2">
        <v>45817</v>
      </c>
      <c r="D4203" s="2">
        <f t="shared" si="394"/>
        <v>45877</v>
      </c>
      <c r="E4203" s="1">
        <f>D4203+20</f>
        <v>45897</v>
      </c>
      <c r="F4203">
        <v>1891</v>
      </c>
      <c r="G4203">
        <v>60</v>
      </c>
      <c r="H4203">
        <f t="shared" si="399"/>
        <v>0</v>
      </c>
      <c r="I4203" t="str">
        <f t="shared" si="397"/>
        <v>On Time</v>
      </c>
      <c r="J4203" cm="1">
        <f t="array" ref="J4203">_xlfn.IFS(H4203&lt;30,0,H4203&lt;60,1,H4203&lt;90,2,H4203&lt;120,3)</f>
        <v>0</v>
      </c>
      <c r="M4203" t="str">
        <f t="shared" si="398"/>
        <v>Low</v>
      </c>
      <c r="N4203" t="str">
        <f t="shared" si="395"/>
        <v>Jun</v>
      </c>
      <c r="O4203">
        <f t="shared" si="396"/>
        <v>2025</v>
      </c>
    </row>
    <row r="4204" spans="1:15" x14ac:dyDescent="0.3">
      <c r="A4204">
        <v>200323</v>
      </c>
      <c r="B4204" t="s">
        <v>70</v>
      </c>
      <c r="C4204" s="2">
        <v>45814</v>
      </c>
      <c r="D4204" s="2">
        <f t="shared" si="394"/>
        <v>45844</v>
      </c>
      <c r="E4204" s="1">
        <f>D4204</f>
        <v>45844</v>
      </c>
      <c r="F4204">
        <v>4894</v>
      </c>
      <c r="G4204">
        <v>30</v>
      </c>
      <c r="H4204">
        <f t="shared" si="399"/>
        <v>0</v>
      </c>
      <c r="I4204" t="str">
        <f t="shared" si="397"/>
        <v>On Time</v>
      </c>
      <c r="J4204" cm="1">
        <f t="array" ref="J4204">_xlfn.IFS(H4204&lt;30,0,H4204&lt;60,1,H4204&lt;90,2,H4204&lt;120,3)</f>
        <v>0</v>
      </c>
      <c r="M4204" t="str">
        <f t="shared" si="398"/>
        <v>Low</v>
      </c>
      <c r="N4204" t="str">
        <f t="shared" si="395"/>
        <v>Jun</v>
      </c>
      <c r="O4204">
        <f t="shared" si="396"/>
        <v>2025</v>
      </c>
    </row>
    <row r="4205" spans="1:15" x14ac:dyDescent="0.3">
      <c r="A4205">
        <v>200324</v>
      </c>
      <c r="B4205" t="s">
        <v>71</v>
      </c>
      <c r="C4205" s="2">
        <v>45814</v>
      </c>
      <c r="D4205" s="2">
        <f t="shared" si="394"/>
        <v>45844</v>
      </c>
      <c r="E4205" s="1">
        <f>D4205+1</f>
        <v>45845</v>
      </c>
      <c r="F4205">
        <v>675</v>
      </c>
      <c r="G4205">
        <v>30</v>
      </c>
      <c r="H4205">
        <f t="shared" si="399"/>
        <v>0</v>
      </c>
      <c r="I4205" t="str">
        <f t="shared" si="397"/>
        <v>On Time</v>
      </c>
      <c r="J4205" cm="1">
        <f t="array" ref="J4205">_xlfn.IFS(H4205&lt;30,0,H4205&lt;60,1,H4205&lt;90,2,H4205&lt;120,3)</f>
        <v>0</v>
      </c>
      <c r="M4205" t="str">
        <f t="shared" si="398"/>
        <v>Low</v>
      </c>
      <c r="N4205" t="str">
        <f t="shared" si="395"/>
        <v>Jun</v>
      </c>
      <c r="O4205">
        <f t="shared" si="396"/>
        <v>2025</v>
      </c>
    </row>
    <row r="4206" spans="1:15" x14ac:dyDescent="0.3">
      <c r="A4206">
        <v>200325</v>
      </c>
      <c r="B4206" t="s">
        <v>72</v>
      </c>
      <c r="C4206" s="2">
        <v>45814</v>
      </c>
      <c r="D4206" s="2">
        <f t="shared" si="394"/>
        <v>45844</v>
      </c>
      <c r="E4206" s="1">
        <f>D4206</f>
        <v>45844</v>
      </c>
      <c r="F4206">
        <v>595</v>
      </c>
      <c r="G4206">
        <v>30</v>
      </c>
      <c r="H4206">
        <f t="shared" si="399"/>
        <v>0</v>
      </c>
      <c r="I4206" t="str">
        <f t="shared" si="397"/>
        <v>On Time</v>
      </c>
      <c r="J4206" cm="1">
        <f t="array" ref="J4206">_xlfn.IFS(H4206&lt;30,0,H4206&lt;60,1,H4206&lt;90,2,H4206&lt;120,3)</f>
        <v>0</v>
      </c>
      <c r="M4206" t="str">
        <f t="shared" si="398"/>
        <v>Low</v>
      </c>
      <c r="N4206" t="str">
        <f t="shared" si="395"/>
        <v>Jun</v>
      </c>
      <c r="O4206">
        <f t="shared" si="396"/>
        <v>2025</v>
      </c>
    </row>
    <row r="4207" spans="1:15" x14ac:dyDescent="0.3">
      <c r="A4207">
        <v>200326</v>
      </c>
      <c r="B4207" t="s">
        <v>73</v>
      </c>
      <c r="C4207" s="2">
        <v>45814</v>
      </c>
      <c r="D4207" s="2">
        <f t="shared" si="394"/>
        <v>45859</v>
      </c>
      <c r="E4207" s="1">
        <f>D4207</f>
        <v>45859</v>
      </c>
      <c r="F4207">
        <v>2269</v>
      </c>
      <c r="G4207">
        <v>45</v>
      </c>
      <c r="H4207">
        <f t="shared" si="399"/>
        <v>0</v>
      </c>
      <c r="I4207" t="str">
        <f t="shared" si="397"/>
        <v>On Time</v>
      </c>
      <c r="J4207" cm="1">
        <f t="array" ref="J4207">_xlfn.IFS(H4207&lt;30,0,H4207&lt;60,1,H4207&lt;90,2,H4207&lt;120,3)</f>
        <v>0</v>
      </c>
      <c r="M4207" t="str">
        <f t="shared" si="398"/>
        <v>Low</v>
      </c>
      <c r="N4207" t="str">
        <f t="shared" si="395"/>
        <v>Jun</v>
      </c>
      <c r="O4207">
        <f t="shared" si="396"/>
        <v>2025</v>
      </c>
    </row>
    <row r="4208" spans="1:15" x14ac:dyDescent="0.3">
      <c r="A4208">
        <v>200327</v>
      </c>
      <c r="B4208" t="s">
        <v>74</v>
      </c>
      <c r="C4208" s="2">
        <v>45814</v>
      </c>
      <c r="D4208" s="2">
        <f t="shared" si="394"/>
        <v>45859</v>
      </c>
      <c r="E4208" s="1">
        <f>D4208+5</f>
        <v>45864</v>
      </c>
      <c r="F4208">
        <v>4196</v>
      </c>
      <c r="G4208">
        <v>45</v>
      </c>
      <c r="H4208">
        <f t="shared" si="399"/>
        <v>0</v>
      </c>
      <c r="I4208" t="str">
        <f t="shared" si="397"/>
        <v>On Time</v>
      </c>
      <c r="J4208" cm="1">
        <f t="array" ref="J4208">_xlfn.IFS(H4208&lt;30,0,H4208&lt;60,1,H4208&lt;90,2,H4208&lt;120,3)</f>
        <v>0</v>
      </c>
      <c r="M4208" t="str">
        <f t="shared" si="398"/>
        <v>Low</v>
      </c>
      <c r="N4208" t="str">
        <f t="shared" si="395"/>
        <v>Jun</v>
      </c>
      <c r="O4208">
        <f t="shared" si="396"/>
        <v>2025</v>
      </c>
    </row>
    <row r="4209" spans="1:15" x14ac:dyDescent="0.3">
      <c r="A4209">
        <v>200328</v>
      </c>
      <c r="B4209" t="s">
        <v>75</v>
      </c>
      <c r="C4209" s="2">
        <v>45814</v>
      </c>
      <c r="D4209" s="2">
        <f t="shared" si="394"/>
        <v>45874</v>
      </c>
      <c r="E4209" s="1">
        <f>D4209+2</f>
        <v>45876</v>
      </c>
      <c r="F4209">
        <v>549</v>
      </c>
      <c r="G4209">
        <v>60</v>
      </c>
      <c r="H4209">
        <f t="shared" si="399"/>
        <v>0</v>
      </c>
      <c r="I4209" t="str">
        <f t="shared" si="397"/>
        <v>On Time</v>
      </c>
      <c r="J4209" cm="1">
        <f t="array" ref="J4209">_xlfn.IFS(H4209&lt;30,0,H4209&lt;60,1,H4209&lt;90,2,H4209&lt;120,3)</f>
        <v>0</v>
      </c>
      <c r="M4209" t="str">
        <f t="shared" si="398"/>
        <v>Low</v>
      </c>
      <c r="N4209" t="str">
        <f t="shared" si="395"/>
        <v>Jun</v>
      </c>
      <c r="O4209">
        <f t="shared" si="396"/>
        <v>2025</v>
      </c>
    </row>
    <row r="4210" spans="1:15" x14ac:dyDescent="0.3">
      <c r="A4210">
        <v>200329</v>
      </c>
      <c r="B4210" t="s">
        <v>76</v>
      </c>
      <c r="C4210" s="2">
        <v>45814</v>
      </c>
      <c r="D4210" s="2">
        <f t="shared" si="394"/>
        <v>45844</v>
      </c>
      <c r="E4210" s="1">
        <f>D4210</f>
        <v>45844</v>
      </c>
      <c r="F4210">
        <v>1981</v>
      </c>
      <c r="G4210">
        <v>30</v>
      </c>
      <c r="H4210">
        <f t="shared" si="399"/>
        <v>0</v>
      </c>
      <c r="I4210" t="str">
        <f t="shared" si="397"/>
        <v>On Time</v>
      </c>
      <c r="J4210" cm="1">
        <f t="array" ref="J4210">_xlfn.IFS(H4210&lt;30,0,H4210&lt;60,1,H4210&lt;90,2,H4210&lt;120,3)</f>
        <v>0</v>
      </c>
      <c r="M4210" t="str">
        <f t="shared" si="398"/>
        <v>Low</v>
      </c>
      <c r="N4210" t="str">
        <f t="shared" si="395"/>
        <v>Jun</v>
      </c>
      <c r="O4210">
        <f t="shared" si="396"/>
        <v>2025</v>
      </c>
    </row>
    <row r="4211" spans="1:15" x14ac:dyDescent="0.3">
      <c r="A4211">
        <v>200330</v>
      </c>
      <c r="B4211" t="s">
        <v>44</v>
      </c>
      <c r="C4211" s="2">
        <v>45814</v>
      </c>
      <c r="D4211" s="2">
        <f t="shared" si="394"/>
        <v>45859</v>
      </c>
      <c r="E4211" s="1">
        <f>D4211</f>
        <v>45859</v>
      </c>
      <c r="F4211">
        <v>3691</v>
      </c>
      <c r="G4211">
        <v>45</v>
      </c>
      <c r="H4211">
        <f t="shared" si="399"/>
        <v>0</v>
      </c>
      <c r="I4211" t="str">
        <f t="shared" si="397"/>
        <v>On Time</v>
      </c>
      <c r="J4211" cm="1">
        <f t="array" ref="J4211">_xlfn.IFS(H4211&lt;30,0,H4211&lt;60,1,H4211&lt;90,2,H4211&lt;120,3)</f>
        <v>0</v>
      </c>
      <c r="M4211" t="str">
        <f t="shared" si="398"/>
        <v>Low</v>
      </c>
      <c r="N4211" t="str">
        <f t="shared" si="395"/>
        <v>Jun</v>
      </c>
      <c r="O4211">
        <f t="shared" si="396"/>
        <v>2025</v>
      </c>
    </row>
    <row r="4212" spans="1:15" x14ac:dyDescent="0.3">
      <c r="A4212">
        <v>200331</v>
      </c>
      <c r="B4212" t="s">
        <v>45</v>
      </c>
      <c r="C4212" s="2">
        <v>45814</v>
      </c>
      <c r="D4212" s="2">
        <f t="shared" si="394"/>
        <v>45859</v>
      </c>
      <c r="E4212" s="1">
        <f>D4212</f>
        <v>45859</v>
      </c>
      <c r="F4212">
        <v>4420</v>
      </c>
      <c r="G4212">
        <v>45</v>
      </c>
      <c r="H4212">
        <f t="shared" si="399"/>
        <v>0</v>
      </c>
      <c r="I4212" t="str">
        <f t="shared" si="397"/>
        <v>On Time</v>
      </c>
      <c r="J4212" cm="1">
        <f t="array" ref="J4212">_xlfn.IFS(H4212&lt;30,0,H4212&lt;60,1,H4212&lt;90,2,H4212&lt;120,3)</f>
        <v>0</v>
      </c>
      <c r="M4212" t="str">
        <f t="shared" si="398"/>
        <v>Low</v>
      </c>
      <c r="N4212" t="str">
        <f t="shared" si="395"/>
        <v>Jun</v>
      </c>
      <c r="O4212">
        <f t="shared" si="396"/>
        <v>2025</v>
      </c>
    </row>
    <row r="4213" spans="1:15" x14ac:dyDescent="0.3">
      <c r="A4213">
        <v>200332</v>
      </c>
      <c r="B4213" t="s">
        <v>46</v>
      </c>
      <c r="C4213" s="2">
        <v>45814</v>
      </c>
      <c r="D4213" s="2">
        <f t="shared" si="394"/>
        <v>45874</v>
      </c>
      <c r="E4213" s="1">
        <f>D4213+60</f>
        <v>45934</v>
      </c>
      <c r="F4213">
        <v>1118</v>
      </c>
      <c r="G4213">
        <v>60</v>
      </c>
      <c r="H4213">
        <f t="shared" si="399"/>
        <v>0</v>
      </c>
      <c r="I4213" t="str">
        <f t="shared" si="397"/>
        <v>On Time</v>
      </c>
      <c r="J4213" cm="1">
        <f t="array" ref="J4213">_xlfn.IFS(H4213&lt;30,0,H4213&lt;60,1,H4213&lt;90,2,H4213&lt;120,3)</f>
        <v>0</v>
      </c>
      <c r="M4213" t="str">
        <f t="shared" si="398"/>
        <v>Low</v>
      </c>
      <c r="N4213" t="str">
        <f t="shared" si="395"/>
        <v>Jun</v>
      </c>
      <c r="O4213">
        <f t="shared" si="396"/>
        <v>2025</v>
      </c>
    </row>
    <row r="4214" spans="1:15" x14ac:dyDescent="0.3">
      <c r="A4214">
        <v>200333</v>
      </c>
      <c r="B4214" t="s">
        <v>47</v>
      </c>
      <c r="C4214" s="2">
        <v>45814</v>
      </c>
      <c r="D4214" s="2">
        <f t="shared" si="394"/>
        <v>45874</v>
      </c>
      <c r="E4214" s="1">
        <f>D4214</f>
        <v>45874</v>
      </c>
      <c r="F4214">
        <v>920</v>
      </c>
      <c r="G4214">
        <v>60</v>
      </c>
      <c r="H4214">
        <f t="shared" si="399"/>
        <v>0</v>
      </c>
      <c r="I4214" t="str">
        <f t="shared" si="397"/>
        <v>On Time</v>
      </c>
      <c r="J4214" cm="1">
        <f t="array" ref="J4214">_xlfn.IFS(H4214&lt;30,0,H4214&lt;60,1,H4214&lt;90,2,H4214&lt;120,3)</f>
        <v>0</v>
      </c>
      <c r="M4214" t="str">
        <f t="shared" si="398"/>
        <v>Low</v>
      </c>
      <c r="N4214" t="str">
        <f t="shared" si="395"/>
        <v>Jun</v>
      </c>
      <c r="O4214">
        <f t="shared" si="396"/>
        <v>2025</v>
      </c>
    </row>
    <row r="4215" spans="1:15" x14ac:dyDescent="0.3">
      <c r="A4215">
        <v>200334</v>
      </c>
      <c r="B4215" t="s">
        <v>48</v>
      </c>
      <c r="C4215" s="2">
        <v>45814</v>
      </c>
      <c r="D4215" s="2">
        <f t="shared" si="394"/>
        <v>45859</v>
      </c>
      <c r="E4215" s="1">
        <f>D4215</f>
        <v>45859</v>
      </c>
      <c r="F4215">
        <v>894</v>
      </c>
      <c r="G4215">
        <v>45</v>
      </c>
      <c r="H4215">
        <f t="shared" si="399"/>
        <v>0</v>
      </c>
      <c r="I4215" t="str">
        <f t="shared" si="397"/>
        <v>On Time</v>
      </c>
      <c r="J4215" cm="1">
        <f t="array" ref="J4215">_xlfn.IFS(H4215&lt;30,0,H4215&lt;60,1,H4215&lt;90,2,H4215&lt;120,3)</f>
        <v>0</v>
      </c>
      <c r="M4215" t="str">
        <f t="shared" si="398"/>
        <v>Low</v>
      </c>
      <c r="N4215" t="str">
        <f t="shared" si="395"/>
        <v>Jun</v>
      </c>
      <c r="O4215">
        <f t="shared" si="396"/>
        <v>2025</v>
      </c>
    </row>
    <row r="4216" spans="1:15" x14ac:dyDescent="0.3">
      <c r="A4216">
        <v>200335</v>
      </c>
      <c r="B4216" t="s">
        <v>49</v>
      </c>
      <c r="C4216" s="2">
        <v>45814</v>
      </c>
      <c r="D4216" s="2">
        <f t="shared" si="394"/>
        <v>45844</v>
      </c>
      <c r="E4216" s="1">
        <f>D4216+3</f>
        <v>45847</v>
      </c>
      <c r="F4216">
        <v>4994</v>
      </c>
      <c r="G4216">
        <v>30</v>
      </c>
      <c r="H4216">
        <f t="shared" si="399"/>
        <v>0</v>
      </c>
      <c r="I4216" t="str">
        <f t="shared" si="397"/>
        <v>On Time</v>
      </c>
      <c r="J4216" cm="1">
        <f t="array" ref="J4216">_xlfn.IFS(H4216&lt;30,0,H4216&lt;60,1,H4216&lt;90,2,H4216&lt;120,3)</f>
        <v>0</v>
      </c>
      <c r="M4216" t="str">
        <f t="shared" si="398"/>
        <v>Low</v>
      </c>
      <c r="N4216" t="str">
        <f t="shared" si="395"/>
        <v>Jun</v>
      </c>
      <c r="O4216">
        <f t="shared" si="396"/>
        <v>2025</v>
      </c>
    </row>
    <row r="4217" spans="1:15" x14ac:dyDescent="0.3">
      <c r="A4217">
        <v>200336</v>
      </c>
      <c r="B4217" t="s">
        <v>50</v>
      </c>
      <c r="C4217" s="2">
        <v>45814</v>
      </c>
      <c r="D4217" s="2">
        <f t="shared" si="394"/>
        <v>45844</v>
      </c>
      <c r="E4217" s="1">
        <f>D4217+1</f>
        <v>45845</v>
      </c>
      <c r="F4217">
        <v>2612</v>
      </c>
      <c r="G4217">
        <v>30</v>
      </c>
      <c r="H4217">
        <f t="shared" si="399"/>
        <v>0</v>
      </c>
      <c r="I4217" t="str">
        <f t="shared" si="397"/>
        <v>On Time</v>
      </c>
      <c r="J4217" cm="1">
        <f t="array" ref="J4217">_xlfn.IFS(H4217&lt;30,0,H4217&lt;60,1,H4217&lt;90,2,H4217&lt;120,3)</f>
        <v>0</v>
      </c>
      <c r="M4217" t="str">
        <f t="shared" si="398"/>
        <v>Low</v>
      </c>
      <c r="N4217" t="str">
        <f t="shared" si="395"/>
        <v>Jun</v>
      </c>
      <c r="O4217">
        <f t="shared" si="396"/>
        <v>2025</v>
      </c>
    </row>
    <row r="4218" spans="1:15" x14ac:dyDescent="0.3">
      <c r="A4218">
        <v>200337</v>
      </c>
      <c r="B4218" t="s">
        <v>51</v>
      </c>
      <c r="C4218" s="2">
        <v>45814</v>
      </c>
      <c r="D4218" s="2">
        <f t="shared" si="394"/>
        <v>45844</v>
      </c>
      <c r="E4218" s="1">
        <f>D4218-1</f>
        <v>45843</v>
      </c>
      <c r="F4218">
        <v>1853</v>
      </c>
      <c r="G4218">
        <v>30</v>
      </c>
      <c r="H4218">
        <f t="shared" si="399"/>
        <v>0</v>
      </c>
      <c r="I4218" t="str">
        <f t="shared" si="397"/>
        <v>On Time</v>
      </c>
      <c r="J4218" cm="1">
        <f t="array" ref="J4218">_xlfn.IFS(H4218&lt;30,0,H4218&lt;60,1,H4218&lt;90,2,H4218&lt;120,3)</f>
        <v>0</v>
      </c>
      <c r="M4218" t="str">
        <f t="shared" si="398"/>
        <v>Low</v>
      </c>
      <c r="N4218" t="str">
        <f t="shared" si="395"/>
        <v>Jun</v>
      </c>
      <c r="O4218">
        <f t="shared" si="396"/>
        <v>2025</v>
      </c>
    </row>
    <row r="4219" spans="1:15" x14ac:dyDescent="0.3">
      <c r="A4219">
        <v>200309</v>
      </c>
      <c r="B4219" t="s">
        <v>108</v>
      </c>
      <c r="C4219" s="2">
        <v>45813</v>
      </c>
      <c r="D4219" s="2">
        <f t="shared" si="394"/>
        <v>45843</v>
      </c>
      <c r="E4219" s="1">
        <f>D4219+5</f>
        <v>45848</v>
      </c>
      <c r="F4219">
        <v>676</v>
      </c>
      <c r="G4219">
        <v>30</v>
      </c>
      <c r="H4219">
        <f t="shared" si="399"/>
        <v>0</v>
      </c>
      <c r="I4219" t="str">
        <f t="shared" si="397"/>
        <v>On Time</v>
      </c>
      <c r="J4219" cm="1">
        <f t="array" ref="J4219">_xlfn.IFS(H4219&lt;30,0,H4219&lt;60,1,H4219&lt;90,2,H4219&lt;120,3)</f>
        <v>0</v>
      </c>
      <c r="M4219" t="str">
        <f t="shared" si="398"/>
        <v>Low</v>
      </c>
      <c r="N4219" t="str">
        <f t="shared" si="395"/>
        <v>Jun</v>
      </c>
      <c r="O4219">
        <f t="shared" si="396"/>
        <v>2025</v>
      </c>
    </row>
    <row r="4220" spans="1:15" x14ac:dyDescent="0.3">
      <c r="A4220">
        <v>200310</v>
      </c>
      <c r="B4220" t="s">
        <v>85</v>
      </c>
      <c r="C4220" s="2">
        <v>45813</v>
      </c>
      <c r="D4220" s="2">
        <f t="shared" si="394"/>
        <v>45873</v>
      </c>
      <c r="E4220" s="1">
        <f>D4220</f>
        <v>45873</v>
      </c>
      <c r="F4220">
        <v>3745</v>
      </c>
      <c r="G4220">
        <v>60</v>
      </c>
      <c r="H4220">
        <f t="shared" si="399"/>
        <v>0</v>
      </c>
      <c r="I4220" t="str">
        <f t="shared" si="397"/>
        <v>On Time</v>
      </c>
      <c r="J4220" cm="1">
        <f t="array" ref="J4220">_xlfn.IFS(H4220&lt;30,0,H4220&lt;60,1,H4220&lt;90,2,H4220&lt;120,3)</f>
        <v>0</v>
      </c>
      <c r="M4220" t="str">
        <f t="shared" si="398"/>
        <v>Low</v>
      </c>
      <c r="N4220" t="str">
        <f t="shared" si="395"/>
        <v>Jun</v>
      </c>
      <c r="O4220">
        <f t="shared" si="396"/>
        <v>2025</v>
      </c>
    </row>
    <row r="4221" spans="1:15" x14ac:dyDescent="0.3">
      <c r="A4221">
        <v>200311</v>
      </c>
      <c r="B4221" t="s">
        <v>86</v>
      </c>
      <c r="C4221" s="2">
        <v>45813</v>
      </c>
      <c r="D4221" s="2">
        <f t="shared" si="394"/>
        <v>45843</v>
      </c>
      <c r="E4221" s="1">
        <f>D4221-1</f>
        <v>45842</v>
      </c>
      <c r="F4221">
        <v>1751</v>
      </c>
      <c r="G4221">
        <v>30</v>
      </c>
      <c r="H4221">
        <f t="shared" si="399"/>
        <v>0</v>
      </c>
      <c r="I4221" t="str">
        <f t="shared" si="397"/>
        <v>On Time</v>
      </c>
      <c r="J4221" cm="1">
        <f t="array" ref="J4221">_xlfn.IFS(H4221&lt;30,0,H4221&lt;60,1,H4221&lt;90,2,H4221&lt;120,3)</f>
        <v>0</v>
      </c>
      <c r="M4221" t="str">
        <f t="shared" si="398"/>
        <v>Low</v>
      </c>
      <c r="N4221" t="str">
        <f t="shared" si="395"/>
        <v>Jun</v>
      </c>
      <c r="O4221">
        <f t="shared" si="396"/>
        <v>2025</v>
      </c>
    </row>
    <row r="4222" spans="1:15" x14ac:dyDescent="0.3">
      <c r="A4222">
        <v>200312</v>
      </c>
      <c r="B4222" t="s">
        <v>87</v>
      </c>
      <c r="C4222" s="2">
        <v>45813</v>
      </c>
      <c r="D4222" s="2">
        <f t="shared" si="394"/>
        <v>45843</v>
      </c>
      <c r="E4222" s="1">
        <f>D4222</f>
        <v>45843</v>
      </c>
      <c r="F4222">
        <v>3030</v>
      </c>
      <c r="G4222">
        <v>30</v>
      </c>
      <c r="H4222">
        <f t="shared" si="399"/>
        <v>0</v>
      </c>
      <c r="I4222" t="str">
        <f t="shared" si="397"/>
        <v>On Time</v>
      </c>
      <c r="J4222" cm="1">
        <f t="array" ref="J4222">_xlfn.IFS(H4222&lt;30,0,H4222&lt;60,1,H4222&lt;90,2,H4222&lt;120,3)</f>
        <v>0</v>
      </c>
      <c r="M4222" t="str">
        <f t="shared" si="398"/>
        <v>Low</v>
      </c>
      <c r="N4222" t="str">
        <f t="shared" si="395"/>
        <v>Jun</v>
      </c>
      <c r="O4222">
        <f t="shared" si="396"/>
        <v>2025</v>
      </c>
    </row>
    <row r="4223" spans="1:15" x14ac:dyDescent="0.3">
      <c r="A4223">
        <v>200313</v>
      </c>
      <c r="B4223" t="s">
        <v>88</v>
      </c>
      <c r="C4223" s="2">
        <v>45813</v>
      </c>
      <c r="D4223" s="2">
        <f t="shared" si="394"/>
        <v>45843</v>
      </c>
      <c r="E4223" s="1">
        <f>D4223+32</f>
        <v>45875</v>
      </c>
      <c r="F4223">
        <v>2684</v>
      </c>
      <c r="G4223">
        <v>30</v>
      </c>
      <c r="H4223">
        <f t="shared" si="399"/>
        <v>0</v>
      </c>
      <c r="I4223" t="str">
        <f t="shared" si="397"/>
        <v>On Time</v>
      </c>
      <c r="J4223" cm="1">
        <f t="array" ref="J4223">_xlfn.IFS(H4223&lt;30,0,H4223&lt;60,1,H4223&lt;90,2,H4223&lt;120,3)</f>
        <v>0</v>
      </c>
      <c r="M4223" t="str">
        <f t="shared" si="398"/>
        <v>Low</v>
      </c>
      <c r="N4223" t="str">
        <f t="shared" si="395"/>
        <v>Jun</v>
      </c>
      <c r="O4223">
        <f t="shared" si="396"/>
        <v>2025</v>
      </c>
    </row>
    <row r="4224" spans="1:15" x14ac:dyDescent="0.3">
      <c r="A4224">
        <v>200314</v>
      </c>
      <c r="B4224" t="s">
        <v>89</v>
      </c>
      <c r="C4224" s="2">
        <v>45813</v>
      </c>
      <c r="D4224" s="2">
        <f t="shared" si="394"/>
        <v>45843</v>
      </c>
      <c r="E4224" s="1">
        <f>D4224+15</f>
        <v>45858</v>
      </c>
      <c r="F4224">
        <v>728</v>
      </c>
      <c r="G4224">
        <v>30</v>
      </c>
      <c r="H4224">
        <f t="shared" si="399"/>
        <v>0</v>
      </c>
      <c r="I4224" t="str">
        <f t="shared" si="397"/>
        <v>On Time</v>
      </c>
      <c r="J4224" cm="1">
        <f t="array" ref="J4224">_xlfn.IFS(H4224&lt;30,0,H4224&lt;60,1,H4224&lt;90,2,H4224&lt;120,3)</f>
        <v>0</v>
      </c>
      <c r="M4224" t="str">
        <f t="shared" si="398"/>
        <v>Low</v>
      </c>
      <c r="N4224" t="str">
        <f t="shared" si="395"/>
        <v>Jun</v>
      </c>
      <c r="O4224">
        <f t="shared" si="396"/>
        <v>2025</v>
      </c>
    </row>
    <row r="4225" spans="1:15" x14ac:dyDescent="0.3">
      <c r="A4225">
        <v>200315</v>
      </c>
      <c r="B4225" t="s">
        <v>90</v>
      </c>
      <c r="C4225" s="2">
        <v>45813</v>
      </c>
      <c r="D4225" s="2">
        <f t="shared" si="394"/>
        <v>45843</v>
      </c>
      <c r="E4225" s="1">
        <f>D4225</f>
        <v>45843</v>
      </c>
      <c r="F4225">
        <v>2641</v>
      </c>
      <c r="G4225">
        <v>30</v>
      </c>
      <c r="H4225">
        <f t="shared" si="399"/>
        <v>0</v>
      </c>
      <c r="I4225" t="str">
        <f t="shared" si="397"/>
        <v>On Time</v>
      </c>
      <c r="J4225" cm="1">
        <f t="array" ref="J4225">_xlfn.IFS(H4225&lt;30,0,H4225&lt;60,1,H4225&lt;90,2,H4225&lt;120,3)</f>
        <v>0</v>
      </c>
      <c r="M4225" t="str">
        <f t="shared" si="398"/>
        <v>Low</v>
      </c>
      <c r="N4225" t="str">
        <f t="shared" si="395"/>
        <v>Jun</v>
      </c>
      <c r="O4225">
        <f t="shared" si="396"/>
        <v>2025</v>
      </c>
    </row>
    <row r="4226" spans="1:15" x14ac:dyDescent="0.3">
      <c r="A4226">
        <v>200316</v>
      </c>
      <c r="B4226" t="s">
        <v>91</v>
      </c>
      <c r="C4226" s="2">
        <v>45813</v>
      </c>
      <c r="D4226" s="2">
        <f t="shared" ref="D4226:D4289" si="400">C4226+G4226</f>
        <v>45843</v>
      </c>
      <c r="E4226" s="1">
        <f>D4226-2</f>
        <v>45841</v>
      </c>
      <c r="F4226">
        <v>2707</v>
      </c>
      <c r="G4226">
        <v>30</v>
      </c>
      <c r="H4226">
        <f t="shared" si="399"/>
        <v>0</v>
      </c>
      <c r="I4226" t="str">
        <f t="shared" si="397"/>
        <v>On Time</v>
      </c>
      <c r="J4226" cm="1">
        <f t="array" ref="J4226">_xlfn.IFS(H4226&lt;30,0,H4226&lt;60,1,H4226&lt;90,2,H4226&lt;120,3)</f>
        <v>0</v>
      </c>
      <c r="M4226" t="str">
        <f t="shared" si="398"/>
        <v>Low</v>
      </c>
      <c r="N4226" t="str">
        <f t="shared" ref="N4226:N4289" si="401">TEXT(C4226,"mmm")</f>
        <v>Jun</v>
      </c>
      <c r="O4226">
        <f t="shared" ref="O4226:O4289" si="402">YEAR(C4226)</f>
        <v>2025</v>
      </c>
    </row>
    <row r="4227" spans="1:15" x14ac:dyDescent="0.3">
      <c r="A4227">
        <v>200317</v>
      </c>
      <c r="B4227" t="s">
        <v>92</v>
      </c>
      <c r="C4227" s="2">
        <v>45813</v>
      </c>
      <c r="D4227" s="2">
        <f t="shared" si="400"/>
        <v>45843</v>
      </c>
      <c r="E4227" s="1">
        <f>D4227</f>
        <v>45843</v>
      </c>
      <c r="F4227">
        <v>4065</v>
      </c>
      <c r="G4227">
        <v>30</v>
      </c>
      <c r="H4227">
        <f t="shared" si="399"/>
        <v>0</v>
      </c>
      <c r="I4227" t="str">
        <f t="shared" si="397"/>
        <v>On Time</v>
      </c>
      <c r="J4227" cm="1">
        <f t="array" ref="J4227">_xlfn.IFS(H4227&lt;30,0,H4227&lt;60,1,H4227&lt;90,2,H4227&lt;120,3)</f>
        <v>0</v>
      </c>
      <c r="M4227" t="str">
        <f t="shared" si="398"/>
        <v>Low</v>
      </c>
      <c r="N4227" t="str">
        <f t="shared" si="401"/>
        <v>Jun</v>
      </c>
      <c r="O4227">
        <f t="shared" si="402"/>
        <v>2025</v>
      </c>
    </row>
    <row r="4228" spans="1:15" x14ac:dyDescent="0.3">
      <c r="A4228">
        <v>200318</v>
      </c>
      <c r="B4228" t="s">
        <v>93</v>
      </c>
      <c r="C4228" s="2">
        <v>45813</v>
      </c>
      <c r="D4228" s="2">
        <f t="shared" si="400"/>
        <v>45843</v>
      </c>
      <c r="E4228" s="1">
        <f>D4228+2</f>
        <v>45845</v>
      </c>
      <c r="F4228">
        <v>4324</v>
      </c>
      <c r="G4228">
        <v>30</v>
      </c>
      <c r="H4228">
        <f t="shared" si="399"/>
        <v>0</v>
      </c>
      <c r="I4228" t="str">
        <f t="shared" si="397"/>
        <v>On Time</v>
      </c>
      <c r="J4228" cm="1">
        <f t="array" ref="J4228">_xlfn.IFS(H4228&lt;30,0,H4228&lt;60,1,H4228&lt;90,2,H4228&lt;120,3)</f>
        <v>0</v>
      </c>
      <c r="M4228" t="str">
        <f t="shared" si="398"/>
        <v>Low</v>
      </c>
      <c r="N4228" t="str">
        <f t="shared" si="401"/>
        <v>Jun</v>
      </c>
      <c r="O4228">
        <f t="shared" si="402"/>
        <v>2025</v>
      </c>
    </row>
    <row r="4229" spans="1:15" x14ac:dyDescent="0.3">
      <c r="A4229">
        <v>200319</v>
      </c>
      <c r="B4229" t="s">
        <v>94</v>
      </c>
      <c r="C4229" s="2">
        <v>45813</v>
      </c>
      <c r="D4229" s="2">
        <f t="shared" si="400"/>
        <v>45843</v>
      </c>
      <c r="E4229" s="1">
        <f>D4229+2</f>
        <v>45845</v>
      </c>
      <c r="F4229">
        <v>3881</v>
      </c>
      <c r="G4229">
        <v>30</v>
      </c>
      <c r="H4229">
        <f t="shared" si="399"/>
        <v>0</v>
      </c>
      <c r="I4229" t="str">
        <f t="shared" si="397"/>
        <v>On Time</v>
      </c>
      <c r="J4229" cm="1">
        <f t="array" ref="J4229">_xlfn.IFS(H4229&lt;30,0,H4229&lt;60,1,H4229&lt;90,2,H4229&lt;120,3)</f>
        <v>0</v>
      </c>
      <c r="M4229" t="str">
        <f t="shared" si="398"/>
        <v>Low</v>
      </c>
      <c r="N4229" t="str">
        <f t="shared" si="401"/>
        <v>Jun</v>
      </c>
      <c r="O4229">
        <f t="shared" si="402"/>
        <v>2025</v>
      </c>
    </row>
    <row r="4230" spans="1:15" x14ac:dyDescent="0.3">
      <c r="A4230">
        <v>200320</v>
      </c>
      <c r="B4230" t="s">
        <v>95</v>
      </c>
      <c r="C4230" s="2">
        <v>45813</v>
      </c>
      <c r="D4230" s="2">
        <f t="shared" si="400"/>
        <v>45858</v>
      </c>
      <c r="E4230" s="1">
        <f>D4230+2</f>
        <v>45860</v>
      </c>
      <c r="F4230">
        <v>879</v>
      </c>
      <c r="G4230">
        <v>45</v>
      </c>
      <c r="H4230">
        <f t="shared" si="399"/>
        <v>0</v>
      </c>
      <c r="I4230" t="str">
        <f t="shared" si="397"/>
        <v>On Time</v>
      </c>
      <c r="J4230" cm="1">
        <f t="array" ref="J4230">_xlfn.IFS(H4230&lt;30,0,H4230&lt;60,1,H4230&lt;90,2,H4230&lt;120,3)</f>
        <v>0</v>
      </c>
      <c r="M4230" t="str">
        <f t="shared" si="398"/>
        <v>Low</v>
      </c>
      <c r="N4230" t="str">
        <f t="shared" si="401"/>
        <v>Jun</v>
      </c>
      <c r="O4230">
        <f t="shared" si="402"/>
        <v>2025</v>
      </c>
    </row>
    <row r="4231" spans="1:15" x14ac:dyDescent="0.3">
      <c r="A4231">
        <v>200321</v>
      </c>
      <c r="B4231" t="s">
        <v>68</v>
      </c>
      <c r="C4231" s="2">
        <v>45813</v>
      </c>
      <c r="D4231" s="2">
        <f t="shared" si="400"/>
        <v>45843</v>
      </c>
      <c r="E4231" s="1">
        <f>D4231</f>
        <v>45843</v>
      </c>
      <c r="F4231">
        <v>2699</v>
      </c>
      <c r="G4231">
        <v>30</v>
      </c>
      <c r="H4231">
        <f t="shared" si="399"/>
        <v>0</v>
      </c>
      <c r="I4231" t="str">
        <f t="shared" si="397"/>
        <v>On Time</v>
      </c>
      <c r="J4231" cm="1">
        <f t="array" ref="J4231">_xlfn.IFS(H4231&lt;30,0,H4231&lt;60,1,H4231&lt;90,2,H4231&lt;120,3)</f>
        <v>0</v>
      </c>
      <c r="M4231" t="str">
        <f t="shared" si="398"/>
        <v>Low</v>
      </c>
      <c r="N4231" t="str">
        <f t="shared" si="401"/>
        <v>Jun</v>
      </c>
      <c r="O4231">
        <f t="shared" si="402"/>
        <v>2025</v>
      </c>
    </row>
    <row r="4232" spans="1:15" x14ac:dyDescent="0.3">
      <c r="A4232">
        <v>200322</v>
      </c>
      <c r="B4232" t="s">
        <v>69</v>
      </c>
      <c r="C4232" s="2">
        <v>45813</v>
      </c>
      <c r="D4232" s="2">
        <f t="shared" si="400"/>
        <v>45843</v>
      </c>
      <c r="E4232" s="1">
        <f>D4232+20</f>
        <v>45863</v>
      </c>
      <c r="F4232">
        <v>4791</v>
      </c>
      <c r="G4232">
        <v>30</v>
      </c>
      <c r="H4232">
        <f t="shared" si="399"/>
        <v>0</v>
      </c>
      <c r="I4232" t="str">
        <f t="shared" si="397"/>
        <v>On Time</v>
      </c>
      <c r="J4232" cm="1">
        <f t="array" ref="J4232">_xlfn.IFS(H4232&lt;30,0,H4232&lt;60,1,H4232&lt;90,2,H4232&lt;120,3)</f>
        <v>0</v>
      </c>
      <c r="M4232" t="str">
        <f t="shared" si="398"/>
        <v>Low</v>
      </c>
      <c r="N4232" t="str">
        <f t="shared" si="401"/>
        <v>Jun</v>
      </c>
      <c r="O4232">
        <f t="shared" si="402"/>
        <v>2025</v>
      </c>
    </row>
    <row r="4233" spans="1:15" x14ac:dyDescent="0.3">
      <c r="A4233">
        <v>200296</v>
      </c>
      <c r="B4233" t="s">
        <v>115</v>
      </c>
      <c r="C4233" s="2">
        <v>45812</v>
      </c>
      <c r="D4233" s="2">
        <f t="shared" si="400"/>
        <v>45842</v>
      </c>
      <c r="E4233" s="1">
        <f>D4233+5</f>
        <v>45847</v>
      </c>
      <c r="F4233">
        <v>3846</v>
      </c>
      <c r="G4233">
        <v>30</v>
      </c>
      <c r="H4233">
        <f t="shared" si="399"/>
        <v>0</v>
      </c>
      <c r="I4233" t="str">
        <f t="shared" si="397"/>
        <v>On Time</v>
      </c>
      <c r="J4233" cm="1">
        <f t="array" ref="J4233">_xlfn.IFS(H4233&lt;30,0,H4233&lt;60,1,H4233&lt;90,2,H4233&lt;120,3)</f>
        <v>0</v>
      </c>
      <c r="M4233" t="str">
        <f t="shared" si="398"/>
        <v>Low</v>
      </c>
      <c r="N4233" t="str">
        <f t="shared" si="401"/>
        <v>Jun</v>
      </c>
      <c r="O4233">
        <f t="shared" si="402"/>
        <v>2025</v>
      </c>
    </row>
    <row r="4234" spans="1:15" x14ac:dyDescent="0.3">
      <c r="A4234">
        <v>200297</v>
      </c>
      <c r="B4234" t="s">
        <v>116</v>
      </c>
      <c r="C4234" s="2">
        <v>45812</v>
      </c>
      <c r="D4234" s="2">
        <f t="shared" si="400"/>
        <v>45842</v>
      </c>
      <c r="E4234" s="1">
        <f>D4234</f>
        <v>45842</v>
      </c>
      <c r="F4234">
        <v>2368</v>
      </c>
      <c r="G4234">
        <v>30</v>
      </c>
      <c r="H4234">
        <f t="shared" si="399"/>
        <v>0</v>
      </c>
      <c r="I4234" t="str">
        <f t="shared" si="397"/>
        <v>On Time</v>
      </c>
      <c r="J4234" cm="1">
        <f t="array" ref="J4234">_xlfn.IFS(H4234&lt;30,0,H4234&lt;60,1,H4234&lt;90,2,H4234&lt;120,3)</f>
        <v>0</v>
      </c>
      <c r="M4234" t="str">
        <f t="shared" si="398"/>
        <v>Low</v>
      </c>
      <c r="N4234" t="str">
        <f t="shared" si="401"/>
        <v>Jun</v>
      </c>
      <c r="O4234">
        <f t="shared" si="402"/>
        <v>2025</v>
      </c>
    </row>
    <row r="4235" spans="1:15" x14ac:dyDescent="0.3">
      <c r="A4235">
        <v>200298</v>
      </c>
      <c r="B4235" t="s">
        <v>117</v>
      </c>
      <c r="C4235" s="2">
        <v>45812</v>
      </c>
      <c r="D4235" s="2">
        <f t="shared" si="400"/>
        <v>45842</v>
      </c>
      <c r="E4235" s="1">
        <f>D4235</f>
        <v>45842</v>
      </c>
      <c r="F4235">
        <v>2022</v>
      </c>
      <c r="G4235">
        <v>30</v>
      </c>
      <c r="H4235">
        <f t="shared" si="399"/>
        <v>0</v>
      </c>
      <c r="I4235" t="str">
        <f t="shared" si="397"/>
        <v>On Time</v>
      </c>
      <c r="J4235" cm="1">
        <f t="array" ref="J4235">_xlfn.IFS(H4235&lt;30,0,H4235&lt;60,1,H4235&lt;90,2,H4235&lt;120,3)</f>
        <v>0</v>
      </c>
      <c r="M4235" t="str">
        <f t="shared" si="398"/>
        <v>Low</v>
      </c>
      <c r="N4235" t="str">
        <f t="shared" si="401"/>
        <v>Jun</v>
      </c>
      <c r="O4235">
        <f t="shared" si="402"/>
        <v>2025</v>
      </c>
    </row>
    <row r="4236" spans="1:15" x14ac:dyDescent="0.3">
      <c r="A4236">
        <v>200299</v>
      </c>
      <c r="B4236" t="s">
        <v>118</v>
      </c>
      <c r="C4236" s="2">
        <v>45812</v>
      </c>
      <c r="D4236" s="2">
        <f t="shared" si="400"/>
        <v>45842</v>
      </c>
      <c r="E4236" s="1">
        <f>D4236+60</f>
        <v>45902</v>
      </c>
      <c r="F4236">
        <v>2158</v>
      </c>
      <c r="G4236">
        <v>30</v>
      </c>
      <c r="H4236">
        <f t="shared" si="399"/>
        <v>0</v>
      </c>
      <c r="I4236" t="str">
        <f t="shared" si="397"/>
        <v>On Time</v>
      </c>
      <c r="J4236" cm="1">
        <f t="array" ref="J4236">_xlfn.IFS(H4236&lt;30,0,H4236&lt;60,1,H4236&lt;90,2,H4236&lt;120,3)</f>
        <v>0</v>
      </c>
      <c r="M4236" t="str">
        <f t="shared" si="398"/>
        <v>Low</v>
      </c>
      <c r="N4236" t="str">
        <f t="shared" si="401"/>
        <v>Jun</v>
      </c>
      <c r="O4236">
        <f t="shared" si="402"/>
        <v>2025</v>
      </c>
    </row>
    <row r="4237" spans="1:15" x14ac:dyDescent="0.3">
      <c r="A4237">
        <v>200300</v>
      </c>
      <c r="B4237" t="s">
        <v>119</v>
      </c>
      <c r="C4237" s="2">
        <v>45812</v>
      </c>
      <c r="D4237" s="2">
        <f t="shared" si="400"/>
        <v>45842</v>
      </c>
      <c r="E4237" s="1">
        <f>D4237</f>
        <v>45842</v>
      </c>
      <c r="F4237">
        <v>806</v>
      </c>
      <c r="G4237">
        <v>30</v>
      </c>
      <c r="H4237">
        <f t="shared" si="399"/>
        <v>0</v>
      </c>
      <c r="I4237" t="str">
        <f t="shared" si="397"/>
        <v>On Time</v>
      </c>
      <c r="J4237" cm="1">
        <f t="array" ref="J4237">_xlfn.IFS(H4237&lt;30,0,H4237&lt;60,1,H4237&lt;90,2,H4237&lt;120,3)</f>
        <v>0</v>
      </c>
      <c r="M4237" t="str">
        <f t="shared" si="398"/>
        <v>Low</v>
      </c>
      <c r="N4237" t="str">
        <f t="shared" si="401"/>
        <v>Jun</v>
      </c>
      <c r="O4237">
        <f t="shared" si="402"/>
        <v>2025</v>
      </c>
    </row>
    <row r="4238" spans="1:15" x14ac:dyDescent="0.3">
      <c r="A4238">
        <v>200301</v>
      </c>
      <c r="B4238" t="s">
        <v>100</v>
      </c>
      <c r="C4238" s="2">
        <v>45812</v>
      </c>
      <c r="D4238" s="2">
        <f t="shared" si="400"/>
        <v>45842</v>
      </c>
      <c r="F4238">
        <v>4151</v>
      </c>
      <c r="G4238">
        <v>30</v>
      </c>
      <c r="H4238">
        <f t="shared" si="399"/>
        <v>0</v>
      </c>
      <c r="I4238" t="str">
        <f t="shared" si="397"/>
        <v>On Time</v>
      </c>
      <c r="J4238" cm="1">
        <f t="array" ref="J4238">_xlfn.IFS(H4238&lt;30,0,H4238&lt;60,1,H4238&lt;90,2,H4238&lt;120,3)</f>
        <v>0</v>
      </c>
      <c r="M4238" t="str">
        <f t="shared" si="398"/>
        <v>Low</v>
      </c>
      <c r="N4238" t="str">
        <f t="shared" si="401"/>
        <v>Jun</v>
      </c>
      <c r="O4238">
        <f t="shared" si="402"/>
        <v>2025</v>
      </c>
    </row>
    <row r="4239" spans="1:15" x14ac:dyDescent="0.3">
      <c r="A4239">
        <v>200302</v>
      </c>
      <c r="B4239" t="s">
        <v>101</v>
      </c>
      <c r="C4239" s="2">
        <v>45812</v>
      </c>
      <c r="D4239" s="2">
        <f t="shared" si="400"/>
        <v>45842</v>
      </c>
      <c r="E4239" s="1">
        <f>D4239+3</f>
        <v>45845</v>
      </c>
      <c r="F4239">
        <v>3377</v>
      </c>
      <c r="G4239">
        <v>30</v>
      </c>
      <c r="H4239">
        <f t="shared" si="399"/>
        <v>0</v>
      </c>
      <c r="I4239" t="str">
        <f t="shared" si="397"/>
        <v>On Time</v>
      </c>
      <c r="J4239" cm="1">
        <f t="array" ref="J4239">_xlfn.IFS(H4239&lt;30,0,H4239&lt;60,1,H4239&lt;90,2,H4239&lt;120,3)</f>
        <v>0</v>
      </c>
      <c r="M4239" t="str">
        <f t="shared" si="398"/>
        <v>Low</v>
      </c>
      <c r="N4239" t="str">
        <f t="shared" si="401"/>
        <v>Jun</v>
      </c>
      <c r="O4239">
        <f t="shared" si="402"/>
        <v>2025</v>
      </c>
    </row>
    <row r="4240" spans="1:15" x14ac:dyDescent="0.3">
      <c r="A4240">
        <v>200303</v>
      </c>
      <c r="B4240" t="s">
        <v>102</v>
      </c>
      <c r="C4240" s="2">
        <v>45812</v>
      </c>
      <c r="D4240" s="2">
        <f t="shared" si="400"/>
        <v>45842</v>
      </c>
      <c r="E4240" s="1">
        <f>D4240+1</f>
        <v>45843</v>
      </c>
      <c r="F4240">
        <v>4369</v>
      </c>
      <c r="G4240">
        <v>30</v>
      </c>
      <c r="H4240">
        <f t="shared" si="399"/>
        <v>0</v>
      </c>
      <c r="I4240" t="str">
        <f t="shared" si="397"/>
        <v>On Time</v>
      </c>
      <c r="J4240" cm="1">
        <f t="array" ref="J4240">_xlfn.IFS(H4240&lt;30,0,H4240&lt;60,1,H4240&lt;90,2,H4240&lt;120,3)</f>
        <v>0</v>
      </c>
      <c r="M4240" t="str">
        <f t="shared" si="398"/>
        <v>Low</v>
      </c>
      <c r="N4240" t="str">
        <f t="shared" si="401"/>
        <v>Jun</v>
      </c>
      <c r="O4240">
        <f t="shared" si="402"/>
        <v>2025</v>
      </c>
    </row>
    <row r="4241" spans="1:15" x14ac:dyDescent="0.3">
      <c r="A4241">
        <v>200304</v>
      </c>
      <c r="B4241" t="s">
        <v>103</v>
      </c>
      <c r="C4241" s="2">
        <v>45812</v>
      </c>
      <c r="D4241" s="2">
        <f t="shared" si="400"/>
        <v>45842</v>
      </c>
      <c r="E4241" s="1">
        <f>D4241-1</f>
        <v>45841</v>
      </c>
      <c r="F4241">
        <v>689</v>
      </c>
      <c r="G4241">
        <v>30</v>
      </c>
      <c r="H4241">
        <f t="shared" si="399"/>
        <v>0</v>
      </c>
      <c r="I4241" t="str">
        <f t="shared" si="397"/>
        <v>On Time</v>
      </c>
      <c r="J4241" cm="1">
        <f t="array" ref="J4241">_xlfn.IFS(H4241&lt;30,0,H4241&lt;60,1,H4241&lt;90,2,H4241&lt;120,3)</f>
        <v>0</v>
      </c>
      <c r="M4241" t="str">
        <f t="shared" si="398"/>
        <v>Low</v>
      </c>
      <c r="N4241" t="str">
        <f t="shared" si="401"/>
        <v>Jun</v>
      </c>
      <c r="O4241">
        <f t="shared" si="402"/>
        <v>2025</v>
      </c>
    </row>
    <row r="4242" spans="1:15" x14ac:dyDescent="0.3">
      <c r="A4242">
        <v>200305</v>
      </c>
      <c r="B4242" t="s">
        <v>104</v>
      </c>
      <c r="C4242" s="2">
        <v>45812</v>
      </c>
      <c r="D4242" s="2">
        <f t="shared" si="400"/>
        <v>45842</v>
      </c>
      <c r="E4242" s="1">
        <f>D4242</f>
        <v>45842</v>
      </c>
      <c r="F4242">
        <v>3396</v>
      </c>
      <c r="G4242">
        <v>30</v>
      </c>
      <c r="H4242">
        <f t="shared" si="399"/>
        <v>0</v>
      </c>
      <c r="I4242" t="str">
        <f t="shared" si="397"/>
        <v>On Time</v>
      </c>
      <c r="J4242" cm="1">
        <f t="array" ref="J4242">_xlfn.IFS(H4242&lt;30,0,H4242&lt;60,1,H4242&lt;90,2,H4242&lt;120,3)</f>
        <v>0</v>
      </c>
      <c r="M4242" t="str">
        <f t="shared" si="398"/>
        <v>Low</v>
      </c>
      <c r="N4242" t="str">
        <f t="shared" si="401"/>
        <v>Jun</v>
      </c>
      <c r="O4242">
        <f t="shared" si="402"/>
        <v>2025</v>
      </c>
    </row>
    <row r="4243" spans="1:15" x14ac:dyDescent="0.3">
      <c r="A4243">
        <v>200306</v>
      </c>
      <c r="B4243" t="s">
        <v>105</v>
      </c>
      <c r="C4243" s="2">
        <v>45812</v>
      </c>
      <c r="D4243" s="2">
        <f t="shared" si="400"/>
        <v>45842</v>
      </c>
      <c r="E4243" s="1">
        <f>D4243-5</f>
        <v>45837</v>
      </c>
      <c r="F4243">
        <v>3463</v>
      </c>
      <c r="G4243">
        <v>30</v>
      </c>
      <c r="H4243">
        <f t="shared" si="399"/>
        <v>0</v>
      </c>
      <c r="I4243" t="str">
        <f t="shared" si="397"/>
        <v>On Time</v>
      </c>
      <c r="J4243" cm="1">
        <f t="array" ref="J4243">_xlfn.IFS(H4243&lt;30,0,H4243&lt;60,1,H4243&lt;90,2,H4243&lt;120,3)</f>
        <v>0</v>
      </c>
      <c r="M4243" t="str">
        <f t="shared" si="398"/>
        <v>Low</v>
      </c>
      <c r="N4243" t="str">
        <f t="shared" si="401"/>
        <v>Jun</v>
      </c>
      <c r="O4243">
        <f t="shared" si="402"/>
        <v>2025</v>
      </c>
    </row>
    <row r="4244" spans="1:15" x14ac:dyDescent="0.3">
      <c r="A4244">
        <v>200307</v>
      </c>
      <c r="B4244" t="s">
        <v>106</v>
      </c>
      <c r="C4244" s="2">
        <v>45812</v>
      </c>
      <c r="D4244" s="2">
        <f t="shared" si="400"/>
        <v>45842</v>
      </c>
      <c r="E4244" s="1">
        <f>D4244+35</f>
        <v>45877</v>
      </c>
      <c r="F4244">
        <v>4086</v>
      </c>
      <c r="G4244">
        <v>30</v>
      </c>
      <c r="H4244">
        <f t="shared" si="399"/>
        <v>0</v>
      </c>
      <c r="I4244" t="str">
        <f t="shared" si="397"/>
        <v>On Time</v>
      </c>
      <c r="J4244" cm="1">
        <f t="array" ref="J4244">_xlfn.IFS(H4244&lt;30,0,H4244&lt;60,1,H4244&lt;90,2,H4244&lt;120,3)</f>
        <v>0</v>
      </c>
      <c r="M4244" t="str">
        <f t="shared" si="398"/>
        <v>Low</v>
      </c>
      <c r="N4244" t="str">
        <f t="shared" si="401"/>
        <v>Jun</v>
      </c>
      <c r="O4244">
        <f t="shared" si="402"/>
        <v>2025</v>
      </c>
    </row>
    <row r="4245" spans="1:15" x14ac:dyDescent="0.3">
      <c r="A4245">
        <v>200308</v>
      </c>
      <c r="B4245" t="s">
        <v>107</v>
      </c>
      <c r="C4245" s="2">
        <v>45812</v>
      </c>
      <c r="D4245" s="2">
        <f t="shared" si="400"/>
        <v>45842</v>
      </c>
      <c r="E4245" s="1">
        <f>D4245+75</f>
        <v>45917</v>
      </c>
      <c r="F4245">
        <v>3855</v>
      </c>
      <c r="G4245">
        <v>30</v>
      </c>
      <c r="H4245">
        <f t="shared" si="399"/>
        <v>0</v>
      </c>
      <c r="I4245" t="str">
        <f t="shared" si="397"/>
        <v>On Time</v>
      </c>
      <c r="J4245" cm="1">
        <f t="array" ref="J4245">_xlfn.IFS(H4245&lt;30,0,H4245&lt;60,1,H4245&lt;90,2,H4245&lt;120,3)</f>
        <v>0</v>
      </c>
      <c r="M4245" t="str">
        <f t="shared" si="398"/>
        <v>Low</v>
      </c>
      <c r="N4245" t="str">
        <f t="shared" si="401"/>
        <v>Jun</v>
      </c>
      <c r="O4245">
        <f t="shared" si="402"/>
        <v>2025</v>
      </c>
    </row>
    <row r="4246" spans="1:15" x14ac:dyDescent="0.3">
      <c r="A4246">
        <v>200281</v>
      </c>
      <c r="B4246" t="s">
        <v>26</v>
      </c>
      <c r="C4246" s="2">
        <v>45811</v>
      </c>
      <c r="D4246" s="2">
        <f t="shared" si="400"/>
        <v>45841</v>
      </c>
      <c r="E4246" s="1">
        <f>D4246+15</f>
        <v>45856</v>
      </c>
      <c r="F4246">
        <v>699</v>
      </c>
      <c r="G4246">
        <v>30</v>
      </c>
      <c r="H4246">
        <f t="shared" si="399"/>
        <v>0</v>
      </c>
      <c r="I4246" t="str">
        <f t="shared" ref="I4246:I4309" si="403">IF(H4246=0,"On Time",IF(H4246&lt;=15,"Paid Late","Seriously Late"))</f>
        <v>On Time</v>
      </c>
      <c r="J4246" cm="1">
        <f t="array" ref="J4246">_xlfn.IFS(H4246&lt;30,0,H4246&lt;60,1,H4246&lt;90,2,H4246&lt;120,3)</f>
        <v>0</v>
      </c>
      <c r="M4246" t="str">
        <f t="shared" ref="M4246:M4309" si="404">IF(H4246&gt;30,"High",IF(H4246&gt;10,"Medium","Low"))</f>
        <v>Low</v>
      </c>
      <c r="N4246" t="str">
        <f t="shared" si="401"/>
        <v>Jun</v>
      </c>
      <c r="O4246">
        <f t="shared" si="402"/>
        <v>2025</v>
      </c>
    </row>
    <row r="4247" spans="1:15" x14ac:dyDescent="0.3">
      <c r="A4247">
        <v>200282</v>
      </c>
      <c r="B4247" t="s">
        <v>27</v>
      </c>
      <c r="C4247" s="2">
        <v>45811</v>
      </c>
      <c r="D4247" s="2">
        <f t="shared" si="400"/>
        <v>45871</v>
      </c>
      <c r="E4247" s="1">
        <f>D4247-2</f>
        <v>45869</v>
      </c>
      <c r="F4247">
        <v>2545</v>
      </c>
      <c r="G4247">
        <v>60</v>
      </c>
      <c r="H4247">
        <f t="shared" si="399"/>
        <v>0</v>
      </c>
      <c r="I4247" t="str">
        <f t="shared" si="403"/>
        <v>On Time</v>
      </c>
      <c r="J4247" cm="1">
        <f t="array" ref="J4247">_xlfn.IFS(H4247&lt;30,0,H4247&lt;60,1,H4247&lt;90,2,H4247&lt;120,3)</f>
        <v>0</v>
      </c>
      <c r="M4247" t="str">
        <f t="shared" si="404"/>
        <v>Low</v>
      </c>
      <c r="N4247" t="str">
        <f t="shared" si="401"/>
        <v>Jun</v>
      </c>
      <c r="O4247">
        <f t="shared" si="402"/>
        <v>2025</v>
      </c>
    </row>
    <row r="4248" spans="1:15" x14ac:dyDescent="0.3">
      <c r="A4248">
        <v>200283</v>
      </c>
      <c r="B4248" t="s">
        <v>28</v>
      </c>
      <c r="C4248" s="2">
        <v>45811</v>
      </c>
      <c r="D4248" s="2">
        <f t="shared" si="400"/>
        <v>45841</v>
      </c>
      <c r="E4248" s="1">
        <f>D4248-2</f>
        <v>45839</v>
      </c>
      <c r="F4248">
        <v>3761</v>
      </c>
      <c r="G4248">
        <v>30</v>
      </c>
      <c r="H4248">
        <f t="shared" si="399"/>
        <v>0</v>
      </c>
      <c r="I4248" t="str">
        <f t="shared" si="403"/>
        <v>On Time</v>
      </c>
      <c r="J4248" cm="1">
        <f t="array" ref="J4248">_xlfn.IFS(H4248&lt;30,0,H4248&lt;60,1,H4248&lt;90,2,H4248&lt;120,3)</f>
        <v>0</v>
      </c>
      <c r="M4248" t="str">
        <f t="shared" si="404"/>
        <v>Low</v>
      </c>
      <c r="N4248" t="str">
        <f t="shared" si="401"/>
        <v>Jun</v>
      </c>
      <c r="O4248">
        <f t="shared" si="402"/>
        <v>2025</v>
      </c>
    </row>
    <row r="4249" spans="1:15" x14ac:dyDescent="0.3">
      <c r="A4249">
        <v>200284</v>
      </c>
      <c r="B4249" t="s">
        <v>29</v>
      </c>
      <c r="C4249" s="2">
        <v>45811</v>
      </c>
      <c r="D4249" s="2">
        <f t="shared" si="400"/>
        <v>45841</v>
      </c>
      <c r="E4249" s="1">
        <f>D4249</f>
        <v>45841</v>
      </c>
      <c r="F4249">
        <v>2095</v>
      </c>
      <c r="G4249">
        <v>30</v>
      </c>
      <c r="H4249">
        <f t="shared" si="399"/>
        <v>0</v>
      </c>
      <c r="I4249" t="str">
        <f t="shared" si="403"/>
        <v>On Time</v>
      </c>
      <c r="J4249" cm="1">
        <f t="array" ref="J4249">_xlfn.IFS(H4249&lt;30,0,H4249&lt;60,1,H4249&lt;90,2,H4249&lt;120,3)</f>
        <v>0</v>
      </c>
      <c r="M4249" t="str">
        <f t="shared" si="404"/>
        <v>Low</v>
      </c>
      <c r="N4249" t="str">
        <f t="shared" si="401"/>
        <v>Jun</v>
      </c>
      <c r="O4249">
        <f t="shared" si="402"/>
        <v>2025</v>
      </c>
    </row>
    <row r="4250" spans="1:15" x14ac:dyDescent="0.3">
      <c r="A4250">
        <v>200285</v>
      </c>
      <c r="B4250" t="s">
        <v>30</v>
      </c>
      <c r="C4250" s="2">
        <v>45811</v>
      </c>
      <c r="D4250" s="2">
        <f t="shared" si="400"/>
        <v>45841</v>
      </c>
      <c r="E4250" s="1">
        <f>D4250+2</f>
        <v>45843</v>
      </c>
      <c r="F4250">
        <v>1549</v>
      </c>
      <c r="G4250">
        <v>30</v>
      </c>
      <c r="H4250">
        <f t="shared" si="399"/>
        <v>0</v>
      </c>
      <c r="I4250" t="str">
        <f t="shared" si="403"/>
        <v>On Time</v>
      </c>
      <c r="J4250" cm="1">
        <f t="array" ref="J4250">_xlfn.IFS(H4250&lt;30,0,H4250&lt;60,1,H4250&lt;90,2,H4250&lt;120,3)</f>
        <v>0</v>
      </c>
      <c r="M4250" t="str">
        <f t="shared" si="404"/>
        <v>Low</v>
      </c>
      <c r="N4250" t="str">
        <f t="shared" si="401"/>
        <v>Jun</v>
      </c>
      <c r="O4250">
        <f t="shared" si="402"/>
        <v>2025</v>
      </c>
    </row>
    <row r="4251" spans="1:15" x14ac:dyDescent="0.3">
      <c r="A4251">
        <v>200286</v>
      </c>
      <c r="B4251" t="s">
        <v>31</v>
      </c>
      <c r="C4251" s="2">
        <v>45811</v>
      </c>
      <c r="D4251" s="2">
        <f t="shared" si="400"/>
        <v>45856</v>
      </c>
      <c r="E4251" s="1">
        <f>D4251+2</f>
        <v>45858</v>
      </c>
      <c r="F4251">
        <v>2176</v>
      </c>
      <c r="G4251">
        <v>45</v>
      </c>
      <c r="H4251">
        <f t="shared" si="399"/>
        <v>0</v>
      </c>
      <c r="I4251" t="str">
        <f t="shared" si="403"/>
        <v>On Time</v>
      </c>
      <c r="J4251" cm="1">
        <f t="array" ref="J4251">_xlfn.IFS(H4251&lt;30,0,H4251&lt;60,1,H4251&lt;90,2,H4251&lt;120,3)</f>
        <v>0</v>
      </c>
      <c r="M4251" t="str">
        <f t="shared" si="404"/>
        <v>Low</v>
      </c>
      <c r="N4251" t="str">
        <f t="shared" si="401"/>
        <v>Jun</v>
      </c>
      <c r="O4251">
        <f t="shared" si="402"/>
        <v>2025</v>
      </c>
    </row>
    <row r="4252" spans="1:15" x14ac:dyDescent="0.3">
      <c r="A4252">
        <v>200287</v>
      </c>
      <c r="B4252" t="s">
        <v>39</v>
      </c>
      <c r="C4252" s="2">
        <v>45811</v>
      </c>
      <c r="D4252" s="2">
        <f t="shared" si="400"/>
        <v>45841</v>
      </c>
      <c r="E4252" s="1">
        <f>D4252+2</f>
        <v>45843</v>
      </c>
      <c r="F4252">
        <v>1741</v>
      </c>
      <c r="G4252">
        <v>30</v>
      </c>
      <c r="H4252">
        <f t="shared" si="399"/>
        <v>0</v>
      </c>
      <c r="I4252" t="str">
        <f t="shared" si="403"/>
        <v>On Time</v>
      </c>
      <c r="J4252" cm="1">
        <f t="array" ref="J4252">_xlfn.IFS(H4252&lt;30,0,H4252&lt;60,1,H4252&lt;90,2,H4252&lt;120,3)</f>
        <v>0</v>
      </c>
      <c r="M4252" t="str">
        <f t="shared" si="404"/>
        <v>Low</v>
      </c>
      <c r="N4252" t="str">
        <f t="shared" si="401"/>
        <v>Jun</v>
      </c>
      <c r="O4252">
        <f t="shared" si="402"/>
        <v>2025</v>
      </c>
    </row>
    <row r="4253" spans="1:15" x14ac:dyDescent="0.3">
      <c r="A4253">
        <v>200288</v>
      </c>
      <c r="B4253" t="s">
        <v>40</v>
      </c>
      <c r="C4253" s="2">
        <v>45811</v>
      </c>
      <c r="D4253" s="2">
        <f t="shared" si="400"/>
        <v>45841</v>
      </c>
      <c r="E4253" s="1">
        <f>D4253</f>
        <v>45841</v>
      </c>
      <c r="F4253">
        <v>2604</v>
      </c>
      <c r="G4253">
        <v>30</v>
      </c>
      <c r="H4253">
        <f t="shared" si="399"/>
        <v>0</v>
      </c>
      <c r="I4253" t="str">
        <f t="shared" si="403"/>
        <v>On Time</v>
      </c>
      <c r="J4253" cm="1">
        <f t="array" ref="J4253">_xlfn.IFS(H4253&lt;30,0,H4253&lt;60,1,H4253&lt;90,2,H4253&lt;120,3)</f>
        <v>0</v>
      </c>
      <c r="M4253" t="str">
        <f t="shared" si="404"/>
        <v>Low</v>
      </c>
      <c r="N4253" t="str">
        <f t="shared" si="401"/>
        <v>Jun</v>
      </c>
      <c r="O4253">
        <f t="shared" si="402"/>
        <v>2025</v>
      </c>
    </row>
    <row r="4254" spans="1:15" x14ac:dyDescent="0.3">
      <c r="A4254">
        <v>200289</v>
      </c>
      <c r="B4254" t="s">
        <v>41</v>
      </c>
      <c r="C4254" s="2">
        <v>45811</v>
      </c>
      <c r="D4254" s="2">
        <f t="shared" si="400"/>
        <v>45841</v>
      </c>
      <c r="E4254" s="1">
        <f>D4254+20</f>
        <v>45861</v>
      </c>
      <c r="F4254">
        <v>2566</v>
      </c>
      <c r="G4254">
        <v>30</v>
      </c>
      <c r="H4254">
        <f t="shared" si="399"/>
        <v>0</v>
      </c>
      <c r="I4254" t="str">
        <f t="shared" si="403"/>
        <v>On Time</v>
      </c>
      <c r="J4254" cm="1">
        <f t="array" ref="J4254">_xlfn.IFS(H4254&lt;30,0,H4254&lt;60,1,H4254&lt;90,2,H4254&lt;120,3)</f>
        <v>0</v>
      </c>
      <c r="M4254" t="str">
        <f t="shared" si="404"/>
        <v>Low</v>
      </c>
      <c r="N4254" t="str">
        <f t="shared" si="401"/>
        <v>Jun</v>
      </c>
      <c r="O4254">
        <f t="shared" si="402"/>
        <v>2025</v>
      </c>
    </row>
    <row r="4255" spans="1:15" x14ac:dyDescent="0.3">
      <c r="A4255">
        <v>200290</v>
      </c>
      <c r="B4255" t="s">
        <v>42</v>
      </c>
      <c r="C4255" s="2">
        <v>45811</v>
      </c>
      <c r="D4255" s="2">
        <f t="shared" si="400"/>
        <v>45841</v>
      </c>
      <c r="E4255" s="1">
        <f>D4255</f>
        <v>45841</v>
      </c>
      <c r="F4255">
        <v>1688</v>
      </c>
      <c r="G4255">
        <v>30</v>
      </c>
      <c r="H4255">
        <f t="shared" si="399"/>
        <v>0</v>
      </c>
      <c r="I4255" t="str">
        <f t="shared" si="403"/>
        <v>On Time</v>
      </c>
      <c r="J4255" cm="1">
        <f t="array" ref="J4255">_xlfn.IFS(H4255&lt;30,0,H4255&lt;60,1,H4255&lt;90,2,H4255&lt;120,3)</f>
        <v>0</v>
      </c>
      <c r="M4255" t="str">
        <f t="shared" si="404"/>
        <v>Low</v>
      </c>
      <c r="N4255" t="str">
        <f t="shared" si="401"/>
        <v>Jun</v>
      </c>
      <c r="O4255">
        <f t="shared" si="402"/>
        <v>2025</v>
      </c>
    </row>
    <row r="4256" spans="1:15" x14ac:dyDescent="0.3">
      <c r="A4256">
        <v>200291</v>
      </c>
      <c r="B4256" t="s">
        <v>43</v>
      </c>
      <c r="C4256" s="2">
        <v>45811</v>
      </c>
      <c r="D4256" s="2">
        <f t="shared" si="400"/>
        <v>45841</v>
      </c>
      <c r="E4256" s="1">
        <f>D4256+1</f>
        <v>45842</v>
      </c>
      <c r="F4256">
        <v>1578</v>
      </c>
      <c r="G4256">
        <v>30</v>
      </c>
      <c r="H4256">
        <f t="shared" si="399"/>
        <v>0</v>
      </c>
      <c r="I4256" t="str">
        <f t="shared" si="403"/>
        <v>On Time</v>
      </c>
      <c r="J4256" cm="1">
        <f t="array" ref="J4256">_xlfn.IFS(H4256&lt;30,0,H4256&lt;60,1,H4256&lt;90,2,H4256&lt;120,3)</f>
        <v>0</v>
      </c>
      <c r="M4256" t="str">
        <f t="shared" si="404"/>
        <v>Low</v>
      </c>
      <c r="N4256" t="str">
        <f t="shared" si="401"/>
        <v>Jun</v>
      </c>
      <c r="O4256">
        <f t="shared" si="402"/>
        <v>2025</v>
      </c>
    </row>
    <row r="4257" spans="1:15" x14ac:dyDescent="0.3">
      <c r="A4257">
        <v>200292</v>
      </c>
      <c r="B4257" t="s">
        <v>44</v>
      </c>
      <c r="C4257" s="2">
        <v>45811</v>
      </c>
      <c r="D4257" s="2">
        <f t="shared" si="400"/>
        <v>45856</v>
      </c>
      <c r="E4257" s="1">
        <f>D4257</f>
        <v>45856</v>
      </c>
      <c r="F4257">
        <v>2626</v>
      </c>
      <c r="G4257">
        <v>45</v>
      </c>
      <c r="H4257">
        <f t="shared" si="399"/>
        <v>0</v>
      </c>
      <c r="I4257" t="str">
        <f t="shared" si="403"/>
        <v>On Time</v>
      </c>
      <c r="J4257" cm="1">
        <f t="array" ref="J4257">_xlfn.IFS(H4257&lt;30,0,H4257&lt;60,1,H4257&lt;90,2,H4257&lt;120,3)</f>
        <v>0</v>
      </c>
      <c r="M4257" t="str">
        <f t="shared" si="404"/>
        <v>Low</v>
      </c>
      <c r="N4257" t="str">
        <f t="shared" si="401"/>
        <v>Jun</v>
      </c>
      <c r="O4257">
        <f t="shared" si="402"/>
        <v>2025</v>
      </c>
    </row>
    <row r="4258" spans="1:15" x14ac:dyDescent="0.3">
      <c r="A4258">
        <v>200293</v>
      </c>
      <c r="B4258" t="s">
        <v>45</v>
      </c>
      <c r="C4258" s="2">
        <v>45811</v>
      </c>
      <c r="D4258" s="2">
        <f t="shared" si="400"/>
        <v>45856</v>
      </c>
      <c r="E4258" s="1">
        <f>D4258</f>
        <v>45856</v>
      </c>
      <c r="F4258">
        <v>1844</v>
      </c>
      <c r="G4258">
        <v>45</v>
      </c>
      <c r="H4258">
        <f t="shared" si="399"/>
        <v>0</v>
      </c>
      <c r="I4258" t="str">
        <f t="shared" si="403"/>
        <v>On Time</v>
      </c>
      <c r="J4258" cm="1">
        <f t="array" ref="J4258">_xlfn.IFS(H4258&lt;30,0,H4258&lt;60,1,H4258&lt;90,2,H4258&lt;120,3)</f>
        <v>0</v>
      </c>
      <c r="M4258" t="str">
        <f t="shared" si="404"/>
        <v>Low</v>
      </c>
      <c r="N4258" t="str">
        <f t="shared" si="401"/>
        <v>Jun</v>
      </c>
      <c r="O4258">
        <f t="shared" si="402"/>
        <v>2025</v>
      </c>
    </row>
    <row r="4259" spans="1:15" x14ac:dyDescent="0.3">
      <c r="A4259">
        <v>200294</v>
      </c>
      <c r="B4259" t="s">
        <v>46</v>
      </c>
      <c r="C4259" s="2">
        <v>45811</v>
      </c>
      <c r="D4259" s="2">
        <f t="shared" si="400"/>
        <v>45871</v>
      </c>
      <c r="E4259" s="1">
        <f>D4259+5</f>
        <v>45876</v>
      </c>
      <c r="F4259">
        <v>4671</v>
      </c>
      <c r="G4259">
        <v>60</v>
      </c>
      <c r="H4259">
        <f t="shared" si="399"/>
        <v>0</v>
      </c>
      <c r="I4259" t="str">
        <f t="shared" si="403"/>
        <v>On Time</v>
      </c>
      <c r="J4259" cm="1">
        <f t="array" ref="J4259">_xlfn.IFS(H4259&lt;30,0,H4259&lt;60,1,H4259&lt;90,2,H4259&lt;120,3)</f>
        <v>0</v>
      </c>
      <c r="M4259" t="str">
        <f t="shared" si="404"/>
        <v>Low</v>
      </c>
      <c r="N4259" t="str">
        <f t="shared" si="401"/>
        <v>Jun</v>
      </c>
      <c r="O4259">
        <f t="shared" si="402"/>
        <v>2025</v>
      </c>
    </row>
    <row r="4260" spans="1:15" x14ac:dyDescent="0.3">
      <c r="A4260">
        <v>200295</v>
      </c>
      <c r="B4260" t="s">
        <v>114</v>
      </c>
      <c r="C4260" s="2">
        <v>45811</v>
      </c>
      <c r="D4260" s="2">
        <f t="shared" si="400"/>
        <v>45841</v>
      </c>
      <c r="E4260" s="1">
        <f>D4260+2</f>
        <v>45843</v>
      </c>
      <c r="F4260">
        <v>1522</v>
      </c>
      <c r="G4260">
        <v>30</v>
      </c>
      <c r="H4260">
        <f t="shared" si="399"/>
        <v>0</v>
      </c>
      <c r="I4260" t="str">
        <f t="shared" si="403"/>
        <v>On Time</v>
      </c>
      <c r="J4260" cm="1">
        <f t="array" ref="J4260">_xlfn.IFS(H4260&lt;30,0,H4260&lt;60,1,H4260&lt;90,2,H4260&lt;120,3)</f>
        <v>0</v>
      </c>
      <c r="M4260" t="str">
        <f t="shared" si="404"/>
        <v>Low</v>
      </c>
      <c r="N4260" t="str">
        <f t="shared" si="401"/>
        <v>Jun</v>
      </c>
      <c r="O4260">
        <f t="shared" si="402"/>
        <v>2025</v>
      </c>
    </row>
    <row r="4261" spans="1:15" x14ac:dyDescent="0.3">
      <c r="A4261">
        <v>200263</v>
      </c>
      <c r="B4261" t="s">
        <v>46</v>
      </c>
      <c r="C4261" s="2">
        <v>45810</v>
      </c>
      <c r="D4261" s="2">
        <f t="shared" si="400"/>
        <v>45870</v>
      </c>
      <c r="E4261" s="1">
        <f>D4261</f>
        <v>45870</v>
      </c>
      <c r="F4261">
        <v>17825</v>
      </c>
      <c r="G4261">
        <v>60</v>
      </c>
      <c r="H4261">
        <f t="shared" si="399"/>
        <v>0</v>
      </c>
      <c r="I4261" t="str">
        <f t="shared" si="403"/>
        <v>On Time</v>
      </c>
      <c r="J4261" cm="1">
        <f t="array" ref="J4261">_xlfn.IFS(H4261&lt;30,0,H4261&lt;60,1,H4261&lt;90,2,H4261&lt;120,3)</f>
        <v>0</v>
      </c>
      <c r="M4261" t="str">
        <f t="shared" si="404"/>
        <v>Low</v>
      </c>
      <c r="N4261" t="str">
        <f t="shared" si="401"/>
        <v>Jun</v>
      </c>
      <c r="O4261">
        <f t="shared" si="402"/>
        <v>2025</v>
      </c>
    </row>
    <row r="4262" spans="1:15" x14ac:dyDescent="0.3">
      <c r="A4262">
        <v>200264</v>
      </c>
      <c r="B4262" t="s">
        <v>47</v>
      </c>
      <c r="C4262" s="2">
        <v>45810</v>
      </c>
      <c r="D4262" s="2">
        <f t="shared" si="400"/>
        <v>45870</v>
      </c>
      <c r="E4262" s="1">
        <f>D4262</f>
        <v>45870</v>
      </c>
      <c r="F4262">
        <v>2225</v>
      </c>
      <c r="G4262">
        <v>60</v>
      </c>
      <c r="H4262">
        <f t="shared" ref="H4262:H4325" si="405">MAX(0,P4227-D4262)</f>
        <v>0</v>
      </c>
      <c r="I4262" t="str">
        <f t="shared" si="403"/>
        <v>On Time</v>
      </c>
      <c r="J4262" cm="1">
        <f t="array" ref="J4262">_xlfn.IFS(H4262&lt;30,0,H4262&lt;60,1,H4262&lt;90,2,H4262&lt;120,3)</f>
        <v>0</v>
      </c>
      <c r="M4262" t="str">
        <f t="shared" si="404"/>
        <v>Low</v>
      </c>
      <c r="N4262" t="str">
        <f t="shared" si="401"/>
        <v>Jun</v>
      </c>
      <c r="O4262">
        <f t="shared" si="402"/>
        <v>2025</v>
      </c>
    </row>
    <row r="4263" spans="1:15" x14ac:dyDescent="0.3">
      <c r="A4263">
        <v>200265</v>
      </c>
      <c r="B4263" t="s">
        <v>48</v>
      </c>
      <c r="C4263" s="2">
        <v>45810</v>
      </c>
      <c r="D4263" s="2">
        <f t="shared" si="400"/>
        <v>45855</v>
      </c>
      <c r="E4263" s="1">
        <f>D4263</f>
        <v>45855</v>
      </c>
      <c r="F4263">
        <v>675</v>
      </c>
      <c r="G4263">
        <v>45</v>
      </c>
      <c r="H4263">
        <f t="shared" si="405"/>
        <v>0</v>
      </c>
      <c r="I4263" t="str">
        <f t="shared" si="403"/>
        <v>On Time</v>
      </c>
      <c r="J4263" cm="1">
        <f t="array" ref="J4263">_xlfn.IFS(H4263&lt;30,0,H4263&lt;60,1,H4263&lt;90,2,H4263&lt;120,3)</f>
        <v>0</v>
      </c>
      <c r="M4263" t="str">
        <f t="shared" si="404"/>
        <v>Low</v>
      </c>
      <c r="N4263" t="str">
        <f t="shared" si="401"/>
        <v>Jun</v>
      </c>
      <c r="O4263">
        <f t="shared" si="402"/>
        <v>2025</v>
      </c>
    </row>
    <row r="4264" spans="1:15" x14ac:dyDescent="0.3">
      <c r="A4264">
        <v>200266</v>
      </c>
      <c r="B4264" t="s">
        <v>49</v>
      </c>
      <c r="C4264" s="2">
        <v>45810</v>
      </c>
      <c r="D4264" s="2">
        <f t="shared" si="400"/>
        <v>45840</v>
      </c>
      <c r="E4264" s="1">
        <f>D4264+60</f>
        <v>45900</v>
      </c>
      <c r="F4264">
        <v>6413</v>
      </c>
      <c r="G4264">
        <v>30</v>
      </c>
      <c r="H4264">
        <f t="shared" si="405"/>
        <v>0</v>
      </c>
      <c r="I4264" t="str">
        <f t="shared" si="403"/>
        <v>On Time</v>
      </c>
      <c r="J4264" cm="1">
        <f t="array" ref="J4264">_xlfn.IFS(H4264&lt;30,0,H4264&lt;60,1,H4264&lt;90,2,H4264&lt;120,3)</f>
        <v>0</v>
      </c>
      <c r="M4264" t="str">
        <f t="shared" si="404"/>
        <v>Low</v>
      </c>
      <c r="N4264" t="str">
        <f t="shared" si="401"/>
        <v>Jun</v>
      </c>
      <c r="O4264">
        <f t="shared" si="402"/>
        <v>2025</v>
      </c>
    </row>
    <row r="4265" spans="1:15" x14ac:dyDescent="0.3">
      <c r="A4265">
        <v>200267</v>
      </c>
      <c r="B4265" t="s">
        <v>50</v>
      </c>
      <c r="C4265" s="2">
        <v>45810</v>
      </c>
      <c r="D4265" s="2">
        <f t="shared" si="400"/>
        <v>45840</v>
      </c>
      <c r="E4265" s="1">
        <f>D4265</f>
        <v>45840</v>
      </c>
      <c r="F4265">
        <v>1751</v>
      </c>
      <c r="G4265">
        <v>30</v>
      </c>
      <c r="H4265">
        <f t="shared" si="405"/>
        <v>0</v>
      </c>
      <c r="I4265" t="str">
        <f t="shared" si="403"/>
        <v>On Time</v>
      </c>
      <c r="J4265" cm="1">
        <f t="array" ref="J4265">_xlfn.IFS(H4265&lt;30,0,H4265&lt;60,1,H4265&lt;90,2,H4265&lt;120,3)</f>
        <v>0</v>
      </c>
      <c r="M4265" t="str">
        <f t="shared" si="404"/>
        <v>Low</v>
      </c>
      <c r="N4265" t="str">
        <f t="shared" si="401"/>
        <v>Jun</v>
      </c>
      <c r="O4265">
        <f t="shared" si="402"/>
        <v>2025</v>
      </c>
    </row>
    <row r="4266" spans="1:15" x14ac:dyDescent="0.3">
      <c r="A4266">
        <v>200268</v>
      </c>
      <c r="B4266" t="s">
        <v>51</v>
      </c>
      <c r="C4266" s="2">
        <v>45810</v>
      </c>
      <c r="D4266" s="2">
        <f t="shared" si="400"/>
        <v>45840</v>
      </c>
      <c r="E4266" s="1">
        <f>D4266</f>
        <v>45840</v>
      </c>
      <c r="F4266">
        <v>2663</v>
      </c>
      <c r="G4266">
        <v>30</v>
      </c>
      <c r="H4266">
        <f t="shared" si="405"/>
        <v>0</v>
      </c>
      <c r="I4266" t="str">
        <f t="shared" si="403"/>
        <v>On Time</v>
      </c>
      <c r="J4266" cm="1">
        <f t="array" ref="J4266">_xlfn.IFS(H4266&lt;30,0,H4266&lt;60,1,H4266&lt;90,2,H4266&lt;120,3)</f>
        <v>0</v>
      </c>
      <c r="M4266" t="str">
        <f t="shared" si="404"/>
        <v>Low</v>
      </c>
      <c r="N4266" t="str">
        <f t="shared" si="401"/>
        <v>Jun</v>
      </c>
      <c r="O4266">
        <f t="shared" si="402"/>
        <v>2025</v>
      </c>
    </row>
    <row r="4267" spans="1:15" x14ac:dyDescent="0.3">
      <c r="A4267">
        <v>200269</v>
      </c>
      <c r="B4267" t="s">
        <v>52</v>
      </c>
      <c r="C4267" s="2">
        <v>45810</v>
      </c>
      <c r="D4267" s="2">
        <f t="shared" si="400"/>
        <v>45840</v>
      </c>
      <c r="E4267" s="1">
        <f>D4267+3</f>
        <v>45843</v>
      </c>
      <c r="F4267">
        <v>632</v>
      </c>
      <c r="G4267">
        <v>30</v>
      </c>
      <c r="H4267">
        <f t="shared" si="405"/>
        <v>0</v>
      </c>
      <c r="I4267" t="str">
        <f t="shared" si="403"/>
        <v>On Time</v>
      </c>
      <c r="J4267" cm="1">
        <f t="array" ref="J4267">_xlfn.IFS(H4267&lt;30,0,H4267&lt;60,1,H4267&lt;90,2,H4267&lt;120,3)</f>
        <v>0</v>
      </c>
      <c r="M4267" t="str">
        <f t="shared" si="404"/>
        <v>Low</v>
      </c>
      <c r="N4267" t="str">
        <f t="shared" si="401"/>
        <v>Jun</v>
      </c>
      <c r="O4267">
        <f t="shared" si="402"/>
        <v>2025</v>
      </c>
    </row>
    <row r="4268" spans="1:15" x14ac:dyDescent="0.3">
      <c r="A4268">
        <v>200270</v>
      </c>
      <c r="B4268" t="s">
        <v>53</v>
      </c>
      <c r="C4268" s="2">
        <v>45810</v>
      </c>
      <c r="D4268" s="2">
        <f t="shared" si="400"/>
        <v>45840</v>
      </c>
      <c r="E4268" s="1">
        <f>D4268+1</f>
        <v>45841</v>
      </c>
      <c r="F4268">
        <v>3087</v>
      </c>
      <c r="G4268">
        <v>30</v>
      </c>
      <c r="H4268">
        <f t="shared" si="405"/>
        <v>0</v>
      </c>
      <c r="I4268" t="str">
        <f t="shared" si="403"/>
        <v>On Time</v>
      </c>
      <c r="J4268" cm="1">
        <f t="array" ref="J4268">_xlfn.IFS(H4268&lt;30,0,H4268&lt;60,1,H4268&lt;90,2,H4268&lt;120,3)</f>
        <v>0</v>
      </c>
      <c r="M4268" t="str">
        <f t="shared" si="404"/>
        <v>Low</v>
      </c>
      <c r="N4268" t="str">
        <f t="shared" si="401"/>
        <v>Jun</v>
      </c>
      <c r="O4268">
        <f t="shared" si="402"/>
        <v>2025</v>
      </c>
    </row>
    <row r="4269" spans="1:15" x14ac:dyDescent="0.3">
      <c r="A4269">
        <v>200271</v>
      </c>
      <c r="B4269" t="s">
        <v>54</v>
      </c>
      <c r="C4269" s="2">
        <v>45810</v>
      </c>
      <c r="D4269" s="2">
        <f t="shared" si="400"/>
        <v>45840</v>
      </c>
      <c r="E4269" s="1">
        <f>D4269-1</f>
        <v>45839</v>
      </c>
      <c r="F4269">
        <v>2397</v>
      </c>
      <c r="G4269">
        <v>30</v>
      </c>
      <c r="H4269">
        <f t="shared" si="405"/>
        <v>0</v>
      </c>
      <c r="I4269" t="str">
        <f t="shared" si="403"/>
        <v>On Time</v>
      </c>
      <c r="J4269" cm="1">
        <f t="array" ref="J4269">_xlfn.IFS(H4269&lt;30,0,H4269&lt;60,1,H4269&lt;90,2,H4269&lt;120,3)</f>
        <v>0</v>
      </c>
      <c r="M4269" t="str">
        <f t="shared" si="404"/>
        <v>Low</v>
      </c>
      <c r="N4269" t="str">
        <f t="shared" si="401"/>
        <v>Jun</v>
      </c>
      <c r="O4269">
        <f t="shared" si="402"/>
        <v>2025</v>
      </c>
    </row>
    <row r="4270" spans="1:15" x14ac:dyDescent="0.3">
      <c r="A4270">
        <v>200272</v>
      </c>
      <c r="B4270" t="s">
        <v>36</v>
      </c>
      <c r="C4270" s="2">
        <v>45810</v>
      </c>
      <c r="D4270" s="2">
        <f t="shared" si="400"/>
        <v>45840</v>
      </c>
      <c r="E4270" s="1">
        <f>D4270</f>
        <v>45840</v>
      </c>
      <c r="F4270">
        <v>3143</v>
      </c>
      <c r="G4270">
        <v>30</v>
      </c>
      <c r="H4270">
        <f t="shared" si="405"/>
        <v>0</v>
      </c>
      <c r="I4270" t="str">
        <f t="shared" si="403"/>
        <v>On Time</v>
      </c>
      <c r="J4270" cm="1">
        <f t="array" ref="J4270">_xlfn.IFS(H4270&lt;30,0,H4270&lt;60,1,H4270&lt;90,2,H4270&lt;120,3)</f>
        <v>0</v>
      </c>
      <c r="M4270" t="str">
        <f t="shared" si="404"/>
        <v>Low</v>
      </c>
      <c r="N4270" t="str">
        <f t="shared" si="401"/>
        <v>Jun</v>
      </c>
      <c r="O4270">
        <f t="shared" si="402"/>
        <v>2025</v>
      </c>
    </row>
    <row r="4271" spans="1:15" x14ac:dyDescent="0.3">
      <c r="A4271">
        <v>200273</v>
      </c>
      <c r="B4271" t="s">
        <v>37</v>
      </c>
      <c r="C4271" s="2">
        <v>45810</v>
      </c>
      <c r="D4271" s="2">
        <f t="shared" si="400"/>
        <v>45840</v>
      </c>
      <c r="E4271" s="1">
        <f>D4271+1</f>
        <v>45841</v>
      </c>
      <c r="F4271">
        <v>364</v>
      </c>
      <c r="G4271">
        <v>30</v>
      </c>
      <c r="H4271">
        <f t="shared" si="405"/>
        <v>0</v>
      </c>
      <c r="I4271" t="str">
        <f t="shared" si="403"/>
        <v>On Time</v>
      </c>
      <c r="J4271" cm="1">
        <f t="array" ref="J4271">_xlfn.IFS(H4271&lt;30,0,H4271&lt;60,1,H4271&lt;90,2,H4271&lt;120,3)</f>
        <v>0</v>
      </c>
      <c r="M4271" t="str">
        <f t="shared" si="404"/>
        <v>Low</v>
      </c>
      <c r="N4271" t="str">
        <f t="shared" si="401"/>
        <v>Jun</v>
      </c>
      <c r="O4271">
        <f t="shared" si="402"/>
        <v>2025</v>
      </c>
    </row>
    <row r="4272" spans="1:15" x14ac:dyDescent="0.3">
      <c r="A4272">
        <v>200274</v>
      </c>
      <c r="B4272" t="s">
        <v>38</v>
      </c>
      <c r="C4272" s="2">
        <v>45810</v>
      </c>
      <c r="D4272" s="2">
        <f t="shared" si="400"/>
        <v>45840</v>
      </c>
      <c r="E4272" s="1">
        <f>D4272+35</f>
        <v>45875</v>
      </c>
      <c r="F4272">
        <v>4454</v>
      </c>
      <c r="G4272">
        <v>30</v>
      </c>
      <c r="H4272">
        <f t="shared" si="405"/>
        <v>0</v>
      </c>
      <c r="I4272" t="str">
        <f t="shared" si="403"/>
        <v>On Time</v>
      </c>
      <c r="J4272" cm="1">
        <f t="array" ref="J4272">_xlfn.IFS(H4272&lt;30,0,H4272&lt;60,1,H4272&lt;90,2,H4272&lt;120,3)</f>
        <v>0</v>
      </c>
      <c r="M4272" t="str">
        <f t="shared" si="404"/>
        <v>Low</v>
      </c>
      <c r="N4272" t="str">
        <f t="shared" si="401"/>
        <v>Jun</v>
      </c>
      <c r="O4272">
        <f t="shared" si="402"/>
        <v>2025</v>
      </c>
    </row>
    <row r="4273" spans="1:15" x14ac:dyDescent="0.3">
      <c r="A4273">
        <v>200275</v>
      </c>
      <c r="B4273" t="s">
        <v>39</v>
      </c>
      <c r="C4273" s="2">
        <v>45810</v>
      </c>
      <c r="D4273" s="2">
        <f t="shared" si="400"/>
        <v>45840</v>
      </c>
      <c r="E4273" s="1">
        <f>D4273+80</f>
        <v>45920</v>
      </c>
      <c r="F4273">
        <v>391</v>
      </c>
      <c r="G4273">
        <v>30</v>
      </c>
      <c r="H4273">
        <f t="shared" si="405"/>
        <v>0</v>
      </c>
      <c r="I4273" t="str">
        <f t="shared" si="403"/>
        <v>On Time</v>
      </c>
      <c r="J4273" cm="1">
        <f t="array" ref="J4273">_xlfn.IFS(H4273&lt;30,0,H4273&lt;60,1,H4273&lt;90,2,H4273&lt;120,3)</f>
        <v>0</v>
      </c>
      <c r="M4273" t="str">
        <f t="shared" si="404"/>
        <v>Low</v>
      </c>
      <c r="N4273" t="str">
        <f t="shared" si="401"/>
        <v>Jun</v>
      </c>
      <c r="O4273">
        <f t="shared" si="402"/>
        <v>2025</v>
      </c>
    </row>
    <row r="4274" spans="1:15" x14ac:dyDescent="0.3">
      <c r="A4274">
        <v>200276</v>
      </c>
      <c r="B4274" t="s">
        <v>40</v>
      </c>
      <c r="C4274" s="2">
        <v>45810</v>
      </c>
      <c r="D4274" s="2">
        <f t="shared" si="400"/>
        <v>45840</v>
      </c>
      <c r="E4274" s="1">
        <f>D4274+5</f>
        <v>45845</v>
      </c>
      <c r="F4274">
        <v>4688</v>
      </c>
      <c r="G4274">
        <v>30</v>
      </c>
      <c r="H4274">
        <f t="shared" si="405"/>
        <v>0</v>
      </c>
      <c r="I4274" t="str">
        <f t="shared" si="403"/>
        <v>On Time</v>
      </c>
      <c r="J4274" cm="1">
        <f t="array" ref="J4274">_xlfn.IFS(H4274&lt;30,0,H4274&lt;60,1,H4274&lt;90,2,H4274&lt;120,3)</f>
        <v>0</v>
      </c>
      <c r="M4274" t="str">
        <f t="shared" si="404"/>
        <v>Low</v>
      </c>
      <c r="N4274" t="str">
        <f t="shared" si="401"/>
        <v>Jun</v>
      </c>
      <c r="O4274">
        <f t="shared" si="402"/>
        <v>2025</v>
      </c>
    </row>
    <row r="4275" spans="1:15" x14ac:dyDescent="0.3">
      <c r="A4275">
        <v>200277</v>
      </c>
      <c r="B4275" t="s">
        <v>41</v>
      </c>
      <c r="C4275" s="2">
        <v>45810</v>
      </c>
      <c r="D4275" s="2">
        <f t="shared" si="400"/>
        <v>45840</v>
      </c>
      <c r="E4275" s="1">
        <f>D4275</f>
        <v>45840</v>
      </c>
      <c r="F4275">
        <v>4983</v>
      </c>
      <c r="G4275">
        <v>30</v>
      </c>
      <c r="H4275">
        <f t="shared" si="405"/>
        <v>0</v>
      </c>
      <c r="I4275" t="str">
        <f t="shared" si="403"/>
        <v>On Time</v>
      </c>
      <c r="J4275" cm="1">
        <f t="array" ref="J4275">_xlfn.IFS(H4275&lt;30,0,H4275&lt;60,1,H4275&lt;90,2,H4275&lt;120,3)</f>
        <v>0</v>
      </c>
      <c r="M4275" t="str">
        <f t="shared" si="404"/>
        <v>Low</v>
      </c>
      <c r="N4275" t="str">
        <f t="shared" si="401"/>
        <v>Jun</v>
      </c>
      <c r="O4275">
        <f t="shared" si="402"/>
        <v>2025</v>
      </c>
    </row>
    <row r="4276" spans="1:15" x14ac:dyDescent="0.3">
      <c r="A4276">
        <v>200278</v>
      </c>
      <c r="B4276" t="s">
        <v>42</v>
      </c>
      <c r="C4276" s="2">
        <v>45810</v>
      </c>
      <c r="D4276" s="2">
        <f t="shared" si="400"/>
        <v>45840</v>
      </c>
      <c r="E4276" s="1">
        <f>D4276-1</f>
        <v>45839</v>
      </c>
      <c r="F4276">
        <v>6647</v>
      </c>
      <c r="G4276">
        <v>30</v>
      </c>
      <c r="H4276">
        <f t="shared" si="405"/>
        <v>0</v>
      </c>
      <c r="I4276" t="str">
        <f t="shared" si="403"/>
        <v>On Time</v>
      </c>
      <c r="J4276" cm="1">
        <f t="array" ref="J4276">_xlfn.IFS(H4276&lt;30,0,H4276&lt;60,1,H4276&lt;90,2,H4276&lt;120,3)</f>
        <v>0</v>
      </c>
      <c r="M4276" t="str">
        <f t="shared" si="404"/>
        <v>Low</v>
      </c>
      <c r="N4276" t="str">
        <f t="shared" si="401"/>
        <v>Jun</v>
      </c>
      <c r="O4276">
        <f t="shared" si="402"/>
        <v>2025</v>
      </c>
    </row>
    <row r="4277" spans="1:15" x14ac:dyDescent="0.3">
      <c r="A4277">
        <v>200279</v>
      </c>
      <c r="B4277" t="s">
        <v>43</v>
      </c>
      <c r="C4277" s="2">
        <v>45810</v>
      </c>
      <c r="D4277" s="2">
        <f t="shared" si="400"/>
        <v>45840</v>
      </c>
      <c r="E4277" s="1">
        <f>D4277</f>
        <v>45840</v>
      </c>
      <c r="F4277">
        <v>3236</v>
      </c>
      <c r="G4277">
        <v>30</v>
      </c>
      <c r="H4277">
        <f t="shared" si="405"/>
        <v>0</v>
      </c>
      <c r="I4277" t="str">
        <f t="shared" si="403"/>
        <v>On Time</v>
      </c>
      <c r="J4277" cm="1">
        <f t="array" ref="J4277">_xlfn.IFS(H4277&lt;30,0,H4277&lt;60,1,H4277&lt;90,2,H4277&lt;120,3)</f>
        <v>0</v>
      </c>
      <c r="M4277" t="str">
        <f t="shared" si="404"/>
        <v>Low</v>
      </c>
      <c r="N4277" t="str">
        <f t="shared" si="401"/>
        <v>Jun</v>
      </c>
      <c r="O4277">
        <f t="shared" si="402"/>
        <v>2025</v>
      </c>
    </row>
    <row r="4278" spans="1:15" x14ac:dyDescent="0.3">
      <c r="A4278">
        <v>200280</v>
      </c>
      <c r="B4278" t="s">
        <v>25</v>
      </c>
      <c r="C4278" s="2">
        <v>45810</v>
      </c>
      <c r="D4278" s="2">
        <f t="shared" si="400"/>
        <v>45870</v>
      </c>
      <c r="E4278" s="1">
        <f>D4278+32</f>
        <v>45902</v>
      </c>
      <c r="F4278">
        <v>2512</v>
      </c>
      <c r="G4278">
        <v>60</v>
      </c>
      <c r="H4278">
        <f t="shared" si="405"/>
        <v>0</v>
      </c>
      <c r="I4278" t="str">
        <f t="shared" si="403"/>
        <v>On Time</v>
      </c>
      <c r="J4278" cm="1">
        <f t="array" ref="J4278">_xlfn.IFS(H4278&lt;30,0,H4278&lt;60,1,H4278&lt;90,2,H4278&lt;120,3)</f>
        <v>0</v>
      </c>
      <c r="M4278" t="str">
        <f t="shared" si="404"/>
        <v>Low</v>
      </c>
      <c r="N4278" t="str">
        <f t="shared" si="401"/>
        <v>Jun</v>
      </c>
      <c r="O4278">
        <f t="shared" si="402"/>
        <v>2025</v>
      </c>
    </row>
    <row r="4279" spans="1:15" x14ac:dyDescent="0.3">
      <c r="A4279">
        <v>200248</v>
      </c>
      <c r="B4279" t="s">
        <v>89</v>
      </c>
      <c r="C4279" s="2">
        <v>45807</v>
      </c>
      <c r="D4279" s="2">
        <f t="shared" si="400"/>
        <v>45837</v>
      </c>
      <c r="E4279" s="1">
        <f>D4279+15</f>
        <v>45852</v>
      </c>
      <c r="F4279">
        <v>4959</v>
      </c>
      <c r="G4279">
        <v>30</v>
      </c>
      <c r="H4279">
        <f t="shared" si="405"/>
        <v>0</v>
      </c>
      <c r="I4279" t="str">
        <f t="shared" si="403"/>
        <v>On Time</v>
      </c>
      <c r="J4279" cm="1">
        <f t="array" ref="J4279">_xlfn.IFS(H4279&lt;30,0,H4279&lt;60,1,H4279&lt;90,2,H4279&lt;120,3)</f>
        <v>0</v>
      </c>
      <c r="M4279" t="str">
        <f t="shared" si="404"/>
        <v>Low</v>
      </c>
      <c r="N4279" t="str">
        <f t="shared" si="401"/>
        <v>May</v>
      </c>
      <c r="O4279">
        <f t="shared" si="402"/>
        <v>2025</v>
      </c>
    </row>
    <row r="4280" spans="1:15" x14ac:dyDescent="0.3">
      <c r="A4280">
        <v>200249</v>
      </c>
      <c r="B4280" t="s">
        <v>90</v>
      </c>
      <c r="C4280" s="2">
        <v>45807</v>
      </c>
      <c r="D4280" s="2">
        <f t="shared" si="400"/>
        <v>45837</v>
      </c>
      <c r="E4280" s="1">
        <f>D4280</f>
        <v>45837</v>
      </c>
      <c r="F4280">
        <v>766</v>
      </c>
      <c r="G4280">
        <v>30</v>
      </c>
      <c r="H4280">
        <f t="shared" si="405"/>
        <v>0</v>
      </c>
      <c r="I4280" t="str">
        <f t="shared" si="403"/>
        <v>On Time</v>
      </c>
      <c r="J4280" cm="1">
        <f t="array" ref="J4280">_xlfn.IFS(H4280&lt;30,0,H4280&lt;60,1,H4280&lt;90,2,H4280&lt;120,3)</f>
        <v>0</v>
      </c>
      <c r="M4280" t="str">
        <f t="shared" si="404"/>
        <v>Low</v>
      </c>
      <c r="N4280" t="str">
        <f t="shared" si="401"/>
        <v>May</v>
      </c>
      <c r="O4280">
        <f t="shared" si="402"/>
        <v>2025</v>
      </c>
    </row>
    <row r="4281" spans="1:15" x14ac:dyDescent="0.3">
      <c r="A4281">
        <v>200250</v>
      </c>
      <c r="B4281" t="s">
        <v>91</v>
      </c>
      <c r="C4281" s="2">
        <v>45807</v>
      </c>
      <c r="D4281" s="2">
        <f t="shared" si="400"/>
        <v>45837</v>
      </c>
      <c r="E4281" s="1">
        <f>D4281-2</f>
        <v>45835</v>
      </c>
      <c r="F4281">
        <v>3115</v>
      </c>
      <c r="G4281">
        <v>30</v>
      </c>
      <c r="H4281">
        <f t="shared" si="405"/>
        <v>0</v>
      </c>
      <c r="I4281" t="str">
        <f t="shared" si="403"/>
        <v>On Time</v>
      </c>
      <c r="J4281" cm="1">
        <f t="array" ref="J4281">_xlfn.IFS(H4281&lt;30,0,H4281&lt;60,1,H4281&lt;90,2,H4281&lt;120,3)</f>
        <v>0</v>
      </c>
      <c r="M4281" t="str">
        <f t="shared" si="404"/>
        <v>Low</v>
      </c>
      <c r="N4281" t="str">
        <f t="shared" si="401"/>
        <v>May</v>
      </c>
      <c r="O4281">
        <f t="shared" si="402"/>
        <v>2025</v>
      </c>
    </row>
    <row r="4282" spans="1:15" x14ac:dyDescent="0.3">
      <c r="A4282">
        <v>200251</v>
      </c>
      <c r="B4282" t="s">
        <v>92</v>
      </c>
      <c r="C4282" s="2">
        <v>45807</v>
      </c>
      <c r="D4282" s="2">
        <f t="shared" si="400"/>
        <v>45837</v>
      </c>
      <c r="E4282" s="1">
        <f>D4282</f>
        <v>45837</v>
      </c>
      <c r="F4282">
        <v>403</v>
      </c>
      <c r="G4282">
        <v>30</v>
      </c>
      <c r="H4282">
        <f t="shared" si="405"/>
        <v>0</v>
      </c>
      <c r="I4282" t="str">
        <f t="shared" si="403"/>
        <v>On Time</v>
      </c>
      <c r="J4282" cm="1">
        <f t="array" ref="J4282">_xlfn.IFS(H4282&lt;30,0,H4282&lt;60,1,H4282&lt;90,2,H4282&lt;120,3)</f>
        <v>0</v>
      </c>
      <c r="M4282" t="str">
        <f t="shared" si="404"/>
        <v>Low</v>
      </c>
      <c r="N4282" t="str">
        <f t="shared" si="401"/>
        <v>May</v>
      </c>
      <c r="O4282">
        <f t="shared" si="402"/>
        <v>2025</v>
      </c>
    </row>
    <row r="4283" spans="1:15" x14ac:dyDescent="0.3">
      <c r="A4283">
        <v>200252</v>
      </c>
      <c r="B4283" t="s">
        <v>93</v>
      </c>
      <c r="C4283" s="2">
        <v>45807</v>
      </c>
      <c r="D4283" s="2">
        <f t="shared" si="400"/>
        <v>45837</v>
      </c>
      <c r="E4283" s="1">
        <f>D4283+2</f>
        <v>45839</v>
      </c>
      <c r="F4283">
        <v>2772</v>
      </c>
      <c r="G4283">
        <v>30</v>
      </c>
      <c r="H4283">
        <f t="shared" si="405"/>
        <v>0</v>
      </c>
      <c r="I4283" t="str">
        <f t="shared" si="403"/>
        <v>On Time</v>
      </c>
      <c r="J4283" cm="1">
        <f t="array" ref="J4283">_xlfn.IFS(H4283&lt;30,0,H4283&lt;60,1,H4283&lt;90,2,H4283&lt;120,3)</f>
        <v>0</v>
      </c>
      <c r="M4283" t="str">
        <f t="shared" si="404"/>
        <v>Low</v>
      </c>
      <c r="N4283" t="str">
        <f t="shared" si="401"/>
        <v>May</v>
      </c>
      <c r="O4283">
        <f t="shared" si="402"/>
        <v>2025</v>
      </c>
    </row>
    <row r="4284" spans="1:15" x14ac:dyDescent="0.3">
      <c r="A4284">
        <v>200253</v>
      </c>
      <c r="B4284" t="s">
        <v>94</v>
      </c>
      <c r="C4284" s="2">
        <v>45807</v>
      </c>
      <c r="D4284" s="2">
        <f t="shared" si="400"/>
        <v>45837</v>
      </c>
      <c r="E4284" s="1">
        <f>D4284+2</f>
        <v>45839</v>
      </c>
      <c r="F4284">
        <v>608</v>
      </c>
      <c r="G4284">
        <v>30</v>
      </c>
      <c r="H4284">
        <f t="shared" si="405"/>
        <v>0</v>
      </c>
      <c r="I4284" t="str">
        <f t="shared" si="403"/>
        <v>On Time</v>
      </c>
      <c r="J4284" cm="1">
        <f t="array" ref="J4284">_xlfn.IFS(H4284&lt;30,0,H4284&lt;60,1,H4284&lt;90,2,H4284&lt;120,3)</f>
        <v>0</v>
      </c>
      <c r="M4284" t="str">
        <f t="shared" si="404"/>
        <v>Low</v>
      </c>
      <c r="N4284" t="str">
        <f t="shared" si="401"/>
        <v>May</v>
      </c>
      <c r="O4284">
        <f t="shared" si="402"/>
        <v>2025</v>
      </c>
    </row>
    <row r="4285" spans="1:15" x14ac:dyDescent="0.3">
      <c r="A4285">
        <v>200254</v>
      </c>
      <c r="B4285" t="s">
        <v>95</v>
      </c>
      <c r="C4285" s="2">
        <v>45807</v>
      </c>
      <c r="D4285" s="2">
        <f t="shared" si="400"/>
        <v>45852</v>
      </c>
      <c r="E4285" s="1">
        <f>D4285+2</f>
        <v>45854</v>
      </c>
      <c r="F4285">
        <v>3977</v>
      </c>
      <c r="G4285">
        <v>45</v>
      </c>
      <c r="H4285">
        <f t="shared" si="405"/>
        <v>0</v>
      </c>
      <c r="I4285" t="str">
        <f t="shared" si="403"/>
        <v>On Time</v>
      </c>
      <c r="J4285" cm="1">
        <f t="array" ref="J4285">_xlfn.IFS(H4285&lt;30,0,H4285&lt;60,1,H4285&lt;90,2,H4285&lt;120,3)</f>
        <v>0</v>
      </c>
      <c r="M4285" t="str">
        <f t="shared" si="404"/>
        <v>Low</v>
      </c>
      <c r="N4285" t="str">
        <f t="shared" si="401"/>
        <v>May</v>
      </c>
      <c r="O4285">
        <f t="shared" si="402"/>
        <v>2025</v>
      </c>
    </row>
    <row r="4286" spans="1:15" x14ac:dyDescent="0.3">
      <c r="A4286">
        <v>200255</v>
      </c>
      <c r="B4286" t="s">
        <v>68</v>
      </c>
      <c r="C4286" s="2">
        <v>45807</v>
      </c>
      <c r="D4286" s="2">
        <f t="shared" si="400"/>
        <v>45837</v>
      </c>
      <c r="E4286" s="1">
        <f>D4286</f>
        <v>45837</v>
      </c>
      <c r="F4286">
        <v>4309</v>
      </c>
      <c r="G4286">
        <v>30</v>
      </c>
      <c r="H4286">
        <f t="shared" si="405"/>
        <v>0</v>
      </c>
      <c r="I4286" t="str">
        <f t="shared" si="403"/>
        <v>On Time</v>
      </c>
      <c r="J4286" cm="1">
        <f t="array" ref="J4286">_xlfn.IFS(H4286&lt;30,0,H4286&lt;60,1,H4286&lt;90,2,H4286&lt;120,3)</f>
        <v>0</v>
      </c>
      <c r="M4286" t="str">
        <f t="shared" si="404"/>
        <v>Low</v>
      </c>
      <c r="N4286" t="str">
        <f t="shared" si="401"/>
        <v>May</v>
      </c>
      <c r="O4286">
        <f t="shared" si="402"/>
        <v>2025</v>
      </c>
    </row>
    <row r="4287" spans="1:15" x14ac:dyDescent="0.3">
      <c r="A4287">
        <v>200256</v>
      </c>
      <c r="B4287" t="s">
        <v>69</v>
      </c>
      <c r="C4287" s="2">
        <v>45807</v>
      </c>
      <c r="D4287" s="2">
        <f t="shared" si="400"/>
        <v>45837</v>
      </c>
      <c r="E4287" s="1">
        <f>D4287+20</f>
        <v>45857</v>
      </c>
      <c r="F4287">
        <v>3711</v>
      </c>
      <c r="G4287">
        <v>30</v>
      </c>
      <c r="H4287">
        <f t="shared" si="405"/>
        <v>0</v>
      </c>
      <c r="I4287" t="str">
        <f t="shared" si="403"/>
        <v>On Time</v>
      </c>
      <c r="J4287" cm="1">
        <f t="array" ref="J4287">_xlfn.IFS(H4287&lt;30,0,H4287&lt;60,1,H4287&lt;90,2,H4287&lt;120,3)</f>
        <v>0</v>
      </c>
      <c r="M4287" t="str">
        <f t="shared" si="404"/>
        <v>Low</v>
      </c>
      <c r="N4287" t="str">
        <f t="shared" si="401"/>
        <v>May</v>
      </c>
      <c r="O4287">
        <f t="shared" si="402"/>
        <v>2025</v>
      </c>
    </row>
    <row r="4288" spans="1:15" x14ac:dyDescent="0.3">
      <c r="A4288">
        <v>200257</v>
      </c>
      <c r="B4288" t="s">
        <v>70</v>
      </c>
      <c r="C4288" s="2">
        <v>45807</v>
      </c>
      <c r="D4288" s="2">
        <f t="shared" si="400"/>
        <v>45837</v>
      </c>
      <c r="E4288" s="1">
        <f>D4288</f>
        <v>45837</v>
      </c>
      <c r="F4288">
        <v>768</v>
      </c>
      <c r="G4288">
        <v>30</v>
      </c>
      <c r="H4288">
        <f t="shared" si="405"/>
        <v>0</v>
      </c>
      <c r="I4288" t="str">
        <f t="shared" si="403"/>
        <v>On Time</v>
      </c>
      <c r="J4288" cm="1">
        <f t="array" ref="J4288">_xlfn.IFS(H4288&lt;30,0,H4288&lt;60,1,H4288&lt;90,2,H4288&lt;120,3)</f>
        <v>0</v>
      </c>
      <c r="M4288" t="str">
        <f t="shared" si="404"/>
        <v>Low</v>
      </c>
      <c r="N4288" t="str">
        <f t="shared" si="401"/>
        <v>May</v>
      </c>
      <c r="O4288">
        <f t="shared" si="402"/>
        <v>2025</v>
      </c>
    </row>
    <row r="4289" spans="1:15" x14ac:dyDescent="0.3">
      <c r="A4289">
        <v>200258</v>
      </c>
      <c r="B4289" t="s">
        <v>71</v>
      </c>
      <c r="C4289" s="2">
        <v>45807</v>
      </c>
      <c r="D4289" s="2">
        <f t="shared" si="400"/>
        <v>45837</v>
      </c>
      <c r="E4289" s="1">
        <f>D4289+1</f>
        <v>45838</v>
      </c>
      <c r="F4289">
        <v>2488</v>
      </c>
      <c r="G4289">
        <v>30</v>
      </c>
      <c r="H4289">
        <f t="shared" si="405"/>
        <v>0</v>
      </c>
      <c r="I4289" t="str">
        <f t="shared" si="403"/>
        <v>On Time</v>
      </c>
      <c r="J4289" cm="1">
        <f t="array" ref="J4289">_xlfn.IFS(H4289&lt;30,0,H4289&lt;60,1,H4289&lt;90,2,H4289&lt;120,3)</f>
        <v>0</v>
      </c>
      <c r="M4289" t="str">
        <f t="shared" si="404"/>
        <v>Low</v>
      </c>
      <c r="N4289" t="str">
        <f t="shared" si="401"/>
        <v>May</v>
      </c>
      <c r="O4289">
        <f t="shared" si="402"/>
        <v>2025</v>
      </c>
    </row>
    <row r="4290" spans="1:15" x14ac:dyDescent="0.3">
      <c r="A4290">
        <v>200259</v>
      </c>
      <c r="B4290" t="s">
        <v>72</v>
      </c>
      <c r="C4290" s="2">
        <v>45807</v>
      </c>
      <c r="D4290" s="2">
        <f t="shared" ref="D4290:D4353" si="406">C4290+G4290</f>
        <v>45837</v>
      </c>
      <c r="E4290" s="1">
        <f>D4290</f>
        <v>45837</v>
      </c>
      <c r="F4290">
        <v>3606</v>
      </c>
      <c r="G4290">
        <v>30</v>
      </c>
      <c r="H4290">
        <f t="shared" si="405"/>
        <v>0</v>
      </c>
      <c r="I4290" t="str">
        <f t="shared" si="403"/>
        <v>On Time</v>
      </c>
      <c r="J4290" cm="1">
        <f t="array" ref="J4290">_xlfn.IFS(H4290&lt;30,0,H4290&lt;60,1,H4290&lt;90,2,H4290&lt;120,3)</f>
        <v>0</v>
      </c>
      <c r="M4290" t="str">
        <f t="shared" si="404"/>
        <v>Low</v>
      </c>
      <c r="N4290" t="str">
        <f t="shared" ref="N4290:N4353" si="407">TEXT(C4290,"mmm")</f>
        <v>May</v>
      </c>
      <c r="O4290">
        <f t="shared" ref="O4290:O4353" si="408">YEAR(C4290)</f>
        <v>2025</v>
      </c>
    </row>
    <row r="4291" spans="1:15" x14ac:dyDescent="0.3">
      <c r="A4291">
        <v>200260</v>
      </c>
      <c r="B4291" t="s">
        <v>73</v>
      </c>
      <c r="C4291" s="2">
        <v>45807</v>
      </c>
      <c r="D4291" s="2">
        <f t="shared" si="406"/>
        <v>45852</v>
      </c>
      <c r="E4291" s="1">
        <f>D4291</f>
        <v>45852</v>
      </c>
      <c r="F4291">
        <v>2303</v>
      </c>
      <c r="G4291">
        <v>45</v>
      </c>
      <c r="H4291">
        <f t="shared" si="405"/>
        <v>0</v>
      </c>
      <c r="I4291" t="str">
        <f t="shared" si="403"/>
        <v>On Time</v>
      </c>
      <c r="J4291" cm="1">
        <f t="array" ref="J4291">_xlfn.IFS(H4291&lt;30,0,H4291&lt;60,1,H4291&lt;90,2,H4291&lt;120,3)</f>
        <v>0</v>
      </c>
      <c r="M4291" t="str">
        <f t="shared" si="404"/>
        <v>Low</v>
      </c>
      <c r="N4291" t="str">
        <f t="shared" si="407"/>
        <v>May</v>
      </c>
      <c r="O4291">
        <f t="shared" si="408"/>
        <v>2025</v>
      </c>
    </row>
    <row r="4292" spans="1:15" x14ac:dyDescent="0.3">
      <c r="A4292">
        <v>200261</v>
      </c>
      <c r="B4292" t="s">
        <v>74</v>
      </c>
      <c r="C4292" s="2">
        <v>45807</v>
      </c>
      <c r="D4292" s="2">
        <f t="shared" si="406"/>
        <v>45852</v>
      </c>
      <c r="E4292" s="1">
        <f>D4292+5</f>
        <v>45857</v>
      </c>
      <c r="F4292">
        <v>1942</v>
      </c>
      <c r="G4292">
        <v>45</v>
      </c>
      <c r="H4292">
        <f t="shared" si="405"/>
        <v>0</v>
      </c>
      <c r="I4292" t="str">
        <f t="shared" si="403"/>
        <v>On Time</v>
      </c>
      <c r="J4292" cm="1">
        <f t="array" ref="J4292">_xlfn.IFS(H4292&lt;30,0,H4292&lt;60,1,H4292&lt;90,2,H4292&lt;120,3)</f>
        <v>0</v>
      </c>
      <c r="M4292" t="str">
        <f t="shared" si="404"/>
        <v>Low</v>
      </c>
      <c r="N4292" t="str">
        <f t="shared" si="407"/>
        <v>May</v>
      </c>
      <c r="O4292">
        <f t="shared" si="408"/>
        <v>2025</v>
      </c>
    </row>
    <row r="4293" spans="1:15" x14ac:dyDescent="0.3">
      <c r="A4293">
        <v>200262</v>
      </c>
      <c r="B4293" t="s">
        <v>45</v>
      </c>
      <c r="C4293" s="2">
        <v>45807</v>
      </c>
      <c r="D4293" s="2">
        <f t="shared" si="406"/>
        <v>45852</v>
      </c>
      <c r="E4293" s="1">
        <f>D4293+2</f>
        <v>45854</v>
      </c>
      <c r="F4293">
        <v>1634</v>
      </c>
      <c r="G4293">
        <v>45</v>
      </c>
      <c r="H4293">
        <f t="shared" si="405"/>
        <v>0</v>
      </c>
      <c r="I4293" t="str">
        <f t="shared" si="403"/>
        <v>On Time</v>
      </c>
      <c r="J4293" cm="1">
        <f t="array" ref="J4293">_xlfn.IFS(H4293&lt;30,0,H4293&lt;60,1,H4293&lt;90,2,H4293&lt;120,3)</f>
        <v>0</v>
      </c>
      <c r="M4293" t="str">
        <f t="shared" si="404"/>
        <v>Low</v>
      </c>
      <c r="N4293" t="str">
        <f t="shared" si="407"/>
        <v>May</v>
      </c>
      <c r="O4293">
        <f t="shared" si="408"/>
        <v>2025</v>
      </c>
    </row>
    <row r="4294" spans="1:15" x14ac:dyDescent="0.3">
      <c r="A4294">
        <v>200227</v>
      </c>
      <c r="B4294" t="s">
        <v>34</v>
      </c>
      <c r="C4294" s="2">
        <v>45806</v>
      </c>
      <c r="D4294" s="2">
        <f t="shared" si="406"/>
        <v>45866</v>
      </c>
      <c r="E4294" s="1">
        <f>D4294</f>
        <v>45866</v>
      </c>
      <c r="F4294">
        <v>3723</v>
      </c>
      <c r="G4294">
        <v>60</v>
      </c>
      <c r="H4294">
        <f t="shared" si="405"/>
        <v>0</v>
      </c>
      <c r="I4294" t="str">
        <f t="shared" si="403"/>
        <v>On Time</v>
      </c>
      <c r="J4294" cm="1">
        <f t="array" ref="J4294">_xlfn.IFS(H4294&lt;30,0,H4294&lt;60,1,H4294&lt;90,2,H4294&lt;120,3)</f>
        <v>0</v>
      </c>
      <c r="M4294" t="str">
        <f t="shared" si="404"/>
        <v>Low</v>
      </c>
      <c r="N4294" t="str">
        <f t="shared" si="407"/>
        <v>May</v>
      </c>
      <c r="O4294">
        <f t="shared" si="408"/>
        <v>2025</v>
      </c>
    </row>
    <row r="4295" spans="1:15" x14ac:dyDescent="0.3">
      <c r="A4295">
        <v>200228</v>
      </c>
      <c r="B4295" t="s">
        <v>35</v>
      </c>
      <c r="C4295" s="2">
        <v>45806</v>
      </c>
      <c r="D4295" s="2">
        <f t="shared" si="406"/>
        <v>45851</v>
      </c>
      <c r="E4295" s="1">
        <f>D4295+5</f>
        <v>45856</v>
      </c>
      <c r="F4295">
        <v>2732</v>
      </c>
      <c r="G4295">
        <v>45</v>
      </c>
      <c r="H4295">
        <f t="shared" si="405"/>
        <v>0</v>
      </c>
      <c r="I4295" t="str">
        <f t="shared" si="403"/>
        <v>On Time</v>
      </c>
      <c r="J4295" cm="1">
        <f t="array" ref="J4295">_xlfn.IFS(H4295&lt;30,0,H4295&lt;60,1,H4295&lt;90,2,H4295&lt;120,3)</f>
        <v>0</v>
      </c>
      <c r="M4295" t="str">
        <f t="shared" si="404"/>
        <v>Low</v>
      </c>
      <c r="N4295" t="str">
        <f t="shared" si="407"/>
        <v>May</v>
      </c>
      <c r="O4295">
        <f t="shared" si="408"/>
        <v>2025</v>
      </c>
    </row>
    <row r="4296" spans="1:15" x14ac:dyDescent="0.3">
      <c r="A4296">
        <v>200229</v>
      </c>
      <c r="B4296" t="s">
        <v>36</v>
      </c>
      <c r="C4296" s="2">
        <v>45806</v>
      </c>
      <c r="D4296" s="2">
        <f t="shared" si="406"/>
        <v>45836</v>
      </c>
      <c r="E4296" s="1">
        <f>D4296+2</f>
        <v>45838</v>
      </c>
      <c r="F4296">
        <v>488</v>
      </c>
      <c r="G4296">
        <v>30</v>
      </c>
      <c r="H4296">
        <f t="shared" si="405"/>
        <v>0</v>
      </c>
      <c r="I4296" t="str">
        <f t="shared" si="403"/>
        <v>On Time</v>
      </c>
      <c r="J4296" cm="1">
        <f t="array" ref="J4296">_xlfn.IFS(H4296&lt;30,0,H4296&lt;60,1,H4296&lt;90,2,H4296&lt;120,3)</f>
        <v>0</v>
      </c>
      <c r="M4296" t="str">
        <f t="shared" si="404"/>
        <v>Low</v>
      </c>
      <c r="N4296" t="str">
        <f t="shared" si="407"/>
        <v>May</v>
      </c>
      <c r="O4296">
        <f t="shared" si="408"/>
        <v>2025</v>
      </c>
    </row>
    <row r="4297" spans="1:15" x14ac:dyDescent="0.3">
      <c r="A4297">
        <v>200230</v>
      </c>
      <c r="B4297" t="s">
        <v>64</v>
      </c>
      <c r="C4297" s="2">
        <v>45806</v>
      </c>
      <c r="D4297" s="2">
        <f t="shared" si="406"/>
        <v>45836</v>
      </c>
      <c r="E4297" s="1">
        <f>D4297+5</f>
        <v>45841</v>
      </c>
      <c r="F4297">
        <v>138</v>
      </c>
      <c r="G4297">
        <v>30</v>
      </c>
      <c r="H4297">
        <f t="shared" si="405"/>
        <v>0</v>
      </c>
      <c r="I4297" t="str">
        <f t="shared" si="403"/>
        <v>On Time</v>
      </c>
      <c r="J4297" cm="1">
        <f t="array" ref="J4297">_xlfn.IFS(H4297&lt;30,0,H4297&lt;60,1,H4297&lt;90,2,H4297&lt;120,3)</f>
        <v>0</v>
      </c>
      <c r="M4297" t="str">
        <f t="shared" si="404"/>
        <v>Low</v>
      </c>
      <c r="N4297" t="str">
        <f t="shared" si="407"/>
        <v>May</v>
      </c>
      <c r="O4297">
        <f t="shared" si="408"/>
        <v>2025</v>
      </c>
    </row>
    <row r="4298" spans="1:15" x14ac:dyDescent="0.3">
      <c r="A4298">
        <v>200231</v>
      </c>
      <c r="B4298" t="s">
        <v>45</v>
      </c>
      <c r="C4298" s="2">
        <v>45806</v>
      </c>
      <c r="D4298" s="2">
        <f t="shared" si="406"/>
        <v>45851</v>
      </c>
      <c r="E4298" s="1">
        <f>D4298</f>
        <v>45851</v>
      </c>
      <c r="F4298">
        <v>3306</v>
      </c>
      <c r="G4298">
        <v>45</v>
      </c>
      <c r="H4298">
        <f t="shared" si="405"/>
        <v>0</v>
      </c>
      <c r="I4298" t="str">
        <f t="shared" si="403"/>
        <v>On Time</v>
      </c>
      <c r="J4298" cm="1">
        <f t="array" ref="J4298">_xlfn.IFS(H4298&lt;30,0,H4298&lt;60,1,H4298&lt;90,2,H4298&lt;120,3)</f>
        <v>0</v>
      </c>
      <c r="M4298" t="str">
        <f t="shared" si="404"/>
        <v>Low</v>
      </c>
      <c r="N4298" t="str">
        <f t="shared" si="407"/>
        <v>May</v>
      </c>
      <c r="O4298">
        <f t="shared" si="408"/>
        <v>2025</v>
      </c>
    </row>
    <row r="4299" spans="1:15" x14ac:dyDescent="0.3">
      <c r="A4299">
        <v>200232</v>
      </c>
      <c r="B4299" t="s">
        <v>46</v>
      </c>
      <c r="C4299" s="2">
        <v>45806</v>
      </c>
      <c r="D4299" s="2">
        <f t="shared" si="406"/>
        <v>45866</v>
      </c>
      <c r="E4299" s="1">
        <f>D4299</f>
        <v>45866</v>
      </c>
      <c r="F4299">
        <v>2583</v>
      </c>
      <c r="G4299">
        <v>60</v>
      </c>
      <c r="H4299">
        <f t="shared" si="405"/>
        <v>0</v>
      </c>
      <c r="I4299" t="str">
        <f t="shared" si="403"/>
        <v>On Time</v>
      </c>
      <c r="J4299" cm="1">
        <f t="array" ref="J4299">_xlfn.IFS(H4299&lt;30,0,H4299&lt;60,1,H4299&lt;90,2,H4299&lt;120,3)</f>
        <v>0</v>
      </c>
      <c r="M4299" t="str">
        <f t="shared" si="404"/>
        <v>Low</v>
      </c>
      <c r="N4299" t="str">
        <f t="shared" si="407"/>
        <v>May</v>
      </c>
      <c r="O4299">
        <f t="shared" si="408"/>
        <v>2025</v>
      </c>
    </row>
    <row r="4300" spans="1:15" x14ac:dyDescent="0.3">
      <c r="A4300">
        <v>200233</v>
      </c>
      <c r="B4300" t="s">
        <v>114</v>
      </c>
      <c r="C4300" s="2">
        <v>45806</v>
      </c>
      <c r="D4300" s="2">
        <f t="shared" si="406"/>
        <v>45836</v>
      </c>
      <c r="E4300" s="1">
        <f>D4300+60</f>
        <v>45896</v>
      </c>
      <c r="F4300">
        <v>1440</v>
      </c>
      <c r="G4300">
        <v>30</v>
      </c>
      <c r="H4300">
        <f t="shared" si="405"/>
        <v>0</v>
      </c>
      <c r="I4300" t="str">
        <f t="shared" si="403"/>
        <v>On Time</v>
      </c>
      <c r="J4300" cm="1">
        <f t="array" ref="J4300">_xlfn.IFS(H4300&lt;30,0,H4300&lt;60,1,H4300&lt;90,2,H4300&lt;120,3)</f>
        <v>0</v>
      </c>
      <c r="M4300" t="str">
        <f t="shared" si="404"/>
        <v>Low</v>
      </c>
      <c r="N4300" t="str">
        <f t="shared" si="407"/>
        <v>May</v>
      </c>
      <c r="O4300">
        <f t="shared" si="408"/>
        <v>2025</v>
      </c>
    </row>
    <row r="4301" spans="1:15" x14ac:dyDescent="0.3">
      <c r="A4301">
        <v>200234</v>
      </c>
      <c r="B4301" t="s">
        <v>115</v>
      </c>
      <c r="C4301" s="2">
        <v>45806</v>
      </c>
      <c r="D4301" s="2">
        <f t="shared" si="406"/>
        <v>45836</v>
      </c>
      <c r="E4301" s="1">
        <f>D4301</f>
        <v>45836</v>
      </c>
      <c r="F4301">
        <v>2362</v>
      </c>
      <c r="G4301">
        <v>30</v>
      </c>
      <c r="H4301">
        <f t="shared" si="405"/>
        <v>0</v>
      </c>
      <c r="I4301" t="str">
        <f t="shared" si="403"/>
        <v>On Time</v>
      </c>
      <c r="J4301" cm="1">
        <f t="array" ref="J4301">_xlfn.IFS(H4301&lt;30,0,H4301&lt;60,1,H4301&lt;90,2,H4301&lt;120,3)</f>
        <v>0</v>
      </c>
      <c r="M4301" t="str">
        <f t="shared" si="404"/>
        <v>Low</v>
      </c>
      <c r="N4301" t="str">
        <f t="shared" si="407"/>
        <v>May</v>
      </c>
      <c r="O4301">
        <f t="shared" si="408"/>
        <v>2025</v>
      </c>
    </row>
    <row r="4302" spans="1:15" x14ac:dyDescent="0.3">
      <c r="A4302">
        <v>200235</v>
      </c>
      <c r="B4302" t="s">
        <v>116</v>
      </c>
      <c r="C4302" s="2">
        <v>45806</v>
      </c>
      <c r="D4302" s="2">
        <f t="shared" si="406"/>
        <v>45836</v>
      </c>
      <c r="F4302">
        <v>4394</v>
      </c>
      <c r="G4302">
        <v>30</v>
      </c>
      <c r="H4302">
        <f t="shared" si="405"/>
        <v>0</v>
      </c>
      <c r="I4302" t="str">
        <f t="shared" si="403"/>
        <v>On Time</v>
      </c>
      <c r="J4302" cm="1">
        <f t="array" ref="J4302">_xlfn.IFS(H4302&lt;30,0,H4302&lt;60,1,H4302&lt;90,2,H4302&lt;120,3)</f>
        <v>0</v>
      </c>
      <c r="M4302" t="str">
        <f t="shared" si="404"/>
        <v>Low</v>
      </c>
      <c r="N4302" t="str">
        <f t="shared" si="407"/>
        <v>May</v>
      </c>
      <c r="O4302">
        <f t="shared" si="408"/>
        <v>2025</v>
      </c>
    </row>
    <row r="4303" spans="1:15" x14ac:dyDescent="0.3">
      <c r="A4303">
        <v>200236</v>
      </c>
      <c r="B4303" t="s">
        <v>117</v>
      </c>
      <c r="C4303" s="2">
        <v>45806</v>
      </c>
      <c r="D4303" s="2">
        <f t="shared" si="406"/>
        <v>45836</v>
      </c>
      <c r="E4303" s="1">
        <f>D4303+3</f>
        <v>45839</v>
      </c>
      <c r="F4303">
        <v>348</v>
      </c>
      <c r="G4303">
        <v>30</v>
      </c>
      <c r="H4303">
        <f t="shared" si="405"/>
        <v>0</v>
      </c>
      <c r="I4303" t="str">
        <f t="shared" si="403"/>
        <v>On Time</v>
      </c>
      <c r="J4303" cm="1">
        <f t="array" ref="J4303">_xlfn.IFS(H4303&lt;30,0,H4303&lt;60,1,H4303&lt;90,2,H4303&lt;120,3)</f>
        <v>0</v>
      </c>
      <c r="M4303" t="str">
        <f t="shared" si="404"/>
        <v>Low</v>
      </c>
      <c r="N4303" t="str">
        <f t="shared" si="407"/>
        <v>May</v>
      </c>
      <c r="O4303">
        <f t="shared" si="408"/>
        <v>2025</v>
      </c>
    </row>
    <row r="4304" spans="1:15" x14ac:dyDescent="0.3">
      <c r="A4304">
        <v>200237</v>
      </c>
      <c r="B4304" t="s">
        <v>118</v>
      </c>
      <c r="C4304" s="2">
        <v>45806</v>
      </c>
      <c r="D4304" s="2">
        <f t="shared" si="406"/>
        <v>45836</v>
      </c>
      <c r="E4304" s="1">
        <f>D4304+1</f>
        <v>45837</v>
      </c>
      <c r="F4304">
        <v>3633</v>
      </c>
      <c r="G4304">
        <v>30</v>
      </c>
      <c r="H4304">
        <f t="shared" si="405"/>
        <v>0</v>
      </c>
      <c r="I4304" t="str">
        <f t="shared" si="403"/>
        <v>On Time</v>
      </c>
      <c r="J4304" cm="1">
        <f t="array" ref="J4304">_xlfn.IFS(H4304&lt;30,0,H4304&lt;60,1,H4304&lt;90,2,H4304&lt;120,3)</f>
        <v>0</v>
      </c>
      <c r="M4304" t="str">
        <f t="shared" si="404"/>
        <v>Low</v>
      </c>
      <c r="N4304" t="str">
        <f t="shared" si="407"/>
        <v>May</v>
      </c>
      <c r="O4304">
        <f t="shared" si="408"/>
        <v>2025</v>
      </c>
    </row>
    <row r="4305" spans="1:15" x14ac:dyDescent="0.3">
      <c r="A4305">
        <v>200238</v>
      </c>
      <c r="B4305" t="s">
        <v>119</v>
      </c>
      <c r="C4305" s="2">
        <v>45806</v>
      </c>
      <c r="D4305" s="2">
        <f t="shared" si="406"/>
        <v>45836</v>
      </c>
      <c r="E4305" s="1">
        <f>D4305-1</f>
        <v>45835</v>
      </c>
      <c r="F4305">
        <v>987</v>
      </c>
      <c r="G4305">
        <v>30</v>
      </c>
      <c r="H4305">
        <f t="shared" si="405"/>
        <v>0</v>
      </c>
      <c r="I4305" t="str">
        <f t="shared" si="403"/>
        <v>On Time</v>
      </c>
      <c r="J4305" cm="1">
        <f t="array" ref="J4305">_xlfn.IFS(H4305&lt;30,0,H4305&lt;60,1,H4305&lt;90,2,H4305&lt;120,3)</f>
        <v>0</v>
      </c>
      <c r="M4305" t="str">
        <f t="shared" si="404"/>
        <v>Low</v>
      </c>
      <c r="N4305" t="str">
        <f t="shared" si="407"/>
        <v>May</v>
      </c>
      <c r="O4305">
        <f t="shared" si="408"/>
        <v>2025</v>
      </c>
    </row>
    <row r="4306" spans="1:15" x14ac:dyDescent="0.3">
      <c r="A4306">
        <v>200239</v>
      </c>
      <c r="B4306" t="s">
        <v>100</v>
      </c>
      <c r="C4306" s="2">
        <v>45806</v>
      </c>
      <c r="D4306" s="2">
        <f t="shared" si="406"/>
        <v>45836</v>
      </c>
      <c r="E4306" s="1">
        <f>D4306</f>
        <v>45836</v>
      </c>
      <c r="F4306">
        <v>1432</v>
      </c>
      <c r="G4306">
        <v>30</v>
      </c>
      <c r="H4306">
        <f t="shared" si="405"/>
        <v>0</v>
      </c>
      <c r="I4306" t="str">
        <f t="shared" si="403"/>
        <v>On Time</v>
      </c>
      <c r="J4306" cm="1">
        <f t="array" ref="J4306">_xlfn.IFS(H4306&lt;30,0,H4306&lt;60,1,H4306&lt;90,2,H4306&lt;120,3)</f>
        <v>0</v>
      </c>
      <c r="M4306" t="str">
        <f t="shared" si="404"/>
        <v>Low</v>
      </c>
      <c r="N4306" t="str">
        <f t="shared" si="407"/>
        <v>May</v>
      </c>
      <c r="O4306">
        <f t="shared" si="408"/>
        <v>2025</v>
      </c>
    </row>
    <row r="4307" spans="1:15" x14ac:dyDescent="0.3">
      <c r="A4307">
        <v>200240</v>
      </c>
      <c r="B4307" t="s">
        <v>101</v>
      </c>
      <c r="C4307" s="2">
        <v>45806</v>
      </c>
      <c r="D4307" s="2">
        <f t="shared" si="406"/>
        <v>45836</v>
      </c>
      <c r="E4307" s="1">
        <f>D4307-5</f>
        <v>45831</v>
      </c>
      <c r="F4307">
        <v>1161</v>
      </c>
      <c r="G4307">
        <v>30</v>
      </c>
      <c r="H4307">
        <f t="shared" si="405"/>
        <v>0</v>
      </c>
      <c r="I4307" t="str">
        <f t="shared" si="403"/>
        <v>On Time</v>
      </c>
      <c r="J4307" cm="1">
        <f t="array" ref="J4307">_xlfn.IFS(H4307&lt;30,0,H4307&lt;60,1,H4307&lt;90,2,H4307&lt;120,3)</f>
        <v>0</v>
      </c>
      <c r="M4307" t="str">
        <f t="shared" si="404"/>
        <v>Low</v>
      </c>
      <c r="N4307" t="str">
        <f t="shared" si="407"/>
        <v>May</v>
      </c>
      <c r="O4307">
        <f t="shared" si="408"/>
        <v>2025</v>
      </c>
    </row>
    <row r="4308" spans="1:15" x14ac:dyDescent="0.3">
      <c r="A4308">
        <v>200241</v>
      </c>
      <c r="B4308" t="s">
        <v>102</v>
      </c>
      <c r="C4308" s="2">
        <v>45806</v>
      </c>
      <c r="D4308" s="2">
        <f t="shared" si="406"/>
        <v>45836</v>
      </c>
      <c r="E4308" s="1">
        <f>D4308+35</f>
        <v>45871</v>
      </c>
      <c r="F4308">
        <v>2637</v>
      </c>
      <c r="G4308">
        <v>30</v>
      </c>
      <c r="H4308">
        <f t="shared" si="405"/>
        <v>0</v>
      </c>
      <c r="I4308" t="str">
        <f t="shared" si="403"/>
        <v>On Time</v>
      </c>
      <c r="J4308" cm="1">
        <f t="array" ref="J4308">_xlfn.IFS(H4308&lt;30,0,H4308&lt;60,1,H4308&lt;90,2,H4308&lt;120,3)</f>
        <v>0</v>
      </c>
      <c r="M4308" t="str">
        <f t="shared" si="404"/>
        <v>Low</v>
      </c>
      <c r="N4308" t="str">
        <f t="shared" si="407"/>
        <v>May</v>
      </c>
      <c r="O4308">
        <f t="shared" si="408"/>
        <v>2025</v>
      </c>
    </row>
    <row r="4309" spans="1:15" x14ac:dyDescent="0.3">
      <c r="A4309">
        <v>200242</v>
      </c>
      <c r="B4309" t="s">
        <v>103</v>
      </c>
      <c r="C4309" s="2">
        <v>45806</v>
      </c>
      <c r="D4309" s="2">
        <f t="shared" si="406"/>
        <v>45836</v>
      </c>
      <c r="E4309" s="1">
        <f>D4309+75</f>
        <v>45911</v>
      </c>
      <c r="F4309">
        <v>5349</v>
      </c>
      <c r="G4309">
        <v>30</v>
      </c>
      <c r="H4309">
        <f t="shared" si="405"/>
        <v>0</v>
      </c>
      <c r="I4309" t="str">
        <f t="shared" si="403"/>
        <v>On Time</v>
      </c>
      <c r="J4309" cm="1">
        <f t="array" ref="J4309">_xlfn.IFS(H4309&lt;30,0,H4309&lt;60,1,H4309&lt;90,2,H4309&lt;120,3)</f>
        <v>0</v>
      </c>
      <c r="M4309" t="str">
        <f t="shared" si="404"/>
        <v>Low</v>
      </c>
      <c r="N4309" t="str">
        <f t="shared" si="407"/>
        <v>May</v>
      </c>
      <c r="O4309">
        <f t="shared" si="408"/>
        <v>2025</v>
      </c>
    </row>
    <row r="4310" spans="1:15" x14ac:dyDescent="0.3">
      <c r="A4310">
        <v>200243</v>
      </c>
      <c r="B4310" t="s">
        <v>104</v>
      </c>
      <c r="C4310" s="2">
        <v>45806</v>
      </c>
      <c r="D4310" s="2">
        <f t="shared" si="406"/>
        <v>45836</v>
      </c>
      <c r="E4310" s="1">
        <f>D4310+5</f>
        <v>45841</v>
      </c>
      <c r="F4310">
        <v>1667</v>
      </c>
      <c r="G4310">
        <v>30</v>
      </c>
      <c r="H4310">
        <f t="shared" si="405"/>
        <v>0</v>
      </c>
      <c r="I4310" t="str">
        <f t="shared" ref="I4310:I4373" si="409">IF(H4310=0,"On Time",IF(H4310&lt;=15,"Paid Late","Seriously Late"))</f>
        <v>On Time</v>
      </c>
      <c r="J4310" cm="1">
        <f t="array" ref="J4310">_xlfn.IFS(H4310&lt;30,0,H4310&lt;60,1,H4310&lt;90,2,H4310&lt;120,3)</f>
        <v>0</v>
      </c>
      <c r="M4310" t="str">
        <f t="shared" ref="M4310:M4373" si="410">IF(H4310&gt;30,"High",IF(H4310&gt;10,"Medium","Low"))</f>
        <v>Low</v>
      </c>
      <c r="N4310" t="str">
        <f t="shared" si="407"/>
        <v>May</v>
      </c>
      <c r="O4310">
        <f t="shared" si="408"/>
        <v>2025</v>
      </c>
    </row>
    <row r="4311" spans="1:15" x14ac:dyDescent="0.3">
      <c r="A4311">
        <v>200244</v>
      </c>
      <c r="B4311" t="s">
        <v>105</v>
      </c>
      <c r="C4311" s="2">
        <v>45806</v>
      </c>
      <c r="D4311" s="2">
        <f t="shared" si="406"/>
        <v>45836</v>
      </c>
      <c r="E4311" s="1">
        <f>D4311</f>
        <v>45836</v>
      </c>
      <c r="F4311">
        <v>2023</v>
      </c>
      <c r="G4311">
        <v>30</v>
      </c>
      <c r="H4311">
        <f t="shared" si="405"/>
        <v>0</v>
      </c>
      <c r="I4311" t="str">
        <f t="shared" si="409"/>
        <v>On Time</v>
      </c>
      <c r="J4311" cm="1">
        <f t="array" ref="J4311">_xlfn.IFS(H4311&lt;30,0,H4311&lt;60,1,H4311&lt;90,2,H4311&lt;120,3)</f>
        <v>0</v>
      </c>
      <c r="M4311" t="str">
        <f t="shared" si="410"/>
        <v>Low</v>
      </c>
      <c r="N4311" t="str">
        <f t="shared" si="407"/>
        <v>May</v>
      </c>
      <c r="O4311">
        <f t="shared" si="408"/>
        <v>2025</v>
      </c>
    </row>
    <row r="4312" spans="1:15" x14ac:dyDescent="0.3">
      <c r="A4312">
        <v>200245</v>
      </c>
      <c r="B4312" t="s">
        <v>86</v>
      </c>
      <c r="C4312" s="2">
        <v>45806</v>
      </c>
      <c r="D4312" s="2">
        <f t="shared" si="406"/>
        <v>45836</v>
      </c>
      <c r="E4312" s="1">
        <f>D4312-1</f>
        <v>45835</v>
      </c>
      <c r="F4312">
        <v>1164</v>
      </c>
      <c r="G4312">
        <v>30</v>
      </c>
      <c r="H4312">
        <f t="shared" si="405"/>
        <v>0</v>
      </c>
      <c r="I4312" t="str">
        <f t="shared" si="409"/>
        <v>On Time</v>
      </c>
      <c r="J4312" cm="1">
        <f t="array" ref="J4312">_xlfn.IFS(H4312&lt;30,0,H4312&lt;60,1,H4312&lt;90,2,H4312&lt;120,3)</f>
        <v>0</v>
      </c>
      <c r="M4312" t="str">
        <f t="shared" si="410"/>
        <v>Low</v>
      </c>
      <c r="N4312" t="str">
        <f t="shared" si="407"/>
        <v>May</v>
      </c>
      <c r="O4312">
        <f t="shared" si="408"/>
        <v>2025</v>
      </c>
    </row>
    <row r="4313" spans="1:15" x14ac:dyDescent="0.3">
      <c r="A4313">
        <v>200246</v>
      </c>
      <c r="B4313" t="s">
        <v>87</v>
      </c>
      <c r="C4313" s="2">
        <v>45806</v>
      </c>
      <c r="D4313" s="2">
        <f t="shared" si="406"/>
        <v>45836</v>
      </c>
      <c r="E4313" s="1">
        <f>D4313</f>
        <v>45836</v>
      </c>
      <c r="F4313">
        <v>4038</v>
      </c>
      <c r="G4313">
        <v>30</v>
      </c>
      <c r="H4313">
        <f t="shared" si="405"/>
        <v>0</v>
      </c>
      <c r="I4313" t="str">
        <f t="shared" si="409"/>
        <v>On Time</v>
      </c>
      <c r="J4313" cm="1">
        <f t="array" ref="J4313">_xlfn.IFS(H4313&lt;30,0,H4313&lt;60,1,H4313&lt;90,2,H4313&lt;120,3)</f>
        <v>0</v>
      </c>
      <c r="M4313" t="str">
        <f t="shared" si="410"/>
        <v>Low</v>
      </c>
      <c r="N4313" t="str">
        <f t="shared" si="407"/>
        <v>May</v>
      </c>
      <c r="O4313">
        <f t="shared" si="408"/>
        <v>2025</v>
      </c>
    </row>
    <row r="4314" spans="1:15" x14ac:dyDescent="0.3">
      <c r="A4314">
        <v>200247</v>
      </c>
      <c r="B4314" t="s">
        <v>88</v>
      </c>
      <c r="C4314" s="2">
        <v>45806</v>
      </c>
      <c r="D4314" s="2">
        <f t="shared" si="406"/>
        <v>45836</v>
      </c>
      <c r="E4314" s="1">
        <f>D4314+32</f>
        <v>45868</v>
      </c>
      <c r="F4314">
        <v>3964</v>
      </c>
      <c r="G4314">
        <v>30</v>
      </c>
      <c r="H4314">
        <f t="shared" si="405"/>
        <v>0</v>
      </c>
      <c r="I4314" t="str">
        <f t="shared" si="409"/>
        <v>On Time</v>
      </c>
      <c r="J4314" cm="1">
        <f t="array" ref="J4314">_xlfn.IFS(H4314&lt;30,0,H4314&lt;60,1,H4314&lt;90,2,H4314&lt;120,3)</f>
        <v>0</v>
      </c>
      <c r="M4314" t="str">
        <f t="shared" si="410"/>
        <v>Low</v>
      </c>
      <c r="N4314" t="str">
        <f t="shared" si="407"/>
        <v>May</v>
      </c>
      <c r="O4314">
        <f t="shared" si="408"/>
        <v>2025</v>
      </c>
    </row>
    <row r="4315" spans="1:15" x14ac:dyDescent="0.3">
      <c r="A4315">
        <v>200201</v>
      </c>
      <c r="B4315" t="s">
        <v>35</v>
      </c>
      <c r="C4315" s="2">
        <v>45805</v>
      </c>
      <c r="D4315" s="2">
        <f t="shared" si="406"/>
        <v>45850</v>
      </c>
      <c r="E4315" s="1">
        <f>D4315</f>
        <v>45850</v>
      </c>
      <c r="F4315">
        <v>432</v>
      </c>
      <c r="G4315">
        <v>45</v>
      </c>
      <c r="H4315">
        <f t="shared" si="405"/>
        <v>0</v>
      </c>
      <c r="I4315" t="str">
        <f t="shared" si="409"/>
        <v>On Time</v>
      </c>
      <c r="J4315" cm="1">
        <f t="array" ref="J4315">_xlfn.IFS(H4315&lt;30,0,H4315&lt;60,1,H4315&lt;90,2,H4315&lt;120,3)</f>
        <v>0</v>
      </c>
      <c r="M4315" t="str">
        <f t="shared" si="410"/>
        <v>Low</v>
      </c>
      <c r="N4315" t="str">
        <f t="shared" si="407"/>
        <v>May</v>
      </c>
      <c r="O4315">
        <f t="shared" si="408"/>
        <v>2025</v>
      </c>
    </row>
    <row r="4316" spans="1:15" x14ac:dyDescent="0.3">
      <c r="A4316">
        <v>200202</v>
      </c>
      <c r="B4316" t="s">
        <v>36</v>
      </c>
      <c r="C4316" s="2">
        <v>45805</v>
      </c>
      <c r="D4316" s="2">
        <f t="shared" si="406"/>
        <v>45835</v>
      </c>
      <c r="E4316" s="1">
        <f>D4316</f>
        <v>45835</v>
      </c>
      <c r="F4316">
        <v>4602</v>
      </c>
      <c r="G4316">
        <v>30</v>
      </c>
      <c r="H4316">
        <f t="shared" si="405"/>
        <v>0</v>
      </c>
      <c r="I4316" t="str">
        <f t="shared" si="409"/>
        <v>On Time</v>
      </c>
      <c r="J4316" cm="1">
        <f t="array" ref="J4316">_xlfn.IFS(H4316&lt;30,0,H4316&lt;60,1,H4316&lt;90,2,H4316&lt;120,3)</f>
        <v>0</v>
      </c>
      <c r="M4316" t="str">
        <f t="shared" si="410"/>
        <v>Low</v>
      </c>
      <c r="N4316" t="str">
        <f t="shared" si="407"/>
        <v>May</v>
      </c>
      <c r="O4316">
        <f t="shared" si="408"/>
        <v>2025</v>
      </c>
    </row>
    <row r="4317" spans="1:15" x14ac:dyDescent="0.3">
      <c r="A4317">
        <v>200203</v>
      </c>
      <c r="B4317" t="s">
        <v>64</v>
      </c>
      <c r="C4317" s="2">
        <v>45805</v>
      </c>
      <c r="D4317" s="2">
        <f t="shared" si="406"/>
        <v>45835</v>
      </c>
      <c r="E4317" s="1">
        <f>D4317+3</f>
        <v>45838</v>
      </c>
      <c r="F4317">
        <v>329</v>
      </c>
      <c r="G4317">
        <v>30</v>
      </c>
      <c r="H4317">
        <f t="shared" si="405"/>
        <v>0</v>
      </c>
      <c r="I4317" t="str">
        <f t="shared" si="409"/>
        <v>On Time</v>
      </c>
      <c r="J4317" cm="1">
        <f t="array" ref="J4317">_xlfn.IFS(H4317&lt;30,0,H4317&lt;60,1,H4317&lt;90,2,H4317&lt;120,3)</f>
        <v>0</v>
      </c>
      <c r="M4317" t="str">
        <f t="shared" si="410"/>
        <v>Low</v>
      </c>
      <c r="N4317" t="str">
        <f t="shared" si="407"/>
        <v>May</v>
      </c>
      <c r="O4317">
        <f t="shared" si="408"/>
        <v>2025</v>
      </c>
    </row>
    <row r="4318" spans="1:15" x14ac:dyDescent="0.3">
      <c r="A4318">
        <v>200204</v>
      </c>
      <c r="B4318" t="s">
        <v>65</v>
      </c>
      <c r="C4318" s="2">
        <v>45805</v>
      </c>
      <c r="D4318" s="2">
        <f t="shared" si="406"/>
        <v>45850</v>
      </c>
      <c r="E4318" s="1">
        <f>D4318+1</f>
        <v>45851</v>
      </c>
      <c r="F4318">
        <v>1102</v>
      </c>
      <c r="G4318">
        <v>45</v>
      </c>
      <c r="H4318">
        <f t="shared" si="405"/>
        <v>0</v>
      </c>
      <c r="I4318" t="str">
        <f t="shared" si="409"/>
        <v>On Time</v>
      </c>
      <c r="J4318" cm="1">
        <f t="array" ref="J4318">_xlfn.IFS(H4318&lt;30,0,H4318&lt;60,1,H4318&lt;90,2,H4318&lt;120,3)</f>
        <v>0</v>
      </c>
      <c r="M4318" t="str">
        <f t="shared" si="410"/>
        <v>Low</v>
      </c>
      <c r="N4318" t="str">
        <f t="shared" si="407"/>
        <v>May</v>
      </c>
      <c r="O4318">
        <f t="shared" si="408"/>
        <v>2025</v>
      </c>
    </row>
    <row r="4319" spans="1:15" x14ac:dyDescent="0.3">
      <c r="A4319">
        <v>200205</v>
      </c>
      <c r="B4319" t="s">
        <v>66</v>
      </c>
      <c r="C4319" s="2">
        <v>45805</v>
      </c>
      <c r="D4319" s="2">
        <f t="shared" si="406"/>
        <v>45865</v>
      </c>
      <c r="E4319" s="1">
        <f>D4319-1</f>
        <v>45864</v>
      </c>
      <c r="F4319">
        <v>2304</v>
      </c>
      <c r="G4319">
        <v>60</v>
      </c>
      <c r="H4319">
        <f t="shared" si="405"/>
        <v>0</v>
      </c>
      <c r="I4319" t="str">
        <f t="shared" si="409"/>
        <v>On Time</v>
      </c>
      <c r="J4319" cm="1">
        <f t="array" ref="J4319">_xlfn.IFS(H4319&lt;30,0,H4319&lt;60,1,H4319&lt;90,2,H4319&lt;120,3)</f>
        <v>0</v>
      </c>
      <c r="M4319" t="str">
        <f t="shared" si="410"/>
        <v>Low</v>
      </c>
      <c r="N4319" t="str">
        <f t="shared" si="407"/>
        <v>May</v>
      </c>
      <c r="O4319">
        <f t="shared" si="408"/>
        <v>2025</v>
      </c>
    </row>
    <row r="4320" spans="1:15" x14ac:dyDescent="0.3">
      <c r="A4320">
        <v>200206</v>
      </c>
      <c r="B4320" t="s">
        <v>67</v>
      </c>
      <c r="C4320" s="2">
        <v>45805</v>
      </c>
      <c r="D4320" s="2">
        <f t="shared" si="406"/>
        <v>45835</v>
      </c>
      <c r="E4320" s="1">
        <f>D4320</f>
        <v>45835</v>
      </c>
      <c r="F4320">
        <v>4782</v>
      </c>
      <c r="G4320">
        <v>30</v>
      </c>
      <c r="H4320">
        <f t="shared" si="405"/>
        <v>0</v>
      </c>
      <c r="I4320" t="str">
        <f t="shared" si="409"/>
        <v>On Time</v>
      </c>
      <c r="J4320" cm="1">
        <f t="array" ref="J4320">_xlfn.IFS(H4320&lt;30,0,H4320&lt;60,1,H4320&lt;90,2,H4320&lt;120,3)</f>
        <v>0</v>
      </c>
      <c r="M4320" t="str">
        <f t="shared" si="410"/>
        <v>Low</v>
      </c>
      <c r="N4320" t="str">
        <f t="shared" si="407"/>
        <v>May</v>
      </c>
      <c r="O4320">
        <f t="shared" si="408"/>
        <v>2025</v>
      </c>
    </row>
    <row r="4321" spans="1:15" x14ac:dyDescent="0.3">
      <c r="A4321">
        <v>200207</v>
      </c>
      <c r="B4321" t="s">
        <v>68</v>
      </c>
      <c r="C4321" s="2">
        <v>45805</v>
      </c>
      <c r="D4321" s="2">
        <f t="shared" si="406"/>
        <v>45835</v>
      </c>
      <c r="E4321" s="1">
        <f>D4321+1</f>
        <v>45836</v>
      </c>
      <c r="F4321">
        <v>4939</v>
      </c>
      <c r="G4321">
        <v>30</v>
      </c>
      <c r="H4321">
        <f t="shared" si="405"/>
        <v>0</v>
      </c>
      <c r="I4321" t="str">
        <f t="shared" si="409"/>
        <v>On Time</v>
      </c>
      <c r="J4321" cm="1">
        <f t="array" ref="J4321">_xlfn.IFS(H4321&lt;30,0,H4321&lt;60,1,H4321&lt;90,2,H4321&lt;120,3)</f>
        <v>0</v>
      </c>
      <c r="M4321" t="str">
        <f t="shared" si="410"/>
        <v>Low</v>
      </c>
      <c r="N4321" t="str">
        <f t="shared" si="407"/>
        <v>May</v>
      </c>
      <c r="O4321">
        <f t="shared" si="408"/>
        <v>2025</v>
      </c>
    </row>
    <row r="4322" spans="1:15" x14ac:dyDescent="0.3">
      <c r="A4322">
        <v>200208</v>
      </c>
      <c r="B4322" t="s">
        <v>69</v>
      </c>
      <c r="C4322" s="2">
        <v>45805</v>
      </c>
      <c r="D4322" s="2">
        <f t="shared" si="406"/>
        <v>45835</v>
      </c>
      <c r="E4322" s="1">
        <f>D4322+35</f>
        <v>45870</v>
      </c>
      <c r="F4322">
        <v>15221</v>
      </c>
      <c r="G4322">
        <v>30</v>
      </c>
      <c r="H4322">
        <f t="shared" si="405"/>
        <v>0</v>
      </c>
      <c r="I4322" t="str">
        <f t="shared" si="409"/>
        <v>On Time</v>
      </c>
      <c r="J4322" cm="1">
        <f t="array" ref="J4322">_xlfn.IFS(H4322&lt;30,0,H4322&lt;60,1,H4322&lt;90,2,H4322&lt;120,3)</f>
        <v>0</v>
      </c>
      <c r="M4322" t="str">
        <f t="shared" si="410"/>
        <v>Low</v>
      </c>
      <c r="N4322" t="str">
        <f t="shared" si="407"/>
        <v>May</v>
      </c>
      <c r="O4322">
        <f t="shared" si="408"/>
        <v>2025</v>
      </c>
    </row>
    <row r="4323" spans="1:15" x14ac:dyDescent="0.3">
      <c r="A4323">
        <v>200209</v>
      </c>
      <c r="B4323" t="s">
        <v>70</v>
      </c>
      <c r="C4323" s="2">
        <v>45805</v>
      </c>
      <c r="D4323" s="2">
        <f t="shared" si="406"/>
        <v>45835</v>
      </c>
      <c r="E4323" s="1">
        <f>D4323+75</f>
        <v>45910</v>
      </c>
      <c r="F4323">
        <v>4088</v>
      </c>
      <c r="G4323">
        <v>30</v>
      </c>
      <c r="H4323">
        <f t="shared" si="405"/>
        <v>0</v>
      </c>
      <c r="I4323" t="str">
        <f t="shared" si="409"/>
        <v>On Time</v>
      </c>
      <c r="J4323" cm="1">
        <f t="array" ref="J4323">_xlfn.IFS(H4323&lt;30,0,H4323&lt;60,1,H4323&lt;90,2,H4323&lt;120,3)</f>
        <v>0</v>
      </c>
      <c r="M4323" t="str">
        <f t="shared" si="410"/>
        <v>Low</v>
      </c>
      <c r="N4323" t="str">
        <f t="shared" si="407"/>
        <v>May</v>
      </c>
      <c r="O4323">
        <f t="shared" si="408"/>
        <v>2025</v>
      </c>
    </row>
    <row r="4324" spans="1:15" x14ac:dyDescent="0.3">
      <c r="A4324">
        <v>200210</v>
      </c>
      <c r="B4324" t="s">
        <v>71</v>
      </c>
      <c r="C4324" s="2">
        <v>45805</v>
      </c>
      <c r="D4324" s="2">
        <f t="shared" si="406"/>
        <v>45835</v>
      </c>
      <c r="E4324" s="1">
        <f>D4324+5</f>
        <v>45840</v>
      </c>
      <c r="F4324">
        <v>1720</v>
      </c>
      <c r="G4324">
        <v>30</v>
      </c>
      <c r="H4324">
        <f t="shared" si="405"/>
        <v>0</v>
      </c>
      <c r="I4324" t="str">
        <f t="shared" si="409"/>
        <v>On Time</v>
      </c>
      <c r="J4324" cm="1">
        <f t="array" ref="J4324">_xlfn.IFS(H4324&lt;30,0,H4324&lt;60,1,H4324&lt;90,2,H4324&lt;120,3)</f>
        <v>0</v>
      </c>
      <c r="M4324" t="str">
        <f t="shared" si="410"/>
        <v>Low</v>
      </c>
      <c r="N4324" t="str">
        <f t="shared" si="407"/>
        <v>May</v>
      </c>
      <c r="O4324">
        <f t="shared" si="408"/>
        <v>2025</v>
      </c>
    </row>
    <row r="4325" spans="1:15" x14ac:dyDescent="0.3">
      <c r="A4325">
        <v>200211</v>
      </c>
      <c r="B4325" t="s">
        <v>72</v>
      </c>
      <c r="C4325" s="2">
        <v>45805</v>
      </c>
      <c r="D4325" s="2">
        <f t="shared" si="406"/>
        <v>45835</v>
      </c>
      <c r="E4325" s="1">
        <f>D4325</f>
        <v>45835</v>
      </c>
      <c r="F4325">
        <v>3035</v>
      </c>
      <c r="G4325">
        <v>30</v>
      </c>
      <c r="H4325">
        <f t="shared" si="405"/>
        <v>0</v>
      </c>
      <c r="I4325" t="str">
        <f t="shared" si="409"/>
        <v>On Time</v>
      </c>
      <c r="J4325" cm="1">
        <f t="array" ref="J4325">_xlfn.IFS(H4325&lt;30,0,H4325&lt;60,1,H4325&lt;90,2,H4325&lt;120,3)</f>
        <v>0</v>
      </c>
      <c r="M4325" t="str">
        <f t="shared" si="410"/>
        <v>Low</v>
      </c>
      <c r="N4325" t="str">
        <f t="shared" si="407"/>
        <v>May</v>
      </c>
      <c r="O4325">
        <f t="shared" si="408"/>
        <v>2025</v>
      </c>
    </row>
    <row r="4326" spans="1:15" x14ac:dyDescent="0.3">
      <c r="A4326">
        <v>200212</v>
      </c>
      <c r="B4326" t="s">
        <v>73</v>
      </c>
      <c r="C4326" s="2">
        <v>45805</v>
      </c>
      <c r="D4326" s="2">
        <f t="shared" si="406"/>
        <v>45850</v>
      </c>
      <c r="E4326" s="1">
        <f>D4326-1</f>
        <v>45849</v>
      </c>
      <c r="F4326">
        <v>12939</v>
      </c>
      <c r="G4326">
        <v>45</v>
      </c>
      <c r="H4326">
        <f t="shared" ref="H4326:H4389" si="411">MAX(0,P4291-D4326)</f>
        <v>0</v>
      </c>
      <c r="I4326" t="str">
        <f t="shared" si="409"/>
        <v>On Time</v>
      </c>
      <c r="J4326" cm="1">
        <f t="array" ref="J4326">_xlfn.IFS(H4326&lt;30,0,H4326&lt;60,1,H4326&lt;90,2,H4326&lt;120,3)</f>
        <v>0</v>
      </c>
      <c r="M4326" t="str">
        <f t="shared" si="410"/>
        <v>Low</v>
      </c>
      <c r="N4326" t="str">
        <f t="shared" si="407"/>
        <v>May</v>
      </c>
      <c r="O4326">
        <f t="shared" si="408"/>
        <v>2025</v>
      </c>
    </row>
    <row r="4327" spans="1:15" x14ac:dyDescent="0.3">
      <c r="A4327">
        <v>200213</v>
      </c>
      <c r="B4327" t="s">
        <v>101</v>
      </c>
      <c r="C4327" s="2">
        <v>45805</v>
      </c>
      <c r="D4327" s="2">
        <f t="shared" si="406"/>
        <v>45835</v>
      </c>
      <c r="E4327" s="1">
        <f>D4327</f>
        <v>45835</v>
      </c>
      <c r="F4327">
        <v>2618</v>
      </c>
      <c r="G4327">
        <v>30</v>
      </c>
      <c r="H4327">
        <f t="shared" si="411"/>
        <v>0</v>
      </c>
      <c r="I4327" t="str">
        <f t="shared" si="409"/>
        <v>On Time</v>
      </c>
      <c r="J4327" cm="1">
        <f t="array" ref="J4327">_xlfn.IFS(H4327&lt;30,0,H4327&lt;60,1,H4327&lt;90,2,H4327&lt;120,3)</f>
        <v>0</v>
      </c>
      <c r="M4327" t="str">
        <f t="shared" si="410"/>
        <v>Low</v>
      </c>
      <c r="N4327" t="str">
        <f t="shared" si="407"/>
        <v>May</v>
      </c>
      <c r="O4327">
        <f t="shared" si="408"/>
        <v>2025</v>
      </c>
    </row>
    <row r="4328" spans="1:15" x14ac:dyDescent="0.3">
      <c r="A4328">
        <v>200214</v>
      </c>
      <c r="B4328" t="s">
        <v>102</v>
      </c>
      <c r="C4328" s="2">
        <v>45805</v>
      </c>
      <c r="D4328" s="2">
        <f t="shared" si="406"/>
        <v>45835</v>
      </c>
      <c r="E4328" s="1">
        <f>D4328+32</f>
        <v>45867</v>
      </c>
      <c r="F4328">
        <v>4233</v>
      </c>
      <c r="G4328">
        <v>30</v>
      </c>
      <c r="H4328">
        <f t="shared" si="411"/>
        <v>0</v>
      </c>
      <c r="I4328" t="str">
        <f t="shared" si="409"/>
        <v>On Time</v>
      </c>
      <c r="J4328" cm="1">
        <f t="array" ref="J4328">_xlfn.IFS(H4328&lt;30,0,H4328&lt;60,1,H4328&lt;90,2,H4328&lt;120,3)</f>
        <v>0</v>
      </c>
      <c r="M4328" t="str">
        <f t="shared" si="410"/>
        <v>Low</v>
      </c>
      <c r="N4328" t="str">
        <f t="shared" si="407"/>
        <v>May</v>
      </c>
      <c r="O4328">
        <f t="shared" si="408"/>
        <v>2025</v>
      </c>
    </row>
    <row r="4329" spans="1:15" x14ac:dyDescent="0.3">
      <c r="A4329">
        <v>200215</v>
      </c>
      <c r="B4329" t="s">
        <v>103</v>
      </c>
      <c r="C4329" s="2">
        <v>45805</v>
      </c>
      <c r="D4329" s="2">
        <f t="shared" si="406"/>
        <v>45835</v>
      </c>
      <c r="E4329" s="1">
        <f>D4329+15</f>
        <v>45850</v>
      </c>
      <c r="F4329">
        <v>2803</v>
      </c>
      <c r="G4329">
        <v>30</v>
      </c>
      <c r="H4329">
        <f t="shared" si="411"/>
        <v>0</v>
      </c>
      <c r="I4329" t="str">
        <f t="shared" si="409"/>
        <v>On Time</v>
      </c>
      <c r="J4329" cm="1">
        <f t="array" ref="J4329">_xlfn.IFS(H4329&lt;30,0,H4329&lt;60,1,H4329&lt;90,2,H4329&lt;120,3)</f>
        <v>0</v>
      </c>
      <c r="M4329" t="str">
        <f t="shared" si="410"/>
        <v>Low</v>
      </c>
      <c r="N4329" t="str">
        <f t="shared" si="407"/>
        <v>May</v>
      </c>
      <c r="O4329">
        <f t="shared" si="408"/>
        <v>2025</v>
      </c>
    </row>
    <row r="4330" spans="1:15" x14ac:dyDescent="0.3">
      <c r="A4330">
        <v>200216</v>
      </c>
      <c r="B4330" t="s">
        <v>104</v>
      </c>
      <c r="C4330" s="2">
        <v>45805</v>
      </c>
      <c r="D4330" s="2">
        <f t="shared" si="406"/>
        <v>45835</v>
      </c>
      <c r="E4330" s="1">
        <f>D4330-2</f>
        <v>45833</v>
      </c>
      <c r="F4330">
        <v>1823</v>
      </c>
      <c r="G4330">
        <v>30</v>
      </c>
      <c r="H4330">
        <f t="shared" si="411"/>
        <v>0</v>
      </c>
      <c r="I4330" t="str">
        <f t="shared" si="409"/>
        <v>On Time</v>
      </c>
      <c r="J4330" cm="1">
        <f t="array" ref="J4330">_xlfn.IFS(H4330&lt;30,0,H4330&lt;60,1,H4330&lt;90,2,H4330&lt;120,3)</f>
        <v>0</v>
      </c>
      <c r="M4330" t="str">
        <f t="shared" si="410"/>
        <v>Low</v>
      </c>
      <c r="N4330" t="str">
        <f t="shared" si="407"/>
        <v>May</v>
      </c>
      <c r="O4330">
        <f t="shared" si="408"/>
        <v>2025</v>
      </c>
    </row>
    <row r="4331" spans="1:15" x14ac:dyDescent="0.3">
      <c r="A4331">
        <v>200217</v>
      </c>
      <c r="B4331" t="s">
        <v>105</v>
      </c>
      <c r="C4331" s="2">
        <v>45805</v>
      </c>
      <c r="D4331" s="2">
        <f t="shared" si="406"/>
        <v>45835</v>
      </c>
      <c r="E4331" s="1">
        <f>D4331-2</f>
        <v>45833</v>
      </c>
      <c r="F4331">
        <v>1056</v>
      </c>
      <c r="G4331">
        <v>30</v>
      </c>
      <c r="H4331">
        <f t="shared" si="411"/>
        <v>0</v>
      </c>
      <c r="I4331" t="str">
        <f t="shared" si="409"/>
        <v>On Time</v>
      </c>
      <c r="J4331" cm="1">
        <f t="array" ref="J4331">_xlfn.IFS(H4331&lt;30,0,H4331&lt;60,1,H4331&lt;90,2,H4331&lt;120,3)</f>
        <v>0</v>
      </c>
      <c r="M4331" t="str">
        <f t="shared" si="410"/>
        <v>Low</v>
      </c>
      <c r="N4331" t="str">
        <f t="shared" si="407"/>
        <v>May</v>
      </c>
      <c r="O4331">
        <f t="shared" si="408"/>
        <v>2025</v>
      </c>
    </row>
    <row r="4332" spans="1:15" x14ac:dyDescent="0.3">
      <c r="A4332">
        <v>200218</v>
      </c>
      <c r="B4332" t="s">
        <v>114</v>
      </c>
      <c r="C4332" s="2">
        <v>45805</v>
      </c>
      <c r="D4332" s="2">
        <f t="shared" si="406"/>
        <v>45835</v>
      </c>
      <c r="E4332" s="1">
        <f>D4332</f>
        <v>45835</v>
      </c>
      <c r="F4332">
        <v>3109</v>
      </c>
      <c r="G4332">
        <v>30</v>
      </c>
      <c r="H4332">
        <f t="shared" si="411"/>
        <v>0</v>
      </c>
      <c r="I4332" t="str">
        <f t="shared" si="409"/>
        <v>On Time</v>
      </c>
      <c r="J4332" cm="1">
        <f t="array" ref="J4332">_xlfn.IFS(H4332&lt;30,0,H4332&lt;60,1,H4332&lt;90,2,H4332&lt;120,3)</f>
        <v>0</v>
      </c>
      <c r="M4332" t="str">
        <f t="shared" si="410"/>
        <v>Low</v>
      </c>
      <c r="N4332" t="str">
        <f t="shared" si="407"/>
        <v>May</v>
      </c>
      <c r="O4332">
        <f t="shared" si="408"/>
        <v>2025</v>
      </c>
    </row>
    <row r="4333" spans="1:15" x14ac:dyDescent="0.3">
      <c r="A4333">
        <v>200219</v>
      </c>
      <c r="B4333" t="s">
        <v>115</v>
      </c>
      <c r="C4333" s="2">
        <v>45805</v>
      </c>
      <c r="D4333" s="2">
        <f t="shared" si="406"/>
        <v>45835</v>
      </c>
      <c r="E4333" s="1">
        <f>D4333+2</f>
        <v>45837</v>
      </c>
      <c r="F4333">
        <v>1181</v>
      </c>
      <c r="G4333">
        <v>30</v>
      </c>
      <c r="H4333">
        <f t="shared" si="411"/>
        <v>0</v>
      </c>
      <c r="I4333" t="str">
        <f t="shared" si="409"/>
        <v>On Time</v>
      </c>
      <c r="J4333" cm="1">
        <f t="array" ref="J4333">_xlfn.IFS(H4333&lt;30,0,H4333&lt;60,1,H4333&lt;90,2,H4333&lt;120,3)</f>
        <v>0</v>
      </c>
      <c r="M4333" t="str">
        <f t="shared" si="410"/>
        <v>Low</v>
      </c>
      <c r="N4333" t="str">
        <f t="shared" si="407"/>
        <v>May</v>
      </c>
      <c r="O4333">
        <f t="shared" si="408"/>
        <v>2025</v>
      </c>
    </row>
    <row r="4334" spans="1:15" x14ac:dyDescent="0.3">
      <c r="A4334">
        <v>200220</v>
      </c>
      <c r="B4334" t="s">
        <v>116</v>
      </c>
      <c r="C4334" s="2">
        <v>45805</v>
      </c>
      <c r="D4334" s="2">
        <f t="shared" si="406"/>
        <v>45835</v>
      </c>
      <c r="E4334" s="1">
        <f>D4334+2</f>
        <v>45837</v>
      </c>
      <c r="F4334">
        <v>4804</v>
      </c>
      <c r="G4334">
        <v>30</v>
      </c>
      <c r="H4334">
        <f t="shared" si="411"/>
        <v>0</v>
      </c>
      <c r="I4334" t="str">
        <f t="shared" si="409"/>
        <v>On Time</v>
      </c>
      <c r="J4334" cm="1">
        <f t="array" ref="J4334">_xlfn.IFS(H4334&lt;30,0,H4334&lt;60,1,H4334&lt;90,2,H4334&lt;120,3)</f>
        <v>0</v>
      </c>
      <c r="M4334" t="str">
        <f t="shared" si="410"/>
        <v>Low</v>
      </c>
      <c r="N4334" t="str">
        <f t="shared" si="407"/>
        <v>May</v>
      </c>
      <c r="O4334">
        <f t="shared" si="408"/>
        <v>2025</v>
      </c>
    </row>
    <row r="4335" spans="1:15" x14ac:dyDescent="0.3">
      <c r="A4335">
        <v>200221</v>
      </c>
      <c r="B4335" t="s">
        <v>117</v>
      </c>
      <c r="C4335" s="2">
        <v>45805</v>
      </c>
      <c r="D4335" s="2">
        <f t="shared" si="406"/>
        <v>45835</v>
      </c>
      <c r="E4335" s="1">
        <f>D4335+2</f>
        <v>45837</v>
      </c>
      <c r="F4335">
        <v>1997</v>
      </c>
      <c r="G4335">
        <v>30</v>
      </c>
      <c r="H4335">
        <f t="shared" si="411"/>
        <v>0</v>
      </c>
      <c r="I4335" t="str">
        <f t="shared" si="409"/>
        <v>On Time</v>
      </c>
      <c r="J4335" cm="1">
        <f t="array" ref="J4335">_xlfn.IFS(H4335&lt;30,0,H4335&lt;60,1,H4335&lt;90,2,H4335&lt;120,3)</f>
        <v>0</v>
      </c>
      <c r="M4335" t="str">
        <f t="shared" si="410"/>
        <v>Low</v>
      </c>
      <c r="N4335" t="str">
        <f t="shared" si="407"/>
        <v>May</v>
      </c>
      <c r="O4335">
        <f t="shared" si="408"/>
        <v>2025</v>
      </c>
    </row>
    <row r="4336" spans="1:15" x14ac:dyDescent="0.3">
      <c r="A4336">
        <v>200222</v>
      </c>
      <c r="B4336" t="s">
        <v>118</v>
      </c>
      <c r="C4336" s="2">
        <v>45805</v>
      </c>
      <c r="D4336" s="2">
        <f t="shared" si="406"/>
        <v>45835</v>
      </c>
      <c r="E4336" s="1">
        <f>D4336</f>
        <v>45835</v>
      </c>
      <c r="F4336">
        <v>7536</v>
      </c>
      <c r="G4336">
        <v>30</v>
      </c>
      <c r="H4336">
        <f t="shared" si="411"/>
        <v>0</v>
      </c>
      <c r="I4336" t="str">
        <f t="shared" si="409"/>
        <v>On Time</v>
      </c>
      <c r="J4336" cm="1">
        <f t="array" ref="J4336">_xlfn.IFS(H4336&lt;30,0,H4336&lt;60,1,H4336&lt;90,2,H4336&lt;120,3)</f>
        <v>0</v>
      </c>
      <c r="M4336" t="str">
        <f t="shared" si="410"/>
        <v>Low</v>
      </c>
      <c r="N4336" t="str">
        <f t="shared" si="407"/>
        <v>May</v>
      </c>
      <c r="O4336">
        <f t="shared" si="408"/>
        <v>2025</v>
      </c>
    </row>
    <row r="4337" spans="1:15" x14ac:dyDescent="0.3">
      <c r="A4337">
        <v>200223</v>
      </c>
      <c r="B4337" t="s">
        <v>119</v>
      </c>
      <c r="C4337" s="2">
        <v>45805</v>
      </c>
      <c r="D4337" s="2">
        <f t="shared" si="406"/>
        <v>45835</v>
      </c>
      <c r="E4337" s="1">
        <f>D4337+20</f>
        <v>45855</v>
      </c>
      <c r="F4337">
        <v>820</v>
      </c>
      <c r="G4337">
        <v>30</v>
      </c>
      <c r="H4337">
        <f t="shared" si="411"/>
        <v>0</v>
      </c>
      <c r="I4337" t="str">
        <f t="shared" si="409"/>
        <v>On Time</v>
      </c>
      <c r="J4337" cm="1">
        <f t="array" ref="J4337">_xlfn.IFS(H4337&lt;30,0,H4337&lt;60,1,H4337&lt;90,2,H4337&lt;120,3)</f>
        <v>0</v>
      </c>
      <c r="M4337" t="str">
        <f t="shared" si="410"/>
        <v>Low</v>
      </c>
      <c r="N4337" t="str">
        <f t="shared" si="407"/>
        <v>May</v>
      </c>
      <c r="O4337">
        <f t="shared" si="408"/>
        <v>2025</v>
      </c>
    </row>
    <row r="4338" spans="1:15" x14ac:dyDescent="0.3">
      <c r="A4338">
        <v>200224</v>
      </c>
      <c r="B4338" t="s">
        <v>31</v>
      </c>
      <c r="C4338" s="2">
        <v>45805</v>
      </c>
      <c r="D4338" s="2">
        <f t="shared" si="406"/>
        <v>45850</v>
      </c>
      <c r="E4338" s="1">
        <f>D4338</f>
        <v>45850</v>
      </c>
      <c r="F4338">
        <v>3214</v>
      </c>
      <c r="G4338">
        <v>45</v>
      </c>
      <c r="H4338">
        <f t="shared" si="411"/>
        <v>0</v>
      </c>
      <c r="I4338" t="str">
        <f t="shared" si="409"/>
        <v>On Time</v>
      </c>
      <c r="J4338" cm="1">
        <f t="array" ref="J4338">_xlfn.IFS(H4338&lt;30,0,H4338&lt;60,1,H4338&lt;90,2,H4338&lt;120,3)</f>
        <v>0</v>
      </c>
      <c r="M4338" t="str">
        <f t="shared" si="410"/>
        <v>Low</v>
      </c>
      <c r="N4338" t="str">
        <f t="shared" si="407"/>
        <v>May</v>
      </c>
      <c r="O4338">
        <f t="shared" si="408"/>
        <v>2025</v>
      </c>
    </row>
    <row r="4339" spans="1:15" x14ac:dyDescent="0.3">
      <c r="A4339">
        <v>200225</v>
      </c>
      <c r="B4339" t="s">
        <v>32</v>
      </c>
      <c r="C4339" s="2">
        <v>45805</v>
      </c>
      <c r="D4339" s="2">
        <f t="shared" si="406"/>
        <v>45850</v>
      </c>
      <c r="E4339" s="1">
        <f>D4339+1</f>
        <v>45851</v>
      </c>
      <c r="F4339">
        <v>19736</v>
      </c>
      <c r="G4339">
        <v>45</v>
      </c>
      <c r="H4339">
        <f t="shared" si="411"/>
        <v>0</v>
      </c>
      <c r="I4339" t="str">
        <f t="shared" si="409"/>
        <v>On Time</v>
      </c>
      <c r="J4339" cm="1">
        <f t="array" ref="J4339">_xlfn.IFS(H4339&lt;30,0,H4339&lt;60,1,H4339&lt;90,2,H4339&lt;120,3)</f>
        <v>0</v>
      </c>
      <c r="M4339" t="str">
        <f t="shared" si="410"/>
        <v>Low</v>
      </c>
      <c r="N4339" t="str">
        <f t="shared" si="407"/>
        <v>May</v>
      </c>
      <c r="O4339">
        <f t="shared" si="408"/>
        <v>2025</v>
      </c>
    </row>
    <row r="4340" spans="1:15" x14ac:dyDescent="0.3">
      <c r="A4340">
        <v>200226</v>
      </c>
      <c r="B4340" t="s">
        <v>33</v>
      </c>
      <c r="C4340" s="2">
        <v>45805</v>
      </c>
      <c r="D4340" s="2">
        <f t="shared" si="406"/>
        <v>45835</v>
      </c>
      <c r="E4340" s="1">
        <f>D4340</f>
        <v>45835</v>
      </c>
      <c r="F4340">
        <v>1998</v>
      </c>
      <c r="G4340">
        <v>30</v>
      </c>
      <c r="H4340">
        <f t="shared" si="411"/>
        <v>0</v>
      </c>
      <c r="I4340" t="str">
        <f t="shared" si="409"/>
        <v>On Time</v>
      </c>
      <c r="J4340" cm="1">
        <f t="array" ref="J4340">_xlfn.IFS(H4340&lt;30,0,H4340&lt;60,1,H4340&lt;90,2,H4340&lt;120,3)</f>
        <v>0</v>
      </c>
      <c r="M4340" t="str">
        <f t="shared" si="410"/>
        <v>Low</v>
      </c>
      <c r="N4340" t="str">
        <f t="shared" si="407"/>
        <v>May</v>
      </c>
      <c r="O4340">
        <f t="shared" si="408"/>
        <v>2025</v>
      </c>
    </row>
    <row r="4341" spans="1:15" x14ac:dyDescent="0.3">
      <c r="A4341">
        <v>200185</v>
      </c>
      <c r="B4341" t="s">
        <v>100</v>
      </c>
      <c r="C4341" s="2">
        <v>45804</v>
      </c>
      <c r="D4341" s="2">
        <f t="shared" si="406"/>
        <v>45834</v>
      </c>
      <c r="E4341" s="1">
        <f>D4341</f>
        <v>45834</v>
      </c>
      <c r="F4341">
        <v>1888</v>
      </c>
      <c r="G4341">
        <v>30</v>
      </c>
      <c r="H4341">
        <f t="shared" si="411"/>
        <v>0</v>
      </c>
      <c r="I4341" t="str">
        <f t="shared" si="409"/>
        <v>On Time</v>
      </c>
      <c r="J4341" cm="1">
        <f t="array" ref="J4341">_xlfn.IFS(H4341&lt;30,0,H4341&lt;60,1,H4341&lt;90,2,H4341&lt;120,3)</f>
        <v>0</v>
      </c>
      <c r="M4341" t="str">
        <f t="shared" si="410"/>
        <v>Low</v>
      </c>
      <c r="N4341" t="str">
        <f t="shared" si="407"/>
        <v>May</v>
      </c>
      <c r="O4341">
        <f t="shared" si="408"/>
        <v>2025</v>
      </c>
    </row>
    <row r="4342" spans="1:15" x14ac:dyDescent="0.3">
      <c r="A4342">
        <v>200186</v>
      </c>
      <c r="B4342" t="s">
        <v>101</v>
      </c>
      <c r="C4342" s="2">
        <v>45804</v>
      </c>
      <c r="D4342" s="2">
        <f t="shared" si="406"/>
        <v>45834</v>
      </c>
      <c r="E4342" s="1">
        <f>D4342+2</f>
        <v>45836</v>
      </c>
      <c r="F4342">
        <v>1121</v>
      </c>
      <c r="G4342">
        <v>30</v>
      </c>
      <c r="H4342">
        <f t="shared" si="411"/>
        <v>0</v>
      </c>
      <c r="I4342" t="str">
        <f t="shared" si="409"/>
        <v>On Time</v>
      </c>
      <c r="J4342" cm="1">
        <f t="array" ref="J4342">_xlfn.IFS(H4342&lt;30,0,H4342&lt;60,1,H4342&lt;90,2,H4342&lt;120,3)</f>
        <v>0</v>
      </c>
      <c r="M4342" t="str">
        <f t="shared" si="410"/>
        <v>Low</v>
      </c>
      <c r="N4342" t="str">
        <f t="shared" si="407"/>
        <v>May</v>
      </c>
      <c r="O4342">
        <f t="shared" si="408"/>
        <v>2025</v>
      </c>
    </row>
    <row r="4343" spans="1:15" x14ac:dyDescent="0.3">
      <c r="A4343">
        <v>200187</v>
      </c>
      <c r="B4343" t="s">
        <v>102</v>
      </c>
      <c r="C4343" s="2">
        <v>45804</v>
      </c>
      <c r="D4343" s="2">
        <f t="shared" si="406"/>
        <v>45834</v>
      </c>
      <c r="E4343" s="1">
        <f>D4343+2</f>
        <v>45836</v>
      </c>
      <c r="F4343">
        <v>2281</v>
      </c>
      <c r="G4343">
        <v>30</v>
      </c>
      <c r="H4343">
        <f t="shared" si="411"/>
        <v>0</v>
      </c>
      <c r="I4343" t="str">
        <f t="shared" si="409"/>
        <v>On Time</v>
      </c>
      <c r="J4343" cm="1">
        <f t="array" ref="J4343">_xlfn.IFS(H4343&lt;30,0,H4343&lt;60,1,H4343&lt;90,2,H4343&lt;120,3)</f>
        <v>0</v>
      </c>
      <c r="M4343" t="str">
        <f t="shared" si="410"/>
        <v>Low</v>
      </c>
      <c r="N4343" t="str">
        <f t="shared" si="407"/>
        <v>May</v>
      </c>
      <c r="O4343">
        <f t="shared" si="408"/>
        <v>2025</v>
      </c>
    </row>
    <row r="4344" spans="1:15" x14ac:dyDescent="0.3">
      <c r="A4344">
        <v>200188</v>
      </c>
      <c r="B4344" t="s">
        <v>103</v>
      </c>
      <c r="C4344" s="2">
        <v>45804</v>
      </c>
      <c r="D4344" s="2">
        <f t="shared" si="406"/>
        <v>45834</v>
      </c>
      <c r="E4344" s="1">
        <f>D4344+2</f>
        <v>45836</v>
      </c>
      <c r="F4344">
        <v>1245</v>
      </c>
      <c r="G4344">
        <v>30</v>
      </c>
      <c r="H4344">
        <f t="shared" si="411"/>
        <v>0</v>
      </c>
      <c r="I4344" t="str">
        <f t="shared" si="409"/>
        <v>On Time</v>
      </c>
      <c r="J4344" cm="1">
        <f t="array" ref="J4344">_xlfn.IFS(H4344&lt;30,0,H4344&lt;60,1,H4344&lt;90,2,H4344&lt;120,3)</f>
        <v>0</v>
      </c>
      <c r="M4344" t="str">
        <f t="shared" si="410"/>
        <v>Low</v>
      </c>
      <c r="N4344" t="str">
        <f t="shared" si="407"/>
        <v>May</v>
      </c>
      <c r="O4344">
        <f t="shared" si="408"/>
        <v>2025</v>
      </c>
    </row>
    <row r="4345" spans="1:15" x14ac:dyDescent="0.3">
      <c r="A4345">
        <v>200189</v>
      </c>
      <c r="B4345" t="s">
        <v>104</v>
      </c>
      <c r="C4345" s="2">
        <v>45804</v>
      </c>
      <c r="D4345" s="2">
        <f t="shared" si="406"/>
        <v>45834</v>
      </c>
      <c r="E4345" s="1">
        <f>D4345</f>
        <v>45834</v>
      </c>
      <c r="F4345">
        <v>549</v>
      </c>
      <c r="G4345">
        <v>30</v>
      </c>
      <c r="H4345">
        <f t="shared" si="411"/>
        <v>0</v>
      </c>
      <c r="I4345" t="str">
        <f t="shared" si="409"/>
        <v>On Time</v>
      </c>
      <c r="J4345" cm="1">
        <f t="array" ref="J4345">_xlfn.IFS(H4345&lt;30,0,H4345&lt;60,1,H4345&lt;90,2,H4345&lt;120,3)</f>
        <v>0</v>
      </c>
      <c r="M4345" t="str">
        <f t="shared" si="410"/>
        <v>Low</v>
      </c>
      <c r="N4345" t="str">
        <f t="shared" si="407"/>
        <v>May</v>
      </c>
      <c r="O4345">
        <f t="shared" si="408"/>
        <v>2025</v>
      </c>
    </row>
    <row r="4346" spans="1:15" x14ac:dyDescent="0.3">
      <c r="A4346">
        <v>200190</v>
      </c>
      <c r="B4346" t="s">
        <v>105</v>
      </c>
      <c r="C4346" s="2">
        <v>45804</v>
      </c>
      <c r="D4346" s="2">
        <f t="shared" si="406"/>
        <v>45834</v>
      </c>
      <c r="E4346" s="1">
        <f>D4346+20</f>
        <v>45854</v>
      </c>
      <c r="F4346">
        <v>4512</v>
      </c>
      <c r="G4346">
        <v>30</v>
      </c>
      <c r="H4346">
        <f t="shared" si="411"/>
        <v>0</v>
      </c>
      <c r="I4346" t="str">
        <f t="shared" si="409"/>
        <v>On Time</v>
      </c>
      <c r="J4346" cm="1">
        <f t="array" ref="J4346">_xlfn.IFS(H4346&lt;30,0,H4346&lt;60,1,H4346&lt;90,2,H4346&lt;120,3)</f>
        <v>0</v>
      </c>
      <c r="M4346" t="str">
        <f t="shared" si="410"/>
        <v>Low</v>
      </c>
      <c r="N4346" t="str">
        <f t="shared" si="407"/>
        <v>May</v>
      </c>
      <c r="O4346">
        <f t="shared" si="408"/>
        <v>2025</v>
      </c>
    </row>
    <row r="4347" spans="1:15" x14ac:dyDescent="0.3">
      <c r="A4347">
        <v>200191</v>
      </c>
      <c r="B4347" t="s">
        <v>114</v>
      </c>
      <c r="C4347" s="2">
        <v>45804</v>
      </c>
      <c r="D4347" s="2">
        <f t="shared" si="406"/>
        <v>45834</v>
      </c>
      <c r="E4347" s="1">
        <f>D4347</f>
        <v>45834</v>
      </c>
      <c r="F4347">
        <v>2455</v>
      </c>
      <c r="G4347">
        <v>30</v>
      </c>
      <c r="H4347">
        <f t="shared" si="411"/>
        <v>0</v>
      </c>
      <c r="I4347" t="str">
        <f t="shared" si="409"/>
        <v>On Time</v>
      </c>
      <c r="J4347" cm="1">
        <f t="array" ref="J4347">_xlfn.IFS(H4347&lt;30,0,H4347&lt;60,1,H4347&lt;90,2,H4347&lt;120,3)</f>
        <v>0</v>
      </c>
      <c r="M4347" t="str">
        <f t="shared" si="410"/>
        <v>Low</v>
      </c>
      <c r="N4347" t="str">
        <f t="shared" si="407"/>
        <v>May</v>
      </c>
      <c r="O4347">
        <f t="shared" si="408"/>
        <v>2025</v>
      </c>
    </row>
    <row r="4348" spans="1:15" x14ac:dyDescent="0.3">
      <c r="A4348">
        <v>200192</v>
      </c>
      <c r="B4348" t="s">
        <v>115</v>
      </c>
      <c r="C4348" s="2">
        <v>45804</v>
      </c>
      <c r="D4348" s="2">
        <f t="shared" si="406"/>
        <v>45834</v>
      </c>
      <c r="E4348" s="1">
        <f>D4348+1</f>
        <v>45835</v>
      </c>
      <c r="F4348">
        <v>4464</v>
      </c>
      <c r="G4348">
        <v>30</v>
      </c>
      <c r="H4348">
        <f t="shared" si="411"/>
        <v>0</v>
      </c>
      <c r="I4348" t="str">
        <f t="shared" si="409"/>
        <v>On Time</v>
      </c>
      <c r="J4348" cm="1">
        <f t="array" ref="J4348">_xlfn.IFS(H4348&lt;30,0,H4348&lt;60,1,H4348&lt;90,2,H4348&lt;120,3)</f>
        <v>0</v>
      </c>
      <c r="M4348" t="str">
        <f t="shared" si="410"/>
        <v>Low</v>
      </c>
      <c r="N4348" t="str">
        <f t="shared" si="407"/>
        <v>May</v>
      </c>
      <c r="O4348">
        <f t="shared" si="408"/>
        <v>2025</v>
      </c>
    </row>
    <row r="4349" spans="1:15" x14ac:dyDescent="0.3">
      <c r="A4349">
        <v>200193</v>
      </c>
      <c r="B4349" t="s">
        <v>116</v>
      </c>
      <c r="C4349" s="2">
        <v>45804</v>
      </c>
      <c r="D4349" s="2">
        <f t="shared" si="406"/>
        <v>45834</v>
      </c>
      <c r="E4349" s="1">
        <f>D4349</f>
        <v>45834</v>
      </c>
      <c r="F4349">
        <v>1338</v>
      </c>
      <c r="G4349">
        <v>30</v>
      </c>
      <c r="H4349">
        <f t="shared" si="411"/>
        <v>0</v>
      </c>
      <c r="I4349" t="str">
        <f t="shared" si="409"/>
        <v>On Time</v>
      </c>
      <c r="J4349" cm="1">
        <f t="array" ref="J4349">_xlfn.IFS(H4349&lt;30,0,H4349&lt;60,1,H4349&lt;90,2,H4349&lt;120,3)</f>
        <v>0</v>
      </c>
      <c r="M4349" t="str">
        <f t="shared" si="410"/>
        <v>Low</v>
      </c>
      <c r="N4349" t="str">
        <f t="shared" si="407"/>
        <v>May</v>
      </c>
      <c r="O4349">
        <f t="shared" si="408"/>
        <v>2025</v>
      </c>
    </row>
    <row r="4350" spans="1:15" x14ac:dyDescent="0.3">
      <c r="A4350">
        <v>200194</v>
      </c>
      <c r="B4350" t="s">
        <v>117</v>
      </c>
      <c r="C4350" s="2">
        <v>45804</v>
      </c>
      <c r="D4350" s="2">
        <f t="shared" si="406"/>
        <v>45834</v>
      </c>
      <c r="E4350" s="1">
        <f>D4350</f>
        <v>45834</v>
      </c>
      <c r="F4350">
        <v>4109</v>
      </c>
      <c r="G4350">
        <v>30</v>
      </c>
      <c r="H4350">
        <f t="shared" si="411"/>
        <v>0</v>
      </c>
      <c r="I4350" t="str">
        <f t="shared" si="409"/>
        <v>On Time</v>
      </c>
      <c r="J4350" cm="1">
        <f t="array" ref="J4350">_xlfn.IFS(H4350&lt;30,0,H4350&lt;60,1,H4350&lt;90,2,H4350&lt;120,3)</f>
        <v>0</v>
      </c>
      <c r="M4350" t="str">
        <f t="shared" si="410"/>
        <v>Low</v>
      </c>
      <c r="N4350" t="str">
        <f t="shared" si="407"/>
        <v>May</v>
      </c>
      <c r="O4350">
        <f t="shared" si="408"/>
        <v>2025</v>
      </c>
    </row>
    <row r="4351" spans="1:15" x14ac:dyDescent="0.3">
      <c r="A4351">
        <v>200195</v>
      </c>
      <c r="B4351" t="s">
        <v>118</v>
      </c>
      <c r="C4351" s="2">
        <v>45804</v>
      </c>
      <c r="D4351" s="2">
        <f t="shared" si="406"/>
        <v>45834</v>
      </c>
      <c r="E4351" s="1">
        <f>D4351+5</f>
        <v>45839</v>
      </c>
      <c r="F4351">
        <v>1441</v>
      </c>
      <c r="G4351">
        <v>30</v>
      </c>
      <c r="H4351">
        <f t="shared" si="411"/>
        <v>0</v>
      </c>
      <c r="I4351" t="str">
        <f t="shared" si="409"/>
        <v>On Time</v>
      </c>
      <c r="J4351" cm="1">
        <f t="array" ref="J4351">_xlfn.IFS(H4351&lt;30,0,H4351&lt;60,1,H4351&lt;90,2,H4351&lt;120,3)</f>
        <v>0</v>
      </c>
      <c r="M4351" t="str">
        <f t="shared" si="410"/>
        <v>Low</v>
      </c>
      <c r="N4351" t="str">
        <f t="shared" si="407"/>
        <v>May</v>
      </c>
      <c r="O4351">
        <f t="shared" si="408"/>
        <v>2025</v>
      </c>
    </row>
    <row r="4352" spans="1:15" x14ac:dyDescent="0.3">
      <c r="A4352">
        <v>200196</v>
      </c>
      <c r="B4352" t="s">
        <v>119</v>
      </c>
      <c r="C4352" s="2">
        <v>45804</v>
      </c>
      <c r="D4352" s="2">
        <f t="shared" si="406"/>
        <v>45834</v>
      </c>
      <c r="E4352" s="1">
        <f>D4352+2</f>
        <v>45836</v>
      </c>
      <c r="F4352">
        <v>2527</v>
      </c>
      <c r="G4352">
        <v>30</v>
      </c>
      <c r="H4352">
        <f t="shared" si="411"/>
        <v>0</v>
      </c>
      <c r="I4352" t="str">
        <f t="shared" si="409"/>
        <v>On Time</v>
      </c>
      <c r="J4352" cm="1">
        <f t="array" ref="J4352">_xlfn.IFS(H4352&lt;30,0,H4352&lt;60,1,H4352&lt;90,2,H4352&lt;120,3)</f>
        <v>0</v>
      </c>
      <c r="M4352" t="str">
        <f t="shared" si="410"/>
        <v>Low</v>
      </c>
      <c r="N4352" t="str">
        <f t="shared" si="407"/>
        <v>May</v>
      </c>
      <c r="O4352">
        <f t="shared" si="408"/>
        <v>2025</v>
      </c>
    </row>
    <row r="4353" spans="1:15" x14ac:dyDescent="0.3">
      <c r="A4353">
        <v>200197</v>
      </c>
      <c r="B4353" t="s">
        <v>31</v>
      </c>
      <c r="C4353" s="2">
        <v>45804</v>
      </c>
      <c r="D4353" s="2">
        <f t="shared" si="406"/>
        <v>45849</v>
      </c>
      <c r="E4353" s="1">
        <f>D4353</f>
        <v>45849</v>
      </c>
      <c r="F4353">
        <v>825</v>
      </c>
      <c r="G4353">
        <v>45</v>
      </c>
      <c r="H4353">
        <f t="shared" si="411"/>
        <v>0</v>
      </c>
      <c r="I4353" t="str">
        <f t="shared" si="409"/>
        <v>On Time</v>
      </c>
      <c r="J4353" cm="1">
        <f t="array" ref="J4353">_xlfn.IFS(H4353&lt;30,0,H4353&lt;60,1,H4353&lt;90,2,H4353&lt;120,3)</f>
        <v>0</v>
      </c>
      <c r="M4353" t="str">
        <f t="shared" si="410"/>
        <v>Low</v>
      </c>
      <c r="N4353" t="str">
        <f t="shared" si="407"/>
        <v>May</v>
      </c>
      <c r="O4353">
        <f t="shared" si="408"/>
        <v>2025</v>
      </c>
    </row>
    <row r="4354" spans="1:15" x14ac:dyDescent="0.3">
      <c r="A4354">
        <v>200198</v>
      </c>
      <c r="B4354" t="s">
        <v>32</v>
      </c>
      <c r="C4354" s="2">
        <v>45804</v>
      </c>
      <c r="D4354" s="2">
        <f t="shared" ref="D4354:D4417" si="412">C4354+G4354</f>
        <v>45849</v>
      </c>
      <c r="E4354" s="1">
        <f>D4354</f>
        <v>45849</v>
      </c>
      <c r="F4354">
        <v>1863</v>
      </c>
      <c r="G4354">
        <v>45</v>
      </c>
      <c r="H4354">
        <f t="shared" si="411"/>
        <v>0</v>
      </c>
      <c r="I4354" t="str">
        <f t="shared" si="409"/>
        <v>On Time</v>
      </c>
      <c r="J4354" cm="1">
        <f t="array" ref="J4354">_xlfn.IFS(H4354&lt;30,0,H4354&lt;60,1,H4354&lt;90,2,H4354&lt;120,3)</f>
        <v>0</v>
      </c>
      <c r="M4354" t="str">
        <f t="shared" si="410"/>
        <v>Low</v>
      </c>
      <c r="N4354" t="str">
        <f t="shared" ref="N4354:N4417" si="413">TEXT(C4354,"mmm")</f>
        <v>May</v>
      </c>
      <c r="O4354">
        <f t="shared" ref="O4354:O4417" si="414">YEAR(C4354)</f>
        <v>2025</v>
      </c>
    </row>
    <row r="4355" spans="1:15" x14ac:dyDescent="0.3">
      <c r="A4355">
        <v>200199</v>
      </c>
      <c r="B4355" t="s">
        <v>33</v>
      </c>
      <c r="C4355" s="2">
        <v>45804</v>
      </c>
      <c r="D4355" s="2">
        <f t="shared" si="412"/>
        <v>45834</v>
      </c>
      <c r="E4355" s="1">
        <f>D4355</f>
        <v>45834</v>
      </c>
      <c r="F4355">
        <v>4339</v>
      </c>
      <c r="G4355">
        <v>30</v>
      </c>
      <c r="H4355">
        <f t="shared" si="411"/>
        <v>0</v>
      </c>
      <c r="I4355" t="str">
        <f t="shared" si="409"/>
        <v>On Time</v>
      </c>
      <c r="J4355" cm="1">
        <f t="array" ref="J4355">_xlfn.IFS(H4355&lt;30,0,H4355&lt;60,1,H4355&lt;90,2,H4355&lt;120,3)</f>
        <v>0</v>
      </c>
      <c r="M4355" t="str">
        <f t="shared" si="410"/>
        <v>Low</v>
      </c>
      <c r="N4355" t="str">
        <f t="shared" si="413"/>
        <v>May</v>
      </c>
      <c r="O4355">
        <f t="shared" si="414"/>
        <v>2025</v>
      </c>
    </row>
    <row r="4356" spans="1:15" x14ac:dyDescent="0.3">
      <c r="A4356">
        <v>200200</v>
      </c>
      <c r="B4356" t="s">
        <v>34</v>
      </c>
      <c r="C4356" s="2">
        <v>45804</v>
      </c>
      <c r="D4356" s="2">
        <f t="shared" si="412"/>
        <v>45864</v>
      </c>
      <c r="E4356" s="1">
        <f>D4356+61</f>
        <v>45925</v>
      </c>
      <c r="F4356">
        <v>4827</v>
      </c>
      <c r="G4356">
        <v>60</v>
      </c>
      <c r="H4356">
        <f t="shared" si="411"/>
        <v>0</v>
      </c>
      <c r="I4356" t="str">
        <f t="shared" si="409"/>
        <v>On Time</v>
      </c>
      <c r="J4356" cm="1">
        <f t="array" ref="J4356">_xlfn.IFS(H4356&lt;30,0,H4356&lt;60,1,H4356&lt;90,2,H4356&lt;120,3)</f>
        <v>0</v>
      </c>
      <c r="M4356" t="str">
        <f t="shared" si="410"/>
        <v>Low</v>
      </c>
      <c r="N4356" t="str">
        <f t="shared" si="413"/>
        <v>May</v>
      </c>
      <c r="O4356">
        <f t="shared" si="414"/>
        <v>2025</v>
      </c>
    </row>
    <row r="4357" spans="1:15" x14ac:dyDescent="0.3">
      <c r="A4357">
        <v>200150</v>
      </c>
      <c r="B4357" t="s">
        <v>112</v>
      </c>
      <c r="C4357" s="2">
        <v>45799</v>
      </c>
      <c r="D4357" s="2">
        <f t="shared" si="412"/>
        <v>45844</v>
      </c>
      <c r="E4357" s="1">
        <f>D4357-2</f>
        <v>45842</v>
      </c>
      <c r="F4357">
        <v>4579</v>
      </c>
      <c r="G4357">
        <v>45</v>
      </c>
      <c r="H4357">
        <f t="shared" si="411"/>
        <v>0</v>
      </c>
      <c r="I4357" t="str">
        <f t="shared" si="409"/>
        <v>On Time</v>
      </c>
      <c r="J4357" cm="1">
        <f t="array" ref="J4357">_xlfn.IFS(H4357&lt;30,0,H4357&lt;60,1,H4357&lt;90,2,H4357&lt;120,3)</f>
        <v>0</v>
      </c>
      <c r="M4357" t="str">
        <f t="shared" si="410"/>
        <v>Low</v>
      </c>
      <c r="N4357" t="str">
        <f t="shared" si="413"/>
        <v>May</v>
      </c>
      <c r="O4357">
        <f t="shared" si="414"/>
        <v>2025</v>
      </c>
    </row>
    <row r="4358" spans="1:15" x14ac:dyDescent="0.3">
      <c r="A4358">
        <v>200151</v>
      </c>
      <c r="B4358" t="s">
        <v>113</v>
      </c>
      <c r="C4358" s="2">
        <v>45799</v>
      </c>
      <c r="D4358" s="2">
        <f t="shared" si="412"/>
        <v>45844</v>
      </c>
      <c r="E4358" s="1">
        <f>D4358-2</f>
        <v>45842</v>
      </c>
      <c r="F4358">
        <v>2966</v>
      </c>
      <c r="G4358">
        <v>45</v>
      </c>
      <c r="H4358">
        <f t="shared" si="411"/>
        <v>0</v>
      </c>
      <c r="I4358" t="str">
        <f t="shared" si="409"/>
        <v>On Time</v>
      </c>
      <c r="J4358" cm="1">
        <f t="array" ref="J4358">_xlfn.IFS(H4358&lt;30,0,H4358&lt;60,1,H4358&lt;90,2,H4358&lt;120,3)</f>
        <v>0</v>
      </c>
      <c r="M4358" t="str">
        <f t="shared" si="410"/>
        <v>Low</v>
      </c>
      <c r="N4358" t="str">
        <f t="shared" si="413"/>
        <v>May</v>
      </c>
      <c r="O4358">
        <f t="shared" si="414"/>
        <v>2025</v>
      </c>
    </row>
    <row r="4359" spans="1:15" x14ac:dyDescent="0.3">
      <c r="A4359">
        <v>200152</v>
      </c>
      <c r="B4359" t="s">
        <v>114</v>
      </c>
      <c r="C4359" s="2">
        <v>45799</v>
      </c>
      <c r="D4359" s="2">
        <f t="shared" si="412"/>
        <v>45829</v>
      </c>
      <c r="E4359" s="1">
        <f>D4359</f>
        <v>45829</v>
      </c>
      <c r="F4359">
        <v>2082</v>
      </c>
      <c r="G4359">
        <v>30</v>
      </c>
      <c r="H4359">
        <f t="shared" si="411"/>
        <v>0</v>
      </c>
      <c r="I4359" t="str">
        <f t="shared" si="409"/>
        <v>On Time</v>
      </c>
      <c r="J4359" cm="1">
        <f t="array" ref="J4359">_xlfn.IFS(H4359&lt;30,0,H4359&lt;60,1,H4359&lt;90,2,H4359&lt;120,3)</f>
        <v>0</v>
      </c>
      <c r="M4359" t="str">
        <f t="shared" si="410"/>
        <v>Low</v>
      </c>
      <c r="N4359" t="str">
        <f t="shared" si="413"/>
        <v>May</v>
      </c>
      <c r="O4359">
        <f t="shared" si="414"/>
        <v>2025</v>
      </c>
    </row>
    <row r="4360" spans="1:15" x14ac:dyDescent="0.3">
      <c r="A4360">
        <v>200153</v>
      </c>
      <c r="B4360" t="s">
        <v>115</v>
      </c>
      <c r="C4360" s="2">
        <v>45799</v>
      </c>
      <c r="D4360" s="2">
        <f t="shared" si="412"/>
        <v>45829</v>
      </c>
      <c r="E4360" s="1">
        <f>D4360+2</f>
        <v>45831</v>
      </c>
      <c r="F4360">
        <v>6147</v>
      </c>
      <c r="G4360">
        <v>30</v>
      </c>
      <c r="H4360">
        <f t="shared" si="411"/>
        <v>0</v>
      </c>
      <c r="I4360" t="str">
        <f t="shared" si="409"/>
        <v>On Time</v>
      </c>
      <c r="J4360" cm="1">
        <f t="array" ref="J4360">_xlfn.IFS(H4360&lt;30,0,H4360&lt;60,1,H4360&lt;90,2,H4360&lt;120,3)</f>
        <v>0</v>
      </c>
      <c r="M4360" t="str">
        <f t="shared" si="410"/>
        <v>Low</v>
      </c>
      <c r="N4360" t="str">
        <f t="shared" si="413"/>
        <v>May</v>
      </c>
      <c r="O4360">
        <f t="shared" si="414"/>
        <v>2025</v>
      </c>
    </row>
    <row r="4361" spans="1:15" x14ac:dyDescent="0.3">
      <c r="A4361">
        <v>200154</v>
      </c>
      <c r="B4361" t="s">
        <v>116</v>
      </c>
      <c r="C4361" s="2">
        <v>45799</v>
      </c>
      <c r="D4361" s="2">
        <f t="shared" si="412"/>
        <v>45829</v>
      </c>
      <c r="E4361" s="1">
        <f>D4361+2</f>
        <v>45831</v>
      </c>
      <c r="F4361">
        <v>2922</v>
      </c>
      <c r="G4361">
        <v>30</v>
      </c>
      <c r="H4361">
        <f t="shared" si="411"/>
        <v>0</v>
      </c>
      <c r="I4361" t="str">
        <f t="shared" si="409"/>
        <v>On Time</v>
      </c>
      <c r="J4361" cm="1">
        <f t="array" ref="J4361">_xlfn.IFS(H4361&lt;30,0,H4361&lt;60,1,H4361&lt;90,2,H4361&lt;120,3)</f>
        <v>0</v>
      </c>
      <c r="M4361" t="str">
        <f t="shared" si="410"/>
        <v>Low</v>
      </c>
      <c r="N4361" t="str">
        <f t="shared" si="413"/>
        <v>May</v>
      </c>
      <c r="O4361">
        <f t="shared" si="414"/>
        <v>2025</v>
      </c>
    </row>
    <row r="4362" spans="1:15" x14ac:dyDescent="0.3">
      <c r="A4362">
        <v>200155</v>
      </c>
      <c r="B4362" t="s">
        <v>20</v>
      </c>
      <c r="C4362" s="2">
        <v>45799</v>
      </c>
      <c r="D4362" s="2">
        <f t="shared" si="412"/>
        <v>45829</v>
      </c>
      <c r="E4362" s="1">
        <f>D4362+2</f>
        <v>45831</v>
      </c>
      <c r="F4362">
        <v>3181</v>
      </c>
      <c r="G4362">
        <v>30</v>
      </c>
      <c r="H4362">
        <f t="shared" si="411"/>
        <v>0</v>
      </c>
      <c r="I4362" t="str">
        <f t="shared" si="409"/>
        <v>On Time</v>
      </c>
      <c r="J4362" cm="1">
        <f t="array" ref="J4362">_xlfn.IFS(H4362&lt;30,0,H4362&lt;60,1,H4362&lt;90,2,H4362&lt;120,3)</f>
        <v>0</v>
      </c>
      <c r="M4362" t="str">
        <f t="shared" si="410"/>
        <v>Low</v>
      </c>
      <c r="N4362" t="str">
        <f t="shared" si="413"/>
        <v>May</v>
      </c>
      <c r="O4362">
        <f t="shared" si="414"/>
        <v>2025</v>
      </c>
    </row>
    <row r="4363" spans="1:15" x14ac:dyDescent="0.3">
      <c r="A4363">
        <v>200156</v>
      </c>
      <c r="B4363" t="s">
        <v>21</v>
      </c>
      <c r="C4363" s="2">
        <v>45799</v>
      </c>
      <c r="D4363" s="2">
        <f t="shared" si="412"/>
        <v>45829</v>
      </c>
      <c r="E4363" s="1">
        <f>D4363</f>
        <v>45829</v>
      </c>
      <c r="F4363">
        <v>8773</v>
      </c>
      <c r="G4363">
        <v>30</v>
      </c>
      <c r="H4363">
        <f t="shared" si="411"/>
        <v>0</v>
      </c>
      <c r="I4363" t="str">
        <f t="shared" si="409"/>
        <v>On Time</v>
      </c>
      <c r="J4363" cm="1">
        <f t="array" ref="J4363">_xlfn.IFS(H4363&lt;30,0,H4363&lt;60,1,H4363&lt;90,2,H4363&lt;120,3)</f>
        <v>0</v>
      </c>
      <c r="M4363" t="str">
        <f t="shared" si="410"/>
        <v>Low</v>
      </c>
      <c r="N4363" t="str">
        <f t="shared" si="413"/>
        <v>May</v>
      </c>
      <c r="O4363">
        <f t="shared" si="414"/>
        <v>2025</v>
      </c>
    </row>
    <row r="4364" spans="1:15" x14ac:dyDescent="0.3">
      <c r="A4364">
        <v>200157</v>
      </c>
      <c r="B4364" t="s">
        <v>22</v>
      </c>
      <c r="C4364" s="2">
        <v>45799</v>
      </c>
      <c r="D4364" s="2">
        <f t="shared" si="412"/>
        <v>45829</v>
      </c>
      <c r="E4364" s="1">
        <f>D4364+20</f>
        <v>45849</v>
      </c>
      <c r="F4364">
        <v>4204</v>
      </c>
      <c r="G4364">
        <v>30</v>
      </c>
      <c r="H4364">
        <f t="shared" si="411"/>
        <v>0</v>
      </c>
      <c r="I4364" t="str">
        <f t="shared" si="409"/>
        <v>On Time</v>
      </c>
      <c r="J4364" cm="1">
        <f t="array" ref="J4364">_xlfn.IFS(H4364&lt;30,0,H4364&lt;60,1,H4364&lt;90,2,H4364&lt;120,3)</f>
        <v>0</v>
      </c>
      <c r="M4364" t="str">
        <f t="shared" si="410"/>
        <v>Low</v>
      </c>
      <c r="N4364" t="str">
        <f t="shared" si="413"/>
        <v>May</v>
      </c>
      <c r="O4364">
        <f t="shared" si="414"/>
        <v>2025</v>
      </c>
    </row>
    <row r="4365" spans="1:15" x14ac:dyDescent="0.3">
      <c r="A4365">
        <v>200158</v>
      </c>
      <c r="B4365" t="s">
        <v>23</v>
      </c>
      <c r="C4365" s="2">
        <v>45799</v>
      </c>
      <c r="D4365" s="2">
        <f t="shared" si="412"/>
        <v>45844</v>
      </c>
      <c r="E4365" s="1">
        <f>D4365</f>
        <v>45844</v>
      </c>
      <c r="F4365">
        <v>17074</v>
      </c>
      <c r="G4365">
        <v>45</v>
      </c>
      <c r="H4365">
        <f t="shared" si="411"/>
        <v>0</v>
      </c>
      <c r="I4365" t="str">
        <f t="shared" si="409"/>
        <v>On Time</v>
      </c>
      <c r="J4365" cm="1">
        <f t="array" ref="J4365">_xlfn.IFS(H4365&lt;30,0,H4365&lt;60,1,H4365&lt;90,2,H4365&lt;120,3)</f>
        <v>0</v>
      </c>
      <c r="M4365" t="str">
        <f t="shared" si="410"/>
        <v>Low</v>
      </c>
      <c r="N4365" t="str">
        <f t="shared" si="413"/>
        <v>May</v>
      </c>
      <c r="O4365">
        <f t="shared" si="414"/>
        <v>2025</v>
      </c>
    </row>
    <row r="4366" spans="1:15" x14ac:dyDescent="0.3">
      <c r="A4366">
        <v>200159</v>
      </c>
      <c r="B4366" t="s">
        <v>24</v>
      </c>
      <c r="C4366" s="2">
        <v>45799</v>
      </c>
      <c r="D4366" s="2">
        <f t="shared" si="412"/>
        <v>45844</v>
      </c>
      <c r="E4366" s="1">
        <f>D4366+1</f>
        <v>45845</v>
      </c>
      <c r="F4366">
        <v>3391</v>
      </c>
      <c r="G4366">
        <v>45</v>
      </c>
      <c r="H4366">
        <f t="shared" si="411"/>
        <v>0</v>
      </c>
      <c r="I4366" t="str">
        <f t="shared" si="409"/>
        <v>On Time</v>
      </c>
      <c r="J4366" cm="1">
        <f t="array" ref="J4366">_xlfn.IFS(H4366&lt;30,0,H4366&lt;60,1,H4366&lt;90,2,H4366&lt;120,3)</f>
        <v>0</v>
      </c>
      <c r="M4366" t="str">
        <f t="shared" si="410"/>
        <v>Low</v>
      </c>
      <c r="N4366" t="str">
        <f t="shared" si="413"/>
        <v>May</v>
      </c>
      <c r="O4366">
        <f t="shared" si="414"/>
        <v>2025</v>
      </c>
    </row>
    <row r="4367" spans="1:15" x14ac:dyDescent="0.3">
      <c r="A4367">
        <v>200160</v>
      </c>
      <c r="B4367" t="s">
        <v>25</v>
      </c>
      <c r="C4367" s="2">
        <v>45799</v>
      </c>
      <c r="D4367" s="2">
        <f t="shared" si="412"/>
        <v>45859</v>
      </c>
      <c r="E4367" s="1">
        <f>D4367</f>
        <v>45859</v>
      </c>
      <c r="F4367">
        <v>5847</v>
      </c>
      <c r="G4367">
        <v>60</v>
      </c>
      <c r="H4367">
        <f t="shared" si="411"/>
        <v>0</v>
      </c>
      <c r="I4367" t="str">
        <f t="shared" si="409"/>
        <v>On Time</v>
      </c>
      <c r="J4367" cm="1">
        <f t="array" ref="J4367">_xlfn.IFS(H4367&lt;30,0,H4367&lt;60,1,H4367&lt;90,2,H4367&lt;120,3)</f>
        <v>0</v>
      </c>
      <c r="M4367" t="str">
        <f t="shared" si="410"/>
        <v>Low</v>
      </c>
      <c r="N4367" t="str">
        <f t="shared" si="413"/>
        <v>May</v>
      </c>
      <c r="O4367">
        <f t="shared" si="414"/>
        <v>2025</v>
      </c>
    </row>
    <row r="4368" spans="1:15" x14ac:dyDescent="0.3">
      <c r="A4368">
        <v>200161</v>
      </c>
      <c r="B4368" t="s">
        <v>26</v>
      </c>
      <c r="C4368" s="2">
        <v>45799</v>
      </c>
      <c r="D4368" s="2">
        <f t="shared" si="412"/>
        <v>45829</v>
      </c>
      <c r="E4368" s="1">
        <f>D4368</f>
        <v>45829</v>
      </c>
      <c r="F4368">
        <v>4947</v>
      </c>
      <c r="G4368">
        <v>30</v>
      </c>
      <c r="H4368">
        <f t="shared" si="411"/>
        <v>0</v>
      </c>
      <c r="I4368" t="str">
        <f t="shared" si="409"/>
        <v>On Time</v>
      </c>
      <c r="J4368" cm="1">
        <f t="array" ref="J4368">_xlfn.IFS(H4368&lt;30,0,H4368&lt;60,1,H4368&lt;90,2,H4368&lt;120,3)</f>
        <v>0</v>
      </c>
      <c r="M4368" t="str">
        <f t="shared" si="410"/>
        <v>Low</v>
      </c>
      <c r="N4368" t="str">
        <f t="shared" si="413"/>
        <v>May</v>
      </c>
      <c r="O4368">
        <f t="shared" si="414"/>
        <v>2025</v>
      </c>
    </row>
    <row r="4369" spans="1:15" x14ac:dyDescent="0.3">
      <c r="A4369">
        <v>200162</v>
      </c>
      <c r="B4369" t="s">
        <v>27</v>
      </c>
      <c r="C4369" s="2">
        <v>45799</v>
      </c>
      <c r="D4369" s="2">
        <f t="shared" si="412"/>
        <v>45859</v>
      </c>
      <c r="E4369" s="1">
        <f>D4369+5</f>
        <v>45864</v>
      </c>
      <c r="F4369">
        <v>11149</v>
      </c>
      <c r="G4369">
        <v>60</v>
      </c>
      <c r="H4369">
        <f t="shared" si="411"/>
        <v>0</v>
      </c>
      <c r="I4369" t="str">
        <f t="shared" si="409"/>
        <v>On Time</v>
      </c>
      <c r="J4369" cm="1">
        <f t="array" ref="J4369">_xlfn.IFS(H4369&lt;30,0,H4369&lt;60,1,H4369&lt;90,2,H4369&lt;120,3)</f>
        <v>0</v>
      </c>
      <c r="M4369" t="str">
        <f t="shared" si="410"/>
        <v>Low</v>
      </c>
      <c r="N4369" t="str">
        <f t="shared" si="413"/>
        <v>May</v>
      </c>
      <c r="O4369">
        <f t="shared" si="414"/>
        <v>2025</v>
      </c>
    </row>
    <row r="4370" spans="1:15" x14ac:dyDescent="0.3">
      <c r="A4370">
        <v>200163</v>
      </c>
      <c r="B4370" t="s">
        <v>28</v>
      </c>
      <c r="C4370" s="2">
        <v>45799</v>
      </c>
      <c r="D4370" s="2">
        <f t="shared" si="412"/>
        <v>45829</v>
      </c>
      <c r="E4370" s="1">
        <f>D4370+2</f>
        <v>45831</v>
      </c>
      <c r="F4370">
        <v>6540</v>
      </c>
      <c r="G4370">
        <v>30</v>
      </c>
      <c r="H4370">
        <f t="shared" si="411"/>
        <v>0</v>
      </c>
      <c r="I4370" t="str">
        <f t="shared" si="409"/>
        <v>On Time</v>
      </c>
      <c r="J4370" cm="1">
        <f t="array" ref="J4370">_xlfn.IFS(H4370&lt;30,0,H4370&lt;60,1,H4370&lt;90,2,H4370&lt;120,3)</f>
        <v>0</v>
      </c>
      <c r="M4370" t="str">
        <f t="shared" si="410"/>
        <v>Low</v>
      </c>
      <c r="N4370" t="str">
        <f t="shared" si="413"/>
        <v>May</v>
      </c>
      <c r="O4370">
        <f t="shared" si="414"/>
        <v>2025</v>
      </c>
    </row>
    <row r="4371" spans="1:15" x14ac:dyDescent="0.3">
      <c r="A4371">
        <v>200164</v>
      </c>
      <c r="B4371" t="s">
        <v>29</v>
      </c>
      <c r="C4371" s="2">
        <v>45799</v>
      </c>
      <c r="D4371" s="2">
        <f t="shared" si="412"/>
        <v>45829</v>
      </c>
      <c r="E4371" s="1">
        <f>D4371+5</f>
        <v>45834</v>
      </c>
      <c r="F4371">
        <v>510</v>
      </c>
      <c r="G4371">
        <v>30</v>
      </c>
      <c r="H4371">
        <f t="shared" si="411"/>
        <v>0</v>
      </c>
      <c r="I4371" t="str">
        <f t="shared" si="409"/>
        <v>On Time</v>
      </c>
      <c r="J4371" cm="1">
        <f t="array" ref="J4371">_xlfn.IFS(H4371&lt;30,0,H4371&lt;60,1,H4371&lt;90,2,H4371&lt;120,3)</f>
        <v>0</v>
      </c>
      <c r="M4371" t="str">
        <f t="shared" si="410"/>
        <v>Low</v>
      </c>
      <c r="N4371" t="str">
        <f t="shared" si="413"/>
        <v>May</v>
      </c>
      <c r="O4371">
        <f t="shared" si="414"/>
        <v>2025</v>
      </c>
    </row>
    <row r="4372" spans="1:15" x14ac:dyDescent="0.3">
      <c r="A4372">
        <v>200165</v>
      </c>
      <c r="B4372" t="s">
        <v>30</v>
      </c>
      <c r="C4372" s="2">
        <v>45799</v>
      </c>
      <c r="D4372" s="2">
        <f t="shared" si="412"/>
        <v>45829</v>
      </c>
      <c r="E4372" s="1">
        <f>D4372</f>
        <v>45829</v>
      </c>
      <c r="F4372">
        <v>607</v>
      </c>
      <c r="G4372">
        <v>30</v>
      </c>
      <c r="H4372">
        <f t="shared" si="411"/>
        <v>0</v>
      </c>
      <c r="I4372" t="str">
        <f t="shared" si="409"/>
        <v>On Time</v>
      </c>
      <c r="J4372" cm="1">
        <f t="array" ref="J4372">_xlfn.IFS(H4372&lt;30,0,H4372&lt;60,1,H4372&lt;90,2,H4372&lt;120,3)</f>
        <v>0</v>
      </c>
      <c r="M4372" t="str">
        <f t="shared" si="410"/>
        <v>Low</v>
      </c>
      <c r="N4372" t="str">
        <f t="shared" si="413"/>
        <v>May</v>
      </c>
      <c r="O4372">
        <f t="shared" si="414"/>
        <v>2025</v>
      </c>
    </row>
    <row r="4373" spans="1:15" x14ac:dyDescent="0.3">
      <c r="A4373">
        <v>200137</v>
      </c>
      <c r="B4373" t="s">
        <v>58</v>
      </c>
      <c r="C4373" s="2">
        <v>45798</v>
      </c>
      <c r="D4373" s="2">
        <f t="shared" si="412"/>
        <v>45828</v>
      </c>
      <c r="E4373" s="1">
        <f>D4373+3</f>
        <v>45831</v>
      </c>
      <c r="F4373">
        <v>1316</v>
      </c>
      <c r="G4373">
        <v>30</v>
      </c>
      <c r="H4373">
        <f t="shared" si="411"/>
        <v>0</v>
      </c>
      <c r="I4373" t="str">
        <f t="shared" si="409"/>
        <v>On Time</v>
      </c>
      <c r="J4373" cm="1">
        <f t="array" ref="J4373">_xlfn.IFS(H4373&lt;30,0,H4373&lt;60,1,H4373&lt;90,2,H4373&lt;120,3)</f>
        <v>0</v>
      </c>
      <c r="M4373" t="str">
        <f t="shared" si="410"/>
        <v>Low</v>
      </c>
      <c r="N4373" t="str">
        <f t="shared" si="413"/>
        <v>May</v>
      </c>
      <c r="O4373">
        <f t="shared" si="414"/>
        <v>2025</v>
      </c>
    </row>
    <row r="4374" spans="1:15" x14ac:dyDescent="0.3">
      <c r="A4374">
        <v>200138</v>
      </c>
      <c r="B4374" t="s">
        <v>59</v>
      </c>
      <c r="C4374" s="2">
        <v>45798</v>
      </c>
      <c r="D4374" s="2">
        <f t="shared" si="412"/>
        <v>45828</v>
      </c>
      <c r="E4374" s="1">
        <f>D4374+1</f>
        <v>45829</v>
      </c>
      <c r="F4374">
        <v>1776</v>
      </c>
      <c r="G4374">
        <v>30</v>
      </c>
      <c r="H4374">
        <f t="shared" si="411"/>
        <v>0</v>
      </c>
      <c r="I4374" t="str">
        <f t="shared" ref="I4374:I4419" si="415">IF(H4374=0,"On Time",IF(H4374&lt;=15,"Paid Late","Seriously Late"))</f>
        <v>On Time</v>
      </c>
      <c r="J4374" cm="1">
        <f t="array" ref="J4374">_xlfn.IFS(H4374&lt;30,0,H4374&lt;60,1,H4374&lt;90,2,H4374&lt;120,3)</f>
        <v>0</v>
      </c>
      <c r="M4374" t="str">
        <f t="shared" ref="M4374:M4437" si="416">IF(H4374&gt;30,"High",IF(H4374&gt;10,"Medium","Low"))</f>
        <v>Low</v>
      </c>
      <c r="N4374" t="str">
        <f t="shared" si="413"/>
        <v>May</v>
      </c>
      <c r="O4374">
        <f t="shared" si="414"/>
        <v>2025</v>
      </c>
    </row>
    <row r="4375" spans="1:15" x14ac:dyDescent="0.3">
      <c r="A4375">
        <v>200139</v>
      </c>
      <c r="B4375" t="s">
        <v>60</v>
      </c>
      <c r="C4375" s="2">
        <v>45798</v>
      </c>
      <c r="D4375" s="2">
        <f t="shared" si="412"/>
        <v>45828</v>
      </c>
      <c r="E4375" s="1">
        <f>D4375-1</f>
        <v>45827</v>
      </c>
      <c r="F4375">
        <v>829</v>
      </c>
      <c r="G4375">
        <v>30</v>
      </c>
      <c r="H4375">
        <f t="shared" si="411"/>
        <v>0</v>
      </c>
      <c r="I4375" t="str">
        <f t="shared" si="415"/>
        <v>On Time</v>
      </c>
      <c r="J4375" cm="1">
        <f t="array" ref="J4375">_xlfn.IFS(H4375&lt;30,0,H4375&lt;60,1,H4375&lt;90,2,H4375&lt;120,3)</f>
        <v>0</v>
      </c>
      <c r="M4375" t="str">
        <f t="shared" si="416"/>
        <v>Low</v>
      </c>
      <c r="N4375" t="str">
        <f t="shared" si="413"/>
        <v>May</v>
      </c>
      <c r="O4375">
        <f t="shared" si="414"/>
        <v>2025</v>
      </c>
    </row>
    <row r="4376" spans="1:15" x14ac:dyDescent="0.3">
      <c r="A4376">
        <v>200140</v>
      </c>
      <c r="B4376" t="s">
        <v>61</v>
      </c>
      <c r="C4376" s="2">
        <v>45798</v>
      </c>
      <c r="D4376" s="2">
        <f t="shared" si="412"/>
        <v>45828</v>
      </c>
      <c r="E4376" s="1">
        <f>D4376</f>
        <v>45828</v>
      </c>
      <c r="F4376">
        <v>3434</v>
      </c>
      <c r="G4376">
        <v>30</v>
      </c>
      <c r="H4376">
        <f t="shared" si="411"/>
        <v>0</v>
      </c>
      <c r="I4376" t="str">
        <f t="shared" si="415"/>
        <v>On Time</v>
      </c>
      <c r="J4376" cm="1">
        <f t="array" ref="J4376">_xlfn.IFS(H4376&lt;30,0,H4376&lt;60,1,H4376&lt;90,2,H4376&lt;120,3)</f>
        <v>0</v>
      </c>
      <c r="M4376" t="str">
        <f t="shared" si="416"/>
        <v>Low</v>
      </c>
      <c r="N4376" t="str">
        <f t="shared" si="413"/>
        <v>May</v>
      </c>
      <c r="O4376">
        <f t="shared" si="414"/>
        <v>2025</v>
      </c>
    </row>
    <row r="4377" spans="1:15" x14ac:dyDescent="0.3">
      <c r="A4377">
        <v>200141</v>
      </c>
      <c r="B4377" t="s">
        <v>62</v>
      </c>
      <c r="C4377" s="2">
        <v>45798</v>
      </c>
      <c r="D4377" s="2">
        <f t="shared" si="412"/>
        <v>45828</v>
      </c>
      <c r="E4377" s="1">
        <f>D4377+1</f>
        <v>45829</v>
      </c>
      <c r="F4377">
        <v>3287</v>
      </c>
      <c r="G4377">
        <v>30</v>
      </c>
      <c r="H4377">
        <f t="shared" si="411"/>
        <v>0</v>
      </c>
      <c r="I4377" t="str">
        <f t="shared" si="415"/>
        <v>On Time</v>
      </c>
      <c r="J4377" cm="1">
        <f t="array" ref="J4377">_xlfn.IFS(H4377&lt;30,0,H4377&lt;60,1,H4377&lt;90,2,H4377&lt;120,3)</f>
        <v>0</v>
      </c>
      <c r="M4377" t="str">
        <f t="shared" si="416"/>
        <v>Low</v>
      </c>
      <c r="N4377" t="str">
        <f t="shared" si="413"/>
        <v>May</v>
      </c>
      <c r="O4377">
        <f t="shared" si="414"/>
        <v>2025</v>
      </c>
    </row>
    <row r="4378" spans="1:15" x14ac:dyDescent="0.3">
      <c r="A4378">
        <v>200142</v>
      </c>
      <c r="B4378" t="s">
        <v>63</v>
      </c>
      <c r="C4378" s="2">
        <v>45798</v>
      </c>
      <c r="D4378" s="2">
        <f t="shared" si="412"/>
        <v>45828</v>
      </c>
      <c r="E4378" s="1">
        <f>D4378+35</f>
        <v>45863</v>
      </c>
      <c r="F4378">
        <v>4878</v>
      </c>
      <c r="G4378">
        <v>30</v>
      </c>
      <c r="H4378">
        <f t="shared" si="411"/>
        <v>0</v>
      </c>
      <c r="I4378" t="str">
        <f t="shared" si="415"/>
        <v>On Time</v>
      </c>
      <c r="J4378" cm="1">
        <f t="array" ref="J4378">_xlfn.IFS(H4378&lt;30,0,H4378&lt;60,1,H4378&lt;90,2,H4378&lt;120,3)</f>
        <v>0</v>
      </c>
      <c r="M4378" t="str">
        <f t="shared" si="416"/>
        <v>Low</v>
      </c>
      <c r="N4378" t="str">
        <f t="shared" si="413"/>
        <v>May</v>
      </c>
      <c r="O4378">
        <f t="shared" si="414"/>
        <v>2025</v>
      </c>
    </row>
    <row r="4379" spans="1:15" x14ac:dyDescent="0.3">
      <c r="A4379">
        <v>200143</v>
      </c>
      <c r="B4379" t="s">
        <v>64</v>
      </c>
      <c r="C4379" s="2">
        <v>45798</v>
      </c>
      <c r="D4379" s="2">
        <f t="shared" si="412"/>
        <v>45828</v>
      </c>
      <c r="E4379" s="1">
        <f>D4379+75</f>
        <v>45903</v>
      </c>
      <c r="F4379">
        <v>18454</v>
      </c>
      <c r="G4379">
        <v>30</v>
      </c>
      <c r="H4379">
        <f t="shared" si="411"/>
        <v>0</v>
      </c>
      <c r="I4379" t="str">
        <f t="shared" si="415"/>
        <v>On Time</v>
      </c>
      <c r="J4379" cm="1">
        <f t="array" ref="J4379">_xlfn.IFS(H4379&lt;30,0,H4379&lt;60,1,H4379&lt;90,2,H4379&lt;120,3)</f>
        <v>0</v>
      </c>
      <c r="M4379" t="str">
        <f t="shared" si="416"/>
        <v>Low</v>
      </c>
      <c r="N4379" t="str">
        <f t="shared" si="413"/>
        <v>May</v>
      </c>
      <c r="O4379">
        <f t="shared" si="414"/>
        <v>2025</v>
      </c>
    </row>
    <row r="4380" spans="1:15" x14ac:dyDescent="0.3">
      <c r="A4380">
        <v>200144</v>
      </c>
      <c r="B4380" t="s">
        <v>65</v>
      </c>
      <c r="C4380" s="2">
        <v>45798</v>
      </c>
      <c r="D4380" s="2">
        <f t="shared" si="412"/>
        <v>45843</v>
      </c>
      <c r="E4380" s="1">
        <f>D4380+5</f>
        <v>45848</v>
      </c>
      <c r="F4380">
        <v>612</v>
      </c>
      <c r="G4380">
        <v>45</v>
      </c>
      <c r="H4380">
        <f t="shared" si="411"/>
        <v>0</v>
      </c>
      <c r="I4380" t="str">
        <f t="shared" si="415"/>
        <v>On Time</v>
      </c>
      <c r="J4380" cm="1">
        <f t="array" ref="J4380">_xlfn.IFS(H4380&lt;30,0,H4380&lt;60,1,H4380&lt;90,2,H4380&lt;120,3)</f>
        <v>0</v>
      </c>
      <c r="M4380" t="str">
        <f t="shared" si="416"/>
        <v>Low</v>
      </c>
      <c r="N4380" t="str">
        <f t="shared" si="413"/>
        <v>May</v>
      </c>
      <c r="O4380">
        <f t="shared" si="414"/>
        <v>2025</v>
      </c>
    </row>
    <row r="4381" spans="1:15" x14ac:dyDescent="0.3">
      <c r="A4381">
        <v>200145</v>
      </c>
      <c r="B4381" t="s">
        <v>66</v>
      </c>
      <c r="C4381" s="2">
        <v>45798</v>
      </c>
      <c r="D4381" s="2">
        <f t="shared" si="412"/>
        <v>45858</v>
      </c>
      <c r="E4381" s="1">
        <f>D4381</f>
        <v>45858</v>
      </c>
      <c r="F4381">
        <v>612</v>
      </c>
      <c r="G4381">
        <v>60</v>
      </c>
      <c r="H4381">
        <f t="shared" si="411"/>
        <v>0</v>
      </c>
      <c r="I4381" t="str">
        <f t="shared" si="415"/>
        <v>On Time</v>
      </c>
      <c r="J4381" cm="1">
        <f t="array" ref="J4381">_xlfn.IFS(H4381&lt;30,0,H4381&lt;60,1,H4381&lt;90,2,H4381&lt;120,3)</f>
        <v>0</v>
      </c>
      <c r="M4381" t="str">
        <f t="shared" si="416"/>
        <v>Low</v>
      </c>
      <c r="N4381" t="str">
        <f t="shared" si="413"/>
        <v>May</v>
      </c>
      <c r="O4381">
        <f t="shared" si="414"/>
        <v>2025</v>
      </c>
    </row>
    <row r="4382" spans="1:15" x14ac:dyDescent="0.3">
      <c r="A4382">
        <v>200146</v>
      </c>
      <c r="B4382" t="s">
        <v>108</v>
      </c>
      <c r="C4382" s="2">
        <v>45798</v>
      </c>
      <c r="D4382" s="2">
        <f t="shared" si="412"/>
        <v>45828</v>
      </c>
      <c r="E4382" s="1">
        <f>D4382-1</f>
        <v>45827</v>
      </c>
      <c r="F4382">
        <v>802</v>
      </c>
      <c r="G4382">
        <v>30</v>
      </c>
      <c r="H4382">
        <f t="shared" si="411"/>
        <v>0</v>
      </c>
      <c r="I4382" t="str">
        <f t="shared" si="415"/>
        <v>On Time</v>
      </c>
      <c r="J4382" cm="1">
        <f t="array" ref="J4382">_xlfn.IFS(H4382&lt;30,0,H4382&lt;60,1,H4382&lt;90,2,H4382&lt;120,3)</f>
        <v>0</v>
      </c>
      <c r="M4382" t="str">
        <f t="shared" si="416"/>
        <v>Low</v>
      </c>
      <c r="N4382" t="str">
        <f t="shared" si="413"/>
        <v>May</v>
      </c>
      <c r="O4382">
        <f t="shared" si="414"/>
        <v>2025</v>
      </c>
    </row>
    <row r="4383" spans="1:15" x14ac:dyDescent="0.3">
      <c r="A4383">
        <v>200147</v>
      </c>
      <c r="B4383" t="s">
        <v>109</v>
      </c>
      <c r="C4383" s="2">
        <v>45798</v>
      </c>
      <c r="D4383" s="2">
        <f t="shared" si="412"/>
        <v>45828</v>
      </c>
      <c r="E4383" s="1">
        <f>D4383</f>
        <v>45828</v>
      </c>
      <c r="F4383">
        <v>548</v>
      </c>
      <c r="G4383">
        <v>30</v>
      </c>
      <c r="H4383">
        <f t="shared" si="411"/>
        <v>0</v>
      </c>
      <c r="I4383" t="str">
        <f t="shared" si="415"/>
        <v>On Time</v>
      </c>
      <c r="J4383" cm="1">
        <f t="array" ref="J4383">_xlfn.IFS(H4383&lt;30,0,H4383&lt;60,1,H4383&lt;90,2,H4383&lt;120,3)</f>
        <v>0</v>
      </c>
      <c r="M4383" t="str">
        <f t="shared" si="416"/>
        <v>Low</v>
      </c>
      <c r="N4383" t="str">
        <f t="shared" si="413"/>
        <v>May</v>
      </c>
      <c r="O4383">
        <f t="shared" si="414"/>
        <v>2025</v>
      </c>
    </row>
    <row r="4384" spans="1:15" x14ac:dyDescent="0.3">
      <c r="A4384">
        <v>200148</v>
      </c>
      <c r="B4384" t="s">
        <v>110</v>
      </c>
      <c r="C4384" s="2">
        <v>45798</v>
      </c>
      <c r="D4384" s="2">
        <f t="shared" si="412"/>
        <v>45843</v>
      </c>
      <c r="E4384" s="1">
        <f>D4384+32</f>
        <v>45875</v>
      </c>
      <c r="F4384">
        <v>1524</v>
      </c>
      <c r="G4384">
        <v>45</v>
      </c>
      <c r="H4384">
        <f t="shared" si="411"/>
        <v>0</v>
      </c>
      <c r="I4384" t="str">
        <f t="shared" si="415"/>
        <v>On Time</v>
      </c>
      <c r="J4384" cm="1">
        <f t="array" ref="J4384">_xlfn.IFS(H4384&lt;30,0,H4384&lt;60,1,H4384&lt;90,2,H4384&lt;120,3)</f>
        <v>0</v>
      </c>
      <c r="M4384" t="str">
        <f t="shared" si="416"/>
        <v>Low</v>
      </c>
      <c r="N4384" t="str">
        <f t="shared" si="413"/>
        <v>May</v>
      </c>
      <c r="O4384">
        <f t="shared" si="414"/>
        <v>2025</v>
      </c>
    </row>
    <row r="4385" spans="1:15" x14ac:dyDescent="0.3">
      <c r="A4385">
        <v>200149</v>
      </c>
      <c r="B4385" t="s">
        <v>111</v>
      </c>
      <c r="C4385" s="2">
        <v>45798</v>
      </c>
      <c r="D4385" s="2">
        <f t="shared" si="412"/>
        <v>45858</v>
      </c>
      <c r="E4385" s="1">
        <f>D4385+15</f>
        <v>45873</v>
      </c>
      <c r="F4385">
        <v>3215</v>
      </c>
      <c r="G4385">
        <v>60</v>
      </c>
      <c r="H4385">
        <f t="shared" si="411"/>
        <v>0</v>
      </c>
      <c r="I4385" t="str">
        <f t="shared" si="415"/>
        <v>On Time</v>
      </c>
      <c r="J4385" cm="1">
        <f t="array" ref="J4385">_xlfn.IFS(H4385&lt;30,0,H4385&lt;60,1,H4385&lt;90,2,H4385&lt;120,3)</f>
        <v>0</v>
      </c>
      <c r="M4385" t="str">
        <f t="shared" si="416"/>
        <v>Low</v>
      </c>
      <c r="N4385" t="str">
        <f t="shared" si="413"/>
        <v>May</v>
      </c>
      <c r="O4385">
        <f t="shared" si="414"/>
        <v>2025</v>
      </c>
    </row>
    <row r="4386" spans="1:15" x14ac:dyDescent="0.3">
      <c r="A4386">
        <v>200122</v>
      </c>
      <c r="B4386" t="s">
        <v>44</v>
      </c>
      <c r="C4386" s="2">
        <v>45797</v>
      </c>
      <c r="D4386" s="2">
        <f t="shared" si="412"/>
        <v>45842</v>
      </c>
      <c r="E4386" s="1">
        <f>D4386+2</f>
        <v>45844</v>
      </c>
      <c r="F4386">
        <v>17565</v>
      </c>
      <c r="G4386">
        <v>45</v>
      </c>
      <c r="H4386">
        <f t="shared" si="411"/>
        <v>0</v>
      </c>
      <c r="I4386" t="str">
        <f t="shared" si="415"/>
        <v>On Time</v>
      </c>
      <c r="J4386" cm="1">
        <f t="array" ref="J4386">_xlfn.IFS(H4386&lt;30,0,H4386&lt;60,1,H4386&lt;90,2,H4386&lt;120,3)</f>
        <v>0</v>
      </c>
      <c r="M4386" t="str">
        <f t="shared" si="416"/>
        <v>Low</v>
      </c>
      <c r="N4386" t="str">
        <f t="shared" si="413"/>
        <v>May</v>
      </c>
      <c r="O4386">
        <f t="shared" si="414"/>
        <v>2025</v>
      </c>
    </row>
    <row r="4387" spans="1:15" x14ac:dyDescent="0.3">
      <c r="A4387">
        <v>200123</v>
      </c>
      <c r="B4387" t="s">
        <v>96</v>
      </c>
      <c r="C4387" s="2">
        <v>45797</v>
      </c>
      <c r="D4387" s="2">
        <f t="shared" si="412"/>
        <v>45857</v>
      </c>
      <c r="E4387" s="1">
        <f>D4387</f>
        <v>45857</v>
      </c>
      <c r="F4387">
        <v>3681</v>
      </c>
      <c r="G4387">
        <v>60</v>
      </c>
      <c r="H4387">
        <f t="shared" si="411"/>
        <v>0</v>
      </c>
      <c r="I4387" t="str">
        <f t="shared" si="415"/>
        <v>On Time</v>
      </c>
      <c r="J4387" cm="1">
        <f t="array" ref="J4387">_xlfn.IFS(H4387&lt;30,0,H4387&lt;60,1,H4387&lt;90,2,H4387&lt;120,3)</f>
        <v>0</v>
      </c>
      <c r="M4387" t="str">
        <f t="shared" si="416"/>
        <v>Low</v>
      </c>
      <c r="N4387" t="str">
        <f t="shared" si="413"/>
        <v>May</v>
      </c>
      <c r="O4387">
        <f t="shared" si="414"/>
        <v>2025</v>
      </c>
    </row>
    <row r="4388" spans="1:15" x14ac:dyDescent="0.3">
      <c r="A4388">
        <v>200124</v>
      </c>
      <c r="B4388" t="s">
        <v>97</v>
      </c>
      <c r="C4388" s="2">
        <v>45797</v>
      </c>
      <c r="D4388" s="2">
        <f t="shared" si="412"/>
        <v>45827</v>
      </c>
      <c r="E4388" s="1">
        <f>D4388+20</f>
        <v>45847</v>
      </c>
      <c r="F4388">
        <v>2382</v>
      </c>
      <c r="G4388">
        <v>30</v>
      </c>
      <c r="H4388">
        <f t="shared" si="411"/>
        <v>0</v>
      </c>
      <c r="I4388" t="str">
        <f t="shared" si="415"/>
        <v>On Time</v>
      </c>
      <c r="J4388" cm="1">
        <f t="array" ref="J4388">_xlfn.IFS(H4388&lt;30,0,H4388&lt;60,1,H4388&lt;90,2,H4388&lt;120,3)</f>
        <v>0</v>
      </c>
      <c r="M4388" t="str">
        <f t="shared" si="416"/>
        <v>Low</v>
      </c>
      <c r="N4388" t="str">
        <f t="shared" si="413"/>
        <v>May</v>
      </c>
      <c r="O4388">
        <f t="shared" si="414"/>
        <v>2025</v>
      </c>
    </row>
    <row r="4389" spans="1:15" x14ac:dyDescent="0.3">
      <c r="A4389">
        <v>200125</v>
      </c>
      <c r="B4389" t="s">
        <v>98</v>
      </c>
      <c r="C4389" s="2">
        <v>45797</v>
      </c>
      <c r="D4389" s="2">
        <f t="shared" si="412"/>
        <v>45827</v>
      </c>
      <c r="E4389" s="1">
        <f>D4389</f>
        <v>45827</v>
      </c>
      <c r="F4389">
        <v>3056</v>
      </c>
      <c r="G4389">
        <v>30</v>
      </c>
      <c r="H4389">
        <f t="shared" si="411"/>
        <v>0</v>
      </c>
      <c r="I4389" t="str">
        <f t="shared" si="415"/>
        <v>On Time</v>
      </c>
      <c r="J4389" cm="1">
        <f t="array" ref="J4389">_xlfn.IFS(H4389&lt;30,0,H4389&lt;60,1,H4389&lt;90,2,H4389&lt;120,3)</f>
        <v>0</v>
      </c>
      <c r="M4389" t="str">
        <f t="shared" si="416"/>
        <v>Low</v>
      </c>
      <c r="N4389" t="str">
        <f t="shared" si="413"/>
        <v>May</v>
      </c>
      <c r="O4389">
        <f t="shared" si="414"/>
        <v>2025</v>
      </c>
    </row>
    <row r="4390" spans="1:15" x14ac:dyDescent="0.3">
      <c r="A4390">
        <v>200126</v>
      </c>
      <c r="B4390" t="s">
        <v>99</v>
      </c>
      <c r="C4390" s="2">
        <v>45797</v>
      </c>
      <c r="D4390" s="2">
        <f t="shared" si="412"/>
        <v>45827</v>
      </c>
      <c r="E4390" s="1">
        <f>D4390+1</f>
        <v>45828</v>
      </c>
      <c r="F4390">
        <v>4850</v>
      </c>
      <c r="G4390">
        <v>30</v>
      </c>
      <c r="H4390">
        <f t="shared" ref="H4390:H4453" si="417">MAX(0,P4355-D4390)</f>
        <v>0</v>
      </c>
      <c r="I4390" t="str">
        <f t="shared" si="415"/>
        <v>On Time</v>
      </c>
      <c r="J4390" cm="1">
        <f t="array" ref="J4390">_xlfn.IFS(H4390&lt;30,0,H4390&lt;60,1,H4390&lt;90,2,H4390&lt;120,3)</f>
        <v>0</v>
      </c>
      <c r="M4390" t="str">
        <f t="shared" si="416"/>
        <v>Low</v>
      </c>
      <c r="N4390" t="str">
        <f t="shared" si="413"/>
        <v>May</v>
      </c>
      <c r="O4390">
        <f t="shared" si="414"/>
        <v>2025</v>
      </c>
    </row>
    <row r="4391" spans="1:15" x14ac:dyDescent="0.3">
      <c r="A4391">
        <v>200127</v>
      </c>
      <c r="B4391" t="s">
        <v>100</v>
      </c>
      <c r="C4391" s="2">
        <v>45797</v>
      </c>
      <c r="D4391" s="2">
        <f t="shared" si="412"/>
        <v>45827</v>
      </c>
      <c r="E4391" s="1">
        <f>D4391</f>
        <v>45827</v>
      </c>
      <c r="F4391">
        <v>4962</v>
      </c>
      <c r="G4391">
        <v>30</v>
      </c>
      <c r="H4391">
        <f t="shared" si="417"/>
        <v>0</v>
      </c>
      <c r="I4391" t="str">
        <f t="shared" si="415"/>
        <v>On Time</v>
      </c>
      <c r="J4391" cm="1">
        <f t="array" ref="J4391">_xlfn.IFS(H4391&lt;30,0,H4391&lt;60,1,H4391&lt;90,2,H4391&lt;120,3)</f>
        <v>0</v>
      </c>
      <c r="M4391" t="str">
        <f t="shared" si="416"/>
        <v>Low</v>
      </c>
      <c r="N4391" t="str">
        <f t="shared" si="413"/>
        <v>May</v>
      </c>
      <c r="O4391">
        <f t="shared" si="414"/>
        <v>2025</v>
      </c>
    </row>
    <row r="4392" spans="1:15" x14ac:dyDescent="0.3">
      <c r="A4392">
        <v>200128</v>
      </c>
      <c r="B4392" t="s">
        <v>101</v>
      </c>
      <c r="C4392" s="2">
        <v>45797</v>
      </c>
      <c r="D4392" s="2">
        <f t="shared" si="412"/>
        <v>45827</v>
      </c>
      <c r="E4392" s="1">
        <f>D4392</f>
        <v>45827</v>
      </c>
      <c r="F4392">
        <v>601</v>
      </c>
      <c r="G4392">
        <v>30</v>
      </c>
      <c r="H4392">
        <f t="shared" si="417"/>
        <v>0</v>
      </c>
      <c r="I4392" t="str">
        <f t="shared" si="415"/>
        <v>On Time</v>
      </c>
      <c r="J4392" cm="1">
        <f t="array" ref="J4392">_xlfn.IFS(H4392&lt;30,0,H4392&lt;60,1,H4392&lt;90,2,H4392&lt;120,3)</f>
        <v>0</v>
      </c>
      <c r="M4392" t="str">
        <f t="shared" si="416"/>
        <v>Low</v>
      </c>
      <c r="N4392" t="str">
        <f t="shared" si="413"/>
        <v>May</v>
      </c>
      <c r="O4392">
        <f t="shared" si="414"/>
        <v>2025</v>
      </c>
    </row>
    <row r="4393" spans="1:15" x14ac:dyDescent="0.3">
      <c r="A4393">
        <v>200129</v>
      </c>
      <c r="B4393" t="s">
        <v>102</v>
      </c>
      <c r="C4393" s="2">
        <v>45797</v>
      </c>
      <c r="D4393" s="2">
        <f t="shared" si="412"/>
        <v>45827</v>
      </c>
      <c r="E4393" s="1">
        <f>D4393+5</f>
        <v>45832</v>
      </c>
      <c r="F4393">
        <v>183</v>
      </c>
      <c r="G4393">
        <v>30</v>
      </c>
      <c r="H4393">
        <f t="shared" si="417"/>
        <v>0</v>
      </c>
      <c r="I4393" t="str">
        <f t="shared" si="415"/>
        <v>On Time</v>
      </c>
      <c r="J4393" cm="1">
        <f t="array" ref="J4393">_xlfn.IFS(H4393&lt;30,0,H4393&lt;60,1,H4393&lt;90,2,H4393&lt;120,3)</f>
        <v>0</v>
      </c>
      <c r="M4393" t="str">
        <f t="shared" si="416"/>
        <v>Low</v>
      </c>
      <c r="N4393" t="str">
        <f t="shared" si="413"/>
        <v>May</v>
      </c>
      <c r="O4393">
        <f t="shared" si="414"/>
        <v>2025</v>
      </c>
    </row>
    <row r="4394" spans="1:15" x14ac:dyDescent="0.3">
      <c r="A4394">
        <v>200130</v>
      </c>
      <c r="B4394" t="s">
        <v>103</v>
      </c>
      <c r="C4394" s="2">
        <v>45797</v>
      </c>
      <c r="D4394" s="2">
        <f t="shared" si="412"/>
        <v>45827</v>
      </c>
      <c r="E4394" s="1">
        <f>D4394+2</f>
        <v>45829</v>
      </c>
      <c r="F4394">
        <v>2734</v>
      </c>
      <c r="G4394">
        <v>30</v>
      </c>
      <c r="H4394">
        <f t="shared" si="417"/>
        <v>0</v>
      </c>
      <c r="I4394" t="str">
        <f t="shared" si="415"/>
        <v>On Time</v>
      </c>
      <c r="J4394" cm="1">
        <f t="array" ref="J4394">_xlfn.IFS(H4394&lt;30,0,H4394&lt;60,1,H4394&lt;90,2,H4394&lt;120,3)</f>
        <v>0</v>
      </c>
      <c r="M4394" t="str">
        <f t="shared" si="416"/>
        <v>Low</v>
      </c>
      <c r="N4394" t="str">
        <f t="shared" si="413"/>
        <v>May</v>
      </c>
      <c r="O4394">
        <f t="shared" si="414"/>
        <v>2025</v>
      </c>
    </row>
    <row r="4395" spans="1:15" x14ac:dyDescent="0.3">
      <c r="A4395">
        <v>200131</v>
      </c>
      <c r="B4395" t="s">
        <v>104</v>
      </c>
      <c r="C4395" s="2">
        <v>45797</v>
      </c>
      <c r="D4395" s="2">
        <f t="shared" si="412"/>
        <v>45827</v>
      </c>
      <c r="E4395" s="1">
        <f>D4395</f>
        <v>45827</v>
      </c>
      <c r="F4395">
        <v>9914</v>
      </c>
      <c r="G4395">
        <v>30</v>
      </c>
      <c r="H4395">
        <f t="shared" si="417"/>
        <v>0</v>
      </c>
      <c r="I4395" t="str">
        <f t="shared" si="415"/>
        <v>On Time</v>
      </c>
      <c r="J4395" cm="1">
        <f t="array" ref="J4395">_xlfn.IFS(H4395&lt;30,0,H4395&lt;60,1,H4395&lt;90,2,H4395&lt;120,3)</f>
        <v>0</v>
      </c>
      <c r="M4395" t="str">
        <f t="shared" si="416"/>
        <v>Low</v>
      </c>
      <c r="N4395" t="str">
        <f t="shared" si="413"/>
        <v>May</v>
      </c>
      <c r="O4395">
        <f t="shared" si="414"/>
        <v>2025</v>
      </c>
    </row>
    <row r="4396" spans="1:15" x14ac:dyDescent="0.3">
      <c r="A4396">
        <v>200132</v>
      </c>
      <c r="B4396" t="s">
        <v>105</v>
      </c>
      <c r="C4396" s="2">
        <v>45797</v>
      </c>
      <c r="D4396" s="2">
        <f t="shared" si="412"/>
        <v>45827</v>
      </c>
      <c r="E4396" s="1">
        <f>D4396</f>
        <v>45827</v>
      </c>
      <c r="F4396">
        <v>4710</v>
      </c>
      <c r="G4396">
        <v>30</v>
      </c>
      <c r="H4396">
        <f t="shared" si="417"/>
        <v>0</v>
      </c>
      <c r="I4396" t="str">
        <f t="shared" si="415"/>
        <v>On Time</v>
      </c>
      <c r="J4396" cm="1">
        <f t="array" ref="J4396">_xlfn.IFS(H4396&lt;30,0,H4396&lt;60,1,H4396&lt;90,2,H4396&lt;120,3)</f>
        <v>0</v>
      </c>
      <c r="M4396" t="str">
        <f t="shared" si="416"/>
        <v>Low</v>
      </c>
      <c r="N4396" t="str">
        <f t="shared" si="413"/>
        <v>May</v>
      </c>
      <c r="O4396">
        <f t="shared" si="414"/>
        <v>2025</v>
      </c>
    </row>
    <row r="4397" spans="1:15" x14ac:dyDescent="0.3">
      <c r="A4397">
        <v>200133</v>
      </c>
      <c r="B4397" t="s">
        <v>106</v>
      </c>
      <c r="C4397" s="2">
        <v>45797</v>
      </c>
      <c r="D4397" s="2">
        <f t="shared" si="412"/>
        <v>45827</v>
      </c>
      <c r="E4397" s="1">
        <f>D4397</f>
        <v>45827</v>
      </c>
      <c r="F4397">
        <v>2113</v>
      </c>
      <c r="G4397">
        <v>30</v>
      </c>
      <c r="H4397">
        <f t="shared" si="417"/>
        <v>0</v>
      </c>
      <c r="I4397" t="str">
        <f t="shared" si="415"/>
        <v>On Time</v>
      </c>
      <c r="J4397" cm="1">
        <f t="array" ref="J4397">_xlfn.IFS(H4397&lt;30,0,H4397&lt;60,1,H4397&lt;90,2,H4397&lt;120,3)</f>
        <v>0</v>
      </c>
      <c r="M4397" t="str">
        <f t="shared" si="416"/>
        <v>Low</v>
      </c>
      <c r="N4397" t="str">
        <f t="shared" si="413"/>
        <v>May</v>
      </c>
      <c r="O4397">
        <f t="shared" si="414"/>
        <v>2025</v>
      </c>
    </row>
    <row r="4398" spans="1:15" x14ac:dyDescent="0.3">
      <c r="A4398">
        <v>200134</v>
      </c>
      <c r="B4398" t="s">
        <v>107</v>
      </c>
      <c r="C4398" s="2">
        <v>45797</v>
      </c>
      <c r="D4398" s="2">
        <f t="shared" si="412"/>
        <v>45827</v>
      </c>
      <c r="E4398" s="1">
        <f>D4398+60</f>
        <v>45887</v>
      </c>
      <c r="F4398">
        <v>4832</v>
      </c>
      <c r="G4398">
        <v>30</v>
      </c>
      <c r="H4398">
        <f t="shared" si="417"/>
        <v>0</v>
      </c>
      <c r="I4398" t="str">
        <f t="shared" si="415"/>
        <v>On Time</v>
      </c>
      <c r="J4398" cm="1">
        <f t="array" ref="J4398">_xlfn.IFS(H4398&lt;30,0,H4398&lt;60,1,H4398&lt;90,2,H4398&lt;120,3)</f>
        <v>0</v>
      </c>
      <c r="M4398" t="str">
        <f t="shared" si="416"/>
        <v>Low</v>
      </c>
      <c r="N4398" t="str">
        <f t="shared" si="413"/>
        <v>May</v>
      </c>
      <c r="O4398">
        <f t="shared" si="414"/>
        <v>2025</v>
      </c>
    </row>
    <row r="4399" spans="1:15" x14ac:dyDescent="0.3">
      <c r="A4399">
        <v>200135</v>
      </c>
      <c r="B4399" t="s">
        <v>56</v>
      </c>
      <c r="C4399" s="2">
        <v>45797</v>
      </c>
      <c r="D4399" s="2">
        <f t="shared" si="412"/>
        <v>45842</v>
      </c>
      <c r="E4399" s="1">
        <f>D4399</f>
        <v>45842</v>
      </c>
      <c r="F4399">
        <v>1059</v>
      </c>
      <c r="G4399">
        <v>45</v>
      </c>
      <c r="H4399">
        <f t="shared" si="417"/>
        <v>0</v>
      </c>
      <c r="I4399" t="str">
        <f t="shared" si="415"/>
        <v>On Time</v>
      </c>
      <c r="J4399" cm="1">
        <f t="array" ref="J4399">_xlfn.IFS(H4399&lt;30,0,H4399&lt;60,1,H4399&lt;90,2,H4399&lt;120,3)</f>
        <v>0</v>
      </c>
      <c r="M4399" t="str">
        <f t="shared" si="416"/>
        <v>Low</v>
      </c>
      <c r="N4399" t="str">
        <f t="shared" si="413"/>
        <v>May</v>
      </c>
      <c r="O4399">
        <f t="shared" si="414"/>
        <v>2025</v>
      </c>
    </row>
    <row r="4400" spans="1:15" x14ac:dyDescent="0.3">
      <c r="A4400">
        <v>200136</v>
      </c>
      <c r="B4400" t="s">
        <v>57</v>
      </c>
      <c r="C4400" s="2">
        <v>45797</v>
      </c>
      <c r="D4400" s="2">
        <f t="shared" si="412"/>
        <v>45857</v>
      </c>
      <c r="E4400" s="1">
        <f>D4400</f>
        <v>45857</v>
      </c>
      <c r="F4400">
        <v>761</v>
      </c>
      <c r="G4400">
        <v>60</v>
      </c>
      <c r="H4400">
        <f t="shared" si="417"/>
        <v>0</v>
      </c>
      <c r="I4400" t="str">
        <f t="shared" si="415"/>
        <v>On Time</v>
      </c>
      <c r="J4400" cm="1">
        <f t="array" ref="J4400">_xlfn.IFS(H4400&lt;30,0,H4400&lt;60,1,H4400&lt;90,2,H4400&lt;120,3)</f>
        <v>0</v>
      </c>
      <c r="M4400" t="str">
        <f t="shared" si="416"/>
        <v>Low</v>
      </c>
      <c r="N4400" t="str">
        <f t="shared" si="413"/>
        <v>May</v>
      </c>
      <c r="O4400">
        <f t="shared" si="414"/>
        <v>2025</v>
      </c>
    </row>
    <row r="4401" spans="1:15" x14ac:dyDescent="0.3">
      <c r="A4401">
        <v>200109</v>
      </c>
      <c r="B4401" t="s">
        <v>96</v>
      </c>
      <c r="C4401" s="2">
        <v>45796</v>
      </c>
      <c r="D4401" s="2">
        <f t="shared" si="412"/>
        <v>45856</v>
      </c>
      <c r="E4401" s="1">
        <f>D4401+35</f>
        <v>45891</v>
      </c>
      <c r="F4401">
        <v>16111</v>
      </c>
      <c r="G4401">
        <v>60</v>
      </c>
      <c r="H4401">
        <f t="shared" si="417"/>
        <v>0</v>
      </c>
      <c r="I4401" t="str">
        <f t="shared" si="415"/>
        <v>On Time</v>
      </c>
      <c r="J4401" cm="1">
        <f t="array" ref="J4401">_xlfn.IFS(H4401&lt;30,0,H4401&lt;60,1,H4401&lt;90,2,H4401&lt;120,3)</f>
        <v>0</v>
      </c>
      <c r="M4401" t="str">
        <f t="shared" si="416"/>
        <v>Low</v>
      </c>
      <c r="N4401" t="str">
        <f t="shared" si="413"/>
        <v>May</v>
      </c>
      <c r="O4401">
        <f t="shared" si="414"/>
        <v>2025</v>
      </c>
    </row>
    <row r="4402" spans="1:15" x14ac:dyDescent="0.3">
      <c r="A4402">
        <v>200110</v>
      </c>
      <c r="B4402" t="s">
        <v>97</v>
      </c>
      <c r="C4402" s="2">
        <v>45796</v>
      </c>
      <c r="D4402" s="2">
        <f t="shared" si="412"/>
        <v>45826</v>
      </c>
      <c r="E4402" s="1">
        <f>D4402+75</f>
        <v>45901</v>
      </c>
      <c r="F4402">
        <v>3245</v>
      </c>
      <c r="G4402">
        <v>30</v>
      </c>
      <c r="H4402">
        <f t="shared" si="417"/>
        <v>0</v>
      </c>
      <c r="I4402" t="str">
        <f t="shared" si="415"/>
        <v>On Time</v>
      </c>
      <c r="J4402" cm="1">
        <f t="array" ref="J4402">_xlfn.IFS(H4402&lt;30,0,H4402&lt;60,1,H4402&lt;90,2,H4402&lt;120,3)</f>
        <v>0</v>
      </c>
      <c r="M4402" t="str">
        <f t="shared" si="416"/>
        <v>Low</v>
      </c>
      <c r="N4402" t="str">
        <f t="shared" si="413"/>
        <v>May</v>
      </c>
      <c r="O4402">
        <f t="shared" si="414"/>
        <v>2025</v>
      </c>
    </row>
    <row r="4403" spans="1:15" x14ac:dyDescent="0.3">
      <c r="A4403">
        <v>200111</v>
      </c>
      <c r="B4403" t="s">
        <v>98</v>
      </c>
      <c r="C4403" s="2">
        <v>45796</v>
      </c>
      <c r="D4403" s="2">
        <f t="shared" si="412"/>
        <v>45826</v>
      </c>
      <c r="E4403" s="1">
        <f>D4403+5</f>
        <v>45831</v>
      </c>
      <c r="F4403">
        <v>14920</v>
      </c>
      <c r="G4403">
        <v>30</v>
      </c>
      <c r="H4403">
        <f t="shared" si="417"/>
        <v>0</v>
      </c>
      <c r="I4403" t="str">
        <f t="shared" si="415"/>
        <v>On Time</v>
      </c>
      <c r="J4403" cm="1">
        <f t="array" ref="J4403">_xlfn.IFS(H4403&lt;30,0,H4403&lt;60,1,H4403&lt;90,2,H4403&lt;120,3)</f>
        <v>0</v>
      </c>
      <c r="M4403" t="str">
        <f t="shared" si="416"/>
        <v>Low</v>
      </c>
      <c r="N4403" t="str">
        <f t="shared" si="413"/>
        <v>May</v>
      </c>
      <c r="O4403">
        <f t="shared" si="414"/>
        <v>2025</v>
      </c>
    </row>
    <row r="4404" spans="1:15" x14ac:dyDescent="0.3">
      <c r="A4404">
        <v>200112</v>
      </c>
      <c r="B4404" t="s">
        <v>99</v>
      </c>
      <c r="C4404" s="2">
        <v>45796</v>
      </c>
      <c r="D4404" s="2">
        <f t="shared" si="412"/>
        <v>45826</v>
      </c>
      <c r="E4404" s="1">
        <f>D4404</f>
        <v>45826</v>
      </c>
      <c r="F4404">
        <v>9539</v>
      </c>
      <c r="G4404">
        <v>30</v>
      </c>
      <c r="H4404">
        <f t="shared" si="417"/>
        <v>0</v>
      </c>
      <c r="I4404" t="str">
        <f t="shared" si="415"/>
        <v>On Time</v>
      </c>
      <c r="J4404" cm="1">
        <f t="array" ref="J4404">_xlfn.IFS(H4404&lt;30,0,H4404&lt;60,1,H4404&lt;90,2,H4404&lt;120,3)</f>
        <v>0</v>
      </c>
      <c r="M4404" t="str">
        <f t="shared" si="416"/>
        <v>Low</v>
      </c>
      <c r="N4404" t="str">
        <f t="shared" si="413"/>
        <v>May</v>
      </c>
      <c r="O4404">
        <f t="shared" si="414"/>
        <v>2025</v>
      </c>
    </row>
    <row r="4405" spans="1:15" x14ac:dyDescent="0.3">
      <c r="A4405">
        <v>200113</v>
      </c>
      <c r="B4405" t="s">
        <v>100</v>
      </c>
      <c r="C4405" s="2">
        <v>45796</v>
      </c>
      <c r="D4405" s="2">
        <f t="shared" si="412"/>
        <v>45826</v>
      </c>
      <c r="E4405" s="1">
        <f>D4405-1</f>
        <v>45825</v>
      </c>
      <c r="F4405">
        <v>2615</v>
      </c>
      <c r="G4405">
        <v>30</v>
      </c>
      <c r="H4405">
        <f t="shared" si="417"/>
        <v>0</v>
      </c>
      <c r="I4405" t="str">
        <f t="shared" si="415"/>
        <v>On Time</v>
      </c>
      <c r="J4405" cm="1">
        <f t="array" ref="J4405">_xlfn.IFS(H4405&lt;30,0,H4405&lt;60,1,H4405&lt;90,2,H4405&lt;120,3)</f>
        <v>0</v>
      </c>
      <c r="M4405" t="str">
        <f t="shared" si="416"/>
        <v>Low</v>
      </c>
      <c r="N4405" t="str">
        <f t="shared" si="413"/>
        <v>May</v>
      </c>
      <c r="O4405">
        <f t="shared" si="414"/>
        <v>2025</v>
      </c>
    </row>
    <row r="4406" spans="1:15" x14ac:dyDescent="0.3">
      <c r="A4406">
        <v>200114</v>
      </c>
      <c r="B4406" t="s">
        <v>101</v>
      </c>
      <c r="C4406" s="2">
        <v>45796</v>
      </c>
      <c r="D4406" s="2">
        <f t="shared" si="412"/>
        <v>45826</v>
      </c>
      <c r="E4406" s="1">
        <f>D4406</f>
        <v>45826</v>
      </c>
      <c r="F4406">
        <v>1929</v>
      </c>
      <c r="G4406">
        <v>30</v>
      </c>
      <c r="H4406">
        <f t="shared" si="417"/>
        <v>0</v>
      </c>
      <c r="I4406" t="str">
        <f t="shared" si="415"/>
        <v>On Time</v>
      </c>
      <c r="J4406" cm="1">
        <f t="array" ref="J4406">_xlfn.IFS(H4406&lt;30,0,H4406&lt;60,1,H4406&lt;90,2,H4406&lt;120,3)</f>
        <v>0</v>
      </c>
      <c r="M4406" t="str">
        <f t="shared" si="416"/>
        <v>Low</v>
      </c>
      <c r="N4406" t="str">
        <f t="shared" si="413"/>
        <v>May</v>
      </c>
      <c r="O4406">
        <f t="shared" si="414"/>
        <v>2025</v>
      </c>
    </row>
    <row r="4407" spans="1:15" x14ac:dyDescent="0.3">
      <c r="A4407">
        <v>200115</v>
      </c>
      <c r="B4407" t="s">
        <v>102</v>
      </c>
      <c r="C4407" s="2">
        <v>45796</v>
      </c>
      <c r="D4407" s="2">
        <f t="shared" si="412"/>
        <v>45826</v>
      </c>
      <c r="E4407" s="1">
        <f>D4407+32</f>
        <v>45858</v>
      </c>
      <c r="F4407">
        <v>766</v>
      </c>
      <c r="G4407">
        <v>30</v>
      </c>
      <c r="H4407">
        <f t="shared" si="417"/>
        <v>0</v>
      </c>
      <c r="I4407" t="str">
        <f t="shared" si="415"/>
        <v>On Time</v>
      </c>
      <c r="J4407" cm="1">
        <f t="array" ref="J4407">_xlfn.IFS(H4407&lt;30,0,H4407&lt;60,1,H4407&lt;90,2,H4407&lt;120,3)</f>
        <v>0</v>
      </c>
      <c r="M4407" t="str">
        <f t="shared" si="416"/>
        <v>Low</v>
      </c>
      <c r="N4407" t="str">
        <f t="shared" si="413"/>
        <v>May</v>
      </c>
      <c r="O4407">
        <f t="shared" si="414"/>
        <v>2025</v>
      </c>
    </row>
    <row r="4408" spans="1:15" x14ac:dyDescent="0.3">
      <c r="A4408">
        <v>200116</v>
      </c>
      <c r="B4408" t="s">
        <v>38</v>
      </c>
      <c r="C4408" s="2">
        <v>45796</v>
      </c>
      <c r="D4408" s="2">
        <f t="shared" si="412"/>
        <v>45826</v>
      </c>
      <c r="E4408" s="1">
        <f>D4408+15</f>
        <v>45841</v>
      </c>
      <c r="F4408">
        <v>3688</v>
      </c>
      <c r="G4408">
        <v>30</v>
      </c>
      <c r="H4408">
        <f t="shared" si="417"/>
        <v>0</v>
      </c>
      <c r="I4408" t="str">
        <f t="shared" si="415"/>
        <v>On Time</v>
      </c>
      <c r="J4408" cm="1">
        <f t="array" ref="J4408">_xlfn.IFS(H4408&lt;30,0,H4408&lt;60,1,H4408&lt;90,2,H4408&lt;120,3)</f>
        <v>0</v>
      </c>
      <c r="M4408" t="str">
        <f t="shared" si="416"/>
        <v>Low</v>
      </c>
      <c r="N4408" t="str">
        <f t="shared" si="413"/>
        <v>May</v>
      </c>
      <c r="O4408">
        <f t="shared" si="414"/>
        <v>2025</v>
      </c>
    </row>
    <row r="4409" spans="1:15" x14ac:dyDescent="0.3">
      <c r="A4409">
        <v>200117</v>
      </c>
      <c r="B4409" t="s">
        <v>39</v>
      </c>
      <c r="C4409" s="2">
        <v>45796</v>
      </c>
      <c r="D4409" s="2">
        <f t="shared" si="412"/>
        <v>45826</v>
      </c>
      <c r="E4409" s="1">
        <f>D4409</f>
        <v>45826</v>
      </c>
      <c r="F4409">
        <v>4447</v>
      </c>
      <c r="G4409">
        <v>30</v>
      </c>
      <c r="H4409">
        <f t="shared" si="417"/>
        <v>0</v>
      </c>
      <c r="I4409" t="str">
        <f t="shared" si="415"/>
        <v>On Time</v>
      </c>
      <c r="J4409" cm="1">
        <f t="array" ref="J4409">_xlfn.IFS(H4409&lt;30,0,H4409&lt;60,1,H4409&lt;90,2,H4409&lt;120,3)</f>
        <v>0</v>
      </c>
      <c r="M4409" t="str">
        <f t="shared" si="416"/>
        <v>Low</v>
      </c>
      <c r="N4409" t="str">
        <f t="shared" si="413"/>
        <v>May</v>
      </c>
      <c r="O4409">
        <f t="shared" si="414"/>
        <v>2025</v>
      </c>
    </row>
    <row r="4410" spans="1:15" x14ac:dyDescent="0.3">
      <c r="A4410">
        <v>200118</v>
      </c>
      <c r="B4410" t="s">
        <v>40</v>
      </c>
      <c r="C4410" s="2">
        <v>45796</v>
      </c>
      <c r="D4410" s="2">
        <f t="shared" si="412"/>
        <v>45826</v>
      </c>
      <c r="E4410" s="1">
        <f>D4410-2</f>
        <v>45824</v>
      </c>
      <c r="F4410">
        <v>1293</v>
      </c>
      <c r="G4410">
        <v>30</v>
      </c>
      <c r="H4410">
        <f t="shared" si="417"/>
        <v>0</v>
      </c>
      <c r="I4410" t="str">
        <f t="shared" si="415"/>
        <v>On Time</v>
      </c>
      <c r="J4410" cm="1">
        <f t="array" ref="J4410">_xlfn.IFS(H4410&lt;30,0,H4410&lt;60,1,H4410&lt;90,2,H4410&lt;120,3)</f>
        <v>0</v>
      </c>
      <c r="M4410" t="str">
        <f t="shared" si="416"/>
        <v>Low</v>
      </c>
      <c r="N4410" t="str">
        <f t="shared" si="413"/>
        <v>May</v>
      </c>
      <c r="O4410">
        <f t="shared" si="414"/>
        <v>2025</v>
      </c>
    </row>
    <row r="4411" spans="1:15" x14ac:dyDescent="0.3">
      <c r="A4411">
        <v>200119</v>
      </c>
      <c r="B4411" t="s">
        <v>41</v>
      </c>
      <c r="C4411" s="2">
        <v>45796</v>
      </c>
      <c r="D4411" s="2">
        <f t="shared" si="412"/>
        <v>45826</v>
      </c>
      <c r="E4411" s="1">
        <f>D4411</f>
        <v>45826</v>
      </c>
      <c r="F4411">
        <v>2534</v>
      </c>
      <c r="G4411">
        <v>30</v>
      </c>
      <c r="H4411">
        <f t="shared" si="417"/>
        <v>0</v>
      </c>
      <c r="I4411" t="str">
        <f t="shared" si="415"/>
        <v>On Time</v>
      </c>
      <c r="J4411" cm="1">
        <f t="array" ref="J4411">_xlfn.IFS(H4411&lt;30,0,H4411&lt;60,1,H4411&lt;90,2,H4411&lt;120,3)</f>
        <v>0</v>
      </c>
      <c r="M4411" t="str">
        <f t="shared" si="416"/>
        <v>Low</v>
      </c>
      <c r="N4411" t="str">
        <f t="shared" si="413"/>
        <v>May</v>
      </c>
      <c r="O4411">
        <f t="shared" si="414"/>
        <v>2025</v>
      </c>
    </row>
    <row r="4412" spans="1:15" x14ac:dyDescent="0.3">
      <c r="A4412">
        <v>200120</v>
      </c>
      <c r="B4412" t="s">
        <v>42</v>
      </c>
      <c r="C4412" s="2">
        <v>45796</v>
      </c>
      <c r="D4412" s="2">
        <f t="shared" si="412"/>
        <v>45826</v>
      </c>
      <c r="E4412" s="1">
        <f>D4412+2</f>
        <v>45828</v>
      </c>
      <c r="F4412">
        <v>1326</v>
      </c>
      <c r="G4412">
        <v>30</v>
      </c>
      <c r="H4412">
        <f t="shared" si="417"/>
        <v>0</v>
      </c>
      <c r="I4412" t="str">
        <f t="shared" si="415"/>
        <v>On Time</v>
      </c>
      <c r="J4412" cm="1">
        <f t="array" ref="J4412">_xlfn.IFS(H4412&lt;30,0,H4412&lt;60,1,H4412&lt;90,2,H4412&lt;120,3)</f>
        <v>0</v>
      </c>
      <c r="M4412" t="str">
        <f t="shared" si="416"/>
        <v>Low</v>
      </c>
      <c r="N4412" t="str">
        <f t="shared" si="413"/>
        <v>May</v>
      </c>
      <c r="O4412">
        <f t="shared" si="414"/>
        <v>2025</v>
      </c>
    </row>
    <row r="4413" spans="1:15" x14ac:dyDescent="0.3">
      <c r="A4413">
        <v>200121</v>
      </c>
      <c r="B4413" t="s">
        <v>43</v>
      </c>
      <c r="C4413" s="2">
        <v>45796</v>
      </c>
      <c r="D4413" s="2">
        <f t="shared" si="412"/>
        <v>45826</v>
      </c>
      <c r="E4413" s="1">
        <f>D4413+2</f>
        <v>45828</v>
      </c>
      <c r="F4413">
        <v>3497</v>
      </c>
      <c r="G4413">
        <v>30</v>
      </c>
      <c r="H4413">
        <f t="shared" si="417"/>
        <v>0</v>
      </c>
      <c r="I4413" t="str">
        <f t="shared" si="415"/>
        <v>On Time</v>
      </c>
      <c r="J4413" cm="1">
        <f t="array" ref="J4413">_xlfn.IFS(H4413&lt;30,0,H4413&lt;60,1,H4413&lt;90,2,H4413&lt;120,3)</f>
        <v>0</v>
      </c>
      <c r="M4413" t="str">
        <f t="shared" si="416"/>
        <v>Low</v>
      </c>
      <c r="N4413" t="str">
        <f t="shared" si="413"/>
        <v>May</v>
      </c>
      <c r="O4413">
        <f t="shared" si="414"/>
        <v>2025</v>
      </c>
    </row>
    <row r="4414" spans="1:15" x14ac:dyDescent="0.3">
      <c r="A4414">
        <v>200097</v>
      </c>
      <c r="B4414" t="s">
        <v>77</v>
      </c>
      <c r="C4414" s="2">
        <v>45795</v>
      </c>
      <c r="D4414" s="2">
        <f t="shared" si="412"/>
        <v>45825</v>
      </c>
      <c r="E4414" s="1">
        <f>D4414+2</f>
        <v>45827</v>
      </c>
      <c r="F4414">
        <v>3862</v>
      </c>
      <c r="G4414">
        <v>30</v>
      </c>
      <c r="H4414">
        <f t="shared" si="417"/>
        <v>0</v>
      </c>
      <c r="I4414" t="str">
        <f t="shared" si="415"/>
        <v>On Time</v>
      </c>
      <c r="J4414" cm="1">
        <f t="array" ref="J4414">_xlfn.IFS(H4414&lt;30,0,H4414&lt;60,1,H4414&lt;90,2,H4414&lt;120,3)</f>
        <v>0</v>
      </c>
      <c r="M4414" t="str">
        <f t="shared" si="416"/>
        <v>Low</v>
      </c>
      <c r="N4414" t="str">
        <f t="shared" si="413"/>
        <v>May</v>
      </c>
      <c r="O4414">
        <f t="shared" si="414"/>
        <v>2025</v>
      </c>
    </row>
    <row r="4415" spans="1:15" x14ac:dyDescent="0.3">
      <c r="A4415">
        <v>200098</v>
      </c>
      <c r="B4415" t="s">
        <v>78</v>
      </c>
      <c r="C4415" s="2">
        <v>45795</v>
      </c>
      <c r="D4415" s="2">
        <f t="shared" si="412"/>
        <v>45825</v>
      </c>
      <c r="E4415" s="1">
        <f>D4415+5</f>
        <v>45830</v>
      </c>
      <c r="F4415">
        <v>3606</v>
      </c>
      <c r="G4415">
        <v>30</v>
      </c>
      <c r="H4415">
        <f t="shared" si="417"/>
        <v>0</v>
      </c>
      <c r="I4415" t="str">
        <f t="shared" si="415"/>
        <v>On Time</v>
      </c>
      <c r="J4415" cm="1">
        <f t="array" ref="J4415">_xlfn.IFS(H4415&lt;30,0,H4415&lt;60,1,H4415&lt;90,2,H4415&lt;120,3)</f>
        <v>0</v>
      </c>
      <c r="M4415" t="str">
        <f t="shared" si="416"/>
        <v>Low</v>
      </c>
      <c r="N4415" t="str">
        <f t="shared" si="413"/>
        <v>May</v>
      </c>
      <c r="O4415">
        <f t="shared" si="414"/>
        <v>2025</v>
      </c>
    </row>
    <row r="4416" spans="1:15" x14ac:dyDescent="0.3">
      <c r="A4416">
        <v>200099</v>
      </c>
      <c r="B4416" t="s">
        <v>79</v>
      </c>
      <c r="C4416" s="2">
        <v>45795</v>
      </c>
      <c r="D4416" s="2">
        <f t="shared" si="412"/>
        <v>45825</v>
      </c>
      <c r="E4416" s="1">
        <f>D4416</f>
        <v>45825</v>
      </c>
      <c r="F4416">
        <v>1412</v>
      </c>
      <c r="G4416">
        <v>30</v>
      </c>
      <c r="H4416">
        <f t="shared" si="417"/>
        <v>0</v>
      </c>
      <c r="I4416" t="str">
        <f t="shared" si="415"/>
        <v>On Time</v>
      </c>
      <c r="J4416" cm="1">
        <f t="array" ref="J4416">_xlfn.IFS(H4416&lt;30,0,H4416&lt;60,1,H4416&lt;90,2,H4416&lt;120,3)</f>
        <v>0</v>
      </c>
      <c r="M4416" t="str">
        <f t="shared" si="416"/>
        <v>Low</v>
      </c>
      <c r="N4416" t="str">
        <f t="shared" si="413"/>
        <v>May</v>
      </c>
      <c r="O4416">
        <f t="shared" si="414"/>
        <v>2025</v>
      </c>
    </row>
    <row r="4417" spans="1:15" x14ac:dyDescent="0.3">
      <c r="A4417">
        <v>200100</v>
      </c>
      <c r="B4417" t="s">
        <v>80</v>
      </c>
      <c r="C4417" s="2">
        <v>45795</v>
      </c>
      <c r="D4417" s="2">
        <f t="shared" si="412"/>
        <v>45825</v>
      </c>
      <c r="E4417" s="1">
        <f>D4417</f>
        <v>45825</v>
      </c>
      <c r="F4417">
        <v>687</v>
      </c>
      <c r="G4417">
        <v>30</v>
      </c>
      <c r="H4417">
        <f t="shared" si="417"/>
        <v>0</v>
      </c>
      <c r="I4417" t="str">
        <f t="shared" si="415"/>
        <v>On Time</v>
      </c>
      <c r="J4417" cm="1">
        <f t="array" ref="J4417">_xlfn.IFS(H4417&lt;30,0,H4417&lt;60,1,H4417&lt;90,2,H4417&lt;120,3)</f>
        <v>0</v>
      </c>
      <c r="M4417" t="str">
        <f t="shared" si="416"/>
        <v>Low</v>
      </c>
      <c r="N4417" t="str">
        <f t="shared" si="413"/>
        <v>May</v>
      </c>
      <c r="O4417">
        <f t="shared" si="414"/>
        <v>2025</v>
      </c>
    </row>
    <row r="4418" spans="1:15" x14ac:dyDescent="0.3">
      <c r="A4418">
        <v>200101</v>
      </c>
      <c r="B4418" t="s">
        <v>81</v>
      </c>
      <c r="C4418" s="2">
        <v>45795</v>
      </c>
      <c r="D4418" s="2">
        <f t="shared" ref="D4418:D4481" si="418">C4418+G4418</f>
        <v>45825</v>
      </c>
      <c r="E4418" s="1">
        <f>D4418+60</f>
        <v>45885</v>
      </c>
      <c r="F4418">
        <v>2356</v>
      </c>
      <c r="G4418">
        <v>30</v>
      </c>
      <c r="H4418">
        <f t="shared" si="417"/>
        <v>0</v>
      </c>
      <c r="I4418" t="str">
        <f t="shared" si="415"/>
        <v>On Time</v>
      </c>
      <c r="J4418" cm="1">
        <f t="array" ref="J4418">_xlfn.IFS(H4418&lt;30,0,H4418&lt;60,1,H4418&lt;90,2,H4418&lt;120,3)</f>
        <v>0</v>
      </c>
      <c r="M4418" t="str">
        <f t="shared" si="416"/>
        <v>Low</v>
      </c>
      <c r="N4418" t="str">
        <f t="shared" ref="N4418:N4481" si="419">TEXT(C4418,"mmm")</f>
        <v>May</v>
      </c>
      <c r="O4418">
        <f t="shared" ref="O4418:O4481" si="420">YEAR(C4418)</f>
        <v>2025</v>
      </c>
    </row>
    <row r="4419" spans="1:15" x14ac:dyDescent="0.3">
      <c r="A4419">
        <v>200102</v>
      </c>
      <c r="B4419" t="s">
        <v>82</v>
      </c>
      <c r="C4419" s="2">
        <v>45795</v>
      </c>
      <c r="D4419" s="2">
        <f t="shared" si="418"/>
        <v>45840</v>
      </c>
      <c r="E4419" s="1">
        <f>D4419</f>
        <v>45840</v>
      </c>
      <c r="F4419">
        <v>4734</v>
      </c>
      <c r="G4419">
        <v>45</v>
      </c>
      <c r="H4419">
        <f t="shared" si="417"/>
        <v>0</v>
      </c>
      <c r="I4419" t="str">
        <f t="shared" si="415"/>
        <v>On Time</v>
      </c>
      <c r="J4419" cm="1">
        <f t="array" ref="J4419">_xlfn.IFS(H4419&lt;30,0,H4419&lt;60,1,H4419&lt;90,2,H4419&lt;120,3)</f>
        <v>0</v>
      </c>
      <c r="M4419" t="str">
        <f t="shared" si="416"/>
        <v>Low</v>
      </c>
      <c r="N4419" t="str">
        <f t="shared" si="419"/>
        <v>May</v>
      </c>
      <c r="O4419">
        <f t="shared" si="420"/>
        <v>2025</v>
      </c>
    </row>
    <row r="4420" spans="1:15" x14ac:dyDescent="0.3">
      <c r="A4420">
        <v>200103</v>
      </c>
      <c r="B4420" t="s">
        <v>83</v>
      </c>
      <c r="C4420" s="2">
        <v>45795</v>
      </c>
      <c r="D4420" s="2">
        <f t="shared" si="418"/>
        <v>45840</v>
      </c>
      <c r="F4420">
        <v>3054</v>
      </c>
      <c r="G4420">
        <v>45</v>
      </c>
      <c r="H4420">
        <f t="shared" si="417"/>
        <v>0</v>
      </c>
      <c r="I4420" t="s">
        <v>144</v>
      </c>
      <c r="J4420">
        <v>3</v>
      </c>
      <c r="K4420" t="s">
        <v>143</v>
      </c>
      <c r="L4420" t="s">
        <v>143</v>
      </c>
      <c r="M4420" t="str">
        <f t="shared" si="416"/>
        <v>Low</v>
      </c>
      <c r="N4420" t="str">
        <f t="shared" si="419"/>
        <v>May</v>
      </c>
      <c r="O4420">
        <f t="shared" si="420"/>
        <v>2025</v>
      </c>
    </row>
    <row r="4421" spans="1:15" x14ac:dyDescent="0.3">
      <c r="A4421">
        <v>200104</v>
      </c>
      <c r="B4421" t="s">
        <v>84</v>
      </c>
      <c r="C4421" s="2">
        <v>45795</v>
      </c>
      <c r="D4421" s="2">
        <f t="shared" si="418"/>
        <v>45855</v>
      </c>
      <c r="E4421" s="1">
        <f>D4421+3</f>
        <v>45858</v>
      </c>
      <c r="F4421">
        <v>3089</v>
      </c>
      <c r="G4421">
        <v>60</v>
      </c>
      <c r="H4421">
        <f t="shared" si="417"/>
        <v>0</v>
      </c>
      <c r="I4421" t="str">
        <f t="shared" ref="I4421:I4452" si="421">IF(H4421=0,"On Time",IF(H4421&lt;=15,"Paid Late","Seriously Late"))</f>
        <v>On Time</v>
      </c>
      <c r="J4421" cm="1">
        <f t="array" ref="J4421">_xlfn.IFS(H4421&lt;30,0,H4421&lt;60,1,H4421&lt;90,2,H4421&lt;120,3)</f>
        <v>0</v>
      </c>
      <c r="M4421" t="str">
        <f t="shared" si="416"/>
        <v>Low</v>
      </c>
      <c r="N4421" t="str">
        <f t="shared" si="419"/>
        <v>May</v>
      </c>
      <c r="O4421">
        <f t="shared" si="420"/>
        <v>2025</v>
      </c>
    </row>
    <row r="4422" spans="1:15" x14ac:dyDescent="0.3">
      <c r="A4422">
        <v>200105</v>
      </c>
      <c r="B4422" t="s">
        <v>92</v>
      </c>
      <c r="C4422" s="2">
        <v>45795</v>
      </c>
      <c r="D4422" s="2">
        <f t="shared" si="418"/>
        <v>45825</v>
      </c>
      <c r="E4422" s="1">
        <f>D4422+1</f>
        <v>45826</v>
      </c>
      <c r="F4422">
        <v>10021</v>
      </c>
      <c r="G4422">
        <v>30</v>
      </c>
      <c r="H4422">
        <f t="shared" si="417"/>
        <v>0</v>
      </c>
      <c r="I4422" t="str">
        <f t="shared" si="421"/>
        <v>On Time</v>
      </c>
      <c r="J4422" cm="1">
        <f t="array" ref="J4422">_xlfn.IFS(H4422&lt;30,0,H4422&lt;60,1,H4422&lt;90,2,H4422&lt;120,3)</f>
        <v>0</v>
      </c>
      <c r="M4422" t="str">
        <f t="shared" si="416"/>
        <v>Low</v>
      </c>
      <c r="N4422" t="str">
        <f t="shared" si="419"/>
        <v>May</v>
      </c>
      <c r="O4422">
        <f t="shared" si="420"/>
        <v>2025</v>
      </c>
    </row>
    <row r="4423" spans="1:15" x14ac:dyDescent="0.3">
      <c r="A4423">
        <v>200106</v>
      </c>
      <c r="B4423" t="s">
        <v>93</v>
      </c>
      <c r="C4423" s="2">
        <v>45795</v>
      </c>
      <c r="D4423" s="2">
        <f t="shared" si="418"/>
        <v>45825</v>
      </c>
      <c r="E4423" s="1">
        <f>D4423-1</f>
        <v>45824</v>
      </c>
      <c r="F4423">
        <v>4229</v>
      </c>
      <c r="G4423">
        <v>30</v>
      </c>
      <c r="H4423">
        <f t="shared" si="417"/>
        <v>0</v>
      </c>
      <c r="I4423" t="str">
        <f t="shared" si="421"/>
        <v>On Time</v>
      </c>
      <c r="J4423" cm="1">
        <f t="array" ref="J4423">_xlfn.IFS(H4423&lt;30,0,H4423&lt;60,1,H4423&lt;90,2,H4423&lt;120,3)</f>
        <v>0</v>
      </c>
      <c r="M4423" t="str">
        <f t="shared" si="416"/>
        <v>Low</v>
      </c>
      <c r="N4423" t="str">
        <f t="shared" si="419"/>
        <v>May</v>
      </c>
      <c r="O4423">
        <f t="shared" si="420"/>
        <v>2025</v>
      </c>
    </row>
    <row r="4424" spans="1:15" x14ac:dyDescent="0.3">
      <c r="A4424">
        <v>200107</v>
      </c>
      <c r="B4424" t="s">
        <v>94</v>
      </c>
      <c r="C4424" s="2">
        <v>45795</v>
      </c>
      <c r="D4424" s="2">
        <f t="shared" si="418"/>
        <v>45825</v>
      </c>
      <c r="E4424" s="1">
        <f>D4424</f>
        <v>45825</v>
      </c>
      <c r="F4424">
        <v>377</v>
      </c>
      <c r="G4424">
        <v>30</v>
      </c>
      <c r="H4424">
        <f t="shared" si="417"/>
        <v>0</v>
      </c>
      <c r="I4424" t="str">
        <f t="shared" si="421"/>
        <v>On Time</v>
      </c>
      <c r="J4424" cm="1">
        <f t="array" ref="J4424">_xlfn.IFS(H4424&lt;30,0,H4424&lt;60,1,H4424&lt;90,2,H4424&lt;120,3)</f>
        <v>0</v>
      </c>
      <c r="M4424" t="str">
        <f t="shared" si="416"/>
        <v>Low</v>
      </c>
      <c r="N4424" t="str">
        <f t="shared" si="419"/>
        <v>May</v>
      </c>
      <c r="O4424">
        <f t="shared" si="420"/>
        <v>2025</v>
      </c>
    </row>
    <row r="4425" spans="1:15" x14ac:dyDescent="0.3">
      <c r="A4425">
        <v>200108</v>
      </c>
      <c r="B4425" t="s">
        <v>95</v>
      </c>
      <c r="C4425" s="2">
        <v>45795</v>
      </c>
      <c r="D4425" s="2">
        <f t="shared" si="418"/>
        <v>45840</v>
      </c>
      <c r="E4425" s="1">
        <f>D4425-5</f>
        <v>45835</v>
      </c>
      <c r="F4425">
        <v>4932</v>
      </c>
      <c r="G4425">
        <v>45</v>
      </c>
      <c r="H4425">
        <f t="shared" si="417"/>
        <v>0</v>
      </c>
      <c r="I4425" t="str">
        <f t="shared" si="421"/>
        <v>On Time</v>
      </c>
      <c r="J4425" cm="1">
        <f t="array" ref="J4425">_xlfn.IFS(H4425&lt;30,0,H4425&lt;60,1,H4425&lt;90,2,H4425&lt;120,3)</f>
        <v>0</v>
      </c>
      <c r="M4425" t="str">
        <f t="shared" si="416"/>
        <v>Low</v>
      </c>
      <c r="N4425" t="str">
        <f t="shared" si="419"/>
        <v>May</v>
      </c>
      <c r="O4425">
        <f t="shared" si="420"/>
        <v>2025</v>
      </c>
    </row>
    <row r="4426" spans="1:15" x14ac:dyDescent="0.3">
      <c r="A4426">
        <v>200089</v>
      </c>
      <c r="B4426" t="s">
        <v>24</v>
      </c>
      <c r="C4426" s="2">
        <v>45792</v>
      </c>
      <c r="D4426" s="2">
        <f t="shared" si="418"/>
        <v>45837</v>
      </c>
      <c r="E4426" s="1">
        <f>D4426+2</f>
        <v>45839</v>
      </c>
      <c r="F4426">
        <v>14921</v>
      </c>
      <c r="G4426">
        <v>45</v>
      </c>
      <c r="H4426">
        <f t="shared" si="417"/>
        <v>0</v>
      </c>
      <c r="I4426" t="str">
        <f t="shared" si="421"/>
        <v>On Time</v>
      </c>
      <c r="J4426" cm="1">
        <f t="array" ref="J4426">_xlfn.IFS(H4426&lt;30,0,H4426&lt;60,1,H4426&lt;90,2,H4426&lt;120,3)</f>
        <v>0</v>
      </c>
      <c r="M4426" t="str">
        <f t="shared" si="416"/>
        <v>Low</v>
      </c>
      <c r="N4426" t="str">
        <f t="shared" si="419"/>
        <v>May</v>
      </c>
      <c r="O4426">
        <f t="shared" si="420"/>
        <v>2025</v>
      </c>
    </row>
    <row r="4427" spans="1:15" x14ac:dyDescent="0.3">
      <c r="A4427">
        <v>200090</v>
      </c>
      <c r="B4427" t="s">
        <v>25</v>
      </c>
      <c r="C4427" s="2">
        <v>45792</v>
      </c>
      <c r="D4427" s="2">
        <f t="shared" si="418"/>
        <v>45852</v>
      </c>
      <c r="E4427" s="1">
        <f>D4427</f>
        <v>45852</v>
      </c>
      <c r="F4427">
        <v>3516</v>
      </c>
      <c r="G4427">
        <v>60</v>
      </c>
      <c r="H4427">
        <f t="shared" si="417"/>
        <v>0</v>
      </c>
      <c r="I4427" t="str">
        <f t="shared" si="421"/>
        <v>On Time</v>
      </c>
      <c r="J4427" cm="1">
        <f t="array" ref="J4427">_xlfn.IFS(H4427&lt;30,0,H4427&lt;60,1,H4427&lt;90,2,H4427&lt;120,3)</f>
        <v>0</v>
      </c>
      <c r="M4427" t="str">
        <f t="shared" si="416"/>
        <v>Low</v>
      </c>
      <c r="N4427" t="str">
        <f t="shared" si="419"/>
        <v>May</v>
      </c>
      <c r="O4427">
        <f t="shared" si="420"/>
        <v>2025</v>
      </c>
    </row>
    <row r="4428" spans="1:15" x14ac:dyDescent="0.3">
      <c r="A4428">
        <v>200091</v>
      </c>
      <c r="B4428" t="s">
        <v>26</v>
      </c>
      <c r="C4428" s="2">
        <v>45792</v>
      </c>
      <c r="D4428" s="2">
        <f t="shared" si="418"/>
        <v>45822</v>
      </c>
      <c r="E4428" s="1">
        <f>D4428+20</f>
        <v>45842</v>
      </c>
      <c r="F4428">
        <v>672</v>
      </c>
      <c r="G4428">
        <v>30</v>
      </c>
      <c r="H4428">
        <f t="shared" si="417"/>
        <v>0</v>
      </c>
      <c r="I4428" t="str">
        <f t="shared" si="421"/>
        <v>On Time</v>
      </c>
      <c r="J4428" cm="1">
        <f t="array" ref="J4428">_xlfn.IFS(H4428&lt;30,0,H4428&lt;60,1,H4428&lt;90,2,H4428&lt;120,3)</f>
        <v>0</v>
      </c>
      <c r="M4428" t="str">
        <f t="shared" si="416"/>
        <v>Low</v>
      </c>
      <c r="N4428" t="str">
        <f t="shared" si="419"/>
        <v>May</v>
      </c>
      <c r="O4428">
        <f t="shared" si="420"/>
        <v>2025</v>
      </c>
    </row>
    <row r="4429" spans="1:15" x14ac:dyDescent="0.3">
      <c r="A4429">
        <v>200092</v>
      </c>
      <c r="B4429" t="s">
        <v>27</v>
      </c>
      <c r="C4429" s="2">
        <v>45792</v>
      </c>
      <c r="D4429" s="2">
        <f t="shared" si="418"/>
        <v>45852</v>
      </c>
      <c r="E4429" s="1">
        <f>D4429</f>
        <v>45852</v>
      </c>
      <c r="F4429">
        <v>2793</v>
      </c>
      <c r="G4429">
        <v>60</v>
      </c>
      <c r="H4429">
        <f t="shared" si="417"/>
        <v>0</v>
      </c>
      <c r="I4429" t="str">
        <f t="shared" si="421"/>
        <v>On Time</v>
      </c>
      <c r="J4429" cm="1">
        <f t="array" ref="J4429">_xlfn.IFS(H4429&lt;30,0,H4429&lt;60,1,H4429&lt;90,2,H4429&lt;120,3)</f>
        <v>0</v>
      </c>
      <c r="M4429" t="str">
        <f t="shared" si="416"/>
        <v>Low</v>
      </c>
      <c r="N4429" t="str">
        <f t="shared" si="419"/>
        <v>May</v>
      </c>
      <c r="O4429">
        <f t="shared" si="420"/>
        <v>2025</v>
      </c>
    </row>
    <row r="4430" spans="1:15" x14ac:dyDescent="0.3">
      <c r="A4430">
        <v>200093</v>
      </c>
      <c r="B4430" t="s">
        <v>28</v>
      </c>
      <c r="C4430" s="2">
        <v>45792</v>
      </c>
      <c r="D4430" s="2">
        <f t="shared" si="418"/>
        <v>45822</v>
      </c>
      <c r="E4430" s="1">
        <f>D4430+1</f>
        <v>45823</v>
      </c>
      <c r="F4430">
        <v>3295</v>
      </c>
      <c r="G4430">
        <v>30</v>
      </c>
      <c r="H4430">
        <f t="shared" si="417"/>
        <v>0</v>
      </c>
      <c r="I4430" t="str">
        <f t="shared" si="421"/>
        <v>On Time</v>
      </c>
      <c r="J4430" cm="1">
        <f t="array" ref="J4430">_xlfn.IFS(H4430&lt;30,0,H4430&lt;60,1,H4430&lt;90,2,H4430&lt;120,3)</f>
        <v>0</v>
      </c>
      <c r="M4430" t="str">
        <f t="shared" si="416"/>
        <v>Low</v>
      </c>
      <c r="N4430" t="str">
        <f t="shared" si="419"/>
        <v>May</v>
      </c>
      <c r="O4430">
        <f t="shared" si="420"/>
        <v>2025</v>
      </c>
    </row>
    <row r="4431" spans="1:15" x14ac:dyDescent="0.3">
      <c r="A4431">
        <v>200094</v>
      </c>
      <c r="B4431" t="s">
        <v>29</v>
      </c>
      <c r="C4431" s="2">
        <v>45792</v>
      </c>
      <c r="D4431" s="2">
        <f t="shared" si="418"/>
        <v>45822</v>
      </c>
      <c r="E4431" s="1">
        <f>D4431</f>
        <v>45822</v>
      </c>
      <c r="F4431">
        <v>3024</v>
      </c>
      <c r="G4431">
        <v>30</v>
      </c>
      <c r="H4431">
        <f t="shared" si="417"/>
        <v>0</v>
      </c>
      <c r="I4431" t="str">
        <f t="shared" si="421"/>
        <v>On Time</v>
      </c>
      <c r="J4431" cm="1">
        <f t="array" ref="J4431">_xlfn.IFS(H4431&lt;30,0,H4431&lt;60,1,H4431&lt;90,2,H4431&lt;120,3)</f>
        <v>0</v>
      </c>
      <c r="M4431" t="str">
        <f t="shared" si="416"/>
        <v>Low</v>
      </c>
      <c r="N4431" t="str">
        <f t="shared" si="419"/>
        <v>May</v>
      </c>
      <c r="O4431">
        <f t="shared" si="420"/>
        <v>2025</v>
      </c>
    </row>
    <row r="4432" spans="1:15" x14ac:dyDescent="0.3">
      <c r="A4432">
        <v>200095</v>
      </c>
      <c r="B4432" t="s">
        <v>75</v>
      </c>
      <c r="C4432" s="2">
        <v>45792</v>
      </c>
      <c r="D4432" s="2">
        <f t="shared" si="418"/>
        <v>45852</v>
      </c>
      <c r="E4432" s="1">
        <f>D4432</f>
        <v>45852</v>
      </c>
      <c r="F4432">
        <v>619</v>
      </c>
      <c r="G4432">
        <v>60</v>
      </c>
      <c r="H4432">
        <f t="shared" si="417"/>
        <v>0</v>
      </c>
      <c r="I4432" t="str">
        <f t="shared" si="421"/>
        <v>On Time</v>
      </c>
      <c r="J4432" cm="1">
        <f t="array" ref="J4432">_xlfn.IFS(H4432&lt;30,0,H4432&lt;60,1,H4432&lt;90,2,H4432&lt;120,3)</f>
        <v>0</v>
      </c>
      <c r="M4432" t="str">
        <f t="shared" si="416"/>
        <v>Low</v>
      </c>
      <c r="N4432" t="str">
        <f t="shared" si="419"/>
        <v>May</v>
      </c>
      <c r="O4432">
        <f t="shared" si="420"/>
        <v>2025</v>
      </c>
    </row>
    <row r="4433" spans="1:15" x14ac:dyDescent="0.3">
      <c r="A4433">
        <v>200096</v>
      </c>
      <c r="B4433" t="s">
        <v>76</v>
      </c>
      <c r="C4433" s="2">
        <v>45792</v>
      </c>
      <c r="D4433" s="2">
        <f t="shared" si="418"/>
        <v>45822</v>
      </c>
      <c r="E4433" s="1">
        <f>D4433+5</f>
        <v>45827</v>
      </c>
      <c r="F4433">
        <v>4207</v>
      </c>
      <c r="G4433">
        <v>30</v>
      </c>
      <c r="H4433">
        <f t="shared" si="417"/>
        <v>0</v>
      </c>
      <c r="I4433" t="str">
        <f t="shared" si="421"/>
        <v>On Time</v>
      </c>
      <c r="J4433" cm="1">
        <f t="array" ref="J4433">_xlfn.IFS(H4433&lt;30,0,H4433&lt;60,1,H4433&lt;90,2,H4433&lt;120,3)</f>
        <v>0</v>
      </c>
      <c r="M4433" t="str">
        <f t="shared" si="416"/>
        <v>Low</v>
      </c>
      <c r="N4433" t="str">
        <f t="shared" si="419"/>
        <v>May</v>
      </c>
      <c r="O4433">
        <f t="shared" si="420"/>
        <v>2025</v>
      </c>
    </row>
    <row r="4434" spans="1:15" x14ac:dyDescent="0.3">
      <c r="A4434">
        <v>200077</v>
      </c>
      <c r="B4434" t="s">
        <v>37</v>
      </c>
      <c r="C4434" s="2">
        <v>45791</v>
      </c>
      <c r="D4434" s="2">
        <f t="shared" si="418"/>
        <v>45821</v>
      </c>
      <c r="E4434" s="1">
        <f>D4434+65</f>
        <v>45886</v>
      </c>
      <c r="F4434">
        <v>4258</v>
      </c>
      <c r="G4434">
        <v>30</v>
      </c>
      <c r="H4434">
        <f t="shared" si="417"/>
        <v>0</v>
      </c>
      <c r="I4434" t="str">
        <f t="shared" si="421"/>
        <v>On Time</v>
      </c>
      <c r="J4434" cm="1">
        <f t="array" ref="J4434">_xlfn.IFS(H4434&lt;30,0,H4434&lt;60,1,H4434&lt;90,2,H4434&lt;120,3)</f>
        <v>0</v>
      </c>
      <c r="M4434" t="str">
        <f t="shared" si="416"/>
        <v>Low</v>
      </c>
      <c r="N4434" t="str">
        <f t="shared" si="419"/>
        <v>May</v>
      </c>
      <c r="O4434">
        <f t="shared" si="420"/>
        <v>2025</v>
      </c>
    </row>
    <row r="4435" spans="1:15" x14ac:dyDescent="0.3">
      <c r="A4435">
        <v>200078</v>
      </c>
      <c r="B4435" t="s">
        <v>38</v>
      </c>
      <c r="C4435" s="2">
        <v>45791</v>
      </c>
      <c r="D4435" s="2">
        <f t="shared" si="418"/>
        <v>45821</v>
      </c>
      <c r="E4435" s="1">
        <f>D4435+5</f>
        <v>45826</v>
      </c>
      <c r="F4435">
        <v>19884</v>
      </c>
      <c r="G4435">
        <v>30</v>
      </c>
      <c r="H4435">
        <f t="shared" si="417"/>
        <v>0</v>
      </c>
      <c r="I4435" t="str">
        <f t="shared" si="421"/>
        <v>On Time</v>
      </c>
      <c r="J4435" cm="1">
        <f t="array" ref="J4435">_xlfn.IFS(H4435&lt;30,0,H4435&lt;60,1,H4435&lt;90,2,H4435&lt;120,3)</f>
        <v>0</v>
      </c>
      <c r="M4435" t="str">
        <f t="shared" si="416"/>
        <v>Low</v>
      </c>
      <c r="N4435" t="str">
        <f t="shared" si="419"/>
        <v>May</v>
      </c>
      <c r="O4435">
        <f t="shared" si="420"/>
        <v>2025</v>
      </c>
    </row>
    <row r="4436" spans="1:15" x14ac:dyDescent="0.3">
      <c r="A4436">
        <v>200079</v>
      </c>
      <c r="B4436" t="s">
        <v>39</v>
      </c>
      <c r="C4436" s="2">
        <v>45791</v>
      </c>
      <c r="D4436" s="2">
        <f t="shared" si="418"/>
        <v>45821</v>
      </c>
      <c r="E4436" s="1">
        <f>D4436</f>
        <v>45821</v>
      </c>
      <c r="F4436">
        <v>713</v>
      </c>
      <c r="G4436">
        <v>30</v>
      </c>
      <c r="H4436">
        <f t="shared" si="417"/>
        <v>0</v>
      </c>
      <c r="I4436" t="str">
        <f t="shared" si="421"/>
        <v>On Time</v>
      </c>
      <c r="J4436" cm="1">
        <f t="array" ref="J4436">_xlfn.IFS(H4436&lt;30,0,H4436&lt;60,1,H4436&lt;90,2,H4436&lt;120,3)</f>
        <v>0</v>
      </c>
      <c r="M4436" t="str">
        <f t="shared" si="416"/>
        <v>Low</v>
      </c>
      <c r="N4436" t="str">
        <f t="shared" si="419"/>
        <v>May</v>
      </c>
      <c r="O4436">
        <f t="shared" si="420"/>
        <v>2025</v>
      </c>
    </row>
    <row r="4437" spans="1:15" x14ac:dyDescent="0.3">
      <c r="A4437">
        <v>200080</v>
      </c>
      <c r="B4437" t="s">
        <v>40</v>
      </c>
      <c r="C4437" s="2">
        <v>45791</v>
      </c>
      <c r="D4437" s="2">
        <f t="shared" si="418"/>
        <v>45821</v>
      </c>
      <c r="E4437" s="1">
        <f>D4437-1</f>
        <v>45820</v>
      </c>
      <c r="F4437">
        <v>4722</v>
      </c>
      <c r="G4437">
        <v>30</v>
      </c>
      <c r="H4437">
        <f t="shared" si="417"/>
        <v>0</v>
      </c>
      <c r="I4437" t="str">
        <f t="shared" si="421"/>
        <v>On Time</v>
      </c>
      <c r="J4437" cm="1">
        <f t="array" ref="J4437">_xlfn.IFS(H4437&lt;30,0,H4437&lt;60,1,H4437&lt;90,2,H4437&lt;120,3)</f>
        <v>0</v>
      </c>
      <c r="M4437" t="str">
        <f t="shared" si="416"/>
        <v>Low</v>
      </c>
      <c r="N4437" t="str">
        <f t="shared" si="419"/>
        <v>May</v>
      </c>
      <c r="O4437">
        <f t="shared" si="420"/>
        <v>2025</v>
      </c>
    </row>
    <row r="4438" spans="1:15" x14ac:dyDescent="0.3">
      <c r="A4438">
        <v>200081</v>
      </c>
      <c r="B4438" t="s">
        <v>41</v>
      </c>
      <c r="C4438" s="2">
        <v>45791</v>
      </c>
      <c r="D4438" s="2">
        <f t="shared" si="418"/>
        <v>45821</v>
      </c>
      <c r="E4438" s="1">
        <f>D4438</f>
        <v>45821</v>
      </c>
      <c r="F4438">
        <v>3892</v>
      </c>
      <c r="G4438">
        <v>30</v>
      </c>
      <c r="H4438">
        <f t="shared" si="417"/>
        <v>0</v>
      </c>
      <c r="I4438" t="str">
        <f t="shared" si="421"/>
        <v>On Time</v>
      </c>
      <c r="J4438" cm="1">
        <f t="array" ref="J4438">_xlfn.IFS(H4438&lt;30,0,H4438&lt;60,1,H4438&lt;90,2,H4438&lt;120,3)</f>
        <v>0</v>
      </c>
      <c r="M4438" t="str">
        <f t="shared" ref="M4438:M4501" si="422">IF(H4438&gt;30,"High",IF(H4438&gt;10,"Medium","Low"))</f>
        <v>Low</v>
      </c>
      <c r="N4438" t="str">
        <f t="shared" si="419"/>
        <v>May</v>
      </c>
      <c r="O4438">
        <f t="shared" si="420"/>
        <v>2025</v>
      </c>
    </row>
    <row r="4439" spans="1:15" x14ac:dyDescent="0.3">
      <c r="A4439">
        <v>200082</v>
      </c>
      <c r="B4439" t="s">
        <v>42</v>
      </c>
      <c r="C4439" s="2">
        <v>45791</v>
      </c>
      <c r="D4439" s="2">
        <f t="shared" si="418"/>
        <v>45821</v>
      </c>
      <c r="E4439" s="1">
        <f>D4439+32</f>
        <v>45853</v>
      </c>
      <c r="F4439">
        <v>3836</v>
      </c>
      <c r="G4439">
        <v>30</v>
      </c>
      <c r="H4439">
        <f t="shared" si="417"/>
        <v>0</v>
      </c>
      <c r="I4439" t="str">
        <f t="shared" si="421"/>
        <v>On Time</v>
      </c>
      <c r="J4439" cm="1">
        <f t="array" ref="J4439">_xlfn.IFS(H4439&lt;30,0,H4439&lt;60,1,H4439&lt;90,2,H4439&lt;120,3)</f>
        <v>0</v>
      </c>
      <c r="M4439" t="str">
        <f t="shared" si="422"/>
        <v>Low</v>
      </c>
      <c r="N4439" t="str">
        <f t="shared" si="419"/>
        <v>May</v>
      </c>
      <c r="O4439">
        <f t="shared" si="420"/>
        <v>2025</v>
      </c>
    </row>
    <row r="4440" spans="1:15" x14ac:dyDescent="0.3">
      <c r="A4440">
        <v>200083</v>
      </c>
      <c r="B4440" t="s">
        <v>43</v>
      </c>
      <c r="C4440" s="2">
        <v>45791</v>
      </c>
      <c r="D4440" s="2">
        <f t="shared" si="418"/>
        <v>45821</v>
      </c>
      <c r="E4440" s="1">
        <f>D4440+15</f>
        <v>45836</v>
      </c>
      <c r="F4440">
        <v>14181</v>
      </c>
      <c r="G4440">
        <v>30</v>
      </c>
      <c r="H4440">
        <f t="shared" si="417"/>
        <v>0</v>
      </c>
      <c r="I4440" t="str">
        <f t="shared" si="421"/>
        <v>On Time</v>
      </c>
      <c r="J4440" cm="1">
        <f t="array" ref="J4440">_xlfn.IFS(H4440&lt;30,0,H4440&lt;60,1,H4440&lt;90,2,H4440&lt;120,3)</f>
        <v>0</v>
      </c>
      <c r="M4440" t="str">
        <f t="shared" si="422"/>
        <v>Low</v>
      </c>
      <c r="N4440" t="str">
        <f t="shared" si="419"/>
        <v>May</v>
      </c>
      <c r="O4440">
        <f t="shared" si="420"/>
        <v>2025</v>
      </c>
    </row>
    <row r="4441" spans="1:15" x14ac:dyDescent="0.3">
      <c r="A4441">
        <v>200084</v>
      </c>
      <c r="B4441" t="s">
        <v>44</v>
      </c>
      <c r="C4441" s="2">
        <v>45791</v>
      </c>
      <c r="D4441" s="2">
        <f t="shared" si="418"/>
        <v>45836</v>
      </c>
      <c r="E4441" s="1">
        <f>D4441-2</f>
        <v>45834</v>
      </c>
      <c r="F4441">
        <v>1737</v>
      </c>
      <c r="G4441">
        <v>45</v>
      </c>
      <c r="H4441">
        <f t="shared" si="417"/>
        <v>0</v>
      </c>
      <c r="I4441" t="str">
        <f t="shared" si="421"/>
        <v>On Time</v>
      </c>
      <c r="J4441" cm="1">
        <f t="array" ref="J4441">_xlfn.IFS(H4441&lt;30,0,H4441&lt;60,1,H4441&lt;90,2,H4441&lt;120,3)</f>
        <v>0</v>
      </c>
      <c r="M4441" t="str">
        <f t="shared" si="422"/>
        <v>Low</v>
      </c>
      <c r="N4441" t="str">
        <f t="shared" si="419"/>
        <v>May</v>
      </c>
      <c r="O4441">
        <f t="shared" si="420"/>
        <v>2025</v>
      </c>
    </row>
    <row r="4442" spans="1:15" x14ac:dyDescent="0.3">
      <c r="A4442">
        <v>200085</v>
      </c>
      <c r="B4442" t="s">
        <v>20</v>
      </c>
      <c r="C4442" s="2">
        <v>45791</v>
      </c>
      <c r="D4442" s="2">
        <f t="shared" si="418"/>
        <v>45821</v>
      </c>
      <c r="E4442" s="1">
        <f>D4442-2</f>
        <v>45819</v>
      </c>
      <c r="F4442">
        <v>19580</v>
      </c>
      <c r="G4442">
        <v>30</v>
      </c>
      <c r="H4442">
        <f t="shared" si="417"/>
        <v>0</v>
      </c>
      <c r="I4442" t="str">
        <f t="shared" si="421"/>
        <v>On Time</v>
      </c>
      <c r="J4442" cm="1">
        <f t="array" ref="J4442">_xlfn.IFS(H4442&lt;30,0,H4442&lt;60,1,H4442&lt;90,2,H4442&lt;120,3)</f>
        <v>0</v>
      </c>
      <c r="M4442" t="str">
        <f t="shared" si="422"/>
        <v>Low</v>
      </c>
      <c r="N4442" t="str">
        <f t="shared" si="419"/>
        <v>May</v>
      </c>
      <c r="O4442">
        <f t="shared" si="420"/>
        <v>2025</v>
      </c>
    </row>
    <row r="4443" spans="1:15" x14ac:dyDescent="0.3">
      <c r="A4443">
        <v>200086</v>
      </c>
      <c r="B4443" t="s">
        <v>21</v>
      </c>
      <c r="C4443" s="2">
        <v>45791</v>
      </c>
      <c r="D4443" s="2">
        <f t="shared" si="418"/>
        <v>45821</v>
      </c>
      <c r="E4443" s="1">
        <f>D4443</f>
        <v>45821</v>
      </c>
      <c r="F4443">
        <v>4215</v>
      </c>
      <c r="G4443">
        <v>30</v>
      </c>
      <c r="H4443">
        <f t="shared" si="417"/>
        <v>0</v>
      </c>
      <c r="I4443" t="str">
        <f t="shared" si="421"/>
        <v>On Time</v>
      </c>
      <c r="J4443" cm="1">
        <f t="array" ref="J4443">_xlfn.IFS(H4443&lt;30,0,H4443&lt;60,1,H4443&lt;90,2,H4443&lt;120,3)</f>
        <v>0</v>
      </c>
      <c r="M4443" t="str">
        <f t="shared" si="422"/>
        <v>Low</v>
      </c>
      <c r="N4443" t="str">
        <f t="shared" si="419"/>
        <v>May</v>
      </c>
      <c r="O4443">
        <f t="shared" si="420"/>
        <v>2025</v>
      </c>
    </row>
    <row r="4444" spans="1:15" x14ac:dyDescent="0.3">
      <c r="A4444">
        <v>200087</v>
      </c>
      <c r="B4444" t="s">
        <v>22</v>
      </c>
      <c r="C4444" s="2">
        <v>45791</v>
      </c>
      <c r="D4444" s="2">
        <f t="shared" si="418"/>
        <v>45821</v>
      </c>
      <c r="E4444" s="1">
        <f>D4444+2</f>
        <v>45823</v>
      </c>
      <c r="F4444">
        <v>2092</v>
      </c>
      <c r="G4444">
        <v>30</v>
      </c>
      <c r="H4444">
        <f t="shared" si="417"/>
        <v>0</v>
      </c>
      <c r="I4444" t="str">
        <f t="shared" si="421"/>
        <v>On Time</v>
      </c>
      <c r="J4444" cm="1">
        <f t="array" ref="J4444">_xlfn.IFS(H4444&lt;30,0,H4444&lt;60,1,H4444&lt;90,2,H4444&lt;120,3)</f>
        <v>0</v>
      </c>
      <c r="M4444" t="str">
        <f t="shared" si="422"/>
        <v>Low</v>
      </c>
      <c r="N4444" t="str">
        <f t="shared" si="419"/>
        <v>May</v>
      </c>
      <c r="O4444">
        <f t="shared" si="420"/>
        <v>2025</v>
      </c>
    </row>
    <row r="4445" spans="1:15" x14ac:dyDescent="0.3">
      <c r="A4445">
        <v>200088</v>
      </c>
      <c r="B4445" t="s">
        <v>23</v>
      </c>
      <c r="C4445" s="2">
        <v>45791</v>
      </c>
      <c r="D4445" s="2">
        <f t="shared" si="418"/>
        <v>45836</v>
      </c>
      <c r="E4445" s="1">
        <f>D4445+2</f>
        <v>45838</v>
      </c>
      <c r="F4445">
        <v>1783</v>
      </c>
      <c r="G4445">
        <v>45</v>
      </c>
      <c r="H4445">
        <f t="shared" si="417"/>
        <v>0</v>
      </c>
      <c r="I4445" t="str">
        <f t="shared" si="421"/>
        <v>On Time</v>
      </c>
      <c r="J4445" cm="1">
        <f t="array" ref="J4445">_xlfn.IFS(H4445&lt;30,0,H4445&lt;60,1,H4445&lt;90,2,H4445&lt;120,3)</f>
        <v>0</v>
      </c>
      <c r="M4445" t="str">
        <f t="shared" si="422"/>
        <v>Low</v>
      </c>
      <c r="N4445" t="str">
        <f t="shared" si="419"/>
        <v>May</v>
      </c>
      <c r="O4445">
        <f t="shared" si="420"/>
        <v>2025</v>
      </c>
    </row>
    <row r="4446" spans="1:15" x14ac:dyDescent="0.3">
      <c r="A4446">
        <v>200067</v>
      </c>
      <c r="B4446" t="s">
        <v>46</v>
      </c>
      <c r="C4446" s="2">
        <v>45790</v>
      </c>
      <c r="D4446" s="2">
        <f t="shared" si="418"/>
        <v>45850</v>
      </c>
      <c r="E4446" s="1">
        <f>D4446</f>
        <v>45850</v>
      </c>
      <c r="F4446">
        <v>3097</v>
      </c>
      <c r="G4446">
        <v>60</v>
      </c>
      <c r="H4446">
        <f t="shared" si="417"/>
        <v>0</v>
      </c>
      <c r="I4446" t="str">
        <f t="shared" si="421"/>
        <v>On Time</v>
      </c>
      <c r="J4446" cm="1">
        <f t="array" ref="J4446">_xlfn.IFS(H4446&lt;30,0,H4446&lt;60,1,H4446&lt;90,2,H4446&lt;120,3)</f>
        <v>0</v>
      </c>
      <c r="M4446" t="str">
        <f t="shared" si="422"/>
        <v>Low</v>
      </c>
      <c r="N4446" t="str">
        <f t="shared" si="419"/>
        <v>May</v>
      </c>
      <c r="O4446">
        <f t="shared" si="420"/>
        <v>2025</v>
      </c>
    </row>
    <row r="4447" spans="1:15" x14ac:dyDescent="0.3">
      <c r="A4447">
        <v>200068</v>
      </c>
      <c r="B4447" t="s">
        <v>47</v>
      </c>
      <c r="C4447" s="2">
        <v>45790</v>
      </c>
      <c r="D4447" s="2">
        <f t="shared" si="418"/>
        <v>45850</v>
      </c>
      <c r="E4447" s="1">
        <f>D4447+60</f>
        <v>45910</v>
      </c>
      <c r="F4447">
        <v>3234</v>
      </c>
      <c r="G4447">
        <v>60</v>
      </c>
      <c r="H4447">
        <f t="shared" si="417"/>
        <v>0</v>
      </c>
      <c r="I4447" t="str">
        <f t="shared" si="421"/>
        <v>On Time</v>
      </c>
      <c r="J4447" cm="1">
        <f t="array" ref="J4447">_xlfn.IFS(H4447&lt;30,0,H4447&lt;60,1,H4447&lt;90,2,H4447&lt;120,3)</f>
        <v>0</v>
      </c>
      <c r="M4447" t="str">
        <f t="shared" si="422"/>
        <v>Low</v>
      </c>
      <c r="N4447" t="str">
        <f t="shared" si="419"/>
        <v>May</v>
      </c>
      <c r="O4447">
        <f t="shared" si="420"/>
        <v>2025</v>
      </c>
    </row>
    <row r="4448" spans="1:15" x14ac:dyDescent="0.3">
      <c r="A4448">
        <v>200069</v>
      </c>
      <c r="B4448" t="s">
        <v>48</v>
      </c>
      <c r="C4448" s="2">
        <v>45790</v>
      </c>
      <c r="D4448" s="2">
        <f t="shared" si="418"/>
        <v>45835</v>
      </c>
      <c r="E4448" s="1">
        <f>D4448</f>
        <v>45835</v>
      </c>
      <c r="F4448">
        <v>1657</v>
      </c>
      <c r="G4448">
        <v>45</v>
      </c>
      <c r="H4448">
        <f t="shared" si="417"/>
        <v>0</v>
      </c>
      <c r="I4448" t="str">
        <f t="shared" si="421"/>
        <v>On Time</v>
      </c>
      <c r="J4448" cm="1">
        <f t="array" ref="J4448">_xlfn.IFS(H4448&lt;30,0,H4448&lt;60,1,H4448&lt;90,2,H4448&lt;120,3)</f>
        <v>0</v>
      </c>
      <c r="M4448" t="str">
        <f t="shared" si="422"/>
        <v>Low</v>
      </c>
      <c r="N4448" t="str">
        <f t="shared" si="419"/>
        <v>May</v>
      </c>
      <c r="O4448">
        <f t="shared" si="420"/>
        <v>2025</v>
      </c>
    </row>
    <row r="4449" spans="1:15" x14ac:dyDescent="0.3">
      <c r="A4449">
        <v>200070</v>
      </c>
      <c r="B4449" t="s">
        <v>49</v>
      </c>
      <c r="C4449" s="2">
        <v>45790</v>
      </c>
      <c r="D4449" s="2">
        <f t="shared" si="418"/>
        <v>45820</v>
      </c>
      <c r="E4449" s="1">
        <f>D4449</f>
        <v>45820</v>
      </c>
      <c r="F4449">
        <v>2561</v>
      </c>
      <c r="G4449">
        <v>30</v>
      </c>
      <c r="H4449">
        <f t="shared" si="417"/>
        <v>0</v>
      </c>
      <c r="I4449" t="str">
        <f t="shared" si="421"/>
        <v>On Time</v>
      </c>
      <c r="J4449" cm="1">
        <f t="array" ref="J4449">_xlfn.IFS(H4449&lt;30,0,H4449&lt;60,1,H4449&lt;90,2,H4449&lt;120,3)</f>
        <v>0</v>
      </c>
      <c r="M4449" t="str">
        <f t="shared" si="422"/>
        <v>Low</v>
      </c>
      <c r="N4449" t="str">
        <f t="shared" si="419"/>
        <v>May</v>
      </c>
      <c r="O4449">
        <f t="shared" si="420"/>
        <v>2025</v>
      </c>
    </row>
    <row r="4450" spans="1:15" x14ac:dyDescent="0.3">
      <c r="A4450">
        <v>200071</v>
      </c>
      <c r="B4450" t="s">
        <v>50</v>
      </c>
      <c r="C4450" s="2">
        <v>45790</v>
      </c>
      <c r="D4450" s="2">
        <f t="shared" si="418"/>
        <v>45820</v>
      </c>
      <c r="E4450" s="1">
        <f>D4450+3</f>
        <v>45823</v>
      </c>
      <c r="F4450">
        <v>4806</v>
      </c>
      <c r="G4450">
        <v>30</v>
      </c>
      <c r="H4450">
        <f t="shared" si="417"/>
        <v>0</v>
      </c>
      <c r="I4450" t="str">
        <f t="shared" si="421"/>
        <v>On Time</v>
      </c>
      <c r="J4450" cm="1">
        <f t="array" ref="J4450">_xlfn.IFS(H4450&lt;30,0,H4450&lt;60,1,H4450&lt;90,2,H4450&lt;120,3)</f>
        <v>0</v>
      </c>
      <c r="M4450" t="str">
        <f t="shared" si="422"/>
        <v>Low</v>
      </c>
      <c r="N4450" t="str">
        <f t="shared" si="419"/>
        <v>May</v>
      </c>
      <c r="O4450">
        <f t="shared" si="420"/>
        <v>2025</v>
      </c>
    </row>
    <row r="4451" spans="1:15" x14ac:dyDescent="0.3">
      <c r="A4451">
        <v>200072</v>
      </c>
      <c r="B4451" t="s">
        <v>51</v>
      </c>
      <c r="C4451" s="2">
        <v>45790</v>
      </c>
      <c r="D4451" s="2">
        <f t="shared" si="418"/>
        <v>45820</v>
      </c>
      <c r="E4451" s="1">
        <f>D4451+1</f>
        <v>45821</v>
      </c>
      <c r="F4451">
        <v>4914</v>
      </c>
      <c r="G4451">
        <v>30</v>
      </c>
      <c r="H4451">
        <f t="shared" si="417"/>
        <v>0</v>
      </c>
      <c r="I4451" t="str">
        <f t="shared" si="421"/>
        <v>On Time</v>
      </c>
      <c r="J4451" cm="1">
        <f t="array" ref="J4451">_xlfn.IFS(H4451&lt;30,0,H4451&lt;60,1,H4451&lt;90,2,H4451&lt;120,3)</f>
        <v>0</v>
      </c>
      <c r="M4451" t="str">
        <f t="shared" si="422"/>
        <v>Low</v>
      </c>
      <c r="N4451" t="str">
        <f t="shared" si="419"/>
        <v>May</v>
      </c>
      <c r="O4451">
        <f t="shared" si="420"/>
        <v>2025</v>
      </c>
    </row>
    <row r="4452" spans="1:15" x14ac:dyDescent="0.3">
      <c r="A4452">
        <v>200073</v>
      </c>
      <c r="B4452" t="s">
        <v>52</v>
      </c>
      <c r="C4452" s="2">
        <v>45790</v>
      </c>
      <c r="D4452" s="2">
        <f t="shared" si="418"/>
        <v>45820</v>
      </c>
      <c r="E4452" s="1">
        <f>D4452-1</f>
        <v>45819</v>
      </c>
      <c r="F4452">
        <v>1070</v>
      </c>
      <c r="G4452">
        <v>30</v>
      </c>
      <c r="H4452">
        <f t="shared" si="417"/>
        <v>0</v>
      </c>
      <c r="I4452" t="str">
        <f t="shared" si="421"/>
        <v>On Time</v>
      </c>
      <c r="J4452" cm="1">
        <f t="array" ref="J4452">_xlfn.IFS(H4452&lt;30,0,H4452&lt;60,1,H4452&lt;90,2,H4452&lt;120,3)</f>
        <v>0</v>
      </c>
      <c r="M4452" t="str">
        <f t="shared" si="422"/>
        <v>Low</v>
      </c>
      <c r="N4452" t="str">
        <f t="shared" si="419"/>
        <v>May</v>
      </c>
      <c r="O4452">
        <f t="shared" si="420"/>
        <v>2025</v>
      </c>
    </row>
    <row r="4453" spans="1:15" x14ac:dyDescent="0.3">
      <c r="A4453">
        <v>200074</v>
      </c>
      <c r="B4453" t="s">
        <v>53</v>
      </c>
      <c r="C4453" s="2">
        <v>45790</v>
      </c>
      <c r="D4453" s="2">
        <f t="shared" si="418"/>
        <v>45820</v>
      </c>
      <c r="E4453" s="1">
        <f>D4453</f>
        <v>45820</v>
      </c>
      <c r="F4453">
        <v>3952</v>
      </c>
      <c r="G4453">
        <v>30</v>
      </c>
      <c r="H4453">
        <f t="shared" si="417"/>
        <v>0</v>
      </c>
      <c r="I4453" t="str">
        <f t="shared" ref="I4453:I4484" si="423">IF(H4453=0,"On Time",IF(H4453&lt;=15,"Paid Late","Seriously Late"))</f>
        <v>On Time</v>
      </c>
      <c r="J4453" cm="1">
        <f t="array" ref="J4453">_xlfn.IFS(H4453&lt;30,0,H4453&lt;60,1,H4453&lt;90,2,H4453&lt;120,3)</f>
        <v>0</v>
      </c>
      <c r="M4453" t="str">
        <f t="shared" si="422"/>
        <v>Low</v>
      </c>
      <c r="N4453" t="str">
        <f t="shared" si="419"/>
        <v>May</v>
      </c>
      <c r="O4453">
        <f t="shared" si="420"/>
        <v>2025</v>
      </c>
    </row>
    <row r="4454" spans="1:15" x14ac:dyDescent="0.3">
      <c r="A4454">
        <v>200075</v>
      </c>
      <c r="B4454" t="s">
        <v>54</v>
      </c>
      <c r="C4454" s="2">
        <v>45790</v>
      </c>
      <c r="D4454" s="2">
        <f t="shared" si="418"/>
        <v>45820</v>
      </c>
      <c r="E4454" s="1">
        <f>D4454+1</f>
        <v>45821</v>
      </c>
      <c r="F4454">
        <v>4257</v>
      </c>
      <c r="G4454">
        <v>30</v>
      </c>
      <c r="H4454">
        <f t="shared" ref="H4454:H4489" si="424">MAX(0,P4419-D4454)</f>
        <v>0</v>
      </c>
      <c r="I4454" t="str">
        <f t="shared" si="423"/>
        <v>On Time</v>
      </c>
      <c r="J4454" cm="1">
        <f t="array" ref="J4454">_xlfn.IFS(H4454&lt;30,0,H4454&lt;60,1,H4454&lt;90,2,H4454&lt;120,3)</f>
        <v>0</v>
      </c>
      <c r="M4454" t="str">
        <f t="shared" si="422"/>
        <v>Low</v>
      </c>
      <c r="N4454" t="str">
        <f t="shared" si="419"/>
        <v>May</v>
      </c>
      <c r="O4454">
        <f t="shared" si="420"/>
        <v>2025</v>
      </c>
    </row>
    <row r="4455" spans="1:15" x14ac:dyDescent="0.3">
      <c r="A4455">
        <v>200076</v>
      </c>
      <c r="B4455" t="s">
        <v>36</v>
      </c>
      <c r="C4455" s="2">
        <v>45790</v>
      </c>
      <c r="D4455" s="2">
        <f t="shared" si="418"/>
        <v>45820</v>
      </c>
      <c r="E4455" s="1">
        <f>D4455+35</f>
        <v>45855</v>
      </c>
      <c r="F4455">
        <v>3923</v>
      </c>
      <c r="G4455">
        <v>30</v>
      </c>
      <c r="H4455">
        <f t="shared" si="424"/>
        <v>0</v>
      </c>
      <c r="I4455" t="str">
        <f t="shared" si="423"/>
        <v>On Time</v>
      </c>
      <c r="J4455" cm="1">
        <f t="array" ref="J4455">_xlfn.IFS(H4455&lt;30,0,H4455&lt;60,1,H4455&lt;90,2,H4455&lt;120,3)</f>
        <v>0</v>
      </c>
      <c r="M4455" t="str">
        <f t="shared" si="422"/>
        <v>Low</v>
      </c>
      <c r="N4455" t="str">
        <f t="shared" si="419"/>
        <v>May</v>
      </c>
      <c r="O4455">
        <f t="shared" si="420"/>
        <v>2025</v>
      </c>
    </row>
    <row r="4456" spans="1:15" x14ac:dyDescent="0.3">
      <c r="A4456">
        <v>200055</v>
      </c>
      <c r="B4456" t="s">
        <v>95</v>
      </c>
      <c r="C4456" s="2">
        <v>45789</v>
      </c>
      <c r="D4456" s="2">
        <f t="shared" si="418"/>
        <v>45834</v>
      </c>
      <c r="E4456" s="1">
        <f>D4456+2</f>
        <v>45836</v>
      </c>
      <c r="F4456">
        <v>2013</v>
      </c>
      <c r="G4456">
        <v>45</v>
      </c>
      <c r="H4456">
        <f t="shared" si="424"/>
        <v>0</v>
      </c>
      <c r="I4456" t="str">
        <f t="shared" si="423"/>
        <v>On Time</v>
      </c>
      <c r="J4456" cm="1">
        <f t="array" ref="J4456">_xlfn.IFS(H4456&lt;30,0,H4456&lt;60,1,H4456&lt;90,2,H4456&lt;120,3)</f>
        <v>0</v>
      </c>
      <c r="M4456" t="str">
        <f t="shared" si="422"/>
        <v>Low</v>
      </c>
      <c r="N4456" t="str">
        <f t="shared" si="419"/>
        <v>May</v>
      </c>
      <c r="O4456">
        <f t="shared" si="420"/>
        <v>2025</v>
      </c>
    </row>
    <row r="4457" spans="1:15" x14ac:dyDescent="0.3">
      <c r="A4457">
        <v>200056</v>
      </c>
      <c r="B4457" t="s">
        <v>68</v>
      </c>
      <c r="C4457" s="2">
        <v>45789</v>
      </c>
      <c r="D4457" s="2">
        <f t="shared" si="418"/>
        <v>45819</v>
      </c>
      <c r="E4457" s="1">
        <f>D4457+2</f>
        <v>45821</v>
      </c>
      <c r="F4457">
        <v>758</v>
      </c>
      <c r="G4457">
        <v>30</v>
      </c>
      <c r="H4457">
        <f t="shared" si="424"/>
        <v>0</v>
      </c>
      <c r="I4457" t="str">
        <f t="shared" si="423"/>
        <v>On Time</v>
      </c>
      <c r="J4457" cm="1">
        <f t="array" ref="J4457">_xlfn.IFS(H4457&lt;30,0,H4457&lt;60,1,H4457&lt;90,2,H4457&lt;120,3)</f>
        <v>0</v>
      </c>
      <c r="M4457" t="str">
        <f t="shared" si="422"/>
        <v>Low</v>
      </c>
      <c r="N4457" t="str">
        <f t="shared" si="419"/>
        <v>May</v>
      </c>
      <c r="O4457">
        <f t="shared" si="420"/>
        <v>2025</v>
      </c>
    </row>
    <row r="4458" spans="1:15" x14ac:dyDescent="0.3">
      <c r="A4458">
        <v>200057</v>
      </c>
      <c r="B4458" t="s">
        <v>69</v>
      </c>
      <c r="C4458" s="2">
        <v>45789</v>
      </c>
      <c r="D4458" s="2">
        <f t="shared" si="418"/>
        <v>45819</v>
      </c>
      <c r="E4458" s="1">
        <f>D4458</f>
        <v>45819</v>
      </c>
      <c r="F4458">
        <v>762</v>
      </c>
      <c r="G4458">
        <v>30</v>
      </c>
      <c r="H4458">
        <f t="shared" si="424"/>
        <v>0</v>
      </c>
      <c r="I4458" t="str">
        <f t="shared" si="423"/>
        <v>On Time</v>
      </c>
      <c r="J4458" cm="1">
        <f t="array" ref="J4458">_xlfn.IFS(H4458&lt;30,0,H4458&lt;60,1,H4458&lt;90,2,H4458&lt;120,3)</f>
        <v>0</v>
      </c>
      <c r="M4458" t="str">
        <f t="shared" si="422"/>
        <v>Low</v>
      </c>
      <c r="N4458" t="str">
        <f t="shared" si="419"/>
        <v>May</v>
      </c>
      <c r="O4458">
        <f t="shared" si="420"/>
        <v>2025</v>
      </c>
    </row>
    <row r="4459" spans="1:15" x14ac:dyDescent="0.3">
      <c r="A4459">
        <v>200058</v>
      </c>
      <c r="B4459" t="s">
        <v>70</v>
      </c>
      <c r="C4459" s="2">
        <v>45789</v>
      </c>
      <c r="D4459" s="2">
        <f t="shared" si="418"/>
        <v>45819</v>
      </c>
      <c r="E4459" s="1">
        <f>D4459+20</f>
        <v>45839</v>
      </c>
      <c r="F4459">
        <v>19795</v>
      </c>
      <c r="G4459">
        <v>30</v>
      </c>
      <c r="H4459">
        <f t="shared" si="424"/>
        <v>0</v>
      </c>
      <c r="I4459" t="str">
        <f t="shared" si="423"/>
        <v>On Time</v>
      </c>
      <c r="J4459" cm="1">
        <f t="array" ref="J4459">_xlfn.IFS(H4459&lt;30,0,H4459&lt;60,1,H4459&lt;90,2,H4459&lt;120,3)</f>
        <v>0</v>
      </c>
      <c r="M4459" t="str">
        <f t="shared" si="422"/>
        <v>Low</v>
      </c>
      <c r="N4459" t="str">
        <f t="shared" si="419"/>
        <v>May</v>
      </c>
      <c r="O4459">
        <f t="shared" si="420"/>
        <v>2025</v>
      </c>
    </row>
    <row r="4460" spans="1:15" x14ac:dyDescent="0.3">
      <c r="A4460">
        <v>200059</v>
      </c>
      <c r="B4460" t="s">
        <v>71</v>
      </c>
      <c r="C4460" s="2">
        <v>45789</v>
      </c>
      <c r="D4460" s="2">
        <f t="shared" si="418"/>
        <v>45819</v>
      </c>
      <c r="E4460" s="1">
        <f>D4460</f>
        <v>45819</v>
      </c>
      <c r="F4460">
        <v>1167</v>
      </c>
      <c r="G4460">
        <v>30</v>
      </c>
      <c r="H4460">
        <f t="shared" si="424"/>
        <v>0</v>
      </c>
      <c r="I4460" t="str">
        <f t="shared" si="423"/>
        <v>On Time</v>
      </c>
      <c r="J4460" cm="1">
        <f t="array" ref="J4460">_xlfn.IFS(H4460&lt;30,0,H4460&lt;60,1,H4460&lt;90,2,H4460&lt;120,3)</f>
        <v>0</v>
      </c>
      <c r="M4460" t="str">
        <f t="shared" si="422"/>
        <v>Low</v>
      </c>
      <c r="N4460" t="str">
        <f t="shared" si="419"/>
        <v>May</v>
      </c>
      <c r="O4460">
        <f t="shared" si="420"/>
        <v>2025</v>
      </c>
    </row>
    <row r="4461" spans="1:15" x14ac:dyDescent="0.3">
      <c r="A4461">
        <v>200060</v>
      </c>
      <c r="B4461" t="s">
        <v>72</v>
      </c>
      <c r="C4461" s="2">
        <v>45789</v>
      </c>
      <c r="D4461" s="2">
        <f t="shared" si="418"/>
        <v>45819</v>
      </c>
      <c r="E4461" s="1">
        <f>D4461+1</f>
        <v>45820</v>
      </c>
      <c r="F4461">
        <v>1337</v>
      </c>
      <c r="G4461">
        <v>30</v>
      </c>
      <c r="H4461">
        <f t="shared" si="424"/>
        <v>0</v>
      </c>
      <c r="I4461" t="str">
        <f t="shared" si="423"/>
        <v>On Time</v>
      </c>
      <c r="J4461" cm="1">
        <f t="array" ref="J4461">_xlfn.IFS(H4461&lt;30,0,H4461&lt;60,1,H4461&lt;90,2,H4461&lt;120,3)</f>
        <v>0</v>
      </c>
      <c r="M4461" t="str">
        <f t="shared" si="422"/>
        <v>Low</v>
      </c>
      <c r="N4461" t="str">
        <f t="shared" si="419"/>
        <v>May</v>
      </c>
      <c r="O4461">
        <f t="shared" si="420"/>
        <v>2025</v>
      </c>
    </row>
    <row r="4462" spans="1:15" x14ac:dyDescent="0.3">
      <c r="A4462">
        <v>200061</v>
      </c>
      <c r="B4462" t="s">
        <v>73</v>
      </c>
      <c r="C4462" s="2">
        <v>45789</v>
      </c>
      <c r="D4462" s="2">
        <f t="shared" si="418"/>
        <v>45834</v>
      </c>
      <c r="E4462" s="1">
        <f>D4462</f>
        <v>45834</v>
      </c>
      <c r="F4462">
        <v>4109</v>
      </c>
      <c r="G4462">
        <v>45</v>
      </c>
      <c r="H4462">
        <f t="shared" si="424"/>
        <v>0</v>
      </c>
      <c r="I4462" t="str">
        <f t="shared" si="423"/>
        <v>On Time</v>
      </c>
      <c r="J4462" cm="1">
        <f t="array" ref="J4462">_xlfn.IFS(H4462&lt;30,0,H4462&lt;60,1,H4462&lt;90,2,H4462&lt;120,3)</f>
        <v>0</v>
      </c>
      <c r="M4462" t="str">
        <f t="shared" si="422"/>
        <v>Low</v>
      </c>
      <c r="N4462" t="str">
        <f t="shared" si="419"/>
        <v>May</v>
      </c>
      <c r="O4462">
        <f t="shared" si="420"/>
        <v>2025</v>
      </c>
    </row>
    <row r="4463" spans="1:15" x14ac:dyDescent="0.3">
      <c r="A4463">
        <v>200062</v>
      </c>
      <c r="B4463" t="s">
        <v>74</v>
      </c>
      <c r="C4463" s="2">
        <v>45789</v>
      </c>
      <c r="D4463" s="2">
        <f t="shared" si="418"/>
        <v>45834</v>
      </c>
      <c r="E4463" s="1">
        <f>D4463</f>
        <v>45834</v>
      </c>
      <c r="F4463">
        <v>3872</v>
      </c>
      <c r="G4463">
        <v>45</v>
      </c>
      <c r="H4463">
        <f t="shared" si="424"/>
        <v>0</v>
      </c>
      <c r="I4463" t="str">
        <f t="shared" si="423"/>
        <v>On Time</v>
      </c>
      <c r="J4463" cm="1">
        <f t="array" ref="J4463">_xlfn.IFS(H4463&lt;30,0,H4463&lt;60,1,H4463&lt;90,2,H4463&lt;120,3)</f>
        <v>0</v>
      </c>
      <c r="M4463" t="str">
        <f t="shared" si="422"/>
        <v>Low</v>
      </c>
      <c r="N4463" t="str">
        <f t="shared" si="419"/>
        <v>May</v>
      </c>
      <c r="O4463">
        <f t="shared" si="420"/>
        <v>2025</v>
      </c>
    </row>
    <row r="4464" spans="1:15" x14ac:dyDescent="0.3">
      <c r="A4464">
        <v>200063</v>
      </c>
      <c r="B4464" t="s">
        <v>75</v>
      </c>
      <c r="C4464" s="2">
        <v>45789</v>
      </c>
      <c r="D4464" s="2">
        <f t="shared" si="418"/>
        <v>45849</v>
      </c>
      <c r="E4464" s="1">
        <f>D4464+5</f>
        <v>45854</v>
      </c>
      <c r="F4464">
        <v>3177</v>
      </c>
      <c r="G4464">
        <v>60</v>
      </c>
      <c r="H4464">
        <f t="shared" si="424"/>
        <v>0</v>
      </c>
      <c r="I4464" t="str">
        <f t="shared" si="423"/>
        <v>On Time</v>
      </c>
      <c r="J4464" cm="1">
        <f t="array" ref="J4464">_xlfn.IFS(H4464&lt;30,0,H4464&lt;60,1,H4464&lt;90,2,H4464&lt;120,3)</f>
        <v>0</v>
      </c>
      <c r="M4464" t="str">
        <f t="shared" si="422"/>
        <v>Low</v>
      </c>
      <c r="N4464" t="str">
        <f t="shared" si="419"/>
        <v>May</v>
      </c>
      <c r="O4464">
        <f t="shared" si="420"/>
        <v>2025</v>
      </c>
    </row>
    <row r="4465" spans="1:15" x14ac:dyDescent="0.3">
      <c r="A4465">
        <v>200064</v>
      </c>
      <c r="B4465" t="s">
        <v>76</v>
      </c>
      <c r="C4465" s="2">
        <v>45789</v>
      </c>
      <c r="D4465" s="2">
        <f t="shared" si="418"/>
        <v>45819</v>
      </c>
      <c r="E4465" s="1">
        <f>D4465+2</f>
        <v>45821</v>
      </c>
      <c r="F4465">
        <v>2688</v>
      </c>
      <c r="G4465">
        <v>30</v>
      </c>
      <c r="H4465">
        <f t="shared" si="424"/>
        <v>0</v>
      </c>
      <c r="I4465" t="str">
        <f t="shared" si="423"/>
        <v>On Time</v>
      </c>
      <c r="J4465" cm="1">
        <f t="array" ref="J4465">_xlfn.IFS(H4465&lt;30,0,H4465&lt;60,1,H4465&lt;90,2,H4465&lt;120,3)</f>
        <v>0</v>
      </c>
      <c r="M4465" t="str">
        <f t="shared" si="422"/>
        <v>Low</v>
      </c>
      <c r="N4465" t="str">
        <f t="shared" si="419"/>
        <v>May</v>
      </c>
      <c r="O4465">
        <f t="shared" si="420"/>
        <v>2025</v>
      </c>
    </row>
    <row r="4466" spans="1:15" x14ac:dyDescent="0.3">
      <c r="A4466">
        <v>200065</v>
      </c>
      <c r="B4466" t="s">
        <v>44</v>
      </c>
      <c r="C4466" s="2">
        <v>45789</v>
      </c>
      <c r="D4466" s="2">
        <f t="shared" si="418"/>
        <v>45834</v>
      </c>
      <c r="E4466" s="1">
        <f>D4466</f>
        <v>45834</v>
      </c>
      <c r="F4466">
        <v>1692</v>
      </c>
      <c r="G4466">
        <v>45</v>
      </c>
      <c r="H4466">
        <f t="shared" si="424"/>
        <v>0</v>
      </c>
      <c r="I4466" t="str">
        <f t="shared" si="423"/>
        <v>On Time</v>
      </c>
      <c r="J4466" cm="1">
        <f t="array" ref="J4466">_xlfn.IFS(H4466&lt;30,0,H4466&lt;60,1,H4466&lt;90,2,H4466&lt;120,3)</f>
        <v>0</v>
      </c>
      <c r="M4466" t="str">
        <f t="shared" si="422"/>
        <v>Low</v>
      </c>
      <c r="N4466" t="str">
        <f t="shared" si="419"/>
        <v>May</v>
      </c>
      <c r="O4466">
        <f t="shared" si="420"/>
        <v>2025</v>
      </c>
    </row>
    <row r="4467" spans="1:15" x14ac:dyDescent="0.3">
      <c r="A4467">
        <v>200066</v>
      </c>
      <c r="B4467" t="s">
        <v>45</v>
      </c>
      <c r="C4467" s="2">
        <v>45789</v>
      </c>
      <c r="D4467" s="2">
        <f t="shared" si="418"/>
        <v>45834</v>
      </c>
      <c r="E4467" s="1">
        <f>D4467</f>
        <v>45834</v>
      </c>
      <c r="F4467">
        <v>7497</v>
      </c>
      <c r="G4467">
        <v>45</v>
      </c>
      <c r="H4467">
        <f t="shared" si="424"/>
        <v>0</v>
      </c>
      <c r="I4467" t="str">
        <f t="shared" si="423"/>
        <v>On Time</v>
      </c>
      <c r="J4467" cm="1">
        <f t="array" ref="J4467">_xlfn.IFS(H4467&lt;30,0,H4467&lt;60,1,H4467&lt;90,2,H4467&lt;120,3)</f>
        <v>0</v>
      </c>
      <c r="M4467" t="str">
        <f t="shared" si="422"/>
        <v>Low</v>
      </c>
      <c r="N4467" t="str">
        <f t="shared" si="419"/>
        <v>May</v>
      </c>
      <c r="O4467">
        <f t="shared" si="420"/>
        <v>2025</v>
      </c>
    </row>
    <row r="4468" spans="1:15" x14ac:dyDescent="0.3">
      <c r="A4468">
        <v>200049</v>
      </c>
      <c r="B4468" t="s">
        <v>89</v>
      </c>
      <c r="C4468" s="2">
        <v>45786</v>
      </c>
      <c r="D4468" s="2">
        <f t="shared" si="418"/>
        <v>45816</v>
      </c>
      <c r="E4468" s="1">
        <f>D4468+32</f>
        <v>45848</v>
      </c>
      <c r="F4468">
        <v>4972</v>
      </c>
      <c r="G4468">
        <v>30</v>
      </c>
      <c r="H4468">
        <f t="shared" si="424"/>
        <v>0</v>
      </c>
      <c r="I4468" t="str">
        <f t="shared" si="423"/>
        <v>On Time</v>
      </c>
      <c r="J4468" cm="1">
        <f t="array" ref="J4468">_xlfn.IFS(H4468&lt;30,0,H4468&lt;60,1,H4468&lt;90,2,H4468&lt;120,3)</f>
        <v>0</v>
      </c>
      <c r="M4468" t="str">
        <f t="shared" si="422"/>
        <v>Low</v>
      </c>
      <c r="N4468" t="str">
        <f t="shared" si="419"/>
        <v>May</v>
      </c>
      <c r="O4468">
        <f t="shared" si="420"/>
        <v>2025</v>
      </c>
    </row>
    <row r="4469" spans="1:15" x14ac:dyDescent="0.3">
      <c r="A4469">
        <v>200050</v>
      </c>
      <c r="B4469" t="s">
        <v>90</v>
      </c>
      <c r="C4469" s="2">
        <v>45786</v>
      </c>
      <c r="D4469" s="2">
        <f t="shared" si="418"/>
        <v>45816</v>
      </c>
      <c r="E4469" s="1">
        <f>D4469+15</f>
        <v>45831</v>
      </c>
      <c r="F4469">
        <v>4743</v>
      </c>
      <c r="G4469">
        <v>30</v>
      </c>
      <c r="H4469">
        <f t="shared" si="424"/>
        <v>0</v>
      </c>
      <c r="I4469" t="str">
        <f t="shared" si="423"/>
        <v>On Time</v>
      </c>
      <c r="J4469" cm="1">
        <f t="array" ref="J4469">_xlfn.IFS(H4469&lt;30,0,H4469&lt;60,1,H4469&lt;90,2,H4469&lt;120,3)</f>
        <v>0</v>
      </c>
      <c r="M4469" t="str">
        <f t="shared" si="422"/>
        <v>Low</v>
      </c>
      <c r="N4469" t="str">
        <f t="shared" si="419"/>
        <v>May</v>
      </c>
      <c r="O4469">
        <f t="shared" si="420"/>
        <v>2025</v>
      </c>
    </row>
    <row r="4470" spans="1:15" x14ac:dyDescent="0.3">
      <c r="A4470">
        <v>200051</v>
      </c>
      <c r="B4470" t="s">
        <v>91</v>
      </c>
      <c r="C4470" s="2">
        <v>45786</v>
      </c>
      <c r="D4470" s="2">
        <f t="shared" si="418"/>
        <v>45816</v>
      </c>
      <c r="E4470" s="1">
        <f>D4470</f>
        <v>45816</v>
      </c>
      <c r="F4470">
        <v>3530</v>
      </c>
      <c r="G4470">
        <v>30</v>
      </c>
      <c r="H4470">
        <f t="shared" si="424"/>
        <v>0</v>
      </c>
      <c r="I4470" t="str">
        <f t="shared" si="423"/>
        <v>On Time</v>
      </c>
      <c r="J4470" cm="1">
        <f t="array" ref="J4470">_xlfn.IFS(H4470&lt;30,0,H4470&lt;60,1,H4470&lt;90,2,H4470&lt;120,3)</f>
        <v>0</v>
      </c>
      <c r="M4470" t="str">
        <f t="shared" si="422"/>
        <v>Low</v>
      </c>
      <c r="N4470" t="str">
        <f t="shared" si="419"/>
        <v>May</v>
      </c>
      <c r="O4470">
        <f t="shared" si="420"/>
        <v>2025</v>
      </c>
    </row>
    <row r="4471" spans="1:15" x14ac:dyDescent="0.3">
      <c r="A4471">
        <v>200052</v>
      </c>
      <c r="B4471" t="s">
        <v>92</v>
      </c>
      <c r="C4471" s="2">
        <v>45786</v>
      </c>
      <c r="D4471" s="2">
        <f t="shared" si="418"/>
        <v>45816</v>
      </c>
      <c r="E4471" s="1">
        <f>D4471-2</f>
        <v>45814</v>
      </c>
      <c r="F4471">
        <v>977</v>
      </c>
      <c r="G4471">
        <v>30</v>
      </c>
      <c r="H4471">
        <f t="shared" si="424"/>
        <v>0</v>
      </c>
      <c r="I4471" t="str">
        <f t="shared" si="423"/>
        <v>On Time</v>
      </c>
      <c r="J4471" cm="1">
        <f t="array" ref="J4471">_xlfn.IFS(H4471&lt;30,0,H4471&lt;60,1,H4471&lt;90,2,H4471&lt;120,3)</f>
        <v>0</v>
      </c>
      <c r="M4471" t="str">
        <f t="shared" si="422"/>
        <v>Low</v>
      </c>
      <c r="N4471" t="str">
        <f t="shared" si="419"/>
        <v>May</v>
      </c>
      <c r="O4471">
        <f t="shared" si="420"/>
        <v>2025</v>
      </c>
    </row>
    <row r="4472" spans="1:15" x14ac:dyDescent="0.3">
      <c r="A4472">
        <v>200053</v>
      </c>
      <c r="B4472" t="s">
        <v>93</v>
      </c>
      <c r="C4472" s="2">
        <v>45786</v>
      </c>
      <c r="D4472" s="2">
        <f t="shared" si="418"/>
        <v>45816</v>
      </c>
      <c r="E4472" s="1">
        <f>D4472</f>
        <v>45816</v>
      </c>
      <c r="F4472">
        <v>206</v>
      </c>
      <c r="G4472">
        <v>30</v>
      </c>
      <c r="H4472">
        <f t="shared" si="424"/>
        <v>0</v>
      </c>
      <c r="I4472" t="str">
        <f t="shared" si="423"/>
        <v>On Time</v>
      </c>
      <c r="J4472" cm="1">
        <f t="array" ref="J4472">_xlfn.IFS(H4472&lt;30,0,H4472&lt;60,1,H4472&lt;90,2,H4472&lt;120,3)</f>
        <v>0</v>
      </c>
      <c r="M4472" t="str">
        <f t="shared" si="422"/>
        <v>Low</v>
      </c>
      <c r="N4472" t="str">
        <f t="shared" si="419"/>
        <v>May</v>
      </c>
      <c r="O4472">
        <f t="shared" si="420"/>
        <v>2025</v>
      </c>
    </row>
    <row r="4473" spans="1:15" x14ac:dyDescent="0.3">
      <c r="A4473">
        <v>200054</v>
      </c>
      <c r="B4473" t="s">
        <v>94</v>
      </c>
      <c r="C4473" s="2">
        <v>45786</v>
      </c>
      <c r="D4473" s="2">
        <f t="shared" si="418"/>
        <v>45816</v>
      </c>
      <c r="E4473" s="1">
        <f>D4473+2</f>
        <v>45818</v>
      </c>
      <c r="F4473">
        <v>4657</v>
      </c>
      <c r="G4473">
        <v>30</v>
      </c>
      <c r="H4473">
        <f t="shared" si="424"/>
        <v>0</v>
      </c>
      <c r="I4473" t="str">
        <f t="shared" si="423"/>
        <v>On Time</v>
      </c>
      <c r="J4473" cm="1">
        <f t="array" ref="J4473">_xlfn.IFS(H4473&lt;30,0,H4473&lt;60,1,H4473&lt;90,2,H4473&lt;120,3)</f>
        <v>0</v>
      </c>
      <c r="M4473" t="str">
        <f t="shared" si="422"/>
        <v>Low</v>
      </c>
      <c r="N4473" t="str">
        <f t="shared" si="419"/>
        <v>May</v>
      </c>
      <c r="O4473">
        <f t="shared" si="420"/>
        <v>2025</v>
      </c>
    </row>
    <row r="4474" spans="1:15" x14ac:dyDescent="0.3">
      <c r="A4474">
        <v>200039</v>
      </c>
      <c r="B4474" t="s">
        <v>103</v>
      </c>
      <c r="C4474" s="2">
        <v>45785</v>
      </c>
      <c r="D4474" s="2">
        <f t="shared" si="418"/>
        <v>45815</v>
      </c>
      <c r="E4474" s="1">
        <f>D4474+1</f>
        <v>45816</v>
      </c>
      <c r="F4474">
        <v>4845</v>
      </c>
      <c r="G4474">
        <v>30</v>
      </c>
      <c r="H4474">
        <f t="shared" si="424"/>
        <v>0</v>
      </c>
      <c r="I4474" t="str">
        <f t="shared" si="423"/>
        <v>On Time</v>
      </c>
      <c r="J4474" cm="1">
        <f t="array" ref="J4474">_xlfn.IFS(H4474&lt;30,0,H4474&lt;60,1,H4474&lt;90,2,H4474&lt;120,3)</f>
        <v>0</v>
      </c>
      <c r="M4474" t="str">
        <f t="shared" si="422"/>
        <v>Low</v>
      </c>
      <c r="N4474" t="str">
        <f t="shared" si="419"/>
        <v>May</v>
      </c>
      <c r="O4474">
        <f t="shared" si="420"/>
        <v>2025</v>
      </c>
    </row>
    <row r="4475" spans="1:15" x14ac:dyDescent="0.3">
      <c r="A4475">
        <v>200040</v>
      </c>
      <c r="B4475" t="s">
        <v>104</v>
      </c>
      <c r="C4475" s="2">
        <v>45785</v>
      </c>
      <c r="D4475" s="2">
        <f t="shared" si="418"/>
        <v>45815</v>
      </c>
      <c r="E4475" s="1">
        <f>D4475-1</f>
        <v>45814</v>
      </c>
      <c r="F4475">
        <v>2678</v>
      </c>
      <c r="G4475">
        <v>30</v>
      </c>
      <c r="H4475">
        <f t="shared" si="424"/>
        <v>0</v>
      </c>
      <c r="I4475" t="str">
        <f t="shared" si="423"/>
        <v>On Time</v>
      </c>
      <c r="J4475" cm="1">
        <f t="array" ref="J4475">_xlfn.IFS(H4475&lt;30,0,H4475&lt;60,1,H4475&lt;90,2,H4475&lt;120,3)</f>
        <v>0</v>
      </c>
      <c r="M4475" t="str">
        <f t="shared" si="422"/>
        <v>Low</v>
      </c>
      <c r="N4475" t="str">
        <f t="shared" si="419"/>
        <v>May</v>
      </c>
      <c r="O4475">
        <f t="shared" si="420"/>
        <v>2025</v>
      </c>
    </row>
    <row r="4476" spans="1:15" x14ac:dyDescent="0.3">
      <c r="A4476">
        <v>200041</v>
      </c>
      <c r="B4476" t="s">
        <v>105</v>
      </c>
      <c r="C4476" s="2">
        <v>45785</v>
      </c>
      <c r="D4476" s="2">
        <f t="shared" si="418"/>
        <v>45815</v>
      </c>
      <c r="E4476" s="1">
        <f>D4476</f>
        <v>45815</v>
      </c>
      <c r="F4476">
        <v>2589</v>
      </c>
      <c r="G4476">
        <v>30</v>
      </c>
      <c r="H4476">
        <f t="shared" si="424"/>
        <v>0</v>
      </c>
      <c r="I4476" t="str">
        <f t="shared" si="423"/>
        <v>On Time</v>
      </c>
      <c r="J4476" cm="1">
        <f t="array" ref="J4476">_xlfn.IFS(H4476&lt;30,0,H4476&lt;60,1,H4476&lt;90,2,H4476&lt;120,3)</f>
        <v>0</v>
      </c>
      <c r="M4476" t="str">
        <f t="shared" si="422"/>
        <v>Low</v>
      </c>
      <c r="N4476" t="str">
        <f t="shared" si="419"/>
        <v>May</v>
      </c>
      <c r="O4476">
        <f t="shared" si="420"/>
        <v>2025</v>
      </c>
    </row>
    <row r="4477" spans="1:15" x14ac:dyDescent="0.3">
      <c r="A4477">
        <v>200042</v>
      </c>
      <c r="B4477" t="s">
        <v>106</v>
      </c>
      <c r="C4477" s="2">
        <v>45785</v>
      </c>
      <c r="D4477" s="2">
        <f t="shared" si="418"/>
        <v>45815</v>
      </c>
      <c r="E4477" s="1">
        <f>D4477-5</f>
        <v>45810</v>
      </c>
      <c r="F4477">
        <v>3927</v>
      </c>
      <c r="G4477">
        <v>30</v>
      </c>
      <c r="H4477">
        <f t="shared" si="424"/>
        <v>0</v>
      </c>
      <c r="I4477" t="str">
        <f t="shared" si="423"/>
        <v>On Time</v>
      </c>
      <c r="J4477" cm="1">
        <f t="array" ref="J4477">_xlfn.IFS(H4477&lt;30,0,H4477&lt;60,1,H4477&lt;90,2,H4477&lt;120,3)</f>
        <v>0</v>
      </c>
      <c r="M4477" t="str">
        <f t="shared" si="422"/>
        <v>Low</v>
      </c>
      <c r="N4477" t="str">
        <f t="shared" si="419"/>
        <v>May</v>
      </c>
      <c r="O4477">
        <f t="shared" si="420"/>
        <v>2025</v>
      </c>
    </row>
    <row r="4478" spans="1:15" x14ac:dyDescent="0.3">
      <c r="A4478">
        <v>200043</v>
      </c>
      <c r="B4478" t="s">
        <v>107</v>
      </c>
      <c r="C4478" s="2">
        <v>45785</v>
      </c>
      <c r="D4478" s="2">
        <f t="shared" si="418"/>
        <v>45815</v>
      </c>
      <c r="E4478" s="1">
        <f>D4478+35</f>
        <v>45850</v>
      </c>
      <c r="F4478">
        <v>2437</v>
      </c>
      <c r="G4478">
        <v>30</v>
      </c>
      <c r="H4478">
        <f t="shared" si="424"/>
        <v>0</v>
      </c>
      <c r="I4478" t="str">
        <f t="shared" si="423"/>
        <v>On Time</v>
      </c>
      <c r="J4478" cm="1">
        <f t="array" ref="J4478">_xlfn.IFS(H4478&lt;30,0,H4478&lt;60,1,H4478&lt;90,2,H4478&lt;120,3)</f>
        <v>0</v>
      </c>
      <c r="M4478" t="str">
        <f t="shared" si="422"/>
        <v>Low</v>
      </c>
      <c r="N4478" t="str">
        <f t="shared" si="419"/>
        <v>May</v>
      </c>
      <c r="O4478">
        <f t="shared" si="420"/>
        <v>2025</v>
      </c>
    </row>
    <row r="4479" spans="1:15" x14ac:dyDescent="0.3">
      <c r="A4479">
        <v>200044</v>
      </c>
      <c r="B4479" t="s">
        <v>108</v>
      </c>
      <c r="C4479" s="2">
        <v>45785</v>
      </c>
      <c r="D4479" s="2">
        <f t="shared" si="418"/>
        <v>45815</v>
      </c>
      <c r="E4479" s="1">
        <f>D4479+75</f>
        <v>45890</v>
      </c>
      <c r="F4479">
        <v>1299</v>
      </c>
      <c r="G4479">
        <v>30</v>
      </c>
      <c r="H4479">
        <f t="shared" si="424"/>
        <v>0</v>
      </c>
      <c r="I4479" t="str">
        <f t="shared" si="423"/>
        <v>On Time</v>
      </c>
      <c r="J4479" cm="1">
        <f t="array" ref="J4479">_xlfn.IFS(H4479&lt;30,0,H4479&lt;60,1,H4479&lt;90,2,H4479&lt;120,3)</f>
        <v>0</v>
      </c>
      <c r="M4479" t="str">
        <f t="shared" si="422"/>
        <v>Low</v>
      </c>
      <c r="N4479" t="str">
        <f t="shared" si="419"/>
        <v>May</v>
      </c>
      <c r="O4479">
        <f t="shared" si="420"/>
        <v>2025</v>
      </c>
    </row>
    <row r="4480" spans="1:15" x14ac:dyDescent="0.3">
      <c r="A4480">
        <v>200045</v>
      </c>
      <c r="B4480" t="s">
        <v>85</v>
      </c>
      <c r="C4480" s="2">
        <v>45785</v>
      </c>
      <c r="D4480" s="2">
        <f t="shared" si="418"/>
        <v>45845</v>
      </c>
      <c r="E4480" s="1">
        <f>D4480+5</f>
        <v>45850</v>
      </c>
      <c r="F4480">
        <v>1048</v>
      </c>
      <c r="G4480">
        <v>60</v>
      </c>
      <c r="H4480">
        <f t="shared" si="424"/>
        <v>0</v>
      </c>
      <c r="I4480" t="str">
        <f t="shared" si="423"/>
        <v>On Time</v>
      </c>
      <c r="J4480" cm="1">
        <f t="array" ref="J4480">_xlfn.IFS(H4480&lt;30,0,H4480&lt;60,1,H4480&lt;90,2,H4480&lt;120,3)</f>
        <v>0</v>
      </c>
      <c r="M4480" t="str">
        <f t="shared" si="422"/>
        <v>Low</v>
      </c>
      <c r="N4480" t="str">
        <f t="shared" si="419"/>
        <v>May</v>
      </c>
      <c r="O4480">
        <f t="shared" si="420"/>
        <v>2025</v>
      </c>
    </row>
    <row r="4481" spans="1:15" x14ac:dyDescent="0.3">
      <c r="A4481">
        <v>200046</v>
      </c>
      <c r="B4481" t="s">
        <v>86</v>
      </c>
      <c r="C4481" s="2">
        <v>45785</v>
      </c>
      <c r="D4481" s="2">
        <f t="shared" si="418"/>
        <v>45815</v>
      </c>
      <c r="E4481" s="1">
        <f>D4481</f>
        <v>45815</v>
      </c>
      <c r="F4481">
        <v>5762</v>
      </c>
      <c r="G4481">
        <v>30</v>
      </c>
      <c r="H4481">
        <f t="shared" si="424"/>
        <v>0</v>
      </c>
      <c r="I4481" t="str">
        <f t="shared" si="423"/>
        <v>On Time</v>
      </c>
      <c r="J4481" cm="1">
        <f t="array" ref="J4481">_xlfn.IFS(H4481&lt;30,0,H4481&lt;60,1,H4481&lt;90,2,H4481&lt;120,3)</f>
        <v>0</v>
      </c>
      <c r="M4481" t="str">
        <f t="shared" si="422"/>
        <v>Low</v>
      </c>
      <c r="N4481" t="str">
        <f t="shared" si="419"/>
        <v>May</v>
      </c>
      <c r="O4481">
        <f t="shared" si="420"/>
        <v>2025</v>
      </c>
    </row>
    <row r="4482" spans="1:15" x14ac:dyDescent="0.3">
      <c r="A4482">
        <v>200047</v>
      </c>
      <c r="B4482" t="s">
        <v>87</v>
      </c>
      <c r="C4482" s="2">
        <v>45785</v>
      </c>
      <c r="D4482" s="2">
        <f t="shared" ref="D4482:D4507" si="425">C4482+G4482</f>
        <v>45815</v>
      </c>
      <c r="E4482" s="1">
        <f>D4482-1</f>
        <v>45814</v>
      </c>
      <c r="F4482">
        <v>558</v>
      </c>
      <c r="G4482">
        <v>30</v>
      </c>
      <c r="H4482">
        <f t="shared" si="424"/>
        <v>0</v>
      </c>
      <c r="I4482" t="str">
        <f t="shared" si="423"/>
        <v>On Time</v>
      </c>
      <c r="J4482" cm="1">
        <f t="array" ref="J4482">_xlfn.IFS(H4482&lt;30,0,H4482&lt;60,1,H4482&lt;90,2,H4482&lt;120,3)</f>
        <v>0</v>
      </c>
      <c r="M4482" t="str">
        <f t="shared" si="422"/>
        <v>Low</v>
      </c>
      <c r="N4482" t="str">
        <f t="shared" ref="N4482:N4507" si="426">TEXT(C4482,"mmm")</f>
        <v>May</v>
      </c>
      <c r="O4482">
        <f t="shared" ref="O4482:O4507" si="427">YEAR(C4482)</f>
        <v>2025</v>
      </c>
    </row>
    <row r="4483" spans="1:15" x14ac:dyDescent="0.3">
      <c r="A4483">
        <v>200048</v>
      </c>
      <c r="B4483" t="s">
        <v>88</v>
      </c>
      <c r="C4483" s="2">
        <v>45785</v>
      </c>
      <c r="D4483" s="2">
        <f t="shared" si="425"/>
        <v>45815</v>
      </c>
      <c r="E4483" s="1">
        <f>D4483</f>
        <v>45815</v>
      </c>
      <c r="F4483">
        <v>2849</v>
      </c>
      <c r="G4483">
        <v>30</v>
      </c>
      <c r="H4483">
        <f t="shared" si="424"/>
        <v>0</v>
      </c>
      <c r="I4483" t="str">
        <f t="shared" si="423"/>
        <v>On Time</v>
      </c>
      <c r="J4483" cm="1">
        <f t="array" ref="J4483">_xlfn.IFS(H4483&lt;30,0,H4483&lt;60,1,H4483&lt;90,2,H4483&lt;120,3)</f>
        <v>0</v>
      </c>
      <c r="M4483" t="str">
        <f t="shared" si="422"/>
        <v>Low</v>
      </c>
      <c r="N4483" t="str">
        <f t="shared" si="426"/>
        <v>May</v>
      </c>
      <c r="O4483">
        <f t="shared" si="427"/>
        <v>2025</v>
      </c>
    </row>
    <row r="4484" spans="1:15" x14ac:dyDescent="0.3">
      <c r="A4484">
        <v>200031</v>
      </c>
      <c r="B4484" t="s">
        <v>115</v>
      </c>
      <c r="C4484" s="2">
        <v>45784</v>
      </c>
      <c r="D4484" s="2">
        <f t="shared" si="425"/>
        <v>45814</v>
      </c>
      <c r="E4484" s="1">
        <f>D4484+2</f>
        <v>45816</v>
      </c>
      <c r="F4484">
        <v>2338</v>
      </c>
      <c r="G4484">
        <v>30</v>
      </c>
      <c r="H4484">
        <f t="shared" si="424"/>
        <v>0</v>
      </c>
      <c r="I4484" t="str">
        <f t="shared" si="423"/>
        <v>On Time</v>
      </c>
      <c r="J4484" cm="1">
        <f t="array" ref="J4484">_xlfn.IFS(H4484&lt;30,0,H4484&lt;60,1,H4484&lt;90,2,H4484&lt;120,3)</f>
        <v>0</v>
      </c>
      <c r="M4484" t="str">
        <f t="shared" si="422"/>
        <v>Low</v>
      </c>
      <c r="N4484" t="str">
        <f t="shared" si="426"/>
        <v>May</v>
      </c>
      <c r="O4484">
        <f t="shared" si="427"/>
        <v>2025</v>
      </c>
    </row>
    <row r="4485" spans="1:15" x14ac:dyDescent="0.3">
      <c r="A4485">
        <v>200032</v>
      </c>
      <c r="B4485" t="s">
        <v>116</v>
      </c>
      <c r="C4485" s="2">
        <v>45784</v>
      </c>
      <c r="D4485" s="2">
        <f t="shared" si="425"/>
        <v>45814</v>
      </c>
      <c r="E4485" s="1">
        <f>D4485+5</f>
        <v>45819</v>
      </c>
      <c r="F4485">
        <v>19996</v>
      </c>
      <c r="G4485">
        <v>30</v>
      </c>
      <c r="H4485">
        <f t="shared" si="424"/>
        <v>0</v>
      </c>
      <c r="I4485" t="str">
        <f t="shared" ref="I4485:I4489" si="428">IF(H4485=0,"On Time",IF(H4485&lt;=15,"Paid Late","Seriously Late"))</f>
        <v>On Time</v>
      </c>
      <c r="J4485" cm="1">
        <f t="array" ref="J4485">_xlfn.IFS(H4485&lt;30,0,H4485&lt;60,1,H4485&lt;90,2,H4485&lt;120,3)</f>
        <v>0</v>
      </c>
      <c r="M4485" t="str">
        <f t="shared" si="422"/>
        <v>Low</v>
      </c>
      <c r="N4485" t="str">
        <f t="shared" si="426"/>
        <v>May</v>
      </c>
      <c r="O4485">
        <f t="shared" si="427"/>
        <v>2025</v>
      </c>
    </row>
    <row r="4486" spans="1:15" x14ac:dyDescent="0.3">
      <c r="A4486">
        <v>200033</v>
      </c>
      <c r="B4486" t="s">
        <v>117</v>
      </c>
      <c r="C4486" s="2">
        <v>45784</v>
      </c>
      <c r="D4486" s="2">
        <f t="shared" si="425"/>
        <v>45814</v>
      </c>
      <c r="E4486" s="1">
        <f>D4486</f>
        <v>45814</v>
      </c>
      <c r="F4486">
        <v>2954</v>
      </c>
      <c r="G4486">
        <v>30</v>
      </c>
      <c r="H4486">
        <f t="shared" si="424"/>
        <v>0</v>
      </c>
      <c r="I4486" t="str">
        <f t="shared" si="428"/>
        <v>On Time</v>
      </c>
      <c r="J4486" cm="1">
        <f t="array" ref="J4486">_xlfn.IFS(H4486&lt;30,0,H4486&lt;60,1,H4486&lt;90,2,H4486&lt;120,3)</f>
        <v>0</v>
      </c>
      <c r="M4486" t="str">
        <f t="shared" si="422"/>
        <v>Low</v>
      </c>
      <c r="N4486" t="str">
        <f t="shared" si="426"/>
        <v>May</v>
      </c>
      <c r="O4486">
        <f t="shared" si="427"/>
        <v>2025</v>
      </c>
    </row>
    <row r="4487" spans="1:15" x14ac:dyDescent="0.3">
      <c r="A4487">
        <v>200034</v>
      </c>
      <c r="B4487" t="s">
        <v>118</v>
      </c>
      <c r="C4487" s="2">
        <v>45784</v>
      </c>
      <c r="D4487" s="2">
        <f t="shared" si="425"/>
        <v>45814</v>
      </c>
      <c r="E4487" s="1">
        <f>D4487</f>
        <v>45814</v>
      </c>
      <c r="F4487">
        <v>973</v>
      </c>
      <c r="G4487">
        <v>30</v>
      </c>
      <c r="H4487">
        <f t="shared" si="424"/>
        <v>0</v>
      </c>
      <c r="I4487" t="str">
        <f t="shared" si="428"/>
        <v>On Time</v>
      </c>
      <c r="J4487" cm="1">
        <f t="array" ref="J4487">_xlfn.IFS(H4487&lt;30,0,H4487&lt;60,1,H4487&lt;90,2,H4487&lt;120,3)</f>
        <v>0</v>
      </c>
      <c r="M4487" t="str">
        <f t="shared" si="422"/>
        <v>Low</v>
      </c>
      <c r="N4487" t="str">
        <f t="shared" si="426"/>
        <v>May</v>
      </c>
      <c r="O4487">
        <f t="shared" si="427"/>
        <v>2025</v>
      </c>
    </row>
    <row r="4488" spans="1:15" x14ac:dyDescent="0.3">
      <c r="A4488">
        <v>200035</v>
      </c>
      <c r="B4488" t="s">
        <v>119</v>
      </c>
      <c r="C4488" s="2">
        <v>45784</v>
      </c>
      <c r="D4488" s="2">
        <f t="shared" si="425"/>
        <v>45814</v>
      </c>
      <c r="E4488" s="1">
        <f>D4488+60</f>
        <v>45874</v>
      </c>
      <c r="F4488">
        <v>3058</v>
      </c>
      <c r="G4488">
        <v>30</v>
      </c>
      <c r="H4488">
        <f t="shared" si="424"/>
        <v>0</v>
      </c>
      <c r="I4488" t="str">
        <f t="shared" si="428"/>
        <v>On Time</v>
      </c>
      <c r="J4488" cm="1">
        <f t="array" ref="J4488">_xlfn.IFS(H4488&lt;30,0,H4488&lt;60,1,H4488&lt;90,2,H4488&lt;120,3)</f>
        <v>0</v>
      </c>
      <c r="K4488" t="s">
        <v>143</v>
      </c>
      <c r="M4488" t="str">
        <f t="shared" si="422"/>
        <v>Low</v>
      </c>
      <c r="N4488" t="str">
        <f t="shared" si="426"/>
        <v>May</v>
      </c>
      <c r="O4488">
        <f t="shared" si="427"/>
        <v>2025</v>
      </c>
    </row>
    <row r="4489" spans="1:15" x14ac:dyDescent="0.3">
      <c r="A4489">
        <v>200036</v>
      </c>
      <c r="B4489" t="s">
        <v>100</v>
      </c>
      <c r="C4489" s="2">
        <v>45784</v>
      </c>
      <c r="D4489" s="2">
        <f t="shared" si="425"/>
        <v>45814</v>
      </c>
      <c r="E4489" s="1">
        <f>D4489</f>
        <v>45814</v>
      </c>
      <c r="F4489">
        <v>2597</v>
      </c>
      <c r="G4489">
        <v>30</v>
      </c>
      <c r="H4489">
        <f t="shared" si="424"/>
        <v>0</v>
      </c>
      <c r="I4489" t="str">
        <f t="shared" si="428"/>
        <v>On Time</v>
      </c>
      <c r="J4489" cm="1">
        <f t="array" ref="J4489">_xlfn.IFS(H4489&lt;30,0,H4489&lt;60,1,H4489&lt;90,2,H4489&lt;120,3)</f>
        <v>0</v>
      </c>
      <c r="M4489" t="str">
        <f t="shared" si="422"/>
        <v>Low</v>
      </c>
      <c r="N4489" t="str">
        <f t="shared" si="426"/>
        <v>May</v>
      </c>
      <c r="O4489">
        <f t="shared" si="427"/>
        <v>2025</v>
      </c>
    </row>
    <row r="4490" spans="1:15" x14ac:dyDescent="0.3">
      <c r="A4490">
        <v>200037</v>
      </c>
      <c r="B4490" t="s">
        <v>101</v>
      </c>
      <c r="C4490" s="2">
        <v>45784</v>
      </c>
      <c r="D4490" s="2">
        <f t="shared" si="425"/>
        <v>45814</v>
      </c>
      <c r="F4490">
        <v>426</v>
      </c>
      <c r="G4490">
        <v>30</v>
      </c>
      <c r="I4490" t="s">
        <v>144</v>
      </c>
      <c r="J4490">
        <v>3</v>
      </c>
      <c r="K4490" t="s">
        <v>143</v>
      </c>
      <c r="L4490" t="s">
        <v>143</v>
      </c>
      <c r="M4490" t="str">
        <f t="shared" si="422"/>
        <v>Low</v>
      </c>
      <c r="N4490" t="str">
        <f t="shared" si="426"/>
        <v>May</v>
      </c>
      <c r="O4490">
        <f t="shared" si="427"/>
        <v>2025</v>
      </c>
    </row>
    <row r="4491" spans="1:15" x14ac:dyDescent="0.3">
      <c r="A4491">
        <v>200038</v>
      </c>
      <c r="B4491" t="s">
        <v>102</v>
      </c>
      <c r="C4491" s="2">
        <v>45784</v>
      </c>
      <c r="D4491" s="2">
        <f t="shared" si="425"/>
        <v>45814</v>
      </c>
      <c r="E4491" s="1">
        <f>D4491+3</f>
        <v>45817</v>
      </c>
      <c r="F4491">
        <v>4740</v>
      </c>
      <c r="G4491">
        <v>30</v>
      </c>
      <c r="H4491">
        <f t="shared" ref="H4491:H4507" si="429">MAX(0, E4491 - D4491)</f>
        <v>3</v>
      </c>
      <c r="I4491" t="str">
        <f t="shared" ref="I4491:I4501" si="430">IF(H4491=0,"On Time",IF(H4491&lt;=15,"Paid Late","Seriously Late"))</f>
        <v>Paid Late</v>
      </c>
      <c r="J4491" cm="1">
        <f t="array" ref="J4491">_xlfn.IFS(H4491&lt;30,0,H4491&lt;60,1,H4491&lt;90,2,H4491&lt;120,3)</f>
        <v>0</v>
      </c>
      <c r="M4491" t="str">
        <f t="shared" si="422"/>
        <v>Low</v>
      </c>
      <c r="N4491" t="str">
        <f t="shared" si="426"/>
        <v>May</v>
      </c>
      <c r="O4491">
        <f t="shared" si="427"/>
        <v>2025</v>
      </c>
    </row>
    <row r="4492" spans="1:15" x14ac:dyDescent="0.3">
      <c r="A4492">
        <v>200026</v>
      </c>
      <c r="B4492" t="s">
        <v>43</v>
      </c>
      <c r="C4492" s="2">
        <v>45783</v>
      </c>
      <c r="D4492" s="2">
        <f t="shared" si="425"/>
        <v>45813</v>
      </c>
      <c r="E4492" s="1">
        <f>D4492</f>
        <v>45813</v>
      </c>
      <c r="F4492">
        <v>4895</v>
      </c>
      <c r="G4492">
        <v>30</v>
      </c>
      <c r="H4492">
        <f t="shared" si="429"/>
        <v>0</v>
      </c>
      <c r="I4492" t="str">
        <f t="shared" si="430"/>
        <v>On Time</v>
      </c>
      <c r="J4492" cm="1">
        <f t="array" ref="J4492">_xlfn.IFS(H4492&lt;30,0,H4492&lt;60,1,H4492&lt;90,2,H4492&lt;120,3)</f>
        <v>0</v>
      </c>
      <c r="M4492" t="str">
        <f t="shared" si="422"/>
        <v>Low</v>
      </c>
      <c r="N4492" t="str">
        <f t="shared" si="426"/>
        <v>May</v>
      </c>
      <c r="O4492">
        <f t="shared" si="427"/>
        <v>2025</v>
      </c>
    </row>
    <row r="4493" spans="1:15" x14ac:dyDescent="0.3">
      <c r="A4493">
        <v>200027</v>
      </c>
      <c r="B4493" t="s">
        <v>44</v>
      </c>
      <c r="C4493" s="2">
        <v>45783</v>
      </c>
      <c r="D4493" s="2">
        <f t="shared" si="425"/>
        <v>45828</v>
      </c>
      <c r="E4493" s="1">
        <f>D4493+1</f>
        <v>45829</v>
      </c>
      <c r="F4493">
        <v>4244</v>
      </c>
      <c r="G4493">
        <v>45</v>
      </c>
      <c r="H4493">
        <f t="shared" si="429"/>
        <v>1</v>
      </c>
      <c r="I4493" t="str">
        <f t="shared" si="430"/>
        <v>Paid Late</v>
      </c>
      <c r="J4493" cm="1">
        <f t="array" ref="J4493">_xlfn.IFS(H4493&lt;30,0,H4493&lt;60,1,H4493&lt;90,2,H4493&lt;120,3)</f>
        <v>0</v>
      </c>
      <c r="M4493" t="str">
        <f t="shared" si="422"/>
        <v>Low</v>
      </c>
      <c r="N4493" t="str">
        <f t="shared" si="426"/>
        <v>May</v>
      </c>
      <c r="O4493">
        <f t="shared" si="427"/>
        <v>2025</v>
      </c>
    </row>
    <row r="4494" spans="1:15" x14ac:dyDescent="0.3">
      <c r="A4494">
        <v>200028</v>
      </c>
      <c r="B4494" t="s">
        <v>45</v>
      </c>
      <c r="C4494" s="2">
        <v>45783</v>
      </c>
      <c r="D4494" s="2">
        <f t="shared" si="425"/>
        <v>45828</v>
      </c>
      <c r="E4494" s="1">
        <f>D4494</f>
        <v>45828</v>
      </c>
      <c r="F4494">
        <v>4372</v>
      </c>
      <c r="G4494">
        <v>45</v>
      </c>
      <c r="H4494">
        <f t="shared" si="429"/>
        <v>0</v>
      </c>
      <c r="I4494" t="str">
        <f t="shared" si="430"/>
        <v>On Time</v>
      </c>
      <c r="J4494" cm="1">
        <f t="array" ref="J4494">_xlfn.IFS(H4494&lt;30,0,H4494&lt;60,1,H4494&lt;90,2,H4494&lt;120,3)</f>
        <v>0</v>
      </c>
      <c r="M4494" t="str">
        <f t="shared" si="422"/>
        <v>Low</v>
      </c>
      <c r="N4494" t="str">
        <f t="shared" si="426"/>
        <v>May</v>
      </c>
      <c r="O4494">
        <f t="shared" si="427"/>
        <v>2025</v>
      </c>
    </row>
    <row r="4495" spans="1:15" x14ac:dyDescent="0.3">
      <c r="A4495">
        <v>200029</v>
      </c>
      <c r="B4495" t="s">
        <v>46</v>
      </c>
      <c r="C4495" s="2">
        <v>45783</v>
      </c>
      <c r="D4495" s="2">
        <f t="shared" si="425"/>
        <v>45843</v>
      </c>
      <c r="E4495" s="1">
        <f>D4495</f>
        <v>45843</v>
      </c>
      <c r="F4495">
        <v>3052</v>
      </c>
      <c r="G4495">
        <v>60</v>
      </c>
      <c r="H4495">
        <f t="shared" si="429"/>
        <v>0</v>
      </c>
      <c r="I4495" t="str">
        <f t="shared" si="430"/>
        <v>On Time</v>
      </c>
      <c r="J4495" cm="1">
        <f t="array" ref="J4495">_xlfn.IFS(H4495&lt;30,0,H4495&lt;60,1,H4495&lt;90,2,H4495&lt;120,3)</f>
        <v>0</v>
      </c>
      <c r="M4495" t="str">
        <f t="shared" si="422"/>
        <v>Low</v>
      </c>
      <c r="N4495" t="str">
        <f t="shared" si="426"/>
        <v>May</v>
      </c>
      <c r="O4495">
        <f t="shared" si="427"/>
        <v>2025</v>
      </c>
    </row>
    <row r="4496" spans="1:15" x14ac:dyDescent="0.3">
      <c r="A4496">
        <v>200030</v>
      </c>
      <c r="B4496" t="s">
        <v>114</v>
      </c>
      <c r="C4496" s="2">
        <v>45783</v>
      </c>
      <c r="D4496" s="2">
        <f t="shared" si="425"/>
        <v>45813</v>
      </c>
      <c r="E4496" s="1">
        <f>D4496+5</f>
        <v>45818</v>
      </c>
      <c r="F4496">
        <v>4052</v>
      </c>
      <c r="G4496">
        <v>30</v>
      </c>
      <c r="H4496">
        <f t="shared" si="429"/>
        <v>5</v>
      </c>
      <c r="I4496" t="str">
        <f t="shared" si="430"/>
        <v>Paid Late</v>
      </c>
      <c r="J4496" cm="1">
        <f t="array" ref="J4496">_xlfn.IFS(H4496&lt;30,0,H4496&lt;60,1,H4496&lt;90,2,H4496&lt;120,3)</f>
        <v>0</v>
      </c>
      <c r="M4496" t="str">
        <f t="shared" si="422"/>
        <v>Low</v>
      </c>
      <c r="N4496" t="str">
        <f t="shared" si="426"/>
        <v>May</v>
      </c>
      <c r="O4496">
        <f t="shared" si="427"/>
        <v>2025</v>
      </c>
    </row>
    <row r="4497" spans="1:15" x14ac:dyDescent="0.3">
      <c r="A4497">
        <v>200021</v>
      </c>
      <c r="B4497" t="s">
        <v>31</v>
      </c>
      <c r="C4497" s="2">
        <v>45779</v>
      </c>
      <c r="D4497" s="2">
        <f t="shared" si="425"/>
        <v>45824</v>
      </c>
      <c r="E4497" s="1">
        <f>D4497+2</f>
        <v>45826</v>
      </c>
      <c r="F4497">
        <v>3079</v>
      </c>
      <c r="G4497">
        <v>45</v>
      </c>
      <c r="H4497">
        <f t="shared" si="429"/>
        <v>2</v>
      </c>
      <c r="I4497" t="str">
        <f t="shared" si="430"/>
        <v>Paid Late</v>
      </c>
      <c r="J4497" cm="1">
        <f t="array" ref="J4497">_xlfn.IFS(H4497&lt;30,0,H4497&lt;60,1,H4497&lt;90,2,H4497&lt;120,3)</f>
        <v>0</v>
      </c>
      <c r="M4497" t="str">
        <f t="shared" si="422"/>
        <v>Low</v>
      </c>
      <c r="N4497" t="str">
        <f t="shared" si="426"/>
        <v>May</v>
      </c>
      <c r="O4497">
        <f t="shared" si="427"/>
        <v>2025</v>
      </c>
    </row>
    <row r="4498" spans="1:15" x14ac:dyDescent="0.3">
      <c r="A4498">
        <v>200022</v>
      </c>
      <c r="B4498" t="s">
        <v>39</v>
      </c>
      <c r="C4498" s="2">
        <v>45779</v>
      </c>
      <c r="D4498" s="2">
        <f t="shared" si="425"/>
        <v>45809</v>
      </c>
      <c r="E4498" s="1">
        <f>D4498+2</f>
        <v>45811</v>
      </c>
      <c r="F4498">
        <v>3244</v>
      </c>
      <c r="G4498">
        <v>30</v>
      </c>
      <c r="H4498">
        <f t="shared" si="429"/>
        <v>2</v>
      </c>
      <c r="I4498" t="str">
        <f t="shared" si="430"/>
        <v>Paid Late</v>
      </c>
      <c r="J4498" cm="1">
        <f t="array" ref="J4498">_xlfn.IFS(H4498&lt;30,0,H4498&lt;60,1,H4498&lt;90,2,H4498&lt;120,3)</f>
        <v>0</v>
      </c>
      <c r="M4498" t="str">
        <f t="shared" si="422"/>
        <v>Low</v>
      </c>
      <c r="N4498" t="str">
        <f t="shared" si="426"/>
        <v>May</v>
      </c>
      <c r="O4498">
        <f t="shared" si="427"/>
        <v>2025</v>
      </c>
    </row>
    <row r="4499" spans="1:15" x14ac:dyDescent="0.3">
      <c r="A4499">
        <v>200023</v>
      </c>
      <c r="B4499" t="s">
        <v>40</v>
      </c>
      <c r="C4499" s="2">
        <v>45779</v>
      </c>
      <c r="D4499" s="2">
        <f t="shared" si="425"/>
        <v>45809</v>
      </c>
      <c r="E4499" s="1">
        <f>D4499+2</f>
        <v>45811</v>
      </c>
      <c r="F4499">
        <v>2381</v>
      </c>
      <c r="G4499">
        <v>30</v>
      </c>
      <c r="H4499">
        <f t="shared" si="429"/>
        <v>2</v>
      </c>
      <c r="I4499" t="str">
        <f t="shared" si="430"/>
        <v>Paid Late</v>
      </c>
      <c r="J4499" cm="1">
        <f t="array" ref="J4499">_xlfn.IFS(H4499&lt;30,0,H4499&lt;60,1,H4499&lt;90,2,H4499&lt;120,3)</f>
        <v>0</v>
      </c>
      <c r="M4499" t="str">
        <f t="shared" si="422"/>
        <v>Low</v>
      </c>
      <c r="N4499" t="str">
        <f t="shared" si="426"/>
        <v>May</v>
      </c>
      <c r="O4499">
        <f t="shared" si="427"/>
        <v>2025</v>
      </c>
    </row>
    <row r="4500" spans="1:15" x14ac:dyDescent="0.3">
      <c r="A4500">
        <v>200024</v>
      </c>
      <c r="B4500" t="s">
        <v>41</v>
      </c>
      <c r="C4500" s="2">
        <v>45779</v>
      </c>
      <c r="D4500" s="2">
        <f t="shared" si="425"/>
        <v>45809</v>
      </c>
      <c r="E4500" s="1">
        <f>D4500</f>
        <v>45809</v>
      </c>
      <c r="F4500">
        <v>1019</v>
      </c>
      <c r="G4500">
        <v>30</v>
      </c>
      <c r="H4500">
        <f t="shared" si="429"/>
        <v>0</v>
      </c>
      <c r="I4500" t="str">
        <f t="shared" si="430"/>
        <v>On Time</v>
      </c>
      <c r="J4500" cm="1">
        <f t="array" ref="J4500">_xlfn.IFS(H4500&lt;30,0,H4500&lt;60,1,H4500&lt;90,2,H4500&lt;120,3)</f>
        <v>0</v>
      </c>
      <c r="M4500" t="str">
        <f t="shared" si="422"/>
        <v>Low</v>
      </c>
      <c r="N4500" t="str">
        <f t="shared" si="426"/>
        <v>May</v>
      </c>
      <c r="O4500">
        <f t="shared" si="427"/>
        <v>2025</v>
      </c>
    </row>
    <row r="4501" spans="1:15" x14ac:dyDescent="0.3">
      <c r="A4501">
        <v>200025</v>
      </c>
      <c r="B4501" t="s">
        <v>42</v>
      </c>
      <c r="C4501" s="2">
        <v>45779</v>
      </c>
      <c r="D4501" s="2">
        <f t="shared" si="425"/>
        <v>45809</v>
      </c>
      <c r="E4501" s="1">
        <f>D4501+20</f>
        <v>45829</v>
      </c>
      <c r="F4501">
        <v>2404</v>
      </c>
      <c r="G4501">
        <v>30</v>
      </c>
      <c r="H4501">
        <f t="shared" si="429"/>
        <v>20</v>
      </c>
      <c r="I4501" t="str">
        <f t="shared" si="430"/>
        <v>Seriously Late</v>
      </c>
      <c r="J4501" cm="1">
        <f t="array" ref="J4501">_xlfn.IFS(H4501&lt;30,0,H4501&lt;60,1,H4501&lt;90,2,H4501&lt;120,3)</f>
        <v>0</v>
      </c>
      <c r="M4501" t="str">
        <f t="shared" si="422"/>
        <v>Medium</v>
      </c>
      <c r="N4501" t="str">
        <f t="shared" si="426"/>
        <v>May</v>
      </c>
      <c r="O4501">
        <f t="shared" si="427"/>
        <v>2025</v>
      </c>
    </row>
    <row r="4502" spans="1:15" x14ac:dyDescent="0.3">
      <c r="A4502">
        <v>200015</v>
      </c>
      <c r="B4502" t="s">
        <v>25</v>
      </c>
      <c r="C4502" s="2">
        <v>45778</v>
      </c>
      <c r="D4502" s="2">
        <f t="shared" si="425"/>
        <v>45838</v>
      </c>
      <c r="E4502" s="1">
        <f>D4502</f>
        <v>45838</v>
      </c>
      <c r="F4502">
        <v>1525</v>
      </c>
      <c r="G4502">
        <v>60</v>
      </c>
      <c r="H4502">
        <f t="shared" si="429"/>
        <v>0</v>
      </c>
      <c r="I4502" t="s">
        <v>144</v>
      </c>
      <c r="J4502" cm="1">
        <f t="array" ref="J4502">_xlfn.IFS(H4502&lt;30,0,H4502&lt;60,1,H4502&lt;90,2,H4502&lt;120,3)</f>
        <v>0</v>
      </c>
      <c r="M4502" t="str">
        <f t="shared" ref="M4502:M4507" si="431">IF(H4502&gt;30,"High",IF(H4502&gt;10,"Medium","Low"))</f>
        <v>Low</v>
      </c>
      <c r="N4502" t="str">
        <f t="shared" si="426"/>
        <v>May</v>
      </c>
      <c r="O4502">
        <f t="shared" si="427"/>
        <v>2025</v>
      </c>
    </row>
    <row r="4503" spans="1:15" x14ac:dyDescent="0.3">
      <c r="A4503">
        <v>200016</v>
      </c>
      <c r="B4503" t="s">
        <v>26</v>
      </c>
      <c r="C4503" s="2">
        <v>45778</v>
      </c>
      <c r="D4503" s="2">
        <f t="shared" si="425"/>
        <v>45808</v>
      </c>
      <c r="E4503" s="1">
        <f>D4503+32</f>
        <v>45840</v>
      </c>
      <c r="F4503">
        <v>243</v>
      </c>
      <c r="G4503">
        <v>30</v>
      </c>
      <c r="H4503">
        <f t="shared" si="429"/>
        <v>32</v>
      </c>
      <c r="I4503" t="str">
        <f>IF(H4503=0,"On Time",IF(H4503&lt;=15,"Paid Late","Seriously Late"))</f>
        <v>Seriously Late</v>
      </c>
      <c r="J4503" cm="1">
        <f t="array" ref="J4503">_xlfn.IFS(H4503&lt;30,0,H4503&lt;60,1,H4503&lt;90,2,H4503&lt;120,3)</f>
        <v>1</v>
      </c>
      <c r="M4503" t="str">
        <f t="shared" si="431"/>
        <v>High</v>
      </c>
      <c r="N4503" t="str">
        <f t="shared" si="426"/>
        <v>May</v>
      </c>
      <c r="O4503">
        <f t="shared" si="427"/>
        <v>2025</v>
      </c>
    </row>
    <row r="4504" spans="1:15" x14ac:dyDescent="0.3">
      <c r="A4504">
        <v>200017</v>
      </c>
      <c r="B4504" t="s">
        <v>27</v>
      </c>
      <c r="C4504" s="2">
        <v>45778</v>
      </c>
      <c r="D4504" s="2">
        <f t="shared" si="425"/>
        <v>45838</v>
      </c>
      <c r="E4504" s="1">
        <f>D4504+15</f>
        <v>45853</v>
      </c>
      <c r="F4504">
        <v>4100</v>
      </c>
      <c r="G4504">
        <v>60</v>
      </c>
      <c r="H4504">
        <f t="shared" si="429"/>
        <v>15</v>
      </c>
      <c r="I4504" t="str">
        <f>IF(H4504=0,"On Time",IF(H4504&lt;=15,"Paid Late","Seriously Late"))</f>
        <v>Paid Late</v>
      </c>
      <c r="J4504" cm="1">
        <f t="array" ref="J4504">_xlfn.IFS(H4504&lt;30,0,H4504&lt;60,1,H4504&lt;90,2,H4504&lt;120,3)</f>
        <v>0</v>
      </c>
      <c r="M4504" t="str">
        <f t="shared" si="431"/>
        <v>Medium</v>
      </c>
      <c r="N4504" t="str">
        <f t="shared" si="426"/>
        <v>May</v>
      </c>
      <c r="O4504">
        <f t="shared" si="427"/>
        <v>2025</v>
      </c>
    </row>
    <row r="4505" spans="1:15" x14ac:dyDescent="0.3">
      <c r="A4505">
        <v>200018</v>
      </c>
      <c r="B4505" t="s">
        <v>28</v>
      </c>
      <c r="C4505" s="2">
        <v>45778</v>
      </c>
      <c r="D4505" s="2">
        <f t="shared" si="425"/>
        <v>45808</v>
      </c>
      <c r="E4505" s="1">
        <f>D4505-2</f>
        <v>45806</v>
      </c>
      <c r="F4505">
        <v>4894</v>
      </c>
      <c r="G4505">
        <v>30</v>
      </c>
      <c r="H4505">
        <f t="shared" si="429"/>
        <v>0</v>
      </c>
      <c r="I4505" t="str">
        <f>IF(H4505=0,"On Time",IF(H4505&lt;=15,"Paid Late","Seriously Late"))</f>
        <v>On Time</v>
      </c>
      <c r="J4505" cm="1">
        <f t="array" ref="J4505">_xlfn.IFS(H4505&lt;30,0,H4505&lt;60,1,H4505&lt;90,2,H4505&lt;120,3)</f>
        <v>0</v>
      </c>
      <c r="M4505" t="str">
        <f t="shared" si="431"/>
        <v>Low</v>
      </c>
      <c r="N4505" t="str">
        <f t="shared" si="426"/>
        <v>May</v>
      </c>
      <c r="O4505">
        <f t="shared" si="427"/>
        <v>2025</v>
      </c>
    </row>
    <row r="4506" spans="1:15" x14ac:dyDescent="0.3">
      <c r="A4506">
        <v>200019</v>
      </c>
      <c r="B4506" t="s">
        <v>29</v>
      </c>
      <c r="C4506" s="2">
        <v>45778</v>
      </c>
      <c r="D4506" s="2">
        <f t="shared" si="425"/>
        <v>45808</v>
      </c>
      <c r="E4506" s="1">
        <f>D4506-2</f>
        <v>45806</v>
      </c>
      <c r="F4506">
        <v>12405</v>
      </c>
      <c r="G4506">
        <v>30</v>
      </c>
      <c r="H4506">
        <f t="shared" si="429"/>
        <v>0</v>
      </c>
      <c r="I4506" t="str">
        <f>IF(H4506=0,"On Time",IF(H4506&lt;=15,"Paid Late","Seriously Late"))</f>
        <v>On Time</v>
      </c>
      <c r="J4506" cm="1">
        <f t="array" ref="J4506">_xlfn.IFS(H4506&lt;30,0,H4506&lt;60,1,H4506&lt;90,2,H4506&lt;120,3)</f>
        <v>0</v>
      </c>
      <c r="M4506" t="str">
        <f t="shared" si="431"/>
        <v>Low</v>
      </c>
      <c r="N4506" t="str">
        <f t="shared" si="426"/>
        <v>May</v>
      </c>
      <c r="O4506">
        <f t="shared" si="427"/>
        <v>2025</v>
      </c>
    </row>
    <row r="4507" spans="1:15" x14ac:dyDescent="0.3">
      <c r="A4507">
        <v>200020</v>
      </c>
      <c r="B4507" t="s">
        <v>30</v>
      </c>
      <c r="C4507" s="2">
        <v>45778</v>
      </c>
      <c r="D4507" s="2">
        <f t="shared" si="425"/>
        <v>45808</v>
      </c>
      <c r="E4507" s="1">
        <f>D4507</f>
        <v>45808</v>
      </c>
      <c r="F4507">
        <v>2980</v>
      </c>
      <c r="G4507">
        <v>30</v>
      </c>
      <c r="H4507">
        <f t="shared" si="429"/>
        <v>0</v>
      </c>
      <c r="I4507" t="str">
        <f>IF(H4507=0,"On Time",IF(H4507&lt;=15,"Paid Late","Seriously Late"))</f>
        <v>On Time</v>
      </c>
      <c r="J4507" cm="1">
        <f t="array" ref="J4507">_xlfn.IFS(H4507&lt;30,0,H4507&lt;60,1,H4507&lt;90,2,H4507&lt;120,3)</f>
        <v>0</v>
      </c>
      <c r="M4507" t="str">
        <f t="shared" si="431"/>
        <v>Low</v>
      </c>
      <c r="N4507" t="str">
        <f t="shared" si="426"/>
        <v>May</v>
      </c>
      <c r="O4507">
        <f t="shared" si="427"/>
        <v>2025</v>
      </c>
    </row>
  </sheetData>
  <autoFilter ref="A1:O4507" xr:uid="{C8A0222C-A87A-431E-AD4D-29F27FACB7C5}">
    <sortState xmlns:xlrd2="http://schemas.microsoft.com/office/spreadsheetml/2017/richdata2" ref="A2:O4507">
      <sortCondition descending="1" ref="C1:C450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cleaned</vt:lpstr>
      <vt:lpstr>Invoices 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Ingeborg Bevers</dc:creator>
  <cp:lastModifiedBy>Aderonke Ojedokun</cp:lastModifiedBy>
  <dcterms:created xsi:type="dcterms:W3CDTF">2026-05-15T18:42:01Z</dcterms:created>
  <dcterms:modified xsi:type="dcterms:W3CDTF">2026-09-19T22:22:37Z</dcterms:modified>
</cp:coreProperties>
</file>